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4635" yWindow="-90" windowWidth="13815" windowHeight="12120" tabRatio="884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input_stops" sheetId="26" r:id="rId15"/>
    <sheet name="DayPatternCoefficients" sheetId="23" r:id="rId16"/>
    <sheet name="WorkbasedSubtourGenerationCoeff" sheetId="25" r:id="rId17"/>
    <sheet name="calibration" sheetId="24" r:id="rId18"/>
  </sheets>
  <definedNames>
    <definedName name="_xlnm._FilterDatabase" localSheetId="17" hidden="1">calibration!$AF$2:$AJ$108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</definedNames>
  <calcPr calcId="171027"/>
</workbook>
</file>

<file path=xl/calcChain.xml><?xml version="1.0" encoding="utf-8"?>
<calcChain xmlns="http://schemas.openxmlformats.org/spreadsheetml/2006/main">
  <c r="C20" i="24" l="1"/>
  <c r="D20" i="24"/>
  <c r="C21" i="24"/>
  <c r="D21" i="24"/>
  <c r="C22" i="24"/>
  <c r="D22" i="24"/>
  <c r="C23" i="24"/>
  <c r="D23" i="24"/>
  <c r="C24" i="24"/>
  <c r="D24" i="24"/>
  <c r="C25" i="24"/>
  <c r="D25" i="24"/>
  <c r="C26" i="24"/>
  <c r="D26" i="24"/>
  <c r="D19" i="24"/>
  <c r="C19" i="24"/>
  <c r="D41" i="24"/>
  <c r="D34" i="24"/>
  <c r="D35" i="24"/>
  <c r="D36" i="24"/>
  <c r="D37" i="24"/>
  <c r="D38" i="24"/>
  <c r="D39" i="24"/>
  <c r="D33" i="24"/>
  <c r="C41" i="24"/>
  <c r="C39" i="24"/>
  <c r="C34" i="24"/>
  <c r="C35" i="24"/>
  <c r="C36" i="24"/>
  <c r="C37" i="24"/>
  <c r="C38" i="24"/>
  <c r="C33" i="24"/>
  <c r="E39" i="24" l="1"/>
  <c r="E33" i="24"/>
  <c r="E38" i="24"/>
  <c r="E37" i="24"/>
  <c r="E36" i="24"/>
  <c r="E35" i="24"/>
  <c r="E34" i="24"/>
  <c r="F37" i="24"/>
  <c r="G37" i="24" s="1"/>
  <c r="L37" i="24" s="1"/>
  <c r="F39" i="24"/>
  <c r="G39" i="24" s="1"/>
  <c r="L39" i="24" s="1"/>
  <c r="E26" i="24"/>
  <c r="F36" i="24"/>
  <c r="G36" i="24" s="1"/>
  <c r="L36" i="24" s="1"/>
  <c r="F35" i="24"/>
  <c r="F34" i="24"/>
  <c r="G34" i="24" s="1"/>
  <c r="L34" i="24" s="1"/>
  <c r="F38" i="24"/>
  <c r="G38" i="24" s="1"/>
  <c r="L38" i="24" s="1"/>
  <c r="F33" i="24"/>
  <c r="G33" i="24" s="1"/>
  <c r="L33" i="24" s="1"/>
  <c r="G35" i="24" l="1"/>
  <c r="L35" i="24" s="1"/>
  <c r="T123" i="12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B628" i="23"/>
  <c r="D634" i="23"/>
  <c r="D644" i="23"/>
  <c r="B793" i="23"/>
  <c r="B799" i="23"/>
  <c r="B808" i="23"/>
  <c r="D808" i="23"/>
  <c r="D809" i="23"/>
  <c r="D857" i="23"/>
  <c r="D867" i="23"/>
  <c r="D868" i="23"/>
  <c r="B882" i="23"/>
  <c r="D886" i="23"/>
  <c r="D887" i="23"/>
  <c r="D892" i="23"/>
  <c r="D917" i="23"/>
  <c r="B918" i="23"/>
  <c r="D918" i="23"/>
  <c r="D966" i="23"/>
  <c r="D1038" i="23"/>
  <c r="D1041" i="23"/>
  <c r="D1057" i="23"/>
  <c r="D1073" i="23"/>
  <c r="D1088" i="23"/>
  <c r="B1105" i="23"/>
  <c r="D1154" i="23"/>
  <c r="B1186" i="23"/>
  <c r="D1264" i="23"/>
  <c r="D1360" i="23"/>
  <c r="D1405" i="23"/>
  <c r="B1408" i="23"/>
  <c r="B1419" i="23"/>
  <c r="B1493" i="23"/>
  <c r="D1569" i="23"/>
  <c r="D1607" i="23"/>
  <c r="B1616" i="23"/>
  <c r="B1650" i="23"/>
  <c r="D1674" i="23"/>
  <c r="B1872" i="23"/>
  <c r="B1881" i="23"/>
  <c r="D2003" i="23"/>
  <c r="D2017" i="23"/>
  <c r="D2026" i="23"/>
  <c r="D2036" i="23"/>
  <c r="B2208" i="23"/>
  <c r="B2268" i="23"/>
  <c r="D2384" i="23"/>
  <c r="D2394" i="23"/>
  <c r="B2442" i="23"/>
  <c r="D2496" i="23"/>
  <c r="D2528" i="23"/>
  <c r="D2804" i="23"/>
  <c r="B2871" i="23"/>
  <c r="B2880" i="23"/>
  <c r="B3068" i="23"/>
  <c r="B3495" i="23"/>
  <c r="D3614" i="23"/>
  <c r="D3688" i="23"/>
  <c r="D3713" i="23"/>
  <c r="B3717" i="23"/>
  <c r="B3720" i="23"/>
  <c r="B3795" i="23"/>
  <c r="D3798" i="23"/>
  <c r="D3816" i="23"/>
  <c r="D3831" i="23"/>
  <c r="B4005" i="23"/>
  <c r="B4031" i="23"/>
  <c r="D4044" i="23"/>
  <c r="B4087" i="23"/>
  <c r="B4196" i="23"/>
  <c r="B4200" i="23"/>
  <c r="D4221" i="23"/>
  <c r="D4346" i="23"/>
  <c r="B4477" i="23"/>
  <c r="B4499" i="23"/>
  <c r="B4539" i="23"/>
  <c r="B4623" i="23"/>
  <c r="D4686" i="23"/>
  <c r="D4697" i="23"/>
  <c r="D4722" i="23"/>
  <c r="B4726" i="23"/>
  <c r="D4792" i="23"/>
  <c r="D4834" i="23"/>
  <c r="B5011" i="23"/>
  <c r="B5029" i="23"/>
  <c r="D5033" i="23"/>
  <c r="B503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70" i="23"/>
  <c r="D5401" i="23"/>
  <c r="D5442" i="23"/>
  <c r="D5451" i="23"/>
  <c r="B5468" i="23"/>
  <c r="D5529" i="23"/>
  <c r="D5538" i="23"/>
  <c r="D5539" i="23"/>
  <c r="B5542" i="23"/>
  <c r="D5547" i="23"/>
  <c r="D5594" i="23"/>
  <c r="B5604" i="23"/>
  <c r="B5606" i="23"/>
  <c r="D5626" i="23"/>
  <c r="D5637" i="23"/>
  <c r="B5767" i="23"/>
  <c r="D5822" i="23"/>
  <c r="D5855" i="23"/>
  <c r="B5893" i="23"/>
  <c r="D5921" i="23"/>
  <c r="D5931" i="23"/>
  <c r="B5935" i="23"/>
  <c r="D5940" i="23"/>
  <c r="B6055" i="23"/>
  <c r="D6055" i="23"/>
  <c r="D6062" i="23"/>
  <c r="D6066" i="23"/>
  <c r="D6074" i="23"/>
  <c r="B6100" i="23"/>
  <c r="D6100" i="23"/>
  <c r="D6108" i="23"/>
  <c r="D6136" i="23"/>
  <c r="D6169" i="23"/>
  <c r="D6170" i="23"/>
  <c r="D6193" i="23"/>
  <c r="B6205" i="23"/>
  <c r="D6210" i="23"/>
  <c r="B6227" i="23"/>
  <c r="B6228" i="23"/>
  <c r="D6228" i="23"/>
  <c r="D6229" i="23"/>
  <c r="B6291" i="23"/>
  <c r="B6358" i="23"/>
  <c r="D6363" i="23"/>
  <c r="B6389" i="23"/>
  <c r="D6395" i="23"/>
  <c r="D6431" i="23"/>
  <c r="D6435" i="23"/>
  <c r="D6448" i="23"/>
  <c r="T13" i="24"/>
  <c r="U13" i="24"/>
  <c r="V13" i="24"/>
  <c r="T14" i="24"/>
  <c r="U14" i="24"/>
  <c r="V14" i="24"/>
  <c r="T15" i="24"/>
  <c r="U15" i="24"/>
  <c r="V15" i="24"/>
  <c r="T16" i="24"/>
  <c r="U16" i="24"/>
  <c r="V16" i="24"/>
  <c r="V4" i="24"/>
  <c r="V5" i="24"/>
  <c r="V6" i="24"/>
  <c r="V7" i="24"/>
  <c r="V8" i="24"/>
  <c r="V9" i="24"/>
  <c r="V10" i="24"/>
  <c r="V11" i="24"/>
  <c r="V12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" i="24"/>
  <c r="U3" i="24"/>
  <c r="T3" i="24"/>
  <c r="E86" i="24"/>
  <c r="T4" i="24"/>
  <c r="T5" i="24"/>
  <c r="T6" i="24"/>
  <c r="T7" i="24"/>
  <c r="T8" i="24"/>
  <c r="T9" i="24"/>
  <c r="T10" i="24"/>
  <c r="T11" i="24"/>
  <c r="T12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T29" i="24"/>
  <c r="T30" i="24"/>
  <c r="T31" i="24"/>
  <c r="T32" i="24"/>
  <c r="T33" i="24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T56" i="24"/>
  <c r="T57" i="24"/>
  <c r="T58" i="24"/>
  <c r="T59" i="24"/>
  <c r="T60" i="24"/>
  <c r="T61" i="24"/>
  <c r="T62" i="24"/>
  <c r="T63" i="24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T86" i="24"/>
  <c r="T87" i="24"/>
  <c r="T88" i="24"/>
  <c r="T89" i="24"/>
  <c r="T90" i="24"/>
  <c r="T91" i="24"/>
  <c r="T92" i="24"/>
  <c r="T93" i="24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T116" i="24"/>
  <c r="T117" i="24"/>
  <c r="T118" i="24"/>
  <c r="T119" i="24"/>
  <c r="T120" i="24"/>
  <c r="T121" i="24"/>
  <c r="T122" i="24"/>
  <c r="T123" i="24"/>
  <c r="T124" i="24"/>
  <c r="T125" i="24"/>
  <c r="T126" i="24"/>
  <c r="T127" i="24"/>
  <c r="T128" i="24"/>
  <c r="T129" i="24"/>
  <c r="T130" i="24"/>
  <c r="T131" i="24"/>
  <c r="T132" i="24"/>
  <c r="T133" i="24"/>
  <c r="T134" i="24"/>
  <c r="T135" i="24"/>
  <c r="T136" i="24"/>
  <c r="T137" i="24"/>
  <c r="T138" i="24"/>
  <c r="T139" i="24"/>
  <c r="T140" i="24"/>
  <c r="T141" i="24"/>
  <c r="T142" i="24"/>
  <c r="T143" i="24"/>
  <c r="T144" i="24"/>
  <c r="T145" i="24"/>
  <c r="T146" i="24"/>
  <c r="T147" i="24"/>
  <c r="T148" i="24"/>
  <c r="T149" i="24"/>
  <c r="T150" i="24"/>
  <c r="T151" i="24"/>
  <c r="T152" i="24"/>
  <c r="T153" i="24"/>
  <c r="T154" i="24"/>
  <c r="T155" i="24"/>
  <c r="T156" i="24"/>
  <c r="T157" i="24"/>
  <c r="T158" i="24"/>
  <c r="T159" i="24"/>
  <c r="T160" i="24"/>
  <c r="T161" i="24"/>
  <c r="T162" i="24"/>
  <c r="T163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T206" i="24"/>
  <c r="T207" i="24"/>
  <c r="T208" i="24"/>
  <c r="T209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226" i="24"/>
  <c r="T227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250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272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316" i="24"/>
  <c r="T317" i="24"/>
  <c r="T318" i="24"/>
  <c r="T319" i="24"/>
  <c r="T320" i="24"/>
  <c r="T321" i="24"/>
  <c r="T322" i="24"/>
  <c r="T323" i="24"/>
  <c r="T324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341" i="24"/>
  <c r="T342" i="24"/>
  <c r="T343" i="24"/>
  <c r="T344" i="24"/>
  <c r="T345" i="24"/>
  <c r="T346" i="24"/>
  <c r="T347" i="24"/>
  <c r="T348" i="24"/>
  <c r="T349" i="24"/>
  <c r="T350" i="24"/>
  <c r="T351" i="24"/>
  <c r="T352" i="24"/>
  <c r="W13" i="24" l="1"/>
  <c r="W14" i="24"/>
  <c r="K39" i="24"/>
  <c r="M39" i="24" s="1"/>
  <c r="K33" i="24"/>
  <c r="M33" i="24" s="1"/>
  <c r="K36" i="24"/>
  <c r="M36" i="24" s="1"/>
  <c r="K34" i="24"/>
  <c r="M34" i="24" s="1"/>
  <c r="K37" i="24"/>
  <c r="M37" i="24" s="1"/>
  <c r="K35" i="24"/>
  <c r="M35" i="24" s="1"/>
  <c r="K38" i="24"/>
  <c r="M38" i="24" s="1"/>
  <c r="W15" i="24"/>
  <c r="W16" i="24"/>
  <c r="I24" i="24"/>
  <c r="I22" i="24"/>
  <c r="I20" i="24"/>
  <c r="I23" i="24"/>
  <c r="I21" i="24"/>
  <c r="I5" i="24"/>
  <c r="I11" i="24"/>
  <c r="I10" i="24"/>
  <c r="I9" i="24"/>
  <c r="I8" i="24"/>
  <c r="I7" i="24"/>
  <c r="I6" i="24"/>
  <c r="I19" i="24"/>
  <c r="I25" i="24"/>
  <c r="W8" i="24" l="1"/>
  <c r="W9" i="24"/>
  <c r="W10" i="24"/>
  <c r="W11" i="24"/>
  <c r="W12" i="24"/>
  <c r="W17" i="24"/>
  <c r="W18" i="24"/>
  <c r="W19" i="24"/>
  <c r="W20" i="24"/>
  <c r="W21" i="24"/>
  <c r="W22" i="24"/>
  <c r="W23" i="24"/>
  <c r="W24" i="24"/>
  <c r="W25" i="24"/>
  <c r="W26" i="24"/>
  <c r="W27" i="24"/>
  <c r="W34" i="24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U4" i="24"/>
  <c r="U5" i="24"/>
  <c r="L70" i="24" s="1"/>
  <c r="U6" i="24"/>
  <c r="L86" i="24" s="1"/>
  <c r="U7" i="24"/>
  <c r="L93" i="24" s="1"/>
  <c r="U8" i="24"/>
  <c r="U9" i="24"/>
  <c r="U10" i="24"/>
  <c r="U11" i="24"/>
  <c r="U12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L63" i="24" s="1"/>
  <c r="U29" i="24"/>
  <c r="U30" i="24"/>
  <c r="U31" i="24"/>
  <c r="L87" i="24" s="1"/>
  <c r="U32" i="24"/>
  <c r="L94" i="24" s="1"/>
  <c r="U33" i="24"/>
  <c r="L100" i="24" s="1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L64" i="24" s="1"/>
  <c r="U56" i="24"/>
  <c r="U57" i="24"/>
  <c r="U58" i="24"/>
  <c r="L71" i="24" s="1"/>
  <c r="U59" i="24"/>
  <c r="L76" i="24" s="1"/>
  <c r="U60" i="24"/>
  <c r="L81" i="24" s="1"/>
  <c r="U61" i="24"/>
  <c r="L88" i="24" s="1"/>
  <c r="U62" i="24"/>
  <c r="L95" i="24" s="1"/>
  <c r="U63" i="24"/>
  <c r="L101" i="24" s="1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L65" i="24" s="1"/>
  <c r="U86" i="24"/>
  <c r="U87" i="24"/>
  <c r="U88" i="24"/>
  <c r="L72" i="24" s="1"/>
  <c r="U89" i="24"/>
  <c r="L77" i="24" s="1"/>
  <c r="U90" i="24"/>
  <c r="L82" i="24" s="1"/>
  <c r="U91" i="24"/>
  <c r="L89" i="24" s="1"/>
  <c r="U92" i="24"/>
  <c r="L96" i="24" s="1"/>
  <c r="U93" i="24"/>
  <c r="L102" i="24" s="1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L66" i="24" s="1"/>
  <c r="U116" i="24"/>
  <c r="U117" i="24"/>
  <c r="U118" i="24"/>
  <c r="L73" i="24" s="1"/>
  <c r="U119" i="24"/>
  <c r="L78" i="24" s="1"/>
  <c r="U120" i="24"/>
  <c r="L83" i="24" s="1"/>
  <c r="U121" i="24"/>
  <c r="L90" i="24" s="1"/>
  <c r="U122" i="24"/>
  <c r="L97" i="24" s="1"/>
  <c r="U123" i="24"/>
  <c r="L103" i="24" s="1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L67" i="24" s="1"/>
  <c r="U146" i="24"/>
  <c r="U147" i="24"/>
  <c r="U148" i="24"/>
  <c r="L74" i="24" s="1"/>
  <c r="U149" i="24"/>
  <c r="L79" i="24" s="1"/>
  <c r="U150" i="24"/>
  <c r="L84" i="24" s="1"/>
  <c r="U151" i="24"/>
  <c r="L91" i="24" s="1"/>
  <c r="U152" i="24"/>
  <c r="L98" i="24" s="1"/>
  <c r="U153" i="24"/>
  <c r="L104" i="24" s="1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L68" i="24" s="1"/>
  <c r="U176" i="24"/>
  <c r="U177" i="24"/>
  <c r="U178" i="24"/>
  <c r="L75" i="24" s="1"/>
  <c r="U179" i="24"/>
  <c r="L80" i="24" s="1"/>
  <c r="U180" i="24"/>
  <c r="L85" i="24" s="1"/>
  <c r="U181" i="24"/>
  <c r="L92" i="24" s="1"/>
  <c r="U182" i="24"/>
  <c r="L99" i="24" s="1"/>
  <c r="U183" i="24"/>
  <c r="L105" i="24" s="1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L69" i="24" s="1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AA4" i="24" l="1"/>
  <c r="I116" i="24" s="1"/>
  <c r="AA5" i="24"/>
  <c r="I117" i="24" s="1"/>
  <c r="AA6" i="24"/>
  <c r="I118" i="24" s="1"/>
  <c r="AA7" i="24"/>
  <c r="I119" i="24" s="1"/>
  <c r="AA8" i="24"/>
  <c r="I120" i="24" s="1"/>
  <c r="AA9" i="24"/>
  <c r="I121" i="24" s="1"/>
  <c r="AA10" i="24"/>
  <c r="AA11" i="24"/>
  <c r="AA12" i="24"/>
  <c r="AA13" i="24"/>
  <c r="AA14" i="24"/>
  <c r="AA15" i="24"/>
  <c r="AA16" i="24"/>
  <c r="AA17" i="24"/>
  <c r="AA3" i="24"/>
  <c r="I115" i="24" s="1"/>
  <c r="AB17" i="24" l="1"/>
  <c r="AB16" i="24"/>
  <c r="AB15" i="24"/>
  <c r="AB14" i="24"/>
  <c r="AB13" i="24"/>
  <c r="AB12" i="24"/>
  <c r="AB11" i="24"/>
  <c r="AB10" i="24"/>
  <c r="I82" i="24" l="1"/>
  <c r="H82" i="24"/>
  <c r="G82" i="24"/>
  <c r="F82" i="24"/>
  <c r="E82" i="24"/>
  <c r="D82" i="24"/>
  <c r="C82" i="24"/>
  <c r="I81" i="24"/>
  <c r="H81" i="24"/>
  <c r="G81" i="24"/>
  <c r="F81" i="24"/>
  <c r="E81" i="24"/>
  <c r="D81" i="24"/>
  <c r="C81" i="24"/>
  <c r="I80" i="24"/>
  <c r="H80" i="24"/>
  <c r="G80" i="24"/>
  <c r="F80" i="24"/>
  <c r="E80" i="24"/>
  <c r="D80" i="24"/>
  <c r="C80" i="24"/>
  <c r="I79" i="24"/>
  <c r="H79" i="24"/>
  <c r="G79" i="24"/>
  <c r="F79" i="24"/>
  <c r="E79" i="24"/>
  <c r="D79" i="24"/>
  <c r="C79" i="24"/>
  <c r="I78" i="24"/>
  <c r="H78" i="24"/>
  <c r="G78" i="24"/>
  <c r="F78" i="24"/>
  <c r="E78" i="24"/>
  <c r="D78" i="24"/>
  <c r="C78" i="24"/>
  <c r="I77" i="24"/>
  <c r="H77" i="24"/>
  <c r="G77" i="24"/>
  <c r="C77" i="24"/>
  <c r="H76" i="24"/>
  <c r="G76" i="24"/>
  <c r="D76" i="24"/>
  <c r="C76" i="24"/>
  <c r="K56" i="24"/>
  <c r="K55" i="24"/>
  <c r="K54" i="24"/>
  <c r="K53" i="24"/>
  <c r="K52" i="24"/>
  <c r="K51" i="24"/>
  <c r="K50" i="24"/>
  <c r="K49" i="24"/>
  <c r="K48" i="24"/>
  <c r="R47" i="24"/>
  <c r="Q47" i="24"/>
  <c r="P47" i="24"/>
  <c r="O47" i="24"/>
  <c r="N47" i="24"/>
  <c r="M47" i="24"/>
  <c r="L47" i="24"/>
  <c r="K47" i="24"/>
  <c r="K45" i="24"/>
  <c r="K44" i="24"/>
  <c r="B56" i="24"/>
  <c r="B55" i="24"/>
  <c r="B54" i="24"/>
  <c r="B53" i="24"/>
  <c r="B52" i="24"/>
  <c r="B51" i="24"/>
  <c r="B50" i="24"/>
  <c r="B49" i="24"/>
  <c r="B48" i="24"/>
  <c r="I47" i="24"/>
  <c r="H47" i="24"/>
  <c r="G47" i="24"/>
  <c r="F47" i="24"/>
  <c r="E47" i="24"/>
  <c r="D47" i="24"/>
  <c r="C47" i="24"/>
  <c r="B47" i="24"/>
  <c r="B45" i="24"/>
  <c r="B44" i="24"/>
  <c r="E18" i="24" l="1"/>
  <c r="G32" i="24" s="1"/>
  <c r="B4" i="24"/>
  <c r="B18" i="24" s="1"/>
  <c r="B32" i="24" s="1"/>
  <c r="D4" i="24"/>
  <c r="D18" i="24" s="1"/>
  <c r="D32" i="24" s="1"/>
  <c r="F32" i="24" s="1"/>
  <c r="C4" i="24"/>
  <c r="C18" i="24" s="1"/>
  <c r="C32" i="24" s="1"/>
  <c r="E32" i="24" s="1"/>
  <c r="B6" i="24"/>
  <c r="B20" i="24" s="1"/>
  <c r="B34" i="24" s="1"/>
  <c r="B7" i="24"/>
  <c r="B21" i="24" s="1"/>
  <c r="B35" i="24" s="1"/>
  <c r="B8" i="24"/>
  <c r="B22" i="24" s="1"/>
  <c r="B36" i="24" s="1"/>
  <c r="B9" i="24"/>
  <c r="B23" i="24" s="1"/>
  <c r="B37" i="24" s="1"/>
  <c r="B10" i="24"/>
  <c r="B24" i="24" s="1"/>
  <c r="B38" i="24" s="1"/>
  <c r="B11" i="24"/>
  <c r="B25" i="24" s="1"/>
  <c r="B39" i="24" s="1"/>
  <c r="B12" i="24"/>
  <c r="B13" i="24"/>
  <c r="B27" i="24" s="1"/>
  <c r="B41" i="24" s="1"/>
  <c r="B5" i="24"/>
  <c r="B19" i="24" s="1"/>
  <c r="B33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C116" i="24" s="1"/>
  <c r="D138" i="21"/>
  <c r="C117" i="24" s="1"/>
  <c r="D139" i="21"/>
  <c r="C118" i="24" s="1"/>
  <c r="D140" i="21"/>
  <c r="C119" i="24" s="1"/>
  <c r="D141" i="21"/>
  <c r="C120" i="24" s="1"/>
  <c r="D142" i="21"/>
  <c r="C121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D12" i="24" s="1"/>
  <c r="F206" i="20"/>
  <c r="R80" i="10" s="1"/>
  <c r="D11" i="24" s="1"/>
  <c r="F205" i="20"/>
  <c r="R79" i="10" s="1"/>
  <c r="D10" i="24" s="1"/>
  <c r="F204" i="20"/>
  <c r="R78" i="10" s="1"/>
  <c r="D9" i="24" s="1"/>
  <c r="F203" i="20"/>
  <c r="R77" i="10" s="1"/>
  <c r="D8" i="24" s="1"/>
  <c r="F202" i="20"/>
  <c r="R76" i="10" s="1"/>
  <c r="D7" i="24" s="1"/>
  <c r="F201" i="20"/>
  <c r="R75" i="10" s="1"/>
  <c r="D6" i="24" s="1"/>
  <c r="F200" i="20"/>
  <c r="R74" i="10" s="1"/>
  <c r="D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C115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I55" i="24" s="1"/>
  <c r="G185" i="21"/>
  <c r="G12" i="10" s="1"/>
  <c r="H55" i="24" s="1"/>
  <c r="F185" i="21"/>
  <c r="F12" i="10" s="1"/>
  <c r="G55" i="24" s="1"/>
  <c r="E185" i="21"/>
  <c r="E12" i="10" s="1"/>
  <c r="F55" i="24" s="1"/>
  <c r="D185" i="21"/>
  <c r="D12" i="10" s="1"/>
  <c r="E55" i="24" s="1"/>
  <c r="C185" i="21"/>
  <c r="C12" i="10" s="1"/>
  <c r="D55" i="24" s="1"/>
  <c r="B185" i="21"/>
  <c r="B12" i="10" s="1"/>
  <c r="C55" i="24" s="1"/>
  <c r="I184" i="21"/>
  <c r="J11" i="10" s="1"/>
  <c r="H184" i="21"/>
  <c r="I11" i="10" s="1"/>
  <c r="I54" i="24" s="1"/>
  <c r="G184" i="21"/>
  <c r="G11" i="10" s="1"/>
  <c r="H54" i="24" s="1"/>
  <c r="F184" i="21"/>
  <c r="F11" i="10" s="1"/>
  <c r="G54" i="24" s="1"/>
  <c r="E184" i="21"/>
  <c r="E11" i="10" s="1"/>
  <c r="F54" i="24" s="1"/>
  <c r="D184" i="21"/>
  <c r="D11" i="10" s="1"/>
  <c r="E54" i="24" s="1"/>
  <c r="C184" i="21"/>
  <c r="C11" i="10" s="1"/>
  <c r="D54" i="24" s="1"/>
  <c r="B184" i="21"/>
  <c r="B11" i="10" s="1"/>
  <c r="C54" i="24" s="1"/>
  <c r="I183" i="21"/>
  <c r="J10" i="10" s="1"/>
  <c r="H183" i="21"/>
  <c r="I10" i="10" s="1"/>
  <c r="I53" i="24" s="1"/>
  <c r="G183" i="21"/>
  <c r="G10" i="10" s="1"/>
  <c r="H53" i="24" s="1"/>
  <c r="H94" i="24" s="1"/>
  <c r="F183" i="21"/>
  <c r="F10" i="10" s="1"/>
  <c r="G53" i="24" s="1"/>
  <c r="E183" i="21"/>
  <c r="E10" i="10" s="1"/>
  <c r="F53" i="24" s="1"/>
  <c r="D183" i="21"/>
  <c r="D10" i="10" s="1"/>
  <c r="E53" i="24" s="1"/>
  <c r="C183" i="21"/>
  <c r="C10" i="10" s="1"/>
  <c r="D53" i="24" s="1"/>
  <c r="B183" i="21"/>
  <c r="B10" i="10" s="1"/>
  <c r="C53" i="24" s="1"/>
  <c r="I182" i="21"/>
  <c r="J9" i="10" s="1"/>
  <c r="H182" i="21"/>
  <c r="I9" i="10" s="1"/>
  <c r="I52" i="24" s="1"/>
  <c r="G182" i="21"/>
  <c r="G9" i="10" s="1"/>
  <c r="H52" i="24" s="1"/>
  <c r="F182" i="21"/>
  <c r="F9" i="10" s="1"/>
  <c r="G52" i="24" s="1"/>
  <c r="E182" i="21"/>
  <c r="E9" i="10" s="1"/>
  <c r="F52" i="24" s="1"/>
  <c r="D182" i="21"/>
  <c r="D9" i="10" s="1"/>
  <c r="E52" i="24" s="1"/>
  <c r="C182" i="21"/>
  <c r="C9" i="10" s="1"/>
  <c r="D52" i="24" s="1"/>
  <c r="B182" i="21"/>
  <c r="B9" i="10" s="1"/>
  <c r="C52" i="24" s="1"/>
  <c r="I181" i="21"/>
  <c r="J8" i="10" s="1"/>
  <c r="H181" i="21"/>
  <c r="I8" i="10" s="1"/>
  <c r="I51" i="24" s="1"/>
  <c r="G181" i="21"/>
  <c r="G8" i="10" s="1"/>
  <c r="H51" i="24" s="1"/>
  <c r="F181" i="21"/>
  <c r="F8" i="10" s="1"/>
  <c r="G51" i="24" s="1"/>
  <c r="E181" i="21"/>
  <c r="E8" i="10" s="1"/>
  <c r="F51" i="24" s="1"/>
  <c r="D181" i="21"/>
  <c r="D8" i="10" s="1"/>
  <c r="E51" i="24" s="1"/>
  <c r="C181" i="21"/>
  <c r="C8" i="10" s="1"/>
  <c r="D51" i="24" s="1"/>
  <c r="B181" i="21"/>
  <c r="B8" i="10" s="1"/>
  <c r="C51" i="24" s="1"/>
  <c r="I180" i="21"/>
  <c r="J7" i="10" s="1"/>
  <c r="H180" i="21"/>
  <c r="I7" i="10" s="1"/>
  <c r="I50" i="24" s="1"/>
  <c r="G180" i="21"/>
  <c r="G7" i="10" s="1"/>
  <c r="H50" i="24" s="1"/>
  <c r="F180" i="21"/>
  <c r="F7" i="10" s="1"/>
  <c r="G50" i="24" s="1"/>
  <c r="E180" i="21"/>
  <c r="E7" i="10" s="1"/>
  <c r="F50" i="24" s="1"/>
  <c r="D180" i="21"/>
  <c r="D7" i="10" s="1"/>
  <c r="E50" i="24" s="1"/>
  <c r="C180" i="21"/>
  <c r="C7" i="10" s="1"/>
  <c r="D50" i="24" s="1"/>
  <c r="B180" i="21"/>
  <c r="B7" i="10" s="1"/>
  <c r="C50" i="24" s="1"/>
  <c r="I179" i="21"/>
  <c r="J6" i="10" s="1"/>
  <c r="H179" i="21"/>
  <c r="I6" i="10" s="1"/>
  <c r="I49" i="24" s="1"/>
  <c r="G179" i="21"/>
  <c r="G6" i="10" s="1"/>
  <c r="H49" i="24" s="1"/>
  <c r="F179" i="21"/>
  <c r="F6" i="10" s="1"/>
  <c r="G49" i="24" s="1"/>
  <c r="E179" i="21"/>
  <c r="E6" i="10" s="1"/>
  <c r="F49" i="24" s="1"/>
  <c r="D179" i="21"/>
  <c r="D6" i="10" s="1"/>
  <c r="E49" i="24" s="1"/>
  <c r="C179" i="21"/>
  <c r="C6" i="10" s="1"/>
  <c r="D49" i="24" s="1"/>
  <c r="B179" i="21"/>
  <c r="B6" i="10" s="1"/>
  <c r="C49" i="24" s="1"/>
  <c r="I178" i="21"/>
  <c r="J5" i="10" s="1"/>
  <c r="H178" i="21"/>
  <c r="I5" i="10" s="1"/>
  <c r="I48" i="24" s="1"/>
  <c r="G178" i="21"/>
  <c r="G5" i="10" s="1"/>
  <c r="H48" i="24" s="1"/>
  <c r="F178" i="21"/>
  <c r="F5" i="10" s="1"/>
  <c r="G48" i="24" s="1"/>
  <c r="E178" i="21"/>
  <c r="E5" i="10" s="1"/>
  <c r="F48" i="24" s="1"/>
  <c r="D178" i="21"/>
  <c r="D5" i="10" s="1"/>
  <c r="E48" i="24" s="1"/>
  <c r="C178" i="21"/>
  <c r="C5" i="10" s="1"/>
  <c r="D48" i="24" s="1"/>
  <c r="B178" i="21"/>
  <c r="B5" i="10" s="1"/>
  <c r="C48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D116" i="24" s="1"/>
  <c r="D138" i="20"/>
  <c r="D117" i="24" s="1"/>
  <c r="D139" i="20"/>
  <c r="D118" i="24" s="1"/>
  <c r="D140" i="20"/>
  <c r="D119" i="24" s="1"/>
  <c r="D141" i="20"/>
  <c r="D120" i="24" s="1"/>
  <c r="D142" i="20"/>
  <c r="D121" i="24" s="1"/>
  <c r="D136" i="20"/>
  <c r="D115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L48" i="24" s="1"/>
  <c r="C178" i="20"/>
  <c r="O5" i="10" s="1"/>
  <c r="M48" i="24" s="1"/>
  <c r="D178" i="20"/>
  <c r="P5" i="10" s="1"/>
  <c r="N48" i="24" s="1"/>
  <c r="E178" i="20"/>
  <c r="Q5" i="10" s="1"/>
  <c r="O48" i="24" s="1"/>
  <c r="F178" i="20"/>
  <c r="R5" i="10" s="1"/>
  <c r="P48" i="24" s="1"/>
  <c r="G178" i="20"/>
  <c r="S5" i="10" s="1"/>
  <c r="Q48" i="24" s="1"/>
  <c r="H178" i="20"/>
  <c r="U5" i="10" s="1"/>
  <c r="R48" i="24" s="1"/>
  <c r="I178" i="20"/>
  <c r="V5" i="10" s="1"/>
  <c r="B179" i="20"/>
  <c r="N6" i="10" s="1"/>
  <c r="L49" i="24" s="1"/>
  <c r="C179" i="20"/>
  <c r="O6" i="10" s="1"/>
  <c r="M49" i="24" s="1"/>
  <c r="D179" i="20"/>
  <c r="P6" i="10" s="1"/>
  <c r="N49" i="24" s="1"/>
  <c r="E179" i="20"/>
  <c r="Q6" i="10" s="1"/>
  <c r="O49" i="24" s="1"/>
  <c r="F179" i="20"/>
  <c r="R6" i="10" s="1"/>
  <c r="P49" i="24" s="1"/>
  <c r="G179" i="20"/>
  <c r="S6" i="10" s="1"/>
  <c r="Q49" i="24" s="1"/>
  <c r="H179" i="20"/>
  <c r="U6" i="10" s="1"/>
  <c r="R49" i="24" s="1"/>
  <c r="I179" i="20"/>
  <c r="V6" i="10" s="1"/>
  <c r="B180" i="20"/>
  <c r="N7" i="10" s="1"/>
  <c r="L50" i="24" s="1"/>
  <c r="C180" i="20"/>
  <c r="O7" i="10" s="1"/>
  <c r="M50" i="24" s="1"/>
  <c r="D180" i="20"/>
  <c r="P7" i="10" s="1"/>
  <c r="N50" i="24" s="1"/>
  <c r="E180" i="20"/>
  <c r="Q7" i="10" s="1"/>
  <c r="O50" i="24" s="1"/>
  <c r="F180" i="20"/>
  <c r="R7" i="10" s="1"/>
  <c r="P50" i="24" s="1"/>
  <c r="G180" i="20"/>
  <c r="S7" i="10" s="1"/>
  <c r="Q50" i="24" s="1"/>
  <c r="H180" i="20"/>
  <c r="U7" i="10" s="1"/>
  <c r="R50" i="24" s="1"/>
  <c r="I180" i="20"/>
  <c r="V7" i="10" s="1"/>
  <c r="B181" i="20"/>
  <c r="N8" i="10" s="1"/>
  <c r="L51" i="24" s="1"/>
  <c r="C181" i="20"/>
  <c r="O8" i="10" s="1"/>
  <c r="M51" i="24" s="1"/>
  <c r="D181" i="20"/>
  <c r="P8" i="10" s="1"/>
  <c r="N51" i="24" s="1"/>
  <c r="E181" i="20"/>
  <c r="Q8" i="10" s="1"/>
  <c r="O51" i="24" s="1"/>
  <c r="F181" i="20"/>
  <c r="R8" i="10" s="1"/>
  <c r="P51" i="24" s="1"/>
  <c r="G181" i="20"/>
  <c r="S8" i="10" s="1"/>
  <c r="Q51" i="24" s="1"/>
  <c r="H181" i="20"/>
  <c r="U8" i="10" s="1"/>
  <c r="R51" i="24" s="1"/>
  <c r="I181" i="20"/>
  <c r="V8" i="10" s="1"/>
  <c r="B182" i="20"/>
  <c r="N9" i="10" s="1"/>
  <c r="L52" i="24" s="1"/>
  <c r="C182" i="20"/>
  <c r="O9" i="10" s="1"/>
  <c r="M52" i="24" s="1"/>
  <c r="D182" i="20"/>
  <c r="P9" i="10" s="1"/>
  <c r="N52" i="24" s="1"/>
  <c r="E182" i="20"/>
  <c r="Q9" i="10" s="1"/>
  <c r="O52" i="24" s="1"/>
  <c r="F182" i="20"/>
  <c r="R9" i="10" s="1"/>
  <c r="P52" i="24" s="1"/>
  <c r="G182" i="20"/>
  <c r="S9" i="10" s="1"/>
  <c r="Q52" i="24" s="1"/>
  <c r="H182" i="20"/>
  <c r="U9" i="10" s="1"/>
  <c r="R52" i="24" s="1"/>
  <c r="I182" i="20"/>
  <c r="V9" i="10" s="1"/>
  <c r="B183" i="20"/>
  <c r="N10" i="10" s="1"/>
  <c r="L53" i="24" s="1"/>
  <c r="C183" i="20"/>
  <c r="O10" i="10" s="1"/>
  <c r="M53" i="24" s="1"/>
  <c r="D183" i="20"/>
  <c r="P10" i="10" s="1"/>
  <c r="N53" i="24" s="1"/>
  <c r="E183" i="20"/>
  <c r="Q10" i="10" s="1"/>
  <c r="O53" i="24" s="1"/>
  <c r="F183" i="20"/>
  <c r="R10" i="10" s="1"/>
  <c r="P53" i="24" s="1"/>
  <c r="G183" i="20"/>
  <c r="S10" i="10" s="1"/>
  <c r="Q53" i="24" s="1"/>
  <c r="H183" i="20"/>
  <c r="U10" i="10" s="1"/>
  <c r="R53" i="24" s="1"/>
  <c r="I183" i="20"/>
  <c r="V10" i="10" s="1"/>
  <c r="B184" i="20"/>
  <c r="N11" i="10" s="1"/>
  <c r="L54" i="24" s="1"/>
  <c r="C184" i="20"/>
  <c r="O11" i="10" s="1"/>
  <c r="M54" i="24" s="1"/>
  <c r="D184" i="20"/>
  <c r="P11" i="10" s="1"/>
  <c r="N54" i="24" s="1"/>
  <c r="E184" i="20"/>
  <c r="Q11" i="10" s="1"/>
  <c r="O54" i="24" s="1"/>
  <c r="F184" i="20"/>
  <c r="R11" i="10" s="1"/>
  <c r="P54" i="24" s="1"/>
  <c r="G184" i="20"/>
  <c r="S11" i="10" s="1"/>
  <c r="Q54" i="24" s="1"/>
  <c r="H184" i="20"/>
  <c r="U11" i="10" s="1"/>
  <c r="R54" i="24" s="1"/>
  <c r="I184" i="20"/>
  <c r="V11" i="10" s="1"/>
  <c r="B185" i="20"/>
  <c r="N12" i="10" s="1"/>
  <c r="L55" i="24" s="1"/>
  <c r="C185" i="20"/>
  <c r="O12" i="10" s="1"/>
  <c r="M55" i="24" s="1"/>
  <c r="D185" i="20"/>
  <c r="P12" i="10" s="1"/>
  <c r="N55" i="24" s="1"/>
  <c r="E185" i="20"/>
  <c r="Q12" i="10" s="1"/>
  <c r="O55" i="24" s="1"/>
  <c r="F185" i="20"/>
  <c r="R12" i="10" s="1"/>
  <c r="P55" i="24" s="1"/>
  <c r="G185" i="20"/>
  <c r="S12" i="10" s="1"/>
  <c r="Q55" i="24" s="1"/>
  <c r="H185" i="20"/>
  <c r="U12" i="10" s="1"/>
  <c r="R55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M64" i="16" l="1"/>
  <c r="H254" i="21"/>
  <c r="H102" i="11"/>
  <c r="I102" i="11" s="1"/>
  <c r="H213" i="21"/>
  <c r="H109" i="10"/>
  <c r="I109" i="10" s="1"/>
  <c r="E119" i="24"/>
  <c r="E118" i="24"/>
  <c r="J222" i="21"/>
  <c r="K5" i="11" s="1"/>
  <c r="J228" i="21"/>
  <c r="K11" i="11" s="1"/>
  <c r="J227" i="21"/>
  <c r="K10" i="11" s="1"/>
  <c r="J226" i="21"/>
  <c r="K9" i="11" s="1"/>
  <c r="J225" i="21"/>
  <c r="K8" i="11" s="1"/>
  <c r="J224" i="21"/>
  <c r="K7" i="11" s="1"/>
  <c r="J223" i="21"/>
  <c r="K6" i="11" s="1"/>
  <c r="J222" i="20"/>
  <c r="W5" i="11" s="1"/>
  <c r="AL5" i="11" s="1"/>
  <c r="J228" i="20"/>
  <c r="W11" i="11" s="1"/>
  <c r="AL11" i="11" s="1"/>
  <c r="J227" i="20"/>
  <c r="W10" i="11" s="1"/>
  <c r="J226" i="20"/>
  <c r="W9" i="11" s="1"/>
  <c r="AL9" i="11" s="1"/>
  <c r="J225" i="20"/>
  <c r="W8" i="11" s="1"/>
  <c r="AL8" i="11" s="1"/>
  <c r="J224" i="20"/>
  <c r="W7" i="11" s="1"/>
  <c r="AL7" i="11" s="1"/>
  <c r="J223" i="20"/>
  <c r="W6" i="11" s="1"/>
  <c r="E121" i="24"/>
  <c r="E120" i="24"/>
  <c r="E117" i="24"/>
  <c r="E116" i="24"/>
  <c r="E115" i="24"/>
  <c r="C5" i="24"/>
  <c r="B33" i="16"/>
  <c r="L63" i="16" s="1"/>
  <c r="C6" i="24"/>
  <c r="B34" i="16"/>
  <c r="L64" i="16" s="1"/>
  <c r="C7" i="24"/>
  <c r="B35" i="16"/>
  <c r="L65" i="16" s="1"/>
  <c r="C8" i="24"/>
  <c r="B36" i="16"/>
  <c r="L66" i="16" s="1"/>
  <c r="C9" i="24"/>
  <c r="B37" i="16"/>
  <c r="L67" i="16" s="1"/>
  <c r="C10" i="24"/>
  <c r="B38" i="16"/>
  <c r="L68" i="16" s="1"/>
  <c r="C11" i="24"/>
  <c r="B39" i="16"/>
  <c r="L69" i="16" s="1"/>
  <c r="C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S8" i="6" s="1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N56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AA80" i="2" s="1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I56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AD32" i="2" l="1"/>
  <c r="L21" i="13"/>
  <c r="H81" i="16"/>
  <c r="K12" i="11"/>
  <c r="K22" i="11" s="1"/>
  <c r="M66" i="16"/>
  <c r="M63" i="16"/>
  <c r="Y39" i="6"/>
  <c r="T63" i="6"/>
  <c r="L71" i="1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AE63" i="6" s="1"/>
  <c r="I21" i="2"/>
  <c r="J115" i="24"/>
  <c r="K115" i="24" s="1"/>
  <c r="AI5" i="11"/>
  <c r="J116" i="24"/>
  <c r="K116" i="24" s="1"/>
  <c r="J118" i="24"/>
  <c r="K118" i="24" s="1"/>
  <c r="J117" i="24"/>
  <c r="K117" i="24" s="1"/>
  <c r="J119" i="24"/>
  <c r="K119" i="24" s="1"/>
  <c r="J120" i="24"/>
  <c r="K120" i="24" s="1"/>
  <c r="J121" i="24"/>
  <c r="K121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F56" i="24"/>
  <c r="B51" i="16"/>
  <c r="B25" i="12"/>
  <c r="B78" i="16"/>
  <c r="G78" i="16" s="1"/>
  <c r="G56" i="24"/>
  <c r="B52" i="16"/>
  <c r="G52" i="16" s="1"/>
  <c r="E20" i="24"/>
  <c r="B27" i="10"/>
  <c r="C56" i="24"/>
  <c r="S23" i="10"/>
  <c r="Q56" i="24"/>
  <c r="D63" i="16"/>
  <c r="E63" i="16" s="1"/>
  <c r="N28" i="10"/>
  <c r="L56" i="24"/>
  <c r="R24" i="10"/>
  <c r="P56" i="24"/>
  <c r="D30" i="10"/>
  <c r="E56" i="24"/>
  <c r="C30" i="10"/>
  <c r="D56" i="24"/>
  <c r="U26" i="10"/>
  <c r="R56" i="24"/>
  <c r="G23" i="10"/>
  <c r="H56" i="24"/>
  <c r="O23" i="10"/>
  <c r="M56" i="24"/>
  <c r="Q30" i="10"/>
  <c r="O56" i="24"/>
  <c r="D40" i="16"/>
  <c r="E40" i="16" s="1"/>
  <c r="E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H41" i="16" s="1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AE74" i="6" l="1"/>
  <c r="X81" i="15"/>
  <c r="AE52" i="6"/>
  <c r="H63" i="16"/>
  <c r="H66" i="16"/>
  <c r="AE30" i="6"/>
  <c r="AF41" i="6"/>
  <c r="AE21" i="2"/>
  <c r="H71" i="16"/>
  <c r="M71" i="16"/>
  <c r="G63" i="16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I33" i="16" s="1"/>
  <c r="J33" i="16" s="1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B9" i="24"/>
  <c r="AB8" i="24"/>
  <c r="AB7" i="24"/>
  <c r="AB5" i="24"/>
  <c r="AB6" i="24"/>
  <c r="AB4" i="24"/>
  <c r="AB3" i="24"/>
  <c r="W15" i="11"/>
  <c r="AI15" i="11" s="1"/>
  <c r="AI12" i="11"/>
  <c r="W24" i="11"/>
  <c r="W22" i="11"/>
  <c r="AI22" i="11" s="1"/>
  <c r="AE81" i="2"/>
  <c r="W27" i="1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J20" i="24"/>
  <c r="K20" i="24" s="1"/>
  <c r="W30" i="24" s="1"/>
  <c r="N34" i="24" s="1"/>
  <c r="O34" i="24" s="1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D27" i="24"/>
  <c r="AD81" i="15"/>
  <c r="AA23" i="10"/>
  <c r="Y57" i="15"/>
  <c r="B86" i="16"/>
  <c r="G86" i="16" s="1"/>
  <c r="AE69" i="2"/>
  <c r="D65" i="16"/>
  <c r="E65" i="16" s="1"/>
  <c r="AE45" i="2"/>
  <c r="E19" i="24"/>
  <c r="J19" i="24" s="1"/>
  <c r="AA56" i="9"/>
  <c r="D69" i="16"/>
  <c r="E69" i="16" s="1"/>
  <c r="E25" i="24"/>
  <c r="AE45" i="15"/>
  <c r="D68" i="16"/>
  <c r="E68" i="16" s="1"/>
  <c r="E24" i="24"/>
  <c r="AE9" i="1"/>
  <c r="D66" i="16"/>
  <c r="E66" i="16" s="1"/>
  <c r="E22" i="24"/>
  <c r="D67" i="16"/>
  <c r="E67" i="16" s="1"/>
  <c r="E23" i="24"/>
  <c r="AB9" i="15"/>
  <c r="X30" i="6"/>
  <c r="AA127" i="12"/>
  <c r="D39" i="16"/>
  <c r="E39" i="16" s="1"/>
  <c r="E11" i="24"/>
  <c r="J11" i="24" s="1"/>
  <c r="AE27" i="11"/>
  <c r="D38" i="16"/>
  <c r="E38" i="16" s="1"/>
  <c r="E10" i="24"/>
  <c r="J10" i="24" s="1"/>
  <c r="D37" i="16"/>
  <c r="E37" i="16" s="1"/>
  <c r="E9" i="24"/>
  <c r="J9" i="24" s="1"/>
  <c r="AE33" i="15"/>
  <c r="D36" i="16"/>
  <c r="E36" i="16" s="1"/>
  <c r="E8" i="24"/>
  <c r="J8" i="24" s="1"/>
  <c r="D35" i="16"/>
  <c r="E35" i="16" s="1"/>
  <c r="E7" i="24"/>
  <c r="J7" i="24" s="1"/>
  <c r="E6" i="24"/>
  <c r="J6" i="24" s="1"/>
  <c r="X19" i="6"/>
  <c r="AA82" i="9"/>
  <c r="D13" i="24"/>
  <c r="E5" i="24"/>
  <c r="J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I39" i="16"/>
  <c r="J39" i="16" s="1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AI24" i="11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I63" i="16"/>
  <c r="J63" i="16" s="1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I38" i="16" l="1"/>
  <c r="J38" i="16" s="1"/>
  <c r="I40" i="16"/>
  <c r="J40" i="16" s="1"/>
  <c r="D28" i="24"/>
  <c r="I34" i="16"/>
  <c r="J34" i="16" s="1"/>
  <c r="I70" i="16"/>
  <c r="J70" i="16" s="1"/>
  <c r="I69" i="16"/>
  <c r="J69" i="16" s="1"/>
  <c r="I64" i="16"/>
  <c r="J64" i="16" s="1"/>
  <c r="I68" i="16"/>
  <c r="J68" i="16" s="1"/>
  <c r="I67" i="16"/>
  <c r="J67" i="16" s="1"/>
  <c r="I35" i="16"/>
  <c r="J35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L115" i="24"/>
  <c r="M115" i="24" s="1"/>
  <c r="L116" i="24"/>
  <c r="M116" i="24" s="1"/>
  <c r="L118" i="24"/>
  <c r="M118" i="24" s="1"/>
  <c r="L117" i="24"/>
  <c r="M117" i="24" s="1"/>
  <c r="L119" i="24"/>
  <c r="M119" i="24" s="1"/>
  <c r="L120" i="24"/>
  <c r="M120" i="24" s="1"/>
  <c r="L121" i="24"/>
  <c r="M121" i="24" s="1"/>
  <c r="L20" i="24"/>
  <c r="M20" i="24" s="1"/>
  <c r="J23" i="24"/>
  <c r="K23" i="24" s="1"/>
  <c r="W117" i="24" s="1"/>
  <c r="N37" i="24" s="1"/>
  <c r="O37" i="24" s="1"/>
  <c r="J22" i="24"/>
  <c r="K22" i="24" s="1"/>
  <c r="W87" i="24" s="1"/>
  <c r="N36" i="24" s="1"/>
  <c r="O36" i="24" s="1"/>
  <c r="J24" i="24"/>
  <c r="K24" i="24" s="1"/>
  <c r="W147" i="24" s="1"/>
  <c r="N38" i="24" s="1"/>
  <c r="O38" i="24" s="1"/>
  <c r="J25" i="24"/>
  <c r="K25" i="24" s="1"/>
  <c r="W177" i="24" s="1"/>
  <c r="N39" i="24" s="1"/>
  <c r="O39" i="24" s="1"/>
  <c r="H89" i="24"/>
  <c r="H102" i="24" s="1"/>
  <c r="M93" i="24" s="1"/>
  <c r="W7" i="24" s="1"/>
  <c r="C89" i="24"/>
  <c r="C102" i="24" s="1"/>
  <c r="M63" i="24" s="1"/>
  <c r="W28" i="24" s="1"/>
  <c r="D89" i="24"/>
  <c r="D102" i="24" s="1"/>
  <c r="M70" i="24" s="1"/>
  <c r="W5" i="24" s="1"/>
  <c r="G89" i="24"/>
  <c r="G102" i="24" s="1"/>
  <c r="M86" i="24" s="1"/>
  <c r="W6" i="24" s="1"/>
  <c r="C90" i="24"/>
  <c r="C103" i="24" s="1"/>
  <c r="M64" i="24" s="1"/>
  <c r="W55" i="24" s="1"/>
  <c r="G90" i="24"/>
  <c r="G103" i="24" s="1"/>
  <c r="M87" i="24" s="1"/>
  <c r="W31" i="24" s="1"/>
  <c r="H90" i="24"/>
  <c r="H103" i="24" s="1"/>
  <c r="M94" i="24" s="1"/>
  <c r="W32" i="24" s="1"/>
  <c r="I90" i="24"/>
  <c r="I103" i="24" s="1"/>
  <c r="M100" i="24" s="1"/>
  <c r="W33" i="24" s="1"/>
  <c r="I91" i="24"/>
  <c r="I104" i="24" s="1"/>
  <c r="M101" i="24" s="1"/>
  <c r="W63" i="24" s="1"/>
  <c r="H91" i="24"/>
  <c r="H104" i="24" s="1"/>
  <c r="M95" i="24" s="1"/>
  <c r="W62" i="24" s="1"/>
  <c r="C91" i="24"/>
  <c r="C104" i="24" s="1"/>
  <c r="M65" i="24" s="1"/>
  <c r="W85" i="24" s="1"/>
  <c r="D91" i="24"/>
  <c r="D104" i="24" s="1"/>
  <c r="M71" i="24" s="1"/>
  <c r="W58" i="24" s="1"/>
  <c r="E91" i="24"/>
  <c r="E104" i="24" s="1"/>
  <c r="M76" i="24" s="1"/>
  <c r="W59" i="24" s="1"/>
  <c r="F91" i="24"/>
  <c r="F104" i="24" s="1"/>
  <c r="M81" i="24" s="1"/>
  <c r="W60" i="24" s="1"/>
  <c r="G91" i="24"/>
  <c r="G104" i="24" s="1"/>
  <c r="M88" i="24" s="1"/>
  <c r="W61" i="24" s="1"/>
  <c r="I92" i="24"/>
  <c r="I105" i="24" s="1"/>
  <c r="M102" i="24" s="1"/>
  <c r="W93" i="24" s="1"/>
  <c r="C92" i="24"/>
  <c r="C105" i="24" s="1"/>
  <c r="M66" i="24" s="1"/>
  <c r="W115" i="24" s="1"/>
  <c r="D92" i="24"/>
  <c r="D105" i="24" s="1"/>
  <c r="M72" i="24" s="1"/>
  <c r="W88" i="24" s="1"/>
  <c r="E92" i="24"/>
  <c r="E105" i="24" s="1"/>
  <c r="M77" i="24" s="1"/>
  <c r="W89" i="24" s="1"/>
  <c r="F92" i="24"/>
  <c r="F105" i="24" s="1"/>
  <c r="M82" i="24" s="1"/>
  <c r="W90" i="24" s="1"/>
  <c r="G92" i="24"/>
  <c r="G105" i="24" s="1"/>
  <c r="M89" i="24" s="1"/>
  <c r="W91" i="24" s="1"/>
  <c r="H92" i="24"/>
  <c r="H105" i="24" s="1"/>
  <c r="M96" i="24" s="1"/>
  <c r="W92" i="24" s="1"/>
  <c r="C95" i="24"/>
  <c r="C108" i="24" s="1"/>
  <c r="M69" i="24" s="1"/>
  <c r="W205" i="24" s="1"/>
  <c r="D95" i="24"/>
  <c r="D108" i="24" s="1"/>
  <c r="M75" i="24" s="1"/>
  <c r="W178" i="24" s="1"/>
  <c r="E95" i="24"/>
  <c r="E108" i="24" s="1"/>
  <c r="M80" i="24" s="1"/>
  <c r="W179" i="24" s="1"/>
  <c r="F95" i="24"/>
  <c r="F108" i="24" s="1"/>
  <c r="M85" i="24" s="1"/>
  <c r="W180" i="24" s="1"/>
  <c r="G95" i="24"/>
  <c r="G108" i="24" s="1"/>
  <c r="M92" i="24" s="1"/>
  <c r="W181" i="24" s="1"/>
  <c r="H95" i="24"/>
  <c r="H108" i="24" s="1"/>
  <c r="M99" i="24" s="1"/>
  <c r="W182" i="24" s="1"/>
  <c r="I95" i="24"/>
  <c r="I108" i="24" s="1"/>
  <c r="M105" i="24" s="1"/>
  <c r="W183" i="24" s="1"/>
  <c r="H93" i="24"/>
  <c r="H106" i="24" s="1"/>
  <c r="M97" i="24" s="1"/>
  <c r="W122" i="24" s="1"/>
  <c r="I93" i="24"/>
  <c r="I106" i="24" s="1"/>
  <c r="M103" i="24" s="1"/>
  <c r="W123" i="24" s="1"/>
  <c r="C93" i="24"/>
  <c r="C106" i="24" s="1"/>
  <c r="M67" i="24" s="1"/>
  <c r="W145" i="24" s="1"/>
  <c r="D93" i="24"/>
  <c r="D106" i="24" s="1"/>
  <c r="M73" i="24" s="1"/>
  <c r="W118" i="24" s="1"/>
  <c r="E93" i="24"/>
  <c r="E106" i="24" s="1"/>
  <c r="M78" i="24" s="1"/>
  <c r="W119" i="24" s="1"/>
  <c r="F93" i="24"/>
  <c r="F106" i="24" s="1"/>
  <c r="M83" i="24" s="1"/>
  <c r="W120" i="24" s="1"/>
  <c r="G93" i="24"/>
  <c r="G106" i="24" s="1"/>
  <c r="M90" i="24" s="1"/>
  <c r="W121" i="24" s="1"/>
  <c r="C94" i="24"/>
  <c r="C107" i="24" s="1"/>
  <c r="M68" i="24" s="1"/>
  <c r="W175" i="24" s="1"/>
  <c r="D94" i="24"/>
  <c r="D107" i="24" s="1"/>
  <c r="M74" i="24" s="1"/>
  <c r="W148" i="24" s="1"/>
  <c r="E94" i="24"/>
  <c r="E107" i="24" s="1"/>
  <c r="M79" i="24" s="1"/>
  <c r="W149" i="24" s="1"/>
  <c r="F94" i="24"/>
  <c r="F107" i="24" s="1"/>
  <c r="M84" i="24" s="1"/>
  <c r="W150" i="24" s="1"/>
  <c r="G94" i="24"/>
  <c r="G107" i="24" s="1"/>
  <c r="M91" i="24" s="1"/>
  <c r="W151" i="24" s="1"/>
  <c r="H107" i="24"/>
  <c r="M98" i="24" s="1"/>
  <c r="I94" i="24"/>
  <c r="I107" i="24" s="1"/>
  <c r="M104" i="24" s="1"/>
  <c r="W153" i="24" s="1"/>
  <c r="E78" i="16"/>
  <c r="D86" i="16"/>
  <c r="E86" i="16" s="1"/>
  <c r="C13" i="24"/>
  <c r="K6" i="24"/>
  <c r="K7" i="24"/>
  <c r="K8" i="24"/>
  <c r="K9" i="24"/>
  <c r="K10" i="24"/>
  <c r="K11" i="24"/>
  <c r="K5" i="24"/>
  <c r="K19" i="24"/>
  <c r="W4" i="24" s="1"/>
  <c r="N33" i="24" s="1"/>
  <c r="O33" i="24" s="1"/>
  <c r="E21" i="24"/>
  <c r="C27" i="24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C28" i="24" l="1"/>
  <c r="E13" i="24"/>
  <c r="E27" i="24"/>
  <c r="I105" i="11"/>
  <c r="AF105" i="11"/>
  <c r="H258" i="21"/>
  <c r="H106" i="11"/>
  <c r="I112" i="10"/>
  <c r="AF112" i="10"/>
  <c r="H217" i="21"/>
  <c r="H113" i="10"/>
  <c r="AG105" i="11"/>
  <c r="M122" i="24"/>
  <c r="W56" i="24"/>
  <c r="L7" i="24" s="1"/>
  <c r="M7" i="24" s="1"/>
  <c r="W116" i="24"/>
  <c r="L9" i="24" s="1"/>
  <c r="M9" i="24" s="1"/>
  <c r="W29" i="24"/>
  <c r="L6" i="24" s="1"/>
  <c r="M6" i="24" s="1"/>
  <c r="W176" i="24"/>
  <c r="L11" i="24" s="1"/>
  <c r="M11" i="24" s="1"/>
  <c r="W146" i="24"/>
  <c r="L10" i="24" s="1"/>
  <c r="M10" i="24" s="1"/>
  <c r="W86" i="24"/>
  <c r="L8" i="24" s="1"/>
  <c r="M8" i="24" s="1"/>
  <c r="W3" i="24"/>
  <c r="L5" i="24" s="1"/>
  <c r="M5" i="24" s="1"/>
  <c r="N88" i="24"/>
  <c r="O88" i="24" s="1"/>
  <c r="N81" i="24"/>
  <c r="O81" i="24" s="1"/>
  <c r="N76" i="24"/>
  <c r="O76" i="24" s="1"/>
  <c r="N71" i="24"/>
  <c r="O71" i="24" s="1"/>
  <c r="N65" i="24"/>
  <c r="O65" i="24" s="1"/>
  <c r="N84" i="24"/>
  <c r="O84" i="24" s="1"/>
  <c r="N95" i="24"/>
  <c r="O95" i="24" s="1"/>
  <c r="N79" i="24"/>
  <c r="O79" i="24" s="1"/>
  <c r="N101" i="24"/>
  <c r="O101" i="24" s="1"/>
  <c r="N68" i="24"/>
  <c r="O68" i="24" s="1"/>
  <c r="N100" i="24"/>
  <c r="O100" i="24" s="1"/>
  <c r="N103" i="24"/>
  <c r="O103" i="24" s="1"/>
  <c r="N94" i="24"/>
  <c r="O94" i="24" s="1"/>
  <c r="N87" i="24"/>
  <c r="O87" i="24" s="1"/>
  <c r="N66" i="24"/>
  <c r="O66" i="24" s="1"/>
  <c r="N105" i="24"/>
  <c r="O105" i="24" s="1"/>
  <c r="N64" i="24"/>
  <c r="O64" i="24" s="1"/>
  <c r="N74" i="24"/>
  <c r="O74" i="24" s="1"/>
  <c r="N99" i="24"/>
  <c r="O99" i="24" s="1"/>
  <c r="N86" i="24"/>
  <c r="O86" i="24" s="1"/>
  <c r="N78" i="24"/>
  <c r="O78" i="24" s="1"/>
  <c r="N70" i="24"/>
  <c r="O70" i="24" s="1"/>
  <c r="N91" i="24"/>
  <c r="O91" i="24" s="1"/>
  <c r="L19" i="24"/>
  <c r="M19" i="24" s="1"/>
  <c r="N63" i="24"/>
  <c r="O63" i="24" s="1"/>
  <c r="N102" i="24"/>
  <c r="O102" i="24" s="1"/>
  <c r="N80" i="24"/>
  <c r="O80" i="24" s="1"/>
  <c r="N93" i="24"/>
  <c r="O93" i="24" s="1"/>
  <c r="N73" i="24"/>
  <c r="O73" i="24" s="1"/>
  <c r="N75" i="24"/>
  <c r="O75" i="24" s="1"/>
  <c r="L25" i="24"/>
  <c r="M25" i="24" s="1"/>
  <c r="N72" i="24"/>
  <c r="O72" i="24" s="1"/>
  <c r="N97" i="24"/>
  <c r="O97" i="24" s="1"/>
  <c r="L24" i="24"/>
  <c r="M24" i="24" s="1"/>
  <c r="N90" i="24"/>
  <c r="O90" i="24" s="1"/>
  <c r="N92" i="24"/>
  <c r="O92" i="24" s="1"/>
  <c r="N96" i="24"/>
  <c r="O96" i="24" s="1"/>
  <c r="L22" i="24"/>
  <c r="M22" i="24" s="1"/>
  <c r="N67" i="24"/>
  <c r="O67" i="24" s="1"/>
  <c r="N89" i="24"/>
  <c r="O89" i="24" s="1"/>
  <c r="L23" i="24"/>
  <c r="M23" i="24" s="1"/>
  <c r="N83" i="24"/>
  <c r="O83" i="24" s="1"/>
  <c r="N85" i="24"/>
  <c r="O85" i="24" s="1"/>
  <c r="N69" i="24"/>
  <c r="O69" i="24" s="1"/>
  <c r="N82" i="24"/>
  <c r="O82" i="24" s="1"/>
  <c r="N104" i="24"/>
  <c r="O104" i="24" s="1"/>
  <c r="N77" i="24"/>
  <c r="O77" i="24" s="1"/>
  <c r="W152" i="24"/>
  <c r="J21" i="24"/>
  <c r="K21" i="24" s="1"/>
  <c r="W57" i="24" s="1"/>
  <c r="N35" i="24" s="1"/>
  <c r="O35" i="24" s="1"/>
  <c r="O40" i="24" s="1"/>
  <c r="AG111" i="10"/>
  <c r="AF113" i="10"/>
  <c r="U113" i="10"/>
  <c r="R106" i="11"/>
  <c r="U106" i="11" s="1"/>
  <c r="AD105" i="11"/>
  <c r="H218" i="20"/>
  <c r="T115" i="10" s="1"/>
  <c r="U111" i="12"/>
  <c r="H302" i="20"/>
  <c r="T114" i="12" s="1"/>
  <c r="I113" i="10" l="1"/>
  <c r="H218" i="21"/>
  <c r="H114" i="10"/>
  <c r="AG112" i="10"/>
  <c r="I106" i="11"/>
  <c r="AG106" i="11" s="1"/>
  <c r="AF106" i="11"/>
  <c r="H252" i="21"/>
  <c r="H107" i="11"/>
  <c r="I107" i="11" s="1"/>
  <c r="M12" i="24"/>
  <c r="L21" i="24"/>
  <c r="M21" i="24" s="1"/>
  <c r="M26" i="24" s="1"/>
  <c r="N98" i="24"/>
  <c r="O98" i="24" s="1"/>
  <c r="O106" i="24" s="1"/>
  <c r="H295" i="20"/>
  <c r="T107" i="12" s="1"/>
  <c r="AF114" i="10"/>
  <c r="U114" i="10"/>
  <c r="AF112" i="12"/>
  <c r="U112" i="12"/>
  <c r="AG113" i="10"/>
  <c r="H211" i="20"/>
  <c r="T108" i="10" s="1"/>
  <c r="T116" i="10" s="1"/>
  <c r="T119" i="10" s="1"/>
  <c r="H258" i="20"/>
  <c r="T107" i="11" s="1"/>
  <c r="AD106" i="11"/>
  <c r="T115" i="12" l="1"/>
  <c r="T118" i="12" s="1"/>
  <c r="I114" i="10"/>
  <c r="H296" i="21"/>
  <c r="H101" i="11"/>
  <c r="H211" i="21"/>
  <c r="H108" i="10" s="1"/>
  <c r="H115" i="10"/>
  <c r="T108" i="11"/>
  <c r="U107" i="11"/>
  <c r="AG112" i="12"/>
  <c r="AG114" i="10"/>
  <c r="AF115" i="10"/>
  <c r="U115" i="10"/>
  <c r="U114" i="12"/>
  <c r="AF108" i="10"/>
  <c r="T125" i="10"/>
  <c r="U108" i="10"/>
  <c r="U107" i="12"/>
  <c r="I115" i="10" l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G115" i="10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U121" i="11"/>
  <c r="U118" i="11"/>
  <c r="U122" i="11"/>
  <c r="U111" i="11"/>
  <c r="U124" i="11"/>
  <c r="U119" i="11"/>
  <c r="U117" i="11"/>
  <c r="U120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I111" i="11" l="1"/>
  <c r="I118" i="11"/>
  <c r="I119" i="11"/>
  <c r="AG119" i="11" s="1"/>
  <c r="I124" i="11"/>
  <c r="AG124" i="11" s="1"/>
  <c r="I120" i="11"/>
  <c r="AG120" i="11" s="1"/>
  <c r="I121" i="11"/>
  <c r="AG121" i="11" s="1"/>
  <c r="I123" i="11"/>
  <c r="AG123" i="11" s="1"/>
  <c r="I122" i="11"/>
  <c r="H299" i="21"/>
  <c r="H110" i="12"/>
  <c r="AG122" i="11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7" i="11"/>
  <c r="AG118" i="11"/>
  <c r="AG116" i="10"/>
  <c r="AG108" i="11"/>
  <c r="AG108" i="12"/>
  <c r="I109" i="12"/>
  <c r="AF109" i="12"/>
  <c r="AG111" i="11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H302" i="21" l="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H131" i="12"/>
  <c r="AF131" i="12" s="1"/>
  <c r="I114" i="12"/>
  <c r="AF114" i="12"/>
  <c r="H124" i="12" l="1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</calcChain>
</file>

<file path=xl/sharedStrings.xml><?xml version="1.0" encoding="utf-8"?>
<sst xmlns="http://schemas.openxmlformats.org/spreadsheetml/2006/main" count="26360" uniqueCount="10893">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</sst>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3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0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8" fillId="6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2" fillId="0" borderId="0"/>
    <xf numFmtId="0" fontId="30" fillId="0" borderId="0" applyNumberFormat="0" applyFill="0" applyBorder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36" fillId="20" borderId="0" applyNumberFormat="0" applyBorder="0" applyAlignment="0" applyProtection="0"/>
    <xf numFmtId="0" fontId="37" fillId="21" borderId="17" applyNumberFormat="0" applyAlignment="0" applyProtection="0"/>
    <xf numFmtId="0" fontId="38" fillId="22" borderId="18" applyNumberFormat="0" applyAlignment="0" applyProtection="0"/>
    <xf numFmtId="0" fontId="39" fillId="22" borderId="17" applyNumberFormat="0" applyAlignment="0" applyProtection="0"/>
    <xf numFmtId="0" fontId="40" fillId="0" borderId="19" applyNumberFormat="0" applyFill="0" applyAlignment="0" applyProtection="0"/>
    <xf numFmtId="0" fontId="41" fillId="23" borderId="20" applyNumberFormat="0" applyAlignment="0" applyProtection="0"/>
    <xf numFmtId="0" fontId="42" fillId="0" borderId="0" applyNumberFormat="0" applyFill="0" applyBorder="0" applyAlignment="0" applyProtection="0"/>
    <xf numFmtId="0" fontId="2" fillId="24" borderId="21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4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45" fillId="48" borderId="0" applyNumberFormat="0" applyBorder="0" applyAlignment="0" applyProtection="0"/>
    <xf numFmtId="43" fontId="2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" fillId="0" borderId="0"/>
    <xf numFmtId="0" fontId="4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6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52" fillId="0" borderId="0" applyFont="0" applyFill="0" applyBorder="0" applyAlignment="0" applyProtection="0"/>
  </cellStyleXfs>
  <cellXfs count="226">
    <xf numFmtId="0" fontId="0" fillId="0" borderId="0" xfId="0"/>
    <xf numFmtId="0" fontId="0" fillId="0" borderId="10" xfId="0" applyBorder="1"/>
    <xf numFmtId="0" fontId="6" fillId="0" borderId="0" xfId="0" applyFont="1"/>
    <xf numFmtId="0" fontId="7" fillId="0" borderId="0" xfId="0" applyFont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11" xfId="0" applyFont="1" applyBorder="1" applyAlignment="1">
      <alignment horizontal="center"/>
    </xf>
    <xf numFmtId="3" fontId="7" fillId="0" borderId="0" xfId="0" applyNumberFormat="1" applyFont="1"/>
    <xf numFmtId="0" fontId="7" fillId="0" borderId="12" xfId="0" applyFont="1" applyBorder="1"/>
    <xf numFmtId="3" fontId="7" fillId="0" borderId="12" xfId="0" applyNumberFormat="1" applyFont="1" applyBorder="1"/>
    <xf numFmtId="0" fontId="7" fillId="0" borderId="13" xfId="0" applyFont="1" applyBorder="1"/>
    <xf numFmtId="3" fontId="7" fillId="0" borderId="13" xfId="0" applyNumberFormat="1" applyFont="1" applyBorder="1"/>
    <xf numFmtId="164" fontId="7" fillId="0" borderId="0" xfId="0" applyNumberFormat="1" applyFont="1"/>
    <xf numFmtId="164" fontId="7" fillId="0" borderId="12" xfId="0" applyNumberFormat="1" applyFont="1" applyBorder="1"/>
    <xf numFmtId="164" fontId="7" fillId="0" borderId="13" xfId="0" applyNumberFormat="1" applyFont="1" applyBorder="1"/>
    <xf numFmtId="0" fontId="7" fillId="0" borderId="10" xfId="0" applyFont="1" applyBorder="1"/>
    <xf numFmtId="0" fontId="6" fillId="0" borderId="11" xfId="0" applyFont="1" applyBorder="1"/>
    <xf numFmtId="164" fontId="7" fillId="0" borderId="10" xfId="0" applyNumberFormat="1" applyFont="1" applyBorder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13" xfId="0" applyFont="1" applyBorder="1" applyAlignment="1">
      <alignment horizontal="left"/>
    </xf>
    <xf numFmtId="3" fontId="7" fillId="0" borderId="10" xfId="0" applyNumberFormat="1" applyFont="1" applyBorder="1"/>
    <xf numFmtId="0" fontId="7" fillId="0" borderId="12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7" fillId="0" borderId="0" xfId="0" applyFont="1" applyBorder="1"/>
    <xf numFmtId="10" fontId="7" fillId="0" borderId="0" xfId="0" applyNumberFormat="1" applyFont="1" applyBorder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right"/>
    </xf>
    <xf numFmtId="49" fontId="7" fillId="0" borderId="12" xfId="0" applyNumberFormat="1" applyFont="1" applyBorder="1" applyAlignment="1">
      <alignment horizontal="left"/>
    </xf>
    <xf numFmtId="164" fontId="7" fillId="0" borderId="12" xfId="0" applyNumberFormat="1" applyFont="1" applyBorder="1" applyAlignment="1">
      <alignment horizontal="right"/>
    </xf>
    <xf numFmtId="164" fontId="7" fillId="0" borderId="10" xfId="0" applyNumberFormat="1" applyFont="1" applyBorder="1" applyAlignment="1">
      <alignment horizontal="right"/>
    </xf>
    <xf numFmtId="0" fontId="6" fillId="0" borderId="12" xfId="0" applyFont="1" applyBorder="1" applyAlignment="1">
      <alignment horizontal="center"/>
    </xf>
    <xf numFmtId="3" fontId="7" fillId="0" borderId="0" xfId="0" applyNumberFormat="1" applyFont="1" applyBorder="1"/>
    <xf numFmtId="164" fontId="7" fillId="0" borderId="0" xfId="0" applyNumberFormat="1" applyFont="1" applyBorder="1"/>
    <xf numFmtId="0" fontId="25" fillId="0" borderId="0" xfId="0" applyFont="1"/>
    <xf numFmtId="10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/>
    <xf numFmtId="0" fontId="7" fillId="0" borderId="0" xfId="0" applyFont="1" applyFill="1"/>
    <xf numFmtId="0" fontId="6" fillId="0" borderId="10" xfId="0" applyFont="1" applyFill="1" applyBorder="1"/>
    <xf numFmtId="0" fontId="6" fillId="0" borderId="11" xfId="0" applyFont="1" applyFill="1" applyBorder="1" applyAlignment="1">
      <alignment horizontal="center"/>
    </xf>
    <xf numFmtId="164" fontId="7" fillId="0" borderId="0" xfId="0" applyNumberFormat="1" applyFont="1" applyFill="1"/>
    <xf numFmtId="164" fontId="7" fillId="0" borderId="12" xfId="0" applyNumberFormat="1" applyFont="1" applyFill="1" applyBorder="1"/>
    <xf numFmtId="164" fontId="7" fillId="0" borderId="10" xfId="0" applyNumberFormat="1" applyFont="1" applyFill="1" applyBorder="1"/>
    <xf numFmtId="10" fontId="7" fillId="0" borderId="0" xfId="0" applyNumberFormat="1" applyFont="1" applyFill="1" applyBorder="1"/>
    <xf numFmtId="0" fontId="6" fillId="0" borderId="0" xfId="0" applyFont="1" applyFill="1"/>
    <xf numFmtId="0" fontId="6" fillId="0" borderId="1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7" fillId="0" borderId="13" xfId="0" applyNumberFormat="1" applyFont="1" applyFill="1" applyBorder="1"/>
    <xf numFmtId="164" fontId="6" fillId="0" borderId="11" xfId="0" applyNumberFormat="1" applyFont="1" applyFill="1" applyBorder="1" applyAlignment="1">
      <alignment horizontal="center"/>
    </xf>
    <xf numFmtId="3" fontId="7" fillId="0" borderId="0" xfId="0" applyNumberFormat="1" applyFont="1" applyFill="1"/>
    <xf numFmtId="3" fontId="7" fillId="0" borderId="0" xfId="0" applyNumberFormat="1" applyFont="1" applyFill="1" applyBorder="1"/>
    <xf numFmtId="3" fontId="7" fillId="0" borderId="13" xfId="0" applyNumberFormat="1" applyFont="1" applyFill="1" applyBorder="1"/>
    <xf numFmtId="164" fontId="7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7" fillId="0" borderId="12" xfId="0" applyNumberFormat="1" applyFont="1" applyFill="1" applyBorder="1"/>
    <xf numFmtId="3" fontId="7" fillId="0" borderId="10" xfId="0" applyNumberFormat="1" applyFont="1" applyFill="1" applyBorder="1"/>
    <xf numFmtId="0" fontId="7" fillId="0" borderId="10" xfId="0" applyFont="1" applyFill="1" applyBorder="1"/>
    <xf numFmtId="0" fontId="3" fillId="0" borderId="0" xfId="0" applyFont="1"/>
    <xf numFmtId="0" fontId="26" fillId="0" borderId="12" xfId="0" applyFont="1" applyBorder="1" applyAlignment="1">
      <alignment horizontal="center"/>
    </xf>
    <xf numFmtId="0" fontId="3" fillId="0" borderId="0" xfId="0" applyFont="1" applyFill="1" applyBorder="1"/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7" fillId="0" borderId="0" xfId="0" applyFont="1"/>
    <xf numFmtId="3" fontId="27" fillId="0" borderId="0" xfId="0" applyNumberFormat="1" applyFont="1"/>
    <xf numFmtId="0" fontId="27" fillId="0" borderId="13" xfId="0" applyFont="1" applyBorder="1"/>
    <xf numFmtId="3" fontId="27" fillId="0" borderId="13" xfId="0" applyNumberFormat="1" applyFont="1" applyBorder="1"/>
    <xf numFmtId="9" fontId="27" fillId="0" borderId="0" xfId="0" applyNumberFormat="1" applyFont="1"/>
    <xf numFmtId="0" fontId="27" fillId="0" borderId="0" xfId="0" applyFont="1" applyBorder="1"/>
    <xf numFmtId="3" fontId="27" fillId="0" borderId="12" xfId="0" applyNumberFormat="1" applyFont="1" applyBorder="1"/>
    <xf numFmtId="9" fontId="27" fillId="0" borderId="12" xfId="0" applyNumberFormat="1" applyFont="1" applyBorder="1"/>
    <xf numFmtId="3" fontId="27" fillId="0" borderId="10" xfId="0" applyNumberFormat="1" applyFont="1" applyBorder="1"/>
    <xf numFmtId="9" fontId="27" fillId="0" borderId="10" xfId="0" applyNumberFormat="1" applyFont="1" applyBorder="1"/>
    <xf numFmtId="2" fontId="27" fillId="0" borderId="0" xfId="0" applyNumberFormat="1" applyFont="1"/>
    <xf numFmtId="2" fontId="27" fillId="0" borderId="12" xfId="0" applyNumberFormat="1" applyFont="1" applyBorder="1"/>
    <xf numFmtId="2" fontId="27" fillId="0" borderId="10" xfId="0" applyNumberFormat="1" applyFont="1" applyBorder="1"/>
    <xf numFmtId="0" fontId="27" fillId="0" borderId="12" xfId="0" applyFont="1" applyBorder="1"/>
    <xf numFmtId="9" fontId="27" fillId="0" borderId="13" xfId="0" applyNumberFormat="1" applyFont="1" applyBorder="1"/>
    <xf numFmtId="0" fontId="27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7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7" fillId="17" borderId="12" xfId="0" applyNumberFormat="1" applyFont="1" applyFill="1" applyBorder="1"/>
    <xf numFmtId="164" fontId="7" fillId="17" borderId="10" xfId="0" applyNumberFormat="1" applyFont="1" applyFill="1" applyBorder="1"/>
    <xf numFmtId="164" fontId="7" fillId="17" borderId="0" xfId="0" applyNumberFormat="1" applyFont="1" applyFill="1"/>
    <xf numFmtId="16" fontId="0" fillId="0" borderId="0" xfId="0" applyNumberFormat="1"/>
    <xf numFmtId="0" fontId="6" fillId="17" borderId="11" xfId="0" applyFont="1" applyFill="1" applyBorder="1" applyAlignment="1">
      <alignment horizontal="center"/>
    </xf>
    <xf numFmtId="17" fontId="0" fillId="0" borderId="0" xfId="0" applyNumberFormat="1"/>
    <xf numFmtId="167" fontId="7" fillId="0" borderId="0" xfId="0" applyNumberFormat="1" applyFont="1" applyBorder="1"/>
    <xf numFmtId="0" fontId="25" fillId="0" borderId="0" xfId="0" applyFont="1" applyBorder="1"/>
    <xf numFmtId="0" fontId="6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/>
    <xf numFmtId="165" fontId="7" fillId="0" borderId="0" xfId="0" applyNumberFormat="1" applyFont="1" applyBorder="1"/>
    <xf numFmtId="165" fontId="0" fillId="0" borderId="0" xfId="0" applyNumberFormat="1"/>
    <xf numFmtId="0" fontId="28" fillId="0" borderId="0" xfId="43" applyAlignment="1"/>
    <xf numFmtId="0" fontId="6" fillId="0" borderId="0" xfId="0" applyFont="1"/>
    <xf numFmtId="0" fontId="2" fillId="0" borderId="0" xfId="49"/>
    <xf numFmtId="0" fontId="2" fillId="0" borderId="0" xfId="49" applyAlignment="1">
      <alignment horizontal="center"/>
    </xf>
    <xf numFmtId="11" fontId="2" fillId="0" borderId="0" xfId="49" applyNumberFormat="1" applyAlignment="1">
      <alignment horizontal="center"/>
    </xf>
    <xf numFmtId="0" fontId="44" fillId="0" borderId="0" xfId="49" applyFont="1" applyAlignment="1">
      <alignment horizontal="center"/>
    </xf>
    <xf numFmtId="11" fontId="44" fillId="0" borderId="0" xfId="49" applyNumberFormat="1" applyFont="1" applyAlignment="1">
      <alignment horizontal="center"/>
    </xf>
    <xf numFmtId="0" fontId="44" fillId="0" borderId="0" xfId="49" applyFont="1" applyAlignment="1">
      <alignment horizontal="left"/>
    </xf>
    <xf numFmtId="11" fontId="2" fillId="49" borderId="0" xfId="49" applyNumberFormat="1" applyFill="1" applyAlignment="1">
      <alignment horizontal="center"/>
    </xf>
    <xf numFmtId="0" fontId="46" fillId="0" borderId="0" xfId="0" applyFont="1"/>
    <xf numFmtId="0" fontId="47" fillId="0" borderId="0" xfId="0" applyFont="1"/>
    <xf numFmtId="21" fontId="47" fillId="0" borderId="0" xfId="0" applyNumberFormat="1" applyFont="1"/>
    <xf numFmtId="11" fontId="47" fillId="0" borderId="0" xfId="0" applyNumberFormat="1" applyFont="1"/>
    <xf numFmtId="2" fontId="47" fillId="0" borderId="0" xfId="0" applyNumberFormat="1" applyFont="1"/>
    <xf numFmtId="0" fontId="48" fillId="0" borderId="0" xfId="0" applyFont="1"/>
    <xf numFmtId="0" fontId="48" fillId="0" borderId="12" xfId="0" applyFont="1" applyBorder="1"/>
    <xf numFmtId="0" fontId="47" fillId="0" borderId="12" xfId="0" applyFont="1" applyBorder="1"/>
    <xf numFmtId="2" fontId="47" fillId="0" borderId="12" xfId="0" applyNumberFormat="1" applyFont="1" applyBorder="1"/>
    <xf numFmtId="0" fontId="47" fillId="0" borderId="0" xfId="0" applyFont="1" applyBorder="1"/>
    <xf numFmtId="0" fontId="47" fillId="0" borderId="10" xfId="0" applyFont="1" applyBorder="1"/>
    <xf numFmtId="3" fontId="47" fillId="0" borderId="0" xfId="0" applyNumberFormat="1" applyFont="1"/>
    <xf numFmtId="17" fontId="47" fillId="0" borderId="0" xfId="0" applyNumberFormat="1" applyFont="1"/>
    <xf numFmtId="16" fontId="47" fillId="0" borderId="0" xfId="0" applyNumberFormat="1" applyFont="1"/>
    <xf numFmtId="0" fontId="49" fillId="0" borderId="0" xfId="0" applyFont="1"/>
    <xf numFmtId="167" fontId="47" fillId="0" borderId="0" xfId="0" applyNumberFormat="1" applyFont="1"/>
    <xf numFmtId="0" fontId="48" fillId="0" borderId="0" xfId="0" applyFont="1" applyBorder="1"/>
    <xf numFmtId="1" fontId="47" fillId="0" borderId="0" xfId="0" quotePrefix="1" applyNumberFormat="1" applyFont="1" applyBorder="1" applyAlignment="1">
      <alignment horizontal="right"/>
    </xf>
    <xf numFmtId="167" fontId="47" fillId="0" borderId="10" xfId="0" applyNumberFormat="1" applyFont="1" applyBorder="1"/>
    <xf numFmtId="0" fontId="47" fillId="0" borderId="0" xfId="0" applyNumberFormat="1" applyFont="1"/>
    <xf numFmtId="0" fontId="47" fillId="0" borderId="10" xfId="0" applyNumberFormat="1" applyFont="1" applyBorder="1"/>
    <xf numFmtId="169" fontId="47" fillId="0" borderId="0" xfId="0" applyNumberFormat="1" applyFont="1"/>
    <xf numFmtId="169" fontId="47" fillId="0" borderId="10" xfId="0" applyNumberFormat="1" applyFont="1" applyBorder="1"/>
    <xf numFmtId="0" fontId="47" fillId="51" borderId="0" xfId="0" applyFont="1" applyFill="1"/>
    <xf numFmtId="167" fontId="47" fillId="51" borderId="0" xfId="0" applyNumberFormat="1" applyFont="1" applyFill="1"/>
    <xf numFmtId="3" fontId="47" fillId="0" borderId="10" xfId="0" applyNumberFormat="1" applyFont="1" applyBorder="1"/>
    <xf numFmtId="2" fontId="47" fillId="0" borderId="10" xfId="0" applyNumberFormat="1" applyFont="1" applyBorder="1"/>
    <xf numFmtId="3" fontId="47" fillId="0" borderId="12" xfId="0" applyNumberFormat="1" applyFont="1" applyBorder="1"/>
    <xf numFmtId="1" fontId="47" fillId="0" borderId="12" xfId="0" quotePrefix="1" applyNumberFormat="1" applyFont="1" applyBorder="1" applyAlignment="1">
      <alignment horizontal="right"/>
    </xf>
    <xf numFmtId="0" fontId="48" fillId="0" borderId="10" xfId="0" applyFont="1" applyBorder="1"/>
    <xf numFmtId="170" fontId="7" fillId="0" borderId="0" xfId="0" applyNumberFormat="1" applyFont="1"/>
    <xf numFmtId="170" fontId="7" fillId="0" borderId="10" xfId="0" applyNumberFormat="1" applyFont="1" applyBorder="1"/>
    <xf numFmtId="0" fontId="47" fillId="52" borderId="0" xfId="0" applyFont="1" applyFill="1"/>
    <xf numFmtId="0" fontId="6" fillId="0" borderId="0" xfId="0" applyFont="1"/>
    <xf numFmtId="0" fontId="6" fillId="0" borderId="0" xfId="0" applyNumberFormat="1" applyFont="1" applyFill="1" applyBorder="1"/>
    <xf numFmtId="0" fontId="7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47" fillId="0" borderId="0" xfId="0" applyNumberFormat="1" applyFont="1" applyFill="1" applyBorder="1"/>
    <xf numFmtId="0" fontId="6" fillId="0" borderId="12" xfId="0" applyFont="1" applyBorder="1"/>
    <xf numFmtId="2" fontId="7" fillId="0" borderId="0" xfId="0" applyNumberFormat="1" applyFont="1"/>
    <xf numFmtId="171" fontId="7" fillId="0" borderId="0" xfId="0" applyNumberFormat="1" applyFont="1"/>
    <xf numFmtId="2" fontId="7" fillId="0" borderId="10" xfId="0" applyNumberFormat="1" applyFont="1" applyBorder="1"/>
    <xf numFmtId="172" fontId="47" fillId="0" borderId="0" xfId="0" applyNumberFormat="1" applyFont="1" applyFill="1"/>
    <xf numFmtId="167" fontId="47" fillId="0" borderId="0" xfId="0" applyNumberFormat="1" applyFont="1" applyFill="1"/>
    <xf numFmtId="172" fontId="47" fillId="51" borderId="0" xfId="0" applyNumberFormat="1" applyFont="1" applyFill="1"/>
    <xf numFmtId="0" fontId="26" fillId="0" borderId="0" xfId="0" applyFont="1" applyBorder="1" applyAlignment="1">
      <alignment horizontal="center"/>
    </xf>
    <xf numFmtId="14" fontId="47" fillId="0" borderId="0" xfId="0" applyNumberFormat="1" applyFont="1"/>
    <xf numFmtId="0" fontId="3" fillId="0" borderId="11" xfId="0" applyFont="1" applyBorder="1" applyAlignment="1">
      <alignment horizontal="right"/>
    </xf>
    <xf numFmtId="0" fontId="6" fillId="0" borderId="0" xfId="0" applyFont="1"/>
    <xf numFmtId="0" fontId="47" fillId="0" borderId="0" xfId="0" applyFont="1" applyFill="1"/>
    <xf numFmtId="0" fontId="47" fillId="49" borderId="0" xfId="0" applyFont="1" applyFill="1"/>
    <xf numFmtId="0" fontId="48" fillId="0" borderId="12" xfId="0" applyFont="1" applyBorder="1" applyAlignment="1">
      <alignment horizontal="right"/>
    </xf>
    <xf numFmtId="3" fontId="7" fillId="0" borderId="0" xfId="94" applyNumberFormat="1" applyFont="1" applyBorder="1"/>
    <xf numFmtId="0" fontId="48" fillId="51" borderId="12" xfId="0" applyFont="1" applyFill="1" applyBorder="1" applyAlignment="1">
      <alignment horizontal="right"/>
    </xf>
    <xf numFmtId="0" fontId="47" fillId="54" borderId="0" xfId="0" applyFont="1" applyFill="1"/>
    <xf numFmtId="167" fontId="47" fillId="51" borderId="10" xfId="0" applyNumberFormat="1" applyFont="1" applyFill="1" applyBorder="1"/>
    <xf numFmtId="3" fontId="7" fillId="0" borderId="10" xfId="94" applyNumberFormat="1" applyFont="1" applyBorder="1"/>
    <xf numFmtId="0" fontId="47" fillId="54" borderId="10" xfId="0" applyFont="1" applyFill="1" applyBorder="1"/>
    <xf numFmtId="0" fontId="48" fillId="54" borderId="12" xfId="0" applyFont="1" applyFill="1" applyBorder="1" applyAlignment="1">
      <alignment horizontal="right"/>
    </xf>
    <xf numFmtId="0" fontId="48" fillId="0" borderId="0" xfId="0" applyFont="1" applyAlignment="1">
      <alignment horizontal="right"/>
    </xf>
    <xf numFmtId="0" fontId="47" fillId="54" borderId="0" xfId="0" applyFont="1" applyFill="1" applyBorder="1"/>
    <xf numFmtId="0" fontId="48" fillId="54" borderId="11" xfId="0" applyFont="1" applyFill="1" applyBorder="1" applyAlignment="1">
      <alignment horizontal="right"/>
    </xf>
    <xf numFmtId="0" fontId="7" fillId="49" borderId="0" xfId="0" applyFont="1" applyFill="1"/>
    <xf numFmtId="172" fontId="45" fillId="50" borderId="0" xfId="0" applyNumberFormat="1" applyFont="1" applyFill="1"/>
    <xf numFmtId="167" fontId="45" fillId="50" borderId="0" xfId="0" applyNumberFormat="1" applyFont="1" applyFill="1"/>
    <xf numFmtId="0" fontId="41" fillId="50" borderId="12" xfId="0" applyFont="1" applyFill="1" applyBorder="1"/>
    <xf numFmtId="0" fontId="41" fillId="50" borderId="12" xfId="0" applyFont="1" applyFill="1" applyBorder="1" applyAlignment="1">
      <alignment horizontal="right"/>
    </xf>
    <xf numFmtId="171" fontId="45" fillId="50" borderId="0" xfId="0" applyNumberFormat="1" applyFont="1" applyFill="1"/>
    <xf numFmtId="170" fontId="45" fillId="50" borderId="0" xfId="0" applyNumberFormat="1" applyFont="1" applyFill="1"/>
    <xf numFmtId="170" fontId="51" fillId="50" borderId="0" xfId="0" applyNumberFormat="1" applyFont="1" applyFill="1" applyBorder="1"/>
    <xf numFmtId="170" fontId="51" fillId="50" borderId="10" xfId="0" applyNumberFormat="1" applyFont="1" applyFill="1" applyBorder="1"/>
    <xf numFmtId="0" fontId="47" fillId="0" borderId="10" xfId="0" applyNumberFormat="1" applyFont="1" applyFill="1" applyBorder="1"/>
    <xf numFmtId="0" fontId="48" fillId="54" borderId="12" xfId="0" applyNumberFormat="1" applyFont="1" applyFill="1" applyBorder="1" applyAlignment="1">
      <alignment horizontal="right"/>
    </xf>
    <xf numFmtId="171" fontId="51" fillId="50" borderId="0" xfId="0" applyNumberFormat="1" applyFont="1" applyFill="1"/>
    <xf numFmtId="171" fontId="51" fillId="50" borderId="10" xfId="0" applyNumberFormat="1" applyFont="1" applyFill="1" applyBorder="1"/>
    <xf numFmtId="171" fontId="7" fillId="51" borderId="0" xfId="0" applyNumberFormat="1" applyFont="1" applyFill="1"/>
    <xf numFmtId="171" fontId="7" fillId="51" borderId="10" xfId="0" applyNumberFormat="1" applyFont="1" applyFill="1" applyBorder="1"/>
    <xf numFmtId="171" fontId="47" fillId="54" borderId="0" xfId="0" applyNumberFormat="1" applyFont="1" applyFill="1"/>
    <xf numFmtId="171" fontId="47" fillId="54" borderId="10" xfId="0" applyNumberFormat="1" applyFont="1" applyFill="1" applyBorder="1"/>
    <xf numFmtId="171" fontId="47" fillId="54" borderId="0" xfId="0" applyNumberFormat="1" applyFont="1" applyFill="1" applyBorder="1"/>
    <xf numFmtId="173" fontId="45" fillId="50" borderId="0" xfId="0" applyNumberFormat="1" applyFont="1" applyFill="1"/>
    <xf numFmtId="173" fontId="45" fillId="50" borderId="10" xfId="0" applyNumberFormat="1" applyFont="1" applyFill="1" applyBorder="1"/>
    <xf numFmtId="173" fontId="47" fillId="54" borderId="0" xfId="0" applyNumberFormat="1" applyFont="1" applyFill="1"/>
    <xf numFmtId="173" fontId="47" fillId="54" borderId="10" xfId="0" applyNumberFormat="1" applyFont="1" applyFill="1" applyBorder="1"/>
    <xf numFmtId="0" fontId="46" fillId="53" borderId="23" xfId="0" applyFont="1" applyFill="1" applyBorder="1"/>
    <xf numFmtId="0" fontId="47" fillId="53" borderId="24" xfId="0" applyFont="1" applyFill="1" applyBorder="1"/>
    <xf numFmtId="0" fontId="47" fillId="53" borderId="25" xfId="0" applyFont="1" applyFill="1" applyBorder="1"/>
    <xf numFmtId="0" fontId="47" fillId="53" borderId="26" xfId="0" applyFont="1" applyFill="1" applyBorder="1"/>
    <xf numFmtId="0" fontId="47" fillId="53" borderId="0" xfId="0" applyFont="1" applyFill="1" applyBorder="1"/>
    <xf numFmtId="0" fontId="47" fillId="53" borderId="27" xfId="0" applyFont="1" applyFill="1" applyBorder="1"/>
    <xf numFmtId="0" fontId="47" fillId="53" borderId="12" xfId="0" applyFont="1" applyFill="1" applyBorder="1"/>
    <xf numFmtId="0" fontId="47" fillId="53" borderId="29" xfId="0" applyFont="1" applyFill="1" applyBorder="1"/>
    <xf numFmtId="0" fontId="48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7" fillId="53" borderId="28" xfId="0" applyFont="1" applyFill="1" applyBorder="1"/>
    <xf numFmtId="3" fontId="7" fillId="0" borderId="0" xfId="0" quotePrefix="1" applyNumberFormat="1" applyFont="1" applyAlignment="1">
      <alignment horizontal="right"/>
    </xf>
    <xf numFmtId="2" fontId="27" fillId="0" borderId="13" xfId="0" applyNumberFormat="1" applyFont="1" applyBorder="1"/>
    <xf numFmtId="0" fontId="4" fillId="0" borderId="0" xfId="0" applyFont="1" applyBorder="1"/>
    <xf numFmtId="3" fontId="27" fillId="0" borderId="0" xfId="0" applyNumberFormat="1" applyFont="1" applyBorder="1"/>
    <xf numFmtId="9" fontId="0" fillId="0" borderId="0" xfId="92" applyFont="1" applyBorder="1"/>
    <xf numFmtId="9" fontId="27" fillId="0" borderId="0" xfId="0" applyNumberFormat="1" applyFont="1" applyBorder="1"/>
    <xf numFmtId="9" fontId="27" fillId="0" borderId="0" xfId="92" applyFont="1"/>
    <xf numFmtId="164" fontId="27" fillId="0" borderId="0" xfId="92" applyNumberFormat="1" applyFont="1"/>
    <xf numFmtId="174" fontId="47" fillId="0" borderId="0" xfId="159" applyNumberFormat="1" applyFont="1" applyBorder="1"/>
    <xf numFmtId="174" fontId="0" fillId="0" borderId="0" xfId="159" applyNumberFormat="1" applyFont="1"/>
    <xf numFmtId="174" fontId="27" fillId="0" borderId="0" xfId="159" applyNumberFormat="1" applyFont="1"/>
    <xf numFmtId="3" fontId="47" fillId="0" borderId="13" xfId="0" applyNumberFormat="1" applyFont="1" applyBorder="1"/>
    <xf numFmtId="2" fontId="47" fillId="0" borderId="13" xfId="0" applyNumberFormat="1" applyFont="1" applyBorder="1"/>
    <xf numFmtId="174" fontId="47" fillId="0" borderId="0" xfId="159" applyNumberFormat="1" applyFont="1"/>
    <xf numFmtId="174" fontId="27" fillId="0" borderId="0" xfId="0" applyNumberFormat="1" applyFont="1"/>
    <xf numFmtId="0" fontId="6" fillId="0" borderId="0" xfId="0" applyFont="1"/>
  </cellXfs>
  <cellStyles count="160">
    <cellStyle name="20% - Accent1" xfId="1" builtinId="30" customBuiltin="1"/>
    <cellStyle name="20% - Accent1 2" xfId="68"/>
    <cellStyle name="20% - Accent1 2 2" xfId="145"/>
    <cellStyle name="20% - Accent1 3" xfId="95"/>
    <cellStyle name="20% - Accent2" xfId="2" builtinId="34" customBuiltin="1"/>
    <cellStyle name="20% - Accent2 2" xfId="72"/>
    <cellStyle name="20% - Accent2 2 2" xfId="147"/>
    <cellStyle name="20% - Accent2 3" xfId="96"/>
    <cellStyle name="20% - Accent3" xfId="3" builtinId="38" customBuiltin="1"/>
    <cellStyle name="20% - Accent3 2" xfId="76"/>
    <cellStyle name="20% - Accent3 2 2" xfId="149"/>
    <cellStyle name="20% - Accent3 3" xfId="97"/>
    <cellStyle name="20% - Accent4" xfId="4" builtinId="42" customBuiltin="1"/>
    <cellStyle name="20% - Accent4 2" xfId="80"/>
    <cellStyle name="20% - Accent4 2 2" xfId="151"/>
    <cellStyle name="20% - Accent4 3" xfId="98"/>
    <cellStyle name="20% - Accent5" xfId="5" builtinId="46" customBuiltin="1"/>
    <cellStyle name="20% - Accent5 2" xfId="84"/>
    <cellStyle name="20% - Accent5 2 2" xfId="153"/>
    <cellStyle name="20% - Accent5 3" xfId="99"/>
    <cellStyle name="20% - Accent6" xfId="6" builtinId="50" customBuiltin="1"/>
    <cellStyle name="20% - Accent6 2" xfId="88"/>
    <cellStyle name="20% - Accent6 2 2" xfId="155"/>
    <cellStyle name="20% - Accent6 3" xfId="100"/>
    <cellStyle name="40% - Accent1" xfId="7" builtinId="31" customBuiltin="1"/>
    <cellStyle name="40% - Accent1 2" xfId="69"/>
    <cellStyle name="40% - Accent1 2 2" xfId="146"/>
    <cellStyle name="40% - Accent1 3" xfId="101"/>
    <cellStyle name="40% - Accent2" xfId="8" builtinId="35" customBuiltin="1"/>
    <cellStyle name="40% - Accent2 2" xfId="73"/>
    <cellStyle name="40% - Accent2 2 2" xfId="148"/>
    <cellStyle name="40% - Accent2 3" xfId="102"/>
    <cellStyle name="40% - Accent3" xfId="9" builtinId="39" customBuiltin="1"/>
    <cellStyle name="40% - Accent3 2" xfId="77"/>
    <cellStyle name="40% - Accent3 2 2" xfId="150"/>
    <cellStyle name="40% - Accent3 3" xfId="103"/>
    <cellStyle name="40% - Accent4" xfId="10" builtinId="43" customBuiltin="1"/>
    <cellStyle name="40% - Accent4 2" xfId="81"/>
    <cellStyle name="40% - Accent4 2 2" xfId="152"/>
    <cellStyle name="40% - Accent4 3" xfId="104"/>
    <cellStyle name="40% - Accent5" xfId="11" builtinId="47" customBuiltin="1"/>
    <cellStyle name="40% - Accent5 2" xfId="85"/>
    <cellStyle name="40% - Accent5 2 2" xfId="154"/>
    <cellStyle name="40% - Accent5 3" xfId="105"/>
    <cellStyle name="40% - Accent6" xfId="12" builtinId="51" customBuiltin="1"/>
    <cellStyle name="40% - Accent6 2" xfId="89"/>
    <cellStyle name="40% - Accent6 2 2" xfId="156"/>
    <cellStyle name="40% - Accent6 3" xfId="106"/>
    <cellStyle name="60% - Accent1" xfId="13" builtinId="32" customBuiltin="1"/>
    <cellStyle name="60% - Accent1 2" xfId="70"/>
    <cellStyle name="60% - Accent1 3" xfId="107"/>
    <cellStyle name="60% - Accent2" xfId="14" builtinId="36" customBuiltin="1"/>
    <cellStyle name="60% - Accent2 2" xfId="74"/>
    <cellStyle name="60% - Accent2 3" xfId="108"/>
    <cellStyle name="60% - Accent3" xfId="15" builtinId="40" customBuiltin="1"/>
    <cellStyle name="60% - Accent3 2" xfId="78"/>
    <cellStyle name="60% - Accent3 3" xfId="109"/>
    <cellStyle name="60% - Accent4" xfId="16" builtinId="44" customBuiltin="1"/>
    <cellStyle name="60% - Accent4 2" xfId="82"/>
    <cellStyle name="60% - Accent4 3" xfId="110"/>
    <cellStyle name="60% - Accent5" xfId="17" builtinId="48" customBuiltin="1"/>
    <cellStyle name="60% - Accent5 2" xfId="86"/>
    <cellStyle name="60% - Accent5 3" xfId="111"/>
    <cellStyle name="60% - Accent6" xfId="18" builtinId="52" customBuiltin="1"/>
    <cellStyle name="60% - Accent6 2" xfId="90"/>
    <cellStyle name="60% - Accent6 3" xfId="112"/>
    <cellStyle name="Accent1" xfId="19" builtinId="29" customBuiltin="1"/>
    <cellStyle name="Accent1 2" xfId="67"/>
    <cellStyle name="Accent1 3" xfId="113"/>
    <cellStyle name="Accent2" xfId="20" builtinId="33" customBuiltin="1"/>
    <cellStyle name="Accent2 2" xfId="71"/>
    <cellStyle name="Accent2 3" xfId="114"/>
    <cellStyle name="Accent3" xfId="21" builtinId="37" customBuiltin="1"/>
    <cellStyle name="Accent3 2" xfId="75"/>
    <cellStyle name="Accent3 3" xfId="115"/>
    <cellStyle name="Accent4" xfId="22" builtinId="41" customBuiltin="1"/>
    <cellStyle name="Accent4 2" xfId="79"/>
    <cellStyle name="Accent4 3" xfId="116"/>
    <cellStyle name="Accent5" xfId="23" builtinId="45" customBuiltin="1"/>
    <cellStyle name="Accent5 2" xfId="83"/>
    <cellStyle name="Accent5 3" xfId="117"/>
    <cellStyle name="Accent6" xfId="24" builtinId="49" customBuiltin="1"/>
    <cellStyle name="Accent6 2" xfId="87"/>
    <cellStyle name="Accent6 3" xfId="118"/>
    <cellStyle name="Bad" xfId="25" builtinId="27" customBuiltin="1"/>
    <cellStyle name="Bad 2" xfId="56"/>
    <cellStyle name="Bad 3" xfId="119"/>
    <cellStyle name="Calculation" xfId="26" builtinId="22" customBuiltin="1"/>
    <cellStyle name="Calculation 2" xfId="60"/>
    <cellStyle name="Calculation 3" xfId="120"/>
    <cellStyle name="Check Cell" xfId="27" builtinId="23" customBuiltin="1"/>
    <cellStyle name="Check Cell 2" xfId="62"/>
    <cellStyle name="Check Cell 3" xfId="121"/>
    <cellStyle name="Comma" xfId="159" builtinId="3"/>
    <cellStyle name="Comma 2" xfId="91"/>
    <cellStyle name="Comma 2 2" xfId="157"/>
    <cellStyle name="Explanatory Text" xfId="28" builtinId="53" customBuiltin="1"/>
    <cellStyle name="Explanatory Text 2" xfId="65"/>
    <cellStyle name="Explanatory Text 3" xfId="122"/>
    <cellStyle name="Good" xfId="29" builtinId="26" customBuiltin="1"/>
    <cellStyle name="Good 2" xfId="55"/>
    <cellStyle name="Good 3" xfId="123"/>
    <cellStyle name="Heading 1" xfId="30" builtinId="16" customBuiltin="1"/>
    <cellStyle name="Heading 1 2" xfId="51"/>
    <cellStyle name="Heading 1 3" xfId="124"/>
    <cellStyle name="Heading 2" xfId="31" builtinId="17" customBuiltin="1"/>
    <cellStyle name="Heading 2 2" xfId="52"/>
    <cellStyle name="Heading 2 3" xfId="125"/>
    <cellStyle name="Heading 3" xfId="32" builtinId="18" customBuiltin="1"/>
    <cellStyle name="Heading 3 2" xfId="53"/>
    <cellStyle name="Heading 3 3" xfId="126"/>
    <cellStyle name="Heading 4" xfId="33" builtinId="19" customBuiltin="1"/>
    <cellStyle name="Heading 4 2" xfId="54"/>
    <cellStyle name="Heading 4 3" xfId="127"/>
    <cellStyle name="Input" xfId="34" builtinId="20" customBuiltin="1"/>
    <cellStyle name="Input 2" xfId="58"/>
    <cellStyle name="Input 3" xfId="128"/>
    <cellStyle name="Linked Cell" xfId="35" builtinId="24" customBuiltin="1"/>
    <cellStyle name="Linked Cell 2" xfId="61"/>
    <cellStyle name="Linked Cell 3" xfId="129"/>
    <cellStyle name="Neutral" xfId="36" builtinId="28" customBuiltin="1"/>
    <cellStyle name="Neutral 2" xfId="57"/>
    <cellStyle name="Neutral 3" xfId="130"/>
    <cellStyle name="Normal" xfId="0" builtinId="0"/>
    <cellStyle name="Normal 2" xfId="49"/>
    <cellStyle name="Normal 2 2" xfId="143"/>
    <cellStyle name="Normal 3" xfId="94"/>
    <cellStyle name="Normal 4" xfId="93"/>
    <cellStyle name="Note" xfId="37" builtinId="10" customBuiltin="1"/>
    <cellStyle name="Note 2" xfId="64"/>
    <cellStyle name="Note 2 2" xfId="144"/>
    <cellStyle name="Note 3" xfId="131"/>
    <cellStyle name="Output" xfId="38" builtinId="21" customBuiltin="1"/>
    <cellStyle name="Output 2" xfId="59"/>
    <cellStyle name="Output 3" xfId="132"/>
    <cellStyle name="Percent" xfId="92" builtinId="5"/>
    <cellStyle name="Percent 2" xfId="158"/>
    <cellStyle name="Title" xfId="39" builtinId="15" customBuiltin="1"/>
    <cellStyle name="Title 2" xfId="50"/>
    <cellStyle name="Title 3" xfId="133"/>
    <cellStyle name="Total" xfId="40" builtinId="25" customBuiltin="1"/>
    <cellStyle name="Total 2" xfId="66"/>
    <cellStyle name="Total 3" xfId="134"/>
    <cellStyle name="Warning Text" xfId="41" builtinId="11" customBuiltin="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6"/>
  <sheetViews>
    <sheetView tabSelected="1" topLeftCell="A16" zoomScale="85" zoomScaleNormal="85" workbookViewId="0">
      <selection activeCell="F42" sqref="F42"/>
    </sheetView>
  </sheetViews>
  <sheetFormatPr defaultColWidth="10.75" defaultRowHeight="12.75" x14ac:dyDescent="0.2"/>
  <cols>
    <col min="1" max="1" width="17.75" style="65" customWidth="1" collapsed="1"/>
    <col min="2" max="5" width="12.625" style="65" customWidth="1" collapsed="1"/>
    <col min="6" max="6" width="4.875" style="65" customWidth="1" collapsed="1"/>
    <col min="7" max="13" width="10.75" style="65" collapsed="1"/>
    <col min="14" max="14" width="14.625" style="65" bestFit="1" customWidth="1" collapsed="1"/>
    <col min="15" max="15" width="13.625" style="65" bestFit="1" customWidth="1" collapsed="1"/>
    <col min="16" max="16384" width="10.75" style="65" collapsed="1"/>
  </cols>
  <sheetData>
    <row r="1" spans="1:11" ht="18" customHeight="1" x14ac:dyDescent="0.2">
      <c r="A1" s="62" t="s">
        <v>185</v>
      </c>
    </row>
    <row r="2" spans="1:11" ht="18" customHeight="1" thickBot="1" x14ac:dyDescent="0.25">
      <c r="B2" s="66"/>
      <c r="C2" s="66"/>
      <c r="D2"/>
      <c r="E2" s="68"/>
      <c r="F2" s="68"/>
      <c r="G2" s="68"/>
    </row>
    <row r="3" spans="1:11" s="68" customFormat="1" ht="18" customHeight="1" x14ac:dyDescent="0.2">
      <c r="A3" s="67" t="s">
        <v>217</v>
      </c>
      <c r="B3" s="63" t="s">
        <v>260</v>
      </c>
      <c r="C3" s="63" t="s">
        <v>261</v>
      </c>
      <c r="D3"/>
    </row>
    <row r="4" spans="1:11" s="68" customFormat="1" ht="18" customHeight="1" x14ac:dyDescent="0.2">
      <c r="A4" s="65" t="s">
        <v>10861</v>
      </c>
      <c r="B4" s="84">
        <f>SUM(ToursByTourPurpose!B118)</f>
        <v>151396.64790000001</v>
      </c>
      <c r="C4" s="84">
        <f>SUM(ToursByTourPurpose!N118)</f>
        <v>152941.5</v>
      </c>
      <c r="D4"/>
    </row>
    <row r="5" spans="1:11" s="68" customFormat="1" ht="18" customHeight="1" x14ac:dyDescent="0.2">
      <c r="A5" t="s">
        <v>10862</v>
      </c>
      <c r="B5" s="84">
        <f>SUM(ToursByTourPurpose!C118)</f>
        <v>8845.8525000000009</v>
      </c>
      <c r="C5" s="84">
        <f>ToursByTourPurpose!O118</f>
        <v>9701</v>
      </c>
      <c r="D5"/>
    </row>
    <row r="6" spans="1:11" s="68" customFormat="1" ht="18" customHeight="1" x14ac:dyDescent="0.2">
      <c r="A6" t="s">
        <v>10863</v>
      </c>
      <c r="B6" s="84">
        <f>SUM(ToursByTourPurpose!D118)</f>
        <v>131529.91500000001</v>
      </c>
      <c r="C6" s="84">
        <f>ToursByTourPurpose!P118</f>
        <v>135841.5</v>
      </c>
      <c r="D6"/>
    </row>
    <row r="7" spans="1:11" s="68" customFormat="1" ht="18" customHeight="1" x14ac:dyDescent="0.2">
      <c r="A7" t="s">
        <v>10864</v>
      </c>
      <c r="B7" s="84">
        <f>SUM(ToursByTourPurpose!E118)</f>
        <v>123832.13039999999</v>
      </c>
      <c r="C7" s="84">
        <f>ToursByTourPurpose!Q118</f>
        <v>108932</v>
      </c>
      <c r="D7"/>
    </row>
    <row r="8" spans="1:11" s="68" customFormat="1" ht="18" customHeight="1" x14ac:dyDescent="0.2">
      <c r="A8" t="s">
        <v>1688</v>
      </c>
      <c r="B8" s="84">
        <f>SUM(ToursByTourPurpose!F118)</f>
        <v>636827.67330000002</v>
      </c>
      <c r="C8" s="84">
        <f>ToursByTourPurpose!R118</f>
        <v>623275.53186630248</v>
      </c>
      <c r="D8"/>
    </row>
    <row r="9" spans="1:11" s="68" customFormat="1" ht="18" customHeight="1" x14ac:dyDescent="0.2">
      <c r="A9" t="s">
        <v>10865</v>
      </c>
      <c r="B9" s="84">
        <f>SUM(ToursByTourPurpose!G118)</f>
        <v>54534.662199999999</v>
      </c>
      <c r="C9" s="84">
        <f>ToursByTourPurpose!S118</f>
        <v>54870.858576608582</v>
      </c>
      <c r="D9"/>
    </row>
    <row r="10" spans="1:11" s="68" customFormat="1" ht="18" customHeight="1" x14ac:dyDescent="0.2">
      <c r="A10" t="s">
        <v>10866</v>
      </c>
      <c r="B10" s="84">
        <f>SUM(ToursByTourPurpose!H118)</f>
        <v>2601551.0852999999</v>
      </c>
      <c r="C10" s="84">
        <f>ToursByTourPurpose!T118</f>
        <v>2656912.4280209807</v>
      </c>
      <c r="D10"/>
    </row>
    <row r="11" spans="1:11" s="68" customFormat="1" ht="18" customHeight="1" thickBot="1" x14ac:dyDescent="0.25">
      <c r="A11" s="85" t="s">
        <v>221</v>
      </c>
      <c r="B11" s="86">
        <f>SUM(B4:B10)</f>
        <v>3708517.9665999999</v>
      </c>
      <c r="C11" s="86">
        <f>SUM(C4:C10)</f>
        <v>3742474.8184638917</v>
      </c>
      <c r="D11"/>
    </row>
    <row r="12" spans="1:11" s="68" customFormat="1" ht="18" customHeight="1" x14ac:dyDescent="0.2"/>
    <row r="13" spans="1:11" s="68" customFormat="1" ht="18" customHeight="1" x14ac:dyDescent="0.2"/>
    <row r="14" spans="1:11" s="68" customFormat="1" ht="18" customHeight="1" x14ac:dyDescent="0.2">
      <c r="I14" s="159"/>
    </row>
    <row r="15" spans="1:11" ht="18" customHeight="1" x14ac:dyDescent="0.2">
      <c r="A15" s="62" t="s">
        <v>291</v>
      </c>
    </row>
    <row r="16" spans="1:11" ht="18" customHeight="1" thickBot="1" x14ac:dyDescent="0.25">
      <c r="B16" s="66"/>
      <c r="C16" s="66"/>
      <c r="D16" s="66"/>
      <c r="E16" s="66"/>
      <c r="G16" s="212"/>
      <c r="H16" s="212"/>
      <c r="I16" s="68"/>
      <c r="J16" s="212"/>
      <c r="K16" s="212"/>
    </row>
    <row r="17" spans="1:11" s="68" customFormat="1" ht="18" customHeight="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r="18" spans="1:11" s="68" customFormat="1" ht="18" customHeight="1" x14ac:dyDescent="0.2">
      <c r="A18" s="68" t="s">
        <v>146</v>
      </c>
      <c r="B18" s="69">
        <f>ToursByTourPurpose!B15</f>
        <v>1412589.7424000001</v>
      </c>
      <c r="C18" s="69">
        <f>ToursByTourPurpose!N15</f>
        <v>1410222.3792541239</v>
      </c>
      <c r="D18" s="69">
        <f t="shared" ref="D18:D26" si="0">C18-B18</f>
        <v>-2367.3631458762102</v>
      </c>
      <c r="E18" s="72">
        <f>D18/B18</f>
        <v>-1.6759028292631117E-3</v>
      </c>
      <c r="G18" s="213"/>
      <c r="H18" s="214"/>
      <c r="I18" s="73"/>
      <c r="J18" s="213"/>
      <c r="K18" s="214"/>
    </row>
    <row r="19" spans="1:11" s="68" customFormat="1" ht="18" customHeight="1" x14ac:dyDescent="0.2">
      <c r="A19" s="68" t="s">
        <v>147</v>
      </c>
      <c r="B19" s="69">
        <f>ToursByTourPurpose!C15</f>
        <v>340955.68209999998</v>
      </c>
      <c r="C19" s="69">
        <f>ToursByTourPurpose!O15</f>
        <v>330587.79410013492</v>
      </c>
      <c r="D19" s="69">
        <f t="shared" si="0"/>
        <v>-10367.887999865052</v>
      </c>
      <c r="E19" s="72">
        <f t="shared" ref="E19:E26" si="1">D19/B19</f>
        <v>-3.0408315637996088E-2</v>
      </c>
      <c r="G19" s="213"/>
      <c r="H19" s="214"/>
      <c r="I19" s="73"/>
      <c r="J19" s="213"/>
      <c r="K19" s="214"/>
    </row>
    <row r="20" spans="1:11" s="68" customFormat="1" ht="18" customHeight="1" x14ac:dyDescent="0.2">
      <c r="A20" s="68" t="s">
        <v>148</v>
      </c>
      <c r="B20" s="69">
        <f>ToursByTourPurpose!D15</f>
        <v>385091.97840000002</v>
      </c>
      <c r="C20" s="69">
        <f>ToursByTourPurpose!P15</f>
        <v>393707.17935026012</v>
      </c>
      <c r="D20" s="69">
        <f t="shared" si="0"/>
        <v>8615.2009502600995</v>
      </c>
      <c r="E20" s="72">
        <f t="shared" si="1"/>
        <v>2.2371800591783241E-2</v>
      </c>
      <c r="G20" s="213"/>
      <c r="H20" s="214"/>
      <c r="I20" s="73"/>
      <c r="J20" s="213"/>
      <c r="K20" s="214"/>
    </row>
    <row r="21" spans="1:11" s="68" customFormat="1" ht="18" customHeight="1" x14ac:dyDescent="0.2">
      <c r="A21" s="68" t="s">
        <v>243</v>
      </c>
      <c r="B21" s="69">
        <f>ToursByTourPurpose!E15</f>
        <v>592288.66839999997</v>
      </c>
      <c r="C21" s="69">
        <f>ToursByTourPurpose!Q15</f>
        <v>573902.57800400315</v>
      </c>
      <c r="D21" s="69">
        <f t="shared" si="0"/>
        <v>-18386.090395996813</v>
      </c>
      <c r="E21" s="72">
        <f t="shared" si="1"/>
        <v>-3.1042448348142015E-2</v>
      </c>
      <c r="G21" s="213"/>
      <c r="H21" s="214"/>
      <c r="I21" s="73"/>
      <c r="J21" s="213"/>
      <c r="K21" s="214"/>
    </row>
    <row r="22" spans="1:11" s="68" customFormat="1" ht="18" customHeight="1" x14ac:dyDescent="0.2">
      <c r="A22" s="68" t="s">
        <v>244</v>
      </c>
      <c r="B22" s="69">
        <f>ToursByTourPurpose!F15</f>
        <v>111478.9356</v>
      </c>
      <c r="C22" s="69">
        <f>ToursByTourPurpose!R15</f>
        <v>175566.13317979188</v>
      </c>
      <c r="D22" s="69">
        <f t="shared" si="0"/>
        <v>64087.197579791886</v>
      </c>
      <c r="E22" s="72">
        <f t="shared" si="1"/>
        <v>0.57488167818308344</v>
      </c>
      <c r="G22" s="213"/>
      <c r="H22" s="214"/>
      <c r="I22" s="73"/>
      <c r="J22" s="213"/>
      <c r="K22" s="214"/>
    </row>
    <row r="23" spans="1:11" s="68" customFormat="1" ht="18" customHeight="1" x14ac:dyDescent="0.2">
      <c r="A23" s="68" t="s">
        <v>245</v>
      </c>
      <c r="B23" s="69">
        <f>ToursByTourPurpose!G15</f>
        <v>78499.544200000004</v>
      </c>
      <c r="C23" s="69">
        <f>ToursByTourPurpose!S15</f>
        <v>119540.37697423306</v>
      </c>
      <c r="D23" s="69">
        <f t="shared" si="0"/>
        <v>41040.832774233058</v>
      </c>
      <c r="E23" s="72">
        <f t="shared" si="1"/>
        <v>0.52281619202360996</v>
      </c>
      <c r="G23" s="213"/>
      <c r="H23" s="214"/>
      <c r="I23" s="73"/>
      <c r="J23" s="213"/>
      <c r="K23" s="214"/>
    </row>
    <row r="24" spans="1:11" s="68" customFormat="1" ht="18" customHeight="1" x14ac:dyDescent="0.2">
      <c r="A24" s="73" t="s">
        <v>246</v>
      </c>
      <c r="B24" s="69">
        <f>ToursByTourPurpose!I15</f>
        <v>515915.92589999997</v>
      </c>
      <c r="C24" s="69">
        <f>ToursByTourPurpose!U15</f>
        <v>503887.95581699541</v>
      </c>
      <c r="D24" s="69">
        <f t="shared" si="0"/>
        <v>-12027.970083004562</v>
      </c>
      <c r="E24" s="72">
        <f t="shared" si="1"/>
        <v>-2.3313818161403189E-2</v>
      </c>
      <c r="G24" s="213"/>
      <c r="H24" s="214"/>
      <c r="I24" s="73"/>
      <c r="J24" s="213"/>
      <c r="K24" s="214"/>
    </row>
    <row r="25" spans="1:11" s="68" customFormat="1" ht="18" customHeight="1" x14ac:dyDescent="0.2">
      <c r="A25" s="73" t="s">
        <v>170</v>
      </c>
      <c r="B25" s="74">
        <f>ToursByTourPurpose!J15</f>
        <v>271697.48960000003</v>
      </c>
      <c r="C25" s="74">
        <f>ToursByTourPurpose!V15</f>
        <v>235060.42178434858</v>
      </c>
      <c r="D25" s="74">
        <f t="shared" si="0"/>
        <v>-36637.067815651448</v>
      </c>
      <c r="E25" s="75">
        <f t="shared" si="1"/>
        <v>-0.13484507298756965</v>
      </c>
      <c r="G25" s="213"/>
      <c r="H25" s="215"/>
      <c r="I25" s="73"/>
      <c r="J25" s="213"/>
      <c r="K25" s="215"/>
    </row>
    <row r="26" spans="1:11" s="68" customFormat="1" ht="18" customHeight="1" thickBot="1" x14ac:dyDescent="0.25">
      <c r="A26" s="70" t="s">
        <v>221</v>
      </c>
      <c r="B26" s="76">
        <f>SUM(B18:B25)</f>
        <v>3708517.9665999999</v>
      </c>
      <c r="C26" s="76">
        <f>SUM(C18:C25)</f>
        <v>3742474.8184638908</v>
      </c>
      <c r="D26" s="76">
        <f t="shared" si="0"/>
        <v>33956.851863890886</v>
      </c>
      <c r="E26" s="77">
        <f t="shared" si="1"/>
        <v>9.156447985345156E-3</v>
      </c>
      <c r="G26" s="213"/>
      <c r="H26" s="215"/>
      <c r="I26" s="73"/>
      <c r="J26" s="213"/>
      <c r="K26" s="215"/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263</v>
      </c>
      <c r="G30" s="62" t="s">
        <v>10867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2">
      <c r="A33" s="68" t="s">
        <v>210</v>
      </c>
      <c r="B33" s="69">
        <f>ToursByTourPurpose!F74</f>
        <v>1727558.9532551463</v>
      </c>
      <c r="C33" s="69">
        <f>ToursByTourPurpose!W5</f>
        <v>1671690.7215958575</v>
      </c>
      <c r="D33" s="69">
        <f t="shared" ref="D33:D41" si="2">C33-B33</f>
        <v>-55868.231659288751</v>
      </c>
      <c r="E33" s="72">
        <f>D33/B33</f>
        <v>-3.2339406741529284E-2</v>
      </c>
      <c r="G33" s="78">
        <f>B33/B$26</f>
        <v>0.46583540077574082</v>
      </c>
      <c r="H33" s="78">
        <f>C33/C$26</f>
        <v>0.44668055302560661</v>
      </c>
      <c r="I33" s="78">
        <f>H33-G33</f>
        <v>-1.9154847750134207E-2</v>
      </c>
      <c r="J33" s="72">
        <f>I33/G33</f>
        <v>-4.1119347559752328E-2</v>
      </c>
      <c r="L33" s="217"/>
      <c r="M33" s="217"/>
    </row>
    <row r="34" spans="1:13" s="68" customFormat="1" ht="18" customHeight="1" x14ac:dyDescent="0.2">
      <c r="A34" s="68" t="s">
        <v>211</v>
      </c>
      <c r="B34" s="69">
        <f>ToursByTourPurpose!F75</f>
        <v>805076.52504882286</v>
      </c>
      <c r="C34" s="69">
        <f>ToursByTourPurpose!W6</f>
        <v>770465.59220550547</v>
      </c>
      <c r="D34" s="69">
        <f t="shared" si="2"/>
        <v>-34610.932843317394</v>
      </c>
      <c r="E34" s="72">
        <f t="shared" ref="E34:E41" si="3">D34/B34</f>
        <v>-4.2990860826824455E-2</v>
      </c>
      <c r="G34" s="78">
        <f t="shared" ref="G34:G41" si="4">B34/B$26</f>
        <v>0.21708847909045556</v>
      </c>
      <c r="H34" s="78">
        <f t="shared" ref="H34:H41" si="5">C34/C$26</f>
        <v>0.20587061492153078</v>
      </c>
      <c r="I34" s="78">
        <f t="shared" ref="I34:I41" si="6">H34-G34</f>
        <v>-1.1217864168924785E-2</v>
      </c>
      <c r="J34" s="72">
        <f t="shared" ref="J34:J41" si="7">I34/G34</f>
        <v>-5.1674157080673869E-2</v>
      </c>
      <c r="L34" s="217"/>
      <c r="M34" s="217"/>
    </row>
    <row r="35" spans="1:13" s="68" customFormat="1" ht="18" customHeight="1" x14ac:dyDescent="0.2">
      <c r="A35" s="68" t="s">
        <v>212</v>
      </c>
      <c r="B35" s="69">
        <f>ToursByTourPurpose!F76</f>
        <v>648797.01309756911</v>
      </c>
      <c r="C35" s="69">
        <f>ToursByTourPurpose!W7</f>
        <v>654228.81953029044</v>
      </c>
      <c r="D35" s="69">
        <f t="shared" si="2"/>
        <v>5431.8064327213215</v>
      </c>
      <c r="E35" s="72">
        <f t="shared" si="3"/>
        <v>8.3721199744556489E-3</v>
      </c>
      <c r="G35" s="78">
        <f t="shared" si="4"/>
        <v>0.17494778748298517</v>
      </c>
      <c r="H35" s="78">
        <f t="shared" si="5"/>
        <v>0.17481181604818932</v>
      </c>
      <c r="I35" s="78">
        <f t="shared" si="6"/>
        <v>-1.3597143479585072E-4</v>
      </c>
      <c r="J35" s="72">
        <f t="shared" si="7"/>
        <v>-7.7721151408716637E-4</v>
      </c>
      <c r="L35" s="217"/>
      <c r="M35" s="217"/>
    </row>
    <row r="36" spans="1:13" s="68" customFormat="1" ht="18" customHeight="1" x14ac:dyDescent="0.2">
      <c r="A36" s="68" t="s">
        <v>213</v>
      </c>
      <c r="B36" s="69">
        <f>ToursByTourPurpose!F77</f>
        <v>718143.10522838181</v>
      </c>
      <c r="C36" s="69">
        <f>ToursByTourPurpose!W8</f>
        <v>724114.18621757848</v>
      </c>
      <c r="D36" s="69">
        <f t="shared" si="2"/>
        <v>5971.0809891966637</v>
      </c>
      <c r="E36" s="72">
        <f t="shared" si="3"/>
        <v>8.31461159443668E-3</v>
      </c>
      <c r="G36" s="78">
        <f t="shared" si="4"/>
        <v>0.19364692626439703</v>
      </c>
      <c r="H36" s="78">
        <f t="shared" si="5"/>
        <v>0.19348538636655227</v>
      </c>
      <c r="I36" s="78">
        <f t="shared" si="6"/>
        <v>-1.6153989784475908E-4</v>
      </c>
      <c r="J36" s="72">
        <f t="shared" si="7"/>
        <v>-8.3419809940179265E-4</v>
      </c>
      <c r="L36" s="217"/>
      <c r="M36" s="217"/>
    </row>
    <row r="37" spans="1:13" s="68" customFormat="1" ht="18" customHeight="1" x14ac:dyDescent="0.2">
      <c r="A37" s="68" t="s">
        <v>214</v>
      </c>
      <c r="B37" s="69">
        <f>ToursByTourPurpose!F78</f>
        <v>702437.81530738831</v>
      </c>
      <c r="C37" s="69">
        <f>ToursByTourPurpose!W9</f>
        <v>711683.74690179364</v>
      </c>
      <c r="D37" s="69">
        <f t="shared" si="2"/>
        <v>9245.9315944053233</v>
      </c>
      <c r="E37" s="72">
        <f t="shared" si="3"/>
        <v>1.3162633606733264E-2</v>
      </c>
      <c r="G37" s="78">
        <f t="shared" si="4"/>
        <v>0.18941200275521089</v>
      </c>
      <c r="H37" s="78">
        <f t="shared" si="5"/>
        <v>0.19016393734718734</v>
      </c>
      <c r="I37" s="78">
        <f t="shared" si="6"/>
        <v>7.5193459197644974E-4</v>
      </c>
      <c r="J37" s="72">
        <f t="shared" si="7"/>
        <v>3.9698360243211319E-3</v>
      </c>
      <c r="L37" s="217"/>
      <c r="M37" s="217"/>
    </row>
    <row r="38" spans="1:13" s="68" customFormat="1" ht="18" customHeight="1" x14ac:dyDescent="0.2">
      <c r="A38" s="68" t="s">
        <v>129</v>
      </c>
      <c r="B38" s="69">
        <f>ToursByTourPurpose!F79</f>
        <v>225250.543726851</v>
      </c>
      <c r="C38" s="69">
        <f>ToursByTourPurpose!W10</f>
        <v>211849.32876604324</v>
      </c>
      <c r="D38" s="69">
        <f t="shared" si="2"/>
        <v>-13401.21496080776</v>
      </c>
      <c r="E38" s="72">
        <f t="shared" si="3"/>
        <v>-5.9494706379304811E-2</v>
      </c>
      <c r="G38" s="78">
        <f t="shared" si="4"/>
        <v>6.0738695553189559E-2</v>
      </c>
      <c r="H38" s="78">
        <f t="shared" si="5"/>
        <v>5.6606747952147179E-2</v>
      </c>
      <c r="I38" s="78">
        <f t="shared" si="6"/>
        <v>-4.1319476010423795E-3</v>
      </c>
      <c r="J38" s="72">
        <f t="shared" si="7"/>
        <v>-6.8028257166372411E-2</v>
      </c>
      <c r="L38" s="217"/>
      <c r="M38" s="217"/>
    </row>
    <row r="39" spans="1:13" s="68" customFormat="1" ht="18" customHeight="1" x14ac:dyDescent="0.2">
      <c r="A39" s="73" t="s">
        <v>130</v>
      </c>
      <c r="B39" s="69">
        <f>ToursByTourPurpose!F80</f>
        <v>1090010.6006267432</v>
      </c>
      <c r="C39" s="69">
        <f>ToursByTourPurpose!W11</f>
        <v>1093177.828283957</v>
      </c>
      <c r="D39" s="69">
        <f t="shared" si="2"/>
        <v>3167.2276572138071</v>
      </c>
      <c r="E39" s="72">
        <f t="shared" si="3"/>
        <v>2.9056851881923799E-3</v>
      </c>
      <c r="G39" s="78">
        <f t="shared" si="4"/>
        <v>0.29392080891711952</v>
      </c>
      <c r="H39" s="78">
        <f t="shared" si="5"/>
        <v>0.29210024951688379</v>
      </c>
      <c r="I39" s="78">
        <f t="shared" si="6"/>
        <v>-1.8205594002357328E-3</v>
      </c>
      <c r="J39" s="72">
        <f t="shared" si="7"/>
        <v>-6.1940473250027646E-3</v>
      </c>
      <c r="L39" s="217"/>
      <c r="M39" s="217"/>
    </row>
    <row r="40" spans="1:13" s="68" customFormat="1" ht="18" customHeight="1" x14ac:dyDescent="0.2">
      <c r="A40" s="73" t="s">
        <v>247</v>
      </c>
      <c r="B40" s="74">
        <f>ToursByTourPurpose!F81</f>
        <v>184043.16539742419</v>
      </c>
      <c r="C40" s="74">
        <f>ToursByTourPurpose!W12</f>
        <v>175987.41473449682</v>
      </c>
      <c r="D40" s="74">
        <f t="shared" si="2"/>
        <v>-8055.7506629273703</v>
      </c>
      <c r="E40" s="75">
        <f t="shared" si="3"/>
        <v>-4.3770985168244209E-2</v>
      </c>
      <c r="G40" s="78">
        <f t="shared" si="4"/>
        <v>4.962714676185228E-2</v>
      </c>
      <c r="H40" s="78">
        <f t="shared" si="5"/>
        <v>4.7024341718010905E-2</v>
      </c>
      <c r="I40" s="79">
        <f t="shared" si="6"/>
        <v>-2.6028050438413747E-3</v>
      </c>
      <c r="J40" s="75">
        <f t="shared" si="7"/>
        <v>-5.2447203066731937E-2</v>
      </c>
      <c r="L40" s="217"/>
      <c r="M40" s="217"/>
    </row>
    <row r="41" spans="1:13" s="68" customFormat="1" ht="18" customHeight="1" thickBot="1" x14ac:dyDescent="0.25">
      <c r="A41" s="70" t="s">
        <v>221</v>
      </c>
      <c r="B41" s="76">
        <f>ToursByTourPurpose!F82</f>
        <v>6101317.7216883274</v>
      </c>
      <c r="C41" s="76">
        <f>ToursByTourPurpose!W13</f>
        <v>6013197.6382355234</v>
      </c>
      <c r="D41" s="76">
        <f t="shared" si="2"/>
        <v>-88120.083452804014</v>
      </c>
      <c r="E41" s="77">
        <f t="shared" si="3"/>
        <v>-1.4442795388209983E-2</v>
      </c>
      <c r="G41" s="211">
        <f t="shared" si="4"/>
        <v>1.645217247600951</v>
      </c>
      <c r="H41" s="211">
        <f t="shared" si="5"/>
        <v>1.6067436468961085</v>
      </c>
      <c r="I41" s="80">
        <f t="shared" si="6"/>
        <v>-3.8473600704842514E-2</v>
      </c>
      <c r="J41" s="77">
        <f t="shared" si="7"/>
        <v>-2.3385118750088817E-2</v>
      </c>
    </row>
    <row r="42" spans="1:13" s="68" customFormat="1" ht="18" customHeight="1" x14ac:dyDescent="0.2">
      <c r="A42" s="73"/>
      <c r="B42" s="69"/>
      <c r="C42" s="69"/>
      <c r="D42" s="69"/>
    </row>
    <row r="43" spans="1:13" s="68" customFormat="1" ht="18" customHeight="1" x14ac:dyDescent="0.2">
      <c r="A43" s="73"/>
      <c r="B43" s="69"/>
      <c r="C43" s="69"/>
      <c r="D43" s="69"/>
    </row>
    <row r="44" spans="1:13" s="68" customFormat="1" ht="18" customHeight="1" x14ac:dyDescent="0.2">
      <c r="A44" s="73"/>
      <c r="B44" s="69"/>
      <c r="C44" s="69"/>
      <c r="D44" s="69"/>
    </row>
    <row r="45" spans="1:13" ht="18" customHeight="1" x14ac:dyDescent="0.2">
      <c r="A45" s="62" t="s">
        <v>288</v>
      </c>
      <c r="G45" s="62" t="s">
        <v>10869</v>
      </c>
    </row>
    <row r="46" spans="1:13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2">
      <c r="A48" s="68" t="s">
        <v>146</v>
      </c>
      <c r="B48" s="69">
        <f>ToursByTourPurpose!B13</f>
        <v>2431438.0228209868</v>
      </c>
      <c r="C48" s="69">
        <f>ToursByTourPurpose!N13</f>
        <v>2253926.8638487109</v>
      </c>
      <c r="D48" s="69">
        <f t="shared" ref="D48:D56" si="8">C48-B48</f>
        <v>-177511.15897227591</v>
      </c>
      <c r="E48" s="72">
        <f>D48/B48</f>
        <v>-7.3006655858052716E-2</v>
      </c>
      <c r="G48" s="78">
        <f>B48/B18</f>
        <v>1.7212626920891809</v>
      </c>
      <c r="H48" s="78">
        <f t="shared" ref="H48:H55" si="9">C48/C18</f>
        <v>1.5982776170669111</v>
      </c>
      <c r="I48" s="78">
        <f t="shared" ref="I48:I56" si="10">H48-G48</f>
        <v>-0.12298507502226985</v>
      </c>
      <c r="J48" s="72">
        <f>I48/G48</f>
        <v>-7.1450497119063705E-2</v>
      </c>
      <c r="L48" s="216"/>
      <c r="M48" s="216"/>
    </row>
    <row r="49" spans="1:15" s="68" customFormat="1" ht="18" customHeight="1" x14ac:dyDescent="0.2">
      <c r="A49" s="68" t="s">
        <v>147</v>
      </c>
      <c r="B49" s="69">
        <f>ToursByTourPurpose!C13</f>
        <v>625338.66770780808</v>
      </c>
      <c r="C49" s="69">
        <f>ToursByTourPurpose!O13</f>
        <v>599861.61378951662</v>
      </c>
      <c r="D49" s="69">
        <f t="shared" si="8"/>
        <v>-25477.053918291465</v>
      </c>
      <c r="E49" s="72">
        <f t="shared" ref="E49:E56" si="11">D49/B49</f>
        <v>-4.0741209897795283E-2</v>
      </c>
      <c r="G49" s="78">
        <f t="shared" ref="G49:G55" si="12">B49/B19</f>
        <v>1.8340761000263974</v>
      </c>
      <c r="H49" s="78">
        <f t="shared" si="9"/>
        <v>1.8145304348648117</v>
      </c>
      <c r="I49" s="78">
        <f t="shared" si="10"/>
        <v>-1.9545665161585735E-2</v>
      </c>
      <c r="J49" s="72">
        <f t="shared" ref="J49:J56" si="13">I49/G49</f>
        <v>-1.0656954289576326E-2</v>
      </c>
      <c r="L49" s="216"/>
      <c r="M49" s="216"/>
    </row>
    <row r="50" spans="1:15" s="68" customFormat="1" ht="18" customHeight="1" x14ac:dyDescent="0.2">
      <c r="A50" s="68" t="s">
        <v>148</v>
      </c>
      <c r="B50" s="69">
        <f>ToursByTourPurpose!D13</f>
        <v>547910.24461451638</v>
      </c>
      <c r="C50" s="69">
        <f>ToursByTourPurpose!P13</f>
        <v>591759.93600487965</v>
      </c>
      <c r="D50" s="69">
        <f t="shared" si="8"/>
        <v>43849.691390363267</v>
      </c>
      <c r="E50" s="72">
        <f t="shared" si="11"/>
        <v>8.0030793038399606E-2</v>
      </c>
      <c r="G50" s="78">
        <f t="shared" si="12"/>
        <v>1.4228035777088945</v>
      </c>
      <c r="H50" s="78">
        <f t="shared" si="9"/>
        <v>1.5030458346771032</v>
      </c>
      <c r="I50" s="78">
        <f t="shared" si="10"/>
        <v>8.0242256968208636E-2</v>
      </c>
      <c r="J50" s="72">
        <f t="shared" si="13"/>
        <v>5.6397283662598573E-2</v>
      </c>
      <c r="L50" s="216"/>
      <c r="M50" s="216"/>
    </row>
    <row r="51" spans="1:15" s="68" customFormat="1" ht="18" customHeight="1" x14ac:dyDescent="0.2">
      <c r="A51" s="68" t="s">
        <v>243</v>
      </c>
      <c r="B51" s="69">
        <f>ToursByTourPurpose!E13</f>
        <v>1052457.4078515514</v>
      </c>
      <c r="C51" s="69">
        <f>ToursByTourPurpose!Q13</f>
        <v>903700.02857167227</v>
      </c>
      <c r="D51" s="69">
        <f t="shared" si="8"/>
        <v>-148757.37927987915</v>
      </c>
      <c r="E51" s="72">
        <f t="shared" si="11"/>
        <v>-0.14134289727082364</v>
      </c>
      <c r="G51" s="78">
        <f t="shared" si="12"/>
        <v>1.7769332151746962</v>
      </c>
      <c r="H51" s="78">
        <f t="shared" si="9"/>
        <v>1.5746575520094086</v>
      </c>
      <c r="I51" s="78">
        <f t="shared" si="10"/>
        <v>-0.20227566316528756</v>
      </c>
      <c r="J51" s="72">
        <f t="shared" si="13"/>
        <v>-0.11383413931254652</v>
      </c>
      <c r="L51" s="216"/>
      <c r="M51" s="216"/>
    </row>
    <row r="52" spans="1:15" s="68" customFormat="1" ht="18" customHeight="1" x14ac:dyDescent="0.2">
      <c r="A52" s="68" t="s">
        <v>244</v>
      </c>
      <c r="B52" s="69">
        <f>ToursByTourPurpose!F13</f>
        <v>199289.42630487229</v>
      </c>
      <c r="C52" s="69">
        <f>ToursByTourPurpose!R13</f>
        <v>307215.64154262282</v>
      </c>
      <c r="D52" s="69">
        <f t="shared" si="8"/>
        <v>107926.21523775053</v>
      </c>
      <c r="E52" s="72">
        <f t="shared" si="11"/>
        <v>0.54155515041046565</v>
      </c>
      <c r="G52" s="78">
        <f t="shared" si="12"/>
        <v>1.7876868417540963</v>
      </c>
      <c r="H52" s="78">
        <f t="shared" si="9"/>
        <v>1.7498570822199104</v>
      </c>
      <c r="I52" s="78">
        <f t="shared" si="10"/>
        <v>-3.7829759534185881E-2</v>
      </c>
      <c r="J52" s="72">
        <f t="shared" si="13"/>
        <v>-2.116128991421503E-2</v>
      </c>
      <c r="L52" s="216"/>
      <c r="M52" s="216"/>
    </row>
    <row r="53" spans="1:15" s="68" customFormat="1" ht="18" customHeight="1" x14ac:dyDescent="0.2">
      <c r="A53" s="68" t="s">
        <v>245</v>
      </c>
      <c r="B53" s="69">
        <f>ToursByTourPurpose!G13</f>
        <v>108113.22313859199</v>
      </c>
      <c r="C53" s="69">
        <f>ToursByTourPurpose!S13</f>
        <v>166931.3988217655</v>
      </c>
      <c r="D53" s="69">
        <f t="shared" si="8"/>
        <v>58818.175683173511</v>
      </c>
      <c r="E53" s="72">
        <f t="shared" si="11"/>
        <v>0.54404238423059126</v>
      </c>
      <c r="G53" s="78">
        <f t="shared" si="12"/>
        <v>1.3772465081216609</v>
      </c>
      <c r="H53" s="78">
        <f t="shared" si="9"/>
        <v>1.3964436372636466</v>
      </c>
      <c r="I53" s="78">
        <f t="shared" si="10"/>
        <v>1.919712914198568E-2</v>
      </c>
      <c r="J53" s="72">
        <f t="shared" si="13"/>
        <v>1.393877496060413E-2</v>
      </c>
      <c r="L53" s="216"/>
      <c r="M53" s="216"/>
    </row>
    <row r="54" spans="1:15" s="68" customFormat="1" ht="18" customHeight="1" x14ac:dyDescent="0.2">
      <c r="A54" s="73" t="s">
        <v>246</v>
      </c>
      <c r="B54" s="69">
        <f>ToursByTourPurpose!I13</f>
        <v>772435.58325000003</v>
      </c>
      <c r="C54" s="69">
        <f>ToursByTourPurpose!U13</f>
        <v>803043.84749875451</v>
      </c>
      <c r="D54" s="69">
        <f t="shared" si="8"/>
        <v>30608.26424875448</v>
      </c>
      <c r="E54" s="72">
        <f t="shared" si="11"/>
        <v>3.9625652821392701E-2</v>
      </c>
      <c r="G54" s="78">
        <f t="shared" si="12"/>
        <v>1.4972121318071527</v>
      </c>
      <c r="H54" s="78">
        <f t="shared" si="9"/>
        <v>1.5936952614727866</v>
      </c>
      <c r="I54" s="78">
        <f t="shared" si="10"/>
        <v>9.6483129665633882E-2</v>
      </c>
      <c r="J54" s="72">
        <f t="shared" si="13"/>
        <v>6.4441856712166498E-2</v>
      </c>
      <c r="L54" s="216"/>
      <c r="M54" s="216"/>
    </row>
    <row r="55" spans="1:15" s="68" customFormat="1" ht="18" customHeight="1" x14ac:dyDescent="0.2">
      <c r="A55" s="73" t="s">
        <v>170</v>
      </c>
      <c r="B55" s="74">
        <f>ToursByTourPurpose!J13</f>
        <v>364335.14600000007</v>
      </c>
      <c r="C55" s="74">
        <f>ToursByTourPurpose!V13</f>
        <v>386758.30815760011</v>
      </c>
      <c r="D55" s="74">
        <f t="shared" si="8"/>
        <v>22423.162157600047</v>
      </c>
      <c r="E55" s="75">
        <f t="shared" si="11"/>
        <v>6.1545427071150703E-2</v>
      </c>
      <c r="G55" s="79">
        <f t="shared" si="12"/>
        <v>1.3409588234929353</v>
      </c>
      <c r="H55" s="79">
        <f t="shared" si="9"/>
        <v>1.6453569904355216</v>
      </c>
      <c r="I55" s="79">
        <f t="shared" si="10"/>
        <v>0.30439816694258637</v>
      </c>
      <c r="J55" s="75">
        <f t="shared" si="13"/>
        <v>0.22700038331504371</v>
      </c>
      <c r="L55" s="216"/>
      <c r="M55" s="216"/>
    </row>
    <row r="56" spans="1:15" s="68" customFormat="1" ht="18" customHeight="1" thickBot="1" x14ac:dyDescent="0.25">
      <c r="A56" s="70" t="s">
        <v>221</v>
      </c>
      <c r="B56" s="76">
        <f>SUM(B48:B55)</f>
        <v>6101317.7216883274</v>
      </c>
      <c r="C56" s="76">
        <f>ToursByTourPurpose!W13</f>
        <v>6013197.6382355234</v>
      </c>
      <c r="D56" s="76">
        <f t="shared" si="8"/>
        <v>-88120.083452804014</v>
      </c>
      <c r="E56" s="77">
        <f t="shared" si="11"/>
        <v>-1.4442795388209983E-2</v>
      </c>
      <c r="G56" s="80">
        <f>B56/B26</f>
        <v>1.645217247600951</v>
      </c>
      <c r="H56" s="80">
        <f>C56/C26</f>
        <v>1.6067436468961085</v>
      </c>
      <c r="I56" s="80">
        <f t="shared" si="10"/>
        <v>-3.8473600704842514E-2</v>
      </c>
      <c r="J56" s="77">
        <f t="shared" si="13"/>
        <v>-2.3385118750088817E-2</v>
      </c>
      <c r="N56" s="220"/>
      <c r="O56" s="220"/>
    </row>
    <row r="57" spans="1:15" s="68" customFormat="1" ht="18" customHeight="1" x14ac:dyDescent="0.2"/>
    <row r="58" spans="1:15" s="68" customFormat="1" ht="18" customHeight="1" x14ac:dyDescent="0.2"/>
    <row r="59" spans="1:15" s="68" customFormat="1" ht="18" customHeight="1" x14ac:dyDescent="0.2"/>
    <row r="60" spans="1:15" ht="18" customHeight="1" x14ac:dyDescent="0.2">
      <c r="A60" s="64" t="s">
        <v>219</v>
      </c>
      <c r="G60" s="62" t="s">
        <v>10868</v>
      </c>
      <c r="L60" s="62" t="s">
        <v>10871</v>
      </c>
    </row>
    <row r="61" spans="1:15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5" s="68" customFormat="1" ht="18" customHeight="1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5" s="68" customFormat="1" ht="18" customHeight="1" x14ac:dyDescent="0.2">
      <c r="A63" s="68" t="s">
        <v>210</v>
      </c>
      <c r="B63" s="69">
        <f>TripsByDestinationPurpose!F73</f>
        <v>2298251.4039472798</v>
      </c>
      <c r="C63" s="69">
        <f>TripsByDestinationPurpose!W5</f>
        <v>2231017.6067132237</v>
      </c>
      <c r="D63" s="69">
        <f t="shared" ref="D63:D71" si="14">C63-B63</f>
        <v>-67233.797234056052</v>
      </c>
      <c r="E63" s="72">
        <f t="shared" ref="E63:E71" si="15">D63/B63</f>
        <v>-2.9254326623528237E-2</v>
      </c>
      <c r="G63" s="78">
        <f>B63/B$26</f>
        <v>0.61972233238344965</v>
      </c>
      <c r="H63" s="78">
        <f>C63/C$26</f>
        <v>0.59613430014445656</v>
      </c>
      <c r="I63" s="78">
        <f t="shared" ref="I63:I71" si="16">H63-G63</f>
        <v>-2.3588032238993084E-2</v>
      </c>
      <c r="J63" s="72">
        <f t="shared" ref="J63:J71" si="17">I63/G63</f>
        <v>-3.8062259509470321E-2</v>
      </c>
      <c r="L63" s="78">
        <f>B63/B33</f>
        <v>1.3303461509182124</v>
      </c>
      <c r="M63" s="78">
        <f>C63/C33</f>
        <v>1.3345875393645854</v>
      </c>
      <c r="O63" s="220"/>
    </row>
    <row r="64" spans="1:15" s="68" customFormat="1" ht="18" customHeight="1" x14ac:dyDescent="0.2">
      <c r="A64" s="68" t="s">
        <v>211</v>
      </c>
      <c r="B64" s="69">
        <f>TripsByDestinationPurpose!F74</f>
        <v>874992.34978993994</v>
      </c>
      <c r="C64" s="69">
        <f>TripsByDestinationPurpose!W6</f>
        <v>837688.10150702763</v>
      </c>
      <c r="D64" s="69">
        <f t="shared" si="14"/>
        <v>-37304.248282912304</v>
      </c>
      <c r="E64" s="72">
        <f t="shared" si="15"/>
        <v>-4.2633799360494939E-2</v>
      </c>
      <c r="G64" s="78">
        <f t="shared" ref="G64:G71" si="18">B64/B$26</f>
        <v>0.23594124598299848</v>
      </c>
      <c r="H64" s="78">
        <f t="shared" ref="H64:H71" si="19">C64/C$26</f>
        <v>0.22383266211283662</v>
      </c>
      <c r="I64" s="78">
        <f t="shared" si="16"/>
        <v>-1.2108583870161865E-2</v>
      </c>
      <c r="J64" s="72">
        <f t="shared" si="17"/>
        <v>-5.1320335364484722E-2</v>
      </c>
      <c r="L64" s="78">
        <f t="shared" ref="L64:M64" si="20">B64/B34</f>
        <v>1.0868437006492981</v>
      </c>
      <c r="M64" s="78">
        <f t="shared" si="20"/>
        <v>1.0872492035745471</v>
      </c>
      <c r="O64" s="220"/>
    </row>
    <row r="65" spans="1:15" s="68" customFormat="1" ht="18" customHeight="1" x14ac:dyDescent="0.2">
      <c r="A65" s="68" t="s">
        <v>212</v>
      </c>
      <c r="B65" s="69">
        <f>TripsByDestinationPurpose!F75</f>
        <v>1245809.4132766738</v>
      </c>
      <c r="C65" s="69">
        <f>TripsByDestinationPurpose!W7</f>
        <v>1237496.0541000664</v>
      </c>
      <c r="D65" s="69">
        <f t="shared" si="14"/>
        <v>-8313.3591766073368</v>
      </c>
      <c r="E65" s="72">
        <f t="shared" si="15"/>
        <v>-6.6730585657896911E-3</v>
      </c>
      <c r="G65" s="78">
        <f t="shared" si="18"/>
        <v>0.33593188020033843</v>
      </c>
      <c r="H65" s="78">
        <f t="shared" si="19"/>
        <v>0.33066249317022794</v>
      </c>
      <c r="I65" s="78">
        <f t="shared" si="16"/>
        <v>-5.2693870301104839E-3</v>
      </c>
      <c r="J65" s="72">
        <f t="shared" si="17"/>
        <v>-1.5685879610378151E-2</v>
      </c>
      <c r="L65" s="78">
        <f t="shared" ref="L65:M65" si="21">B65/B35</f>
        <v>1.9201836446946206</v>
      </c>
      <c r="M65" s="78">
        <f t="shared" si="21"/>
        <v>1.8915339972160474</v>
      </c>
      <c r="O65" s="220"/>
    </row>
    <row r="66" spans="1:15" s="68" customFormat="1" ht="18" customHeight="1" x14ac:dyDescent="0.2">
      <c r="A66" s="68" t="s">
        <v>213</v>
      </c>
      <c r="B66" s="69">
        <f>TripsByDestinationPurpose!F76</f>
        <v>1846226.2144744778</v>
      </c>
      <c r="C66" s="69">
        <f>TripsByDestinationPurpose!W8</f>
        <v>1850352.4733905152</v>
      </c>
      <c r="D66" s="69">
        <f t="shared" si="14"/>
        <v>4126.25891603739</v>
      </c>
      <c r="E66" s="72">
        <f t="shared" si="15"/>
        <v>2.2349693031587228E-3</v>
      </c>
      <c r="G66" s="78">
        <f t="shared" si="18"/>
        <v>0.49783396793601442</v>
      </c>
      <c r="H66" s="78">
        <f t="shared" si="19"/>
        <v>0.49441948527258162</v>
      </c>
      <c r="I66" s="78">
        <f t="shared" si="16"/>
        <v>-3.4144826634328052E-3</v>
      </c>
      <c r="J66" s="72">
        <f t="shared" si="17"/>
        <v>-6.8586775578794203E-3</v>
      </c>
      <c r="L66" s="78">
        <f t="shared" ref="L66:M66" si="22">B66/B36</f>
        <v>2.5708333075026131</v>
      </c>
      <c r="M66" s="78">
        <f t="shared" si="22"/>
        <v>2.5553324442597369</v>
      </c>
      <c r="O66" s="220"/>
    </row>
    <row r="67" spans="1:15" s="68" customFormat="1" ht="18" customHeight="1" x14ac:dyDescent="0.2">
      <c r="A67" s="68" t="s">
        <v>214</v>
      </c>
      <c r="B67" s="69">
        <f>TripsByDestinationPurpose!F77</f>
        <v>2042144.3750582975</v>
      </c>
      <c r="C67" s="69">
        <f>TripsByDestinationPurpose!W9</f>
        <v>2032193.3931289371</v>
      </c>
      <c r="D67" s="69">
        <f t="shared" si="14"/>
        <v>-9950.9819293604232</v>
      </c>
      <c r="E67" s="72">
        <f t="shared" si="15"/>
        <v>-4.8728101944684249E-3</v>
      </c>
      <c r="G67" s="78">
        <f t="shared" si="18"/>
        <v>0.55066320116295742</v>
      </c>
      <c r="H67" s="78">
        <f t="shared" si="19"/>
        <v>0.54300790030781199</v>
      </c>
      <c r="I67" s="78">
        <f t="shared" si="16"/>
        <v>-7.6553008551454305E-3</v>
      </c>
      <c r="J67" s="72">
        <f t="shared" si="17"/>
        <v>-1.3901965555312279E-2</v>
      </c>
      <c r="L67" s="78">
        <f t="shared" ref="L67:M67" si="23">B67/B37</f>
        <v>2.9072244269261769</v>
      </c>
      <c r="M67" s="78">
        <f t="shared" si="23"/>
        <v>2.8554725353442176</v>
      </c>
      <c r="O67" s="220"/>
    </row>
    <row r="68" spans="1:15" s="68" customFormat="1" ht="18" customHeight="1" x14ac:dyDescent="0.2">
      <c r="A68" s="68" t="s">
        <v>129</v>
      </c>
      <c r="B68" s="69">
        <f>TripsByDestinationPurpose!F78</f>
        <v>828105.01502485911</v>
      </c>
      <c r="C68" s="69">
        <f>TripsByDestinationPurpose!W10</f>
        <v>810788.60028539132</v>
      </c>
      <c r="D68" s="69">
        <f t="shared" si="14"/>
        <v>-17316.414739467786</v>
      </c>
      <c r="E68" s="72">
        <f t="shared" si="15"/>
        <v>-2.0910892248307372E-2</v>
      </c>
      <c r="G68" s="78">
        <f t="shared" si="18"/>
        <v>0.22329809980240509</v>
      </c>
      <c r="H68" s="78">
        <f t="shared" si="19"/>
        <v>0.21664503827394668</v>
      </c>
      <c r="I68" s="78">
        <f t="shared" si="16"/>
        <v>-6.6530615284584038E-3</v>
      </c>
      <c r="J68" s="72">
        <f t="shared" si="17"/>
        <v>-2.9794528186068987E-2</v>
      </c>
      <c r="L68" s="78">
        <f t="shared" ref="L68:M68" si="24">B68/B38</f>
        <v>3.6763729903758042</v>
      </c>
      <c r="M68" s="78">
        <f t="shared" si="24"/>
        <v>3.8271945679884092</v>
      </c>
      <c r="O68" s="220"/>
    </row>
    <row r="69" spans="1:15" s="68" customFormat="1" ht="18" customHeight="1" x14ac:dyDescent="0.2">
      <c r="A69" s="68" t="s">
        <v>130</v>
      </c>
      <c r="B69" s="69">
        <f>TripsByDestinationPurpose!F79</f>
        <v>1716147.0657603382</v>
      </c>
      <c r="C69" s="69">
        <f>TripsByDestinationPurpose!W11</f>
        <v>1711238.3033756334</v>
      </c>
      <c r="D69" s="69">
        <f t="shared" si="14"/>
        <v>-4908.7623847047798</v>
      </c>
      <c r="E69" s="72">
        <f t="shared" si="15"/>
        <v>-2.8603390016169474E-3</v>
      </c>
      <c r="G69" s="78">
        <f t="shared" si="18"/>
        <v>0.46275819106620536</v>
      </c>
      <c r="H69" s="78">
        <f t="shared" si="19"/>
        <v>0.45724778024772816</v>
      </c>
      <c r="I69" s="78">
        <f t="shared" si="16"/>
        <v>-5.510410818477196E-3</v>
      </c>
      <c r="J69" s="72">
        <f t="shared" si="17"/>
        <v>-1.1907754254508353E-2</v>
      </c>
      <c r="L69" s="78">
        <f t="shared" ref="L69:M69" si="25">B69/B39</f>
        <v>1.5744315374305295</v>
      </c>
      <c r="M69" s="78">
        <f t="shared" si="25"/>
        <v>1.5653796290964777</v>
      </c>
      <c r="O69" s="220"/>
    </row>
    <row r="70" spans="1:15" s="68" customFormat="1" ht="18" customHeight="1" x14ac:dyDescent="0.2">
      <c r="A70" s="81" t="s">
        <v>145</v>
      </c>
      <c r="B70" s="74">
        <f>TripsByDestinationPurpose!F80</f>
        <v>5897768.1955870669</v>
      </c>
      <c r="C70" s="74">
        <f>TripsByDestinationPurpose!W12</f>
        <v>5806420.2419204805</v>
      </c>
      <c r="D70" s="74">
        <f t="shared" si="14"/>
        <v>-91347.953666586429</v>
      </c>
      <c r="E70" s="75">
        <f t="shared" si="15"/>
        <v>-1.5488562899934999E-2</v>
      </c>
      <c r="G70" s="78">
        <f t="shared" si="18"/>
        <v>1.5903302205096743</v>
      </c>
      <c r="H70" s="78">
        <f t="shared" si="19"/>
        <v>1.5514921338345149</v>
      </c>
      <c r="I70" s="79">
        <f t="shared" si="16"/>
        <v>-3.8838086675159422E-2</v>
      </c>
      <c r="J70" s="75">
        <f t="shared" si="17"/>
        <v>-2.4421397628168359E-2</v>
      </c>
      <c r="L70" s="78"/>
      <c r="M70" s="78"/>
      <c r="O70" s="220"/>
    </row>
    <row r="71" spans="1:15" s="68" customFormat="1" ht="18" customHeight="1" thickBot="1" x14ac:dyDescent="0.25">
      <c r="A71" s="70" t="s">
        <v>221</v>
      </c>
      <c r="B71" s="71">
        <f>SUM(B63:B70)</f>
        <v>16749444.032918934</v>
      </c>
      <c r="C71" s="71">
        <f>TripsByDestinationPurpose!W13</f>
        <v>16517194.774421275</v>
      </c>
      <c r="D71" s="71">
        <f t="shared" si="14"/>
        <v>-232249.25849765912</v>
      </c>
      <c r="E71" s="82">
        <f t="shared" si="15"/>
        <v>-1.3866087617069695E-2</v>
      </c>
      <c r="G71" s="211">
        <f t="shared" si="18"/>
        <v>4.5164791390440433</v>
      </c>
      <c r="H71" s="211">
        <f t="shared" si="19"/>
        <v>4.4134417933641039</v>
      </c>
      <c r="I71" s="80">
        <f t="shared" si="16"/>
        <v>-0.10303734567993938</v>
      </c>
      <c r="J71" s="77">
        <f t="shared" si="17"/>
        <v>-2.2813643660877892E-2</v>
      </c>
      <c r="L71" s="211">
        <f>B71/B41</f>
        <v>2.7452174754610401</v>
      </c>
      <c r="M71" s="211">
        <f>C71/C41</f>
        <v>2.7468238644602376</v>
      </c>
      <c r="O71" s="224"/>
    </row>
    <row r="72" spans="1:15" s="68" customFormat="1" ht="18" customHeight="1" x14ac:dyDescent="0.2"/>
    <row r="73" spans="1:15" s="68" customFormat="1" ht="18" customHeight="1" x14ac:dyDescent="0.2"/>
    <row r="74" spans="1:15" s="68" customFormat="1" ht="18" customHeight="1" x14ac:dyDescent="0.2"/>
    <row r="75" spans="1:15" s="68" customFormat="1" ht="18" customHeight="1" x14ac:dyDescent="0.2">
      <c r="A75" s="62" t="s">
        <v>220</v>
      </c>
      <c r="G75" s="62" t="s">
        <v>10870</v>
      </c>
    </row>
    <row r="76" spans="1:15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5" s="68" customFormat="1" ht="18" customHeight="1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5" s="68" customFormat="1" ht="18" customHeight="1" x14ac:dyDescent="0.2">
      <c r="A78" s="68" t="s">
        <v>146</v>
      </c>
      <c r="B78" s="69">
        <f>TripsByDestinationPurpose!B13</f>
        <v>6681016.6974591678</v>
      </c>
      <c r="C78" s="69">
        <f>TripsByDestinationPurpose!N13</f>
        <v>6247096.396489244</v>
      </c>
      <c r="D78" s="69">
        <f t="shared" ref="D78:D85" si="26">C78-B78</f>
        <v>-433920.30096992385</v>
      </c>
      <c r="E78" s="72">
        <f>D78/B78</f>
        <v>-6.4948243750827098E-2</v>
      </c>
      <c r="G78" s="78">
        <f t="shared" ref="G78:H78" si="27">B78/B18</f>
        <v>4.7296228316850666</v>
      </c>
      <c r="H78" s="78">
        <f t="shared" si="27"/>
        <v>4.4298661603947709</v>
      </c>
      <c r="I78" s="78">
        <f t="shared" ref="I78:I86" si="28">H78-G78</f>
        <v>-0.29975667129029571</v>
      </c>
      <c r="J78" s="72">
        <f>I78/G78</f>
        <v>-6.3378557224931742E-2</v>
      </c>
    </row>
    <row r="79" spans="1:15" s="68" customFormat="1" ht="18" customHeight="1" x14ac:dyDescent="0.2">
      <c r="A79" s="68" t="s">
        <v>147</v>
      </c>
      <c r="B79" s="69">
        <f>TripsByDestinationPurpose!C13</f>
        <v>1763383.0219881674</v>
      </c>
      <c r="C79" s="69">
        <f>TripsByDestinationPurpose!O13</f>
        <v>1655178.1332556168</v>
      </c>
      <c r="D79" s="69">
        <f t="shared" si="26"/>
        <v>-108204.88873255067</v>
      </c>
      <c r="E79" s="72">
        <f t="shared" ref="E79:E86" si="29">D79/B79</f>
        <v>-6.1362101927550906E-2</v>
      </c>
      <c r="G79" s="78">
        <f t="shared" ref="G79:G85" si="30">B79/B19</f>
        <v>5.1718833694960367</v>
      </c>
      <c r="H79" s="78">
        <f t="shared" ref="H79:H85" si="31">C79/C19</f>
        <v>5.0067732771593612</v>
      </c>
      <c r="I79" s="78">
        <f t="shared" si="28"/>
        <v>-0.16511009233667551</v>
      </c>
      <c r="J79" s="72">
        <f t="shared" ref="J79:J86" si="32">I79/G79</f>
        <v>-3.1924558336040805E-2</v>
      </c>
    </row>
    <row r="80" spans="1:15" s="68" customFormat="1" ht="18" customHeight="1" x14ac:dyDescent="0.2">
      <c r="A80" s="68" t="s">
        <v>148</v>
      </c>
      <c r="B80" s="69">
        <f>TripsByDestinationPurpose!D13</f>
        <v>1620215.6443693901</v>
      </c>
      <c r="C80" s="69">
        <f>TripsByDestinationPurpose!P13</f>
        <v>1679217.9899348817</v>
      </c>
      <c r="D80" s="69">
        <f t="shared" si="26"/>
        <v>59002.345565491589</v>
      </c>
      <c r="E80" s="72">
        <f t="shared" si="29"/>
        <v>3.6416353446862379E-2</v>
      </c>
      <c r="G80" s="78">
        <f t="shared" si="30"/>
        <v>4.2073471670356399</v>
      </c>
      <c r="H80" s="78">
        <f t="shared" si="31"/>
        <v>4.2651444474701128</v>
      </c>
      <c r="I80" s="78">
        <f t="shared" si="28"/>
        <v>5.7797280434472853E-2</v>
      </c>
      <c r="J80" s="72">
        <f t="shared" si="32"/>
        <v>1.373722636613202E-2</v>
      </c>
    </row>
    <row r="81" spans="1:12" s="68" customFormat="1" ht="18" customHeight="1" x14ac:dyDescent="0.2">
      <c r="A81" s="68" t="s">
        <v>243</v>
      </c>
      <c r="B81" s="69">
        <f>TripsByDestinationPurpose!E13</f>
        <v>2927381.5097038737</v>
      </c>
      <c r="C81" s="69">
        <f>TripsByDestinationPurpose!Q13</f>
        <v>2490855.3308388456</v>
      </c>
      <c r="D81" s="69">
        <f t="shared" si="26"/>
        <v>-436526.17886502808</v>
      </c>
      <c r="E81" s="72">
        <f t="shared" si="29"/>
        <v>-0.1491183084329811</v>
      </c>
      <c r="G81" s="78">
        <f t="shared" si="30"/>
        <v>4.9424911633238899</v>
      </c>
      <c r="H81" s="78">
        <f t="shared" si="31"/>
        <v>4.3402058577640181</v>
      </c>
      <c r="I81" s="78">
        <f t="shared" si="28"/>
        <v>-0.60228530555987181</v>
      </c>
      <c r="J81" s="72">
        <f t="shared" si="32"/>
        <v>-0.12185865096313639</v>
      </c>
    </row>
    <row r="82" spans="1:12" s="68" customFormat="1" ht="18" customHeight="1" x14ac:dyDescent="0.2">
      <c r="A82" s="68" t="s">
        <v>244</v>
      </c>
      <c r="B82" s="69">
        <f>TripsByDestinationPurpose!F13</f>
        <v>601583.16774615063</v>
      </c>
      <c r="C82" s="69">
        <f>TripsByDestinationPurpose!R13</f>
        <v>861715.90150109702</v>
      </c>
      <c r="D82" s="69">
        <f t="shared" si="26"/>
        <v>260132.73375494638</v>
      </c>
      <c r="E82" s="72">
        <f t="shared" si="29"/>
        <v>0.43241358419242593</v>
      </c>
      <c r="G82" s="78">
        <f t="shared" si="30"/>
        <v>5.3963842093425107</v>
      </c>
      <c r="H82" s="78">
        <f t="shared" si="31"/>
        <v>4.908212568642953</v>
      </c>
      <c r="I82" s="78">
        <f t="shared" si="28"/>
        <v>-0.48817164069955776</v>
      </c>
      <c r="J82" s="72">
        <f t="shared" si="32"/>
        <v>-9.0462728701638545E-2</v>
      </c>
    </row>
    <row r="83" spans="1:12" s="68" customFormat="1" ht="18" customHeight="1" x14ac:dyDescent="0.2">
      <c r="A83" s="68" t="s">
        <v>245</v>
      </c>
      <c r="B83" s="69">
        <f>TripsByDestinationPurpose!G13</f>
        <v>254816.91840218398</v>
      </c>
      <c r="C83" s="69">
        <f>TripsByDestinationPurpose!S13</f>
        <v>446101.16708422103</v>
      </c>
      <c r="D83" s="69">
        <f t="shared" si="26"/>
        <v>191284.24868203705</v>
      </c>
      <c r="E83" s="72">
        <f t="shared" si="29"/>
        <v>0.75067326722838823</v>
      </c>
      <c r="G83" s="78">
        <f t="shared" si="30"/>
        <v>3.2460942416807557</v>
      </c>
      <c r="H83" s="78">
        <f t="shared" si="31"/>
        <v>3.7318032482060701</v>
      </c>
      <c r="I83" s="78">
        <f t="shared" si="28"/>
        <v>0.48570900652531446</v>
      </c>
      <c r="J83" s="72">
        <f t="shared" si="32"/>
        <v>0.14962874468913295</v>
      </c>
    </row>
    <row r="84" spans="1:12" s="68" customFormat="1" ht="18" customHeight="1" x14ac:dyDescent="0.2">
      <c r="A84" s="73" t="s">
        <v>246</v>
      </c>
      <c r="B84" s="69">
        <f>TripsByDestinationPurpose!I13</f>
        <v>1903241.35775</v>
      </c>
      <c r="C84" s="69">
        <f>TripsByDestinationPurpose!U13</f>
        <v>2066711.3040259907</v>
      </c>
      <c r="D84" s="69">
        <f t="shared" si="26"/>
        <v>163469.94627599069</v>
      </c>
      <c r="E84" s="72">
        <f t="shared" si="29"/>
        <v>8.5890286909929198E-2</v>
      </c>
      <c r="G84" s="78">
        <f t="shared" si="30"/>
        <v>3.6890533170300026</v>
      </c>
      <c r="H84" s="78">
        <f t="shared" si="31"/>
        <v>4.1015294772725017</v>
      </c>
      <c r="I84" s="78">
        <f t="shared" si="28"/>
        <v>0.41247616024249911</v>
      </c>
      <c r="J84" s="72">
        <f t="shared" si="32"/>
        <v>0.11181084272714634</v>
      </c>
    </row>
    <row r="85" spans="1:12" s="68" customFormat="1" ht="18" customHeight="1" x14ac:dyDescent="0.2">
      <c r="A85" s="73" t="s">
        <v>170</v>
      </c>
      <c r="B85" s="74">
        <f>TripsByDestinationPurpose!J13</f>
        <v>997805.71549999993</v>
      </c>
      <c r="C85" s="74">
        <f>TripsByDestinationPurpose!V13</f>
        <v>1070318.5512913794</v>
      </c>
      <c r="D85" s="74">
        <f t="shared" si="26"/>
        <v>72512.835791379446</v>
      </c>
      <c r="E85" s="75">
        <f t="shared" si="29"/>
        <v>7.2672299491733525E-2</v>
      </c>
      <c r="G85" s="78">
        <f t="shared" si="30"/>
        <v>3.6724877987242168</v>
      </c>
      <c r="H85" s="78">
        <f t="shared" si="31"/>
        <v>4.5533762900898793</v>
      </c>
      <c r="I85" s="79">
        <f t="shared" si="28"/>
        <v>0.8808884913656625</v>
      </c>
      <c r="J85" s="75">
        <f t="shared" si="32"/>
        <v>0.23986151612856924</v>
      </c>
    </row>
    <row r="86" spans="1:12" s="68" customFormat="1" ht="18" customHeight="1" thickBot="1" x14ac:dyDescent="0.25">
      <c r="A86" s="70" t="s">
        <v>221</v>
      </c>
      <c r="B86" s="76">
        <f>SUM(B78:B85)</f>
        <v>16749444.032918934</v>
      </c>
      <c r="C86" s="76">
        <f>SUM(C78:C85)</f>
        <v>16517194.774421277</v>
      </c>
      <c r="D86" s="76">
        <f>SUM(D78:D85)</f>
        <v>-232249.25849765743</v>
      </c>
      <c r="E86" s="77">
        <f t="shared" si="29"/>
        <v>-1.3866087617069594E-2</v>
      </c>
      <c r="G86" s="211">
        <f t="shared" ref="G86" si="33">B86/B26</f>
        <v>4.5164791390440433</v>
      </c>
      <c r="H86" s="211">
        <f t="shared" ref="H86" si="34">C86/C26</f>
        <v>4.4134417933641048</v>
      </c>
      <c r="I86" s="80">
        <f t="shared" si="28"/>
        <v>-0.1030373456799385</v>
      </c>
      <c r="J86" s="77">
        <f t="shared" si="32"/>
        <v>-2.2813643660877698E-2</v>
      </c>
      <c r="K86" s="78"/>
      <c r="L86" s="78"/>
    </row>
    <row r="87" spans="1:12" s="68" customFormat="1" ht="18" customHeight="1" x14ac:dyDescent="0.2"/>
    <row r="88" spans="1:12" s="68" customFormat="1" ht="18" customHeight="1" x14ac:dyDescent="0.2">
      <c r="A88"/>
      <c r="B88" s="219"/>
      <c r="C88" s="219"/>
      <c r="D88"/>
      <c r="E88"/>
    </row>
    <row r="89" spans="1:12" s="68" customFormat="1" ht="18" customHeight="1" x14ac:dyDescent="0.2">
      <c r="A89"/>
      <c r="B89"/>
      <c r="C89"/>
      <c r="D89"/>
      <c r="E89"/>
    </row>
    <row r="90" spans="1:12" s="68" customFormat="1" ht="18" customHeight="1" x14ac:dyDescent="0.2">
      <c r="A90"/>
      <c r="B90"/>
      <c r="C90"/>
      <c r="D90"/>
      <c r="E90"/>
    </row>
    <row r="91" spans="1:12" s="68" customFormat="1" ht="18" customHeight="1" x14ac:dyDescent="0.2">
      <c r="A91"/>
      <c r="B91"/>
      <c r="C91"/>
      <c r="D91"/>
      <c r="E91"/>
    </row>
    <row r="92" spans="1:12" s="68" customFormat="1" ht="18" customHeight="1" x14ac:dyDescent="0.2">
      <c r="A92"/>
      <c r="B92"/>
      <c r="C92"/>
      <c r="D92"/>
      <c r="E92"/>
    </row>
    <row r="93" spans="1:12" s="68" customFormat="1" ht="18" customHeight="1" x14ac:dyDescent="0.2">
      <c r="A93"/>
      <c r="B93"/>
      <c r="C93"/>
      <c r="D93"/>
      <c r="E93"/>
    </row>
    <row r="94" spans="1:12" s="68" customFormat="1" ht="18" customHeight="1" x14ac:dyDescent="0.2">
      <c r="A94"/>
      <c r="B94"/>
      <c r="C94"/>
      <c r="D94"/>
      <c r="E94"/>
    </row>
    <row r="95" spans="1:12" s="68" customFormat="1" ht="18" customHeight="1" x14ac:dyDescent="0.2">
      <c r="A95"/>
      <c r="B95"/>
      <c r="C95"/>
      <c r="D95"/>
      <c r="E95"/>
    </row>
    <row r="96" spans="1:12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5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1.786531609311709E-2</v>
      </c>
      <c r="N5" s="12">
        <f>output!C4/SUM(output!C$4:C$7)</f>
        <v>5.2045615317764041E-2</v>
      </c>
      <c r="O5" s="12">
        <f>output!D4/SUM(output!D$4:D$7)</f>
        <v>9.9725413171296629E-2</v>
      </c>
      <c r="P5" s="12">
        <f>output!E4/SUM(output!E$4:E$7)</f>
        <v>0.12338600237068822</v>
      </c>
      <c r="Q5" s="12">
        <f>output!F4/SUM(output!F$4:F$7)</f>
        <v>2.9567356612563399E-2</v>
      </c>
      <c r="R5" s="12">
        <f>output!G4/SUM(output!G$4:G$7)</f>
        <v>4.4331851116656912E-2</v>
      </c>
      <c r="S5" s="12">
        <f>output!H4/SUM(output!H$4:H$7)</f>
        <v>4.293516390946691E-2</v>
      </c>
      <c r="T5" s="12">
        <f>output!I4/SUM(output!I$4:I$7)</f>
        <v>9.4159080835755415E-2</v>
      </c>
      <c r="U5" s="12">
        <f>output!J4/SUM(output!J$4:J$7)</f>
        <v>5.5239363690898845E-2</v>
      </c>
      <c r="W5" s="3" t="s">
        <v>222</v>
      </c>
      <c r="X5" s="12">
        <f t="shared" ref="X5:AF9" si="0">M5-B5</f>
        <v>-7.6705130789097214E-2</v>
      </c>
      <c r="Y5" s="12">
        <f t="shared" si="0"/>
        <v>-0.10148022879662562</v>
      </c>
      <c r="Z5" s="12">
        <f t="shared" si="0"/>
        <v>-0.15684768661259646</v>
      </c>
      <c r="AA5" s="12">
        <f t="shared" si="0"/>
        <v>-0.1109490759534271</v>
      </c>
      <c r="AB5" s="12">
        <f t="shared" si="0"/>
        <v>-9.9155879959135607E-2</v>
      </c>
      <c r="AC5" s="12">
        <f t="shared" si="0"/>
        <v>-9.5022569491558545E-2</v>
      </c>
      <c r="AD5" s="12">
        <f t="shared" si="0"/>
        <v>-9.937609460018243E-2</v>
      </c>
      <c r="AE5" s="12">
        <f t="shared" si="0"/>
        <v>-0.18279902286547217</v>
      </c>
      <c r="AF5" s="12">
        <f t="shared" si="0"/>
        <v>-0.10587396127642909</v>
      </c>
    </row>
    <row r="6" spans="1:32" x14ac:dyDescent="0.2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0.55510446446261763</v>
      </c>
      <c r="N6" s="12">
        <f>output!C5/SUM(output!C$4:C$7)</f>
        <v>0.44680544887946166</v>
      </c>
      <c r="O6" s="12">
        <f>output!D5/SUM(output!D$4:D$7)</f>
        <v>0.47450305395223696</v>
      </c>
      <c r="P6" s="12">
        <f>output!E5/SUM(output!E$4:E$7)</f>
        <v>0.41563697711639652</v>
      </c>
      <c r="Q6" s="12">
        <f>output!F5/SUM(output!F$4:F$7)</f>
        <v>0.47038851273495924</v>
      </c>
      <c r="R6" s="12">
        <f>output!G5/SUM(output!G$4:G$7)</f>
        <v>0.59840065850250657</v>
      </c>
      <c r="S6" s="12">
        <f>output!H5/SUM(output!H$4:H$7)</f>
        <v>0.52718224238243949</v>
      </c>
      <c r="T6" s="12">
        <f>output!I5/SUM(output!I$4:I$7)</f>
        <v>0.45216118073454281</v>
      </c>
      <c r="U6" s="12">
        <f>output!J5/SUM(output!J$4:J$7)</f>
        <v>0.50285518598389889</v>
      </c>
      <c r="W6" s="3" t="s">
        <v>223</v>
      </c>
      <c r="X6" s="12">
        <f t="shared" si="0"/>
        <v>-4.0311632904053929E-2</v>
      </c>
      <c r="Y6" s="12">
        <f t="shared" si="0"/>
        <v>3.0601337460260392E-3</v>
      </c>
      <c r="Z6" s="12">
        <f t="shared" si="0"/>
        <v>3.3976855757089086E-2</v>
      </c>
      <c r="AA6" s="12">
        <f t="shared" si="0"/>
        <v>2.1752186225131198E-2</v>
      </c>
      <c r="AB6" s="12">
        <f t="shared" si="0"/>
        <v>-7.2718037162885329E-2</v>
      </c>
      <c r="AC6" s="12">
        <f t="shared" si="0"/>
        <v>-6.8037082418796802E-2</v>
      </c>
      <c r="AD6" s="12">
        <f t="shared" si="0"/>
        <v>-4.1263041000505596E-2</v>
      </c>
      <c r="AE6" s="12">
        <f t="shared" si="0"/>
        <v>8.01021460798651E-3</v>
      </c>
      <c r="AF6" s="12">
        <f t="shared" si="0"/>
        <v>-1.5442812087339552E-2</v>
      </c>
    </row>
    <row r="7" spans="1:32" x14ac:dyDescent="0.2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0.33897569103443781</v>
      </c>
      <c r="N7" s="12">
        <f>output!C6/SUM(output!C$4:C$7)</f>
        <v>0.34322839758815221</v>
      </c>
      <c r="O7" s="12">
        <f>output!D6/SUM(output!D$4:D$7)</f>
        <v>0.28749041337852571</v>
      </c>
      <c r="P7" s="12">
        <f>output!E6/SUM(output!E$4:E$7)</f>
        <v>0.28310477272200879</v>
      </c>
      <c r="Q7" s="12">
        <f>output!F6/SUM(output!F$4:F$7)</f>
        <v>0.38308943121119005</v>
      </c>
      <c r="R7" s="12">
        <f>output!G6/SUM(output!G$4:G$7)</f>
        <v>0.29088760931996577</v>
      </c>
      <c r="S7" s="12">
        <f>output!H6/SUM(output!H$4:H$7)</f>
        <v>0.30295017419078241</v>
      </c>
      <c r="T7" s="12">
        <f>output!I6/SUM(output!I$4:I$7)</f>
        <v>0.27849472150090515</v>
      </c>
      <c r="U7" s="12">
        <f>output!J6/SUM(output!J$4:J$7)</f>
        <v>0.31725161981276018</v>
      </c>
      <c r="W7" s="3" t="s">
        <v>224</v>
      </c>
      <c r="X7" s="12">
        <f t="shared" si="0"/>
        <v>9.5241011484070437E-2</v>
      </c>
      <c r="Y7" s="12">
        <f t="shared" si="0"/>
        <v>8.3539458677812872E-2</v>
      </c>
      <c r="Z7" s="12">
        <f t="shared" si="0"/>
        <v>5.901453297831219E-2</v>
      </c>
      <c r="AA7" s="12">
        <f t="shared" si="0"/>
        <v>5.8326884163639792E-2</v>
      </c>
      <c r="AB7" s="12">
        <f t="shared" si="0"/>
        <v>0.15786188876235452</v>
      </c>
      <c r="AC7" s="12">
        <f t="shared" si="0"/>
        <v>0.12610673789167029</v>
      </c>
      <c r="AD7" s="12">
        <f t="shared" si="0"/>
        <v>5.2971569294995857E-2</v>
      </c>
      <c r="AE7" s="12">
        <f t="shared" si="0"/>
        <v>5.7569824519449947E-2</v>
      </c>
      <c r="AF7" s="12">
        <f t="shared" si="0"/>
        <v>7.9692251398077285E-2</v>
      </c>
    </row>
    <row r="8" spans="1:32" x14ac:dyDescent="0.2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8.8054528409827582E-2</v>
      </c>
      <c r="N8" s="13">
        <f>output!C7/SUM(output!C$4:C$7)</f>
        <v>0.15792053821462212</v>
      </c>
      <c r="O8" s="13">
        <f>output!D7/SUM(output!D$4:D$7)</f>
        <v>0.1382811194979407</v>
      </c>
      <c r="P8" s="13">
        <f>output!E7/SUM(output!E$4:E$7)</f>
        <v>0.17787224779090655</v>
      </c>
      <c r="Q8" s="13">
        <f>output!F7/SUM(output!F$4:F$7)</f>
        <v>0.11695469944128731</v>
      </c>
      <c r="R8" s="13">
        <f>output!G7/SUM(output!G$4:G$7)</f>
        <v>6.637988106087063E-2</v>
      </c>
      <c r="S8" s="13">
        <f>output!H7/SUM(output!H$4:H$7)</f>
        <v>0.12693241951731121</v>
      </c>
      <c r="T8" s="13">
        <f>output!I7/SUM(output!I$4:I$7)</f>
        <v>0.17518501692879668</v>
      </c>
      <c r="U8" s="13">
        <f>output!J7/SUM(output!J$4:J$7)</f>
        <v>0.12465383051244219</v>
      </c>
      <c r="W8" s="8" t="s">
        <v>225</v>
      </c>
      <c r="X8" s="13">
        <f t="shared" si="0"/>
        <v>2.1775752209080901E-2</v>
      </c>
      <c r="Y8" s="13">
        <f t="shared" si="0"/>
        <v>1.4880636372786832E-2</v>
      </c>
      <c r="Z8" s="13">
        <f t="shared" si="0"/>
        <v>6.3856297877195142E-2</v>
      </c>
      <c r="AA8" s="13">
        <f t="shared" si="0"/>
        <v>3.0870005564656328E-2</v>
      </c>
      <c r="AB8" s="13">
        <f t="shared" si="0"/>
        <v>1.4012028359666404E-2</v>
      </c>
      <c r="AC8" s="13">
        <f t="shared" si="0"/>
        <v>3.6952914018684932E-2</v>
      </c>
      <c r="AD8" s="13">
        <f t="shared" si="0"/>
        <v>8.7667566305692224E-2</v>
      </c>
      <c r="AE8" s="13">
        <f t="shared" si="0"/>
        <v>0.11721898373803583</v>
      </c>
      <c r="AF8" s="13">
        <f t="shared" si="0"/>
        <v>4.1624521965691469E-2</v>
      </c>
    </row>
    <row r="9" spans="1:32" ht="13.5" thickBot="1" x14ac:dyDescent="0.25">
      <c r="A9" s="15" t="s">
        <v>221</v>
      </c>
      <c r="B9" s="17">
        <f>SUM(B5:B8)</f>
        <v>0.99999999999999978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0.99999999999999989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1.0000000000000002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1</v>
      </c>
      <c r="S9" s="17">
        <f t="shared" si="2"/>
        <v>1</v>
      </c>
      <c r="T9" s="17">
        <f t="shared" si="2"/>
        <v>1</v>
      </c>
      <c r="U9" s="17">
        <f t="shared" si="2"/>
        <v>1.0000000000000002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1.7865316093117086E-2</v>
      </c>
      <c r="N5" s="28">
        <f>output!C11/SUM(output!C$11:C$23)</f>
        <v>5.2045615317764041E-2</v>
      </c>
      <c r="O5" s="28">
        <f>output!D11/SUM(output!D$11:D$23)</f>
        <v>9.9725413171296615E-2</v>
      </c>
      <c r="P5" s="28">
        <f>output!E11/SUM(output!E$11:E$23)</f>
        <v>0.12338600237068822</v>
      </c>
      <c r="Q5" s="28">
        <f>output!F11/SUM(output!F$11:F$23)</f>
        <v>2.9567356612563399E-2</v>
      </c>
      <c r="R5" s="28">
        <f>output!G11/SUM(output!G$11:G$23)</f>
        <v>4.4331851116656926E-2</v>
      </c>
      <c r="S5" s="28">
        <f>output!H11/SUM(output!H$11:H$23)</f>
        <v>4.2935163909466917E-2</v>
      </c>
      <c r="T5" s="28">
        <f>output!I11/SUM(output!I$11:I$23)</f>
        <v>9.4159080835755415E-2</v>
      </c>
      <c r="U5" s="28">
        <f>output!J11/SUM(output!J$11:J$23)</f>
        <v>5.5239363690898838E-2</v>
      </c>
      <c r="W5" s="27" t="s">
        <v>226</v>
      </c>
      <c r="X5" s="12">
        <f t="shared" ref="X5:X18" si="0">M5-B5</f>
        <v>-7.6705130789097228E-2</v>
      </c>
      <c r="Y5" s="12">
        <f t="shared" ref="Y5:Y18" si="1">N5-C5</f>
        <v>-0.10148022879662562</v>
      </c>
      <c r="Z5" s="12">
        <f t="shared" ref="Z5:Z18" si="2">O5-D5</f>
        <v>-0.15684768661259646</v>
      </c>
      <c r="AA5" s="12">
        <f t="shared" ref="AA5:AA18" si="3">P5-E5</f>
        <v>-0.1109490759534271</v>
      </c>
      <c r="AB5" s="12">
        <f t="shared" ref="AB5:AB18" si="4">Q5-F5</f>
        <v>-9.9155879959135607E-2</v>
      </c>
      <c r="AC5" s="12">
        <f t="shared" ref="AC5:AC18" si="5">R5-G5</f>
        <v>-9.5022569491558559E-2</v>
      </c>
      <c r="AD5" s="12">
        <f t="shared" ref="AD5:AD18" si="6">S5-H5</f>
        <v>-9.9376094600182457E-2</v>
      </c>
      <c r="AE5" s="12">
        <f t="shared" ref="AE5:AE18" si="7">T5-I5</f>
        <v>-0.18279902286547223</v>
      </c>
      <c r="AF5" s="12">
        <f t="shared" ref="AF5:AF18" si="8">U5-J5</f>
        <v>-0.1058739612764291</v>
      </c>
    </row>
    <row r="6" spans="1:32" x14ac:dyDescent="0.2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0.11758920821843978</v>
      </c>
      <c r="N6" s="28">
        <f>output!C12/SUM(output!C$11:C$23)</f>
        <v>7.6416055411559602E-2</v>
      </c>
      <c r="O6" s="28">
        <f>output!D12/SUM(output!D$11:D$23)</f>
        <v>7.1532840399235451E-2</v>
      </c>
      <c r="P6" s="28">
        <f>output!E12/SUM(output!E$11:E$23)</f>
        <v>7.3288771174598921E-2</v>
      </c>
      <c r="Q6" s="28">
        <f>output!F12/SUM(output!F$11:F$23)</f>
        <v>8.1152776825642287E-2</v>
      </c>
      <c r="R6" s="28">
        <f>output!G12/SUM(output!G$11:G$23)</f>
        <v>0.16129117568273119</v>
      </c>
      <c r="S6" s="28">
        <f>output!H12/SUM(output!H$11:H$23)</f>
        <v>0.17740592496257759</v>
      </c>
      <c r="T6" s="28">
        <f>output!I12/SUM(output!I$11:I$23)</f>
        <v>7.0858186967124343E-2</v>
      </c>
      <c r="U6" s="28">
        <f>output!J12/SUM(output!J$11:J$23)</f>
        <v>0.107118932398867</v>
      </c>
      <c r="W6" s="27" t="s">
        <v>231</v>
      </c>
      <c r="X6" s="12">
        <f t="shared" si="0"/>
        <v>-0.14982553716843006</v>
      </c>
      <c r="Y6" s="12">
        <f t="shared" si="1"/>
        <v>-9.5417354840323654E-2</v>
      </c>
      <c r="Z6" s="12">
        <f t="shared" si="2"/>
        <v>-0.10029465565748326</v>
      </c>
      <c r="AA6" s="12">
        <f t="shared" si="3"/>
        <v>-0.11992162741218584</v>
      </c>
      <c r="AB6" s="12">
        <f t="shared" si="4"/>
        <v>-0.10801785425813709</v>
      </c>
      <c r="AC6" s="12">
        <f t="shared" si="5"/>
        <v>-0.37838504195319234</v>
      </c>
      <c r="AD6" s="12">
        <f t="shared" si="6"/>
        <v>-0.20802494006278913</v>
      </c>
      <c r="AE6" s="12">
        <f t="shared" si="7"/>
        <v>-0.18381114325697059</v>
      </c>
      <c r="AF6" s="12">
        <f t="shared" si="8"/>
        <v>-0.14862647575120719</v>
      </c>
    </row>
    <row r="7" spans="1:32" x14ac:dyDescent="0.2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0.20328451988448271</v>
      </c>
      <c r="N7" s="28">
        <f>output!C13/SUM(output!C$11:C$23)</f>
        <v>0.14609079394371519</v>
      </c>
      <c r="O7" s="28">
        <f>output!D13/SUM(output!D$11:D$23)</f>
        <v>0.16179103123715888</v>
      </c>
      <c r="P7" s="28">
        <f>output!E13/SUM(output!E$11:E$23)</f>
        <v>0.1434798112399536</v>
      </c>
      <c r="Q7" s="28">
        <f>output!F13/SUM(output!F$11:F$23)</f>
        <v>0.13886295476211394</v>
      </c>
      <c r="R7" s="28">
        <f>output!G13/SUM(output!G$11:G$23)</f>
        <v>0.24203707727380416</v>
      </c>
      <c r="S7" s="28">
        <f>output!H13/SUM(output!H$11:H$23)</f>
        <v>0.18697486531995919</v>
      </c>
      <c r="T7" s="28">
        <f>output!I13/SUM(output!I$11:I$23)</f>
        <v>0.14497707520202724</v>
      </c>
      <c r="U7" s="28">
        <f>output!J13/SUM(output!J$11:J$23)</f>
        <v>0.17705383722039825</v>
      </c>
      <c r="W7" s="27" t="s">
        <v>232</v>
      </c>
      <c r="X7" s="12">
        <f t="shared" si="0"/>
        <v>6.1682906835703127E-2</v>
      </c>
      <c r="Y7" s="12">
        <f t="shared" si="1"/>
        <v>2.3553235564658062E-2</v>
      </c>
      <c r="Z7" s="12">
        <f t="shared" si="2"/>
        <v>6.8512602407647838E-2</v>
      </c>
      <c r="AA7" s="12">
        <f t="shared" si="3"/>
        <v>4.2091080197332167E-2</v>
      </c>
      <c r="AB7" s="12">
        <f t="shared" si="4"/>
        <v>-7.801088912494647E-4</v>
      </c>
      <c r="AC7" s="12">
        <f t="shared" si="5"/>
        <v>0.15855874416011967</v>
      </c>
      <c r="AD7" s="12">
        <f t="shared" si="6"/>
        <v>0.10832868933843963</v>
      </c>
      <c r="AE7" s="12">
        <f t="shared" si="7"/>
        <v>4.127040444300524E-2</v>
      </c>
      <c r="AF7" s="12">
        <f t="shared" si="8"/>
        <v>6.146886069863447E-2</v>
      </c>
    </row>
    <row r="8" spans="1:32" x14ac:dyDescent="0.2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0.16302702094204069</v>
      </c>
      <c r="N8" s="28">
        <f>output!C14/SUM(output!C$11:C$23)</f>
        <v>0.13606614168252074</v>
      </c>
      <c r="O8" s="28">
        <f>output!D14/SUM(output!D$11:D$23)</f>
        <v>0.15164997402784225</v>
      </c>
      <c r="P8" s="28">
        <f>output!E14/SUM(output!E$11:E$23)</f>
        <v>0.12721416727382753</v>
      </c>
      <c r="Q8" s="28">
        <f>output!F14/SUM(output!F$11:F$23)</f>
        <v>0.14483671073552126</v>
      </c>
      <c r="R8" s="28">
        <f>output!G14/SUM(output!G$11:G$23)</f>
        <v>0.13302080023264057</v>
      </c>
      <c r="S8" s="28">
        <f>output!H14/SUM(output!H$11:H$23)</f>
        <v>0.10864621858078713</v>
      </c>
      <c r="T8" s="28">
        <f>output!I14/SUM(output!I$11:I$23)</f>
        <v>0.13961737497647167</v>
      </c>
      <c r="U8" s="28">
        <f>output!J14/SUM(output!J$11:J$23)</f>
        <v>0.14335278792238312</v>
      </c>
      <c r="W8" s="27" t="s">
        <v>207</v>
      </c>
      <c r="X8" s="12">
        <f t="shared" si="0"/>
        <v>6.2024278873707789E-2</v>
      </c>
      <c r="Y8" s="12">
        <f t="shared" si="1"/>
        <v>6.1108455268295711E-2</v>
      </c>
      <c r="Z8" s="12">
        <f t="shared" si="2"/>
        <v>6.8056693706218183E-2</v>
      </c>
      <c r="AA8" s="12">
        <f t="shared" si="3"/>
        <v>8.1355225090492672E-2</v>
      </c>
      <c r="AB8" s="12">
        <f t="shared" si="4"/>
        <v>3.9596942012792263E-2</v>
      </c>
      <c r="AC8" s="12">
        <f t="shared" si="5"/>
        <v>0.10922822259369933</v>
      </c>
      <c r="AD8" s="12">
        <f t="shared" si="6"/>
        <v>3.5531283169176101E-2</v>
      </c>
      <c r="AE8" s="12">
        <f t="shared" si="7"/>
        <v>9.4717328538942852E-2</v>
      </c>
      <c r="AF8" s="12">
        <f t="shared" si="8"/>
        <v>6.4856300640460079E-2</v>
      </c>
    </row>
    <row r="9" spans="1:32" x14ac:dyDescent="0.2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7.1203715417654301E-2</v>
      </c>
      <c r="N9" s="28">
        <f>output!C15/SUM(output!C$11:C$23)</f>
        <v>8.8232457841666084E-2</v>
      </c>
      <c r="O9" s="28">
        <f>output!D15/SUM(output!D$11:D$23)</f>
        <v>8.9529208288000317E-2</v>
      </c>
      <c r="P9" s="28">
        <f>output!E15/SUM(output!E$11:E$23)</f>
        <v>7.1654227428016512E-2</v>
      </c>
      <c r="Q9" s="28">
        <f>output!F15/SUM(output!F$11:F$23)</f>
        <v>0.10553607041168177</v>
      </c>
      <c r="R9" s="28">
        <f>output!G15/SUM(output!G$11:G$23)</f>
        <v>6.205160531333076E-2</v>
      </c>
      <c r="S9" s="28">
        <f>output!H15/SUM(output!H$11:H$23)</f>
        <v>5.4155233519115602E-2</v>
      </c>
      <c r="T9" s="28">
        <f>output!I15/SUM(output!I$11:I$23)</f>
        <v>9.6708543588919602E-2</v>
      </c>
      <c r="U9" s="28">
        <f>output!J15/SUM(output!J$11:J$23)</f>
        <v>7.5329628442250468E-2</v>
      </c>
      <c r="W9" s="27" t="s">
        <v>9</v>
      </c>
      <c r="X9" s="12">
        <f t="shared" si="0"/>
        <v>-1.419328144503508E-2</v>
      </c>
      <c r="Y9" s="12">
        <f t="shared" si="1"/>
        <v>1.381579775339592E-2</v>
      </c>
      <c r="Z9" s="12">
        <f t="shared" si="2"/>
        <v>-2.2977846992937589E-3</v>
      </c>
      <c r="AA9" s="12">
        <f t="shared" si="3"/>
        <v>1.8227508349492272E-2</v>
      </c>
      <c r="AB9" s="12">
        <f t="shared" si="4"/>
        <v>-3.517016026290995E-3</v>
      </c>
      <c r="AC9" s="12">
        <f t="shared" si="5"/>
        <v>4.2560992780576713E-2</v>
      </c>
      <c r="AD9" s="12">
        <f t="shared" si="6"/>
        <v>2.2901926554667808E-2</v>
      </c>
      <c r="AE9" s="12">
        <f t="shared" si="7"/>
        <v>5.5833624883008963E-2</v>
      </c>
      <c r="AF9" s="12">
        <f t="shared" si="8"/>
        <v>6.8585023247729054E-3</v>
      </c>
    </row>
    <row r="10" spans="1:32" x14ac:dyDescent="0.2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5.6277423925852069E-2</v>
      </c>
      <c r="N10" s="28">
        <f>output!C16/SUM(output!C$11:C$23)</f>
        <v>4.6669592964822156E-2</v>
      </c>
      <c r="O10" s="28">
        <f>output!D16/SUM(output!D$11:D$23)</f>
        <v>3.2802100641258033E-2</v>
      </c>
      <c r="P10" s="28">
        <f>output!E16/SUM(output!E$11:E$23)</f>
        <v>3.7573794308808334E-2</v>
      </c>
      <c r="Q10" s="28">
        <f>output!F16/SUM(output!F$11:F$23)</f>
        <v>5.0166928222966679E-2</v>
      </c>
      <c r="R10" s="28">
        <f>output!G16/SUM(output!G$11:G$23)</f>
        <v>6.2935966671852278E-2</v>
      </c>
      <c r="S10" s="28">
        <f>output!H16/SUM(output!H$11:H$23)</f>
        <v>8.6365274058869942E-2</v>
      </c>
      <c r="T10" s="28">
        <f>output!I16/SUM(output!I$11:I$23)</f>
        <v>3.7357871405345633E-2</v>
      </c>
      <c r="U10" s="28">
        <f>output!J16/SUM(output!J$11:J$23)</f>
        <v>5.2879709600528194E-2</v>
      </c>
      <c r="W10" s="27" t="s">
        <v>233</v>
      </c>
      <c r="X10" s="12">
        <f t="shared" si="0"/>
        <v>-3.4748644252681815E-2</v>
      </c>
      <c r="Y10" s="12">
        <f t="shared" si="1"/>
        <v>-4.7150329328239989E-2</v>
      </c>
      <c r="Z10" s="12">
        <f t="shared" si="2"/>
        <v>-5.3742266339511055E-2</v>
      </c>
      <c r="AA10" s="12">
        <f t="shared" si="3"/>
        <v>-3.6898022481397869E-2</v>
      </c>
      <c r="AB10" s="12">
        <f t="shared" si="4"/>
        <v>-1.4325052807394011E-2</v>
      </c>
      <c r="AC10" s="12">
        <f t="shared" si="5"/>
        <v>-1.7874739487636501E-2</v>
      </c>
      <c r="AD10" s="12">
        <f t="shared" si="6"/>
        <v>-5.250642441606175E-2</v>
      </c>
      <c r="AE10" s="12">
        <f t="shared" si="7"/>
        <v>-3.7283044599643475E-2</v>
      </c>
      <c r="AF10" s="12">
        <f t="shared" si="8"/>
        <v>-3.9735792061687758E-2</v>
      </c>
    </row>
    <row r="11" spans="1:32" x14ac:dyDescent="0.2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0.12610298221872501</v>
      </c>
      <c r="N11" s="28">
        <f>output!C17/SUM(output!C$11:C$23)</f>
        <v>0.11263542039962936</v>
      </c>
      <c r="O11" s="28">
        <f>output!D17/SUM(output!D$11:D$23)</f>
        <v>9.4863186369874675E-2</v>
      </c>
      <c r="P11" s="28">
        <f>output!E17/SUM(output!E$11:E$23)</f>
        <v>9.5152867833371027E-2</v>
      </c>
      <c r="Q11" s="28">
        <f>output!F17/SUM(output!F$11:F$23)</f>
        <v>0.11198582309546175</v>
      </c>
      <c r="R11" s="28">
        <f>output!G17/SUM(output!G$11:G$23)</f>
        <v>0.12519525079909602</v>
      </c>
      <c r="S11" s="28">
        <f>output!H17/SUM(output!H$11:H$23)</f>
        <v>0.11168228203956446</v>
      </c>
      <c r="T11" s="28">
        <f>output!I17/SUM(output!I$11:I$23)</f>
        <v>8.4915318379629193E-2</v>
      </c>
      <c r="U11" s="28">
        <f>output!J17/SUM(output!J$11:J$23)</f>
        <v>0.11166095952472203</v>
      </c>
      <c r="W11" s="27" t="s">
        <v>234</v>
      </c>
      <c r="X11" s="12">
        <f t="shared" si="0"/>
        <v>6.7149112173972514E-2</v>
      </c>
      <c r="Y11" s="12">
        <f t="shared" si="1"/>
        <v>5.1071337141900895E-2</v>
      </c>
      <c r="Z11" s="12">
        <f t="shared" si="2"/>
        <v>4.6498640119435296E-2</v>
      </c>
      <c r="AA11" s="12">
        <f t="shared" si="3"/>
        <v>4.1368631531746726E-2</v>
      </c>
      <c r="AB11" s="12">
        <f t="shared" si="4"/>
        <v>4.5954772831289681E-2</v>
      </c>
      <c r="AC11" s="12">
        <f t="shared" si="5"/>
        <v>7.8429034034234846E-2</v>
      </c>
      <c r="AD11" s="12">
        <f t="shared" si="6"/>
        <v>4.750903880764816E-2</v>
      </c>
      <c r="AE11" s="12">
        <f t="shared" si="7"/>
        <v>2.4086066978257381E-2</v>
      </c>
      <c r="AF11" s="12">
        <f t="shared" si="8"/>
        <v>5.3574089907235625E-2</v>
      </c>
    </row>
    <row r="12" spans="1:32" x14ac:dyDescent="0.2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0.11233127743649803</v>
      </c>
      <c r="N12" s="28">
        <f>output!C18/SUM(output!C$11:C$23)</f>
        <v>0.11841811608973259</v>
      </c>
      <c r="O12" s="28">
        <f>output!D18/SUM(output!D$11:D$23)</f>
        <v>0.10437927380781459</v>
      </c>
      <c r="P12" s="28">
        <f>output!E18/SUM(output!E$11:E$23)</f>
        <v>9.6589895757888372E-2</v>
      </c>
      <c r="Q12" s="28">
        <f>output!F18/SUM(output!F$11:F$23)</f>
        <v>0.13663593344372457</v>
      </c>
      <c r="R12" s="28">
        <f>output!G18/SUM(output!G$11:G$23)</f>
        <v>7.4113314658833376E-2</v>
      </c>
      <c r="S12" s="28">
        <f>output!H18/SUM(output!H$11:H$23)</f>
        <v>7.4202788275097908E-2</v>
      </c>
      <c r="T12" s="28">
        <f>output!I18/SUM(output!I$11:I$23)</f>
        <v>9.9545328574865227E-2</v>
      </c>
      <c r="U12" s="28">
        <f>output!J18/SUM(output!J$11:J$23)</f>
        <v>0.10360122054490414</v>
      </c>
      <c r="W12" s="27" t="s">
        <v>208</v>
      </c>
      <c r="X12" s="12">
        <f t="shared" si="0"/>
        <v>6.7556000438847352E-2</v>
      </c>
      <c r="Y12" s="12">
        <f t="shared" si="1"/>
        <v>7.1633252433107808E-2</v>
      </c>
      <c r="Z12" s="12">
        <f t="shared" si="2"/>
        <v>6.3528474823734776E-2</v>
      </c>
      <c r="AA12" s="12">
        <f t="shared" si="3"/>
        <v>6.044111688991164E-2</v>
      </c>
      <c r="AB12" s="12">
        <f t="shared" si="4"/>
        <v>9.6729629386763327E-2</v>
      </c>
      <c r="AC12" s="12">
        <f t="shared" si="5"/>
        <v>6.4981019595137968E-2</v>
      </c>
      <c r="AD12" s="12">
        <f t="shared" si="6"/>
        <v>4.2481636478027558E-2</v>
      </c>
      <c r="AE12" s="12">
        <f t="shared" si="7"/>
        <v>6.477168560190491E-2</v>
      </c>
      <c r="AF12" s="12">
        <f t="shared" si="8"/>
        <v>6.3876068145260922E-2</v>
      </c>
    </row>
    <row r="13" spans="1:32" x14ac:dyDescent="0.2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4.4264007453362612E-2</v>
      </c>
      <c r="N13" s="28">
        <f>output!C19/SUM(output!C$11:C$23)</f>
        <v>6.550526813396812E-2</v>
      </c>
      <c r="O13" s="28">
        <f>output!D19/SUM(output!D$11:D$23)</f>
        <v>5.5445852559578353E-2</v>
      </c>
      <c r="P13" s="28">
        <f>output!E19/SUM(output!E$11:E$23)</f>
        <v>5.3788214821941072E-2</v>
      </c>
      <c r="Q13" s="28">
        <f>output!F19/SUM(output!F$11:F$23)</f>
        <v>8.4300746449037109E-2</v>
      </c>
      <c r="R13" s="28">
        <f>output!G19/SUM(output!G$11:G$23)</f>
        <v>2.864307719018418E-2</v>
      </c>
      <c r="S13" s="28">
        <f>output!H19/SUM(output!H$11:H$23)</f>
        <v>3.0699829817250193E-2</v>
      </c>
      <c r="T13" s="28">
        <f>output!I19/SUM(output!I$11:I$23)</f>
        <v>5.6676203141065085E-2</v>
      </c>
      <c r="U13" s="28">
        <f>output!J19/SUM(output!J$11:J$23)</f>
        <v>4.9109730142605716E-2</v>
      </c>
      <c r="W13" s="27" t="s">
        <v>10</v>
      </c>
      <c r="X13" s="12">
        <f t="shared" si="0"/>
        <v>-4.715456876067739E-3</v>
      </c>
      <c r="Y13" s="12">
        <f t="shared" si="1"/>
        <v>7.985198431044116E-3</v>
      </c>
      <c r="Z13" s="12">
        <f t="shared" si="2"/>
        <v>2.7296843746531033E-3</v>
      </c>
      <c r="AA13" s="12">
        <f t="shared" si="3"/>
        <v>-6.5848417766207201E-3</v>
      </c>
      <c r="AB13" s="12">
        <f t="shared" si="4"/>
        <v>2.950253935169557E-2</v>
      </c>
      <c r="AC13" s="12">
        <f t="shared" si="5"/>
        <v>5.7142374993400871E-4</v>
      </c>
      <c r="AD13" s="12">
        <f t="shared" si="6"/>
        <v>1.5487318425381954E-2</v>
      </c>
      <c r="AE13" s="12">
        <f t="shared" si="7"/>
        <v>5.995116538931082E-3</v>
      </c>
      <c r="AF13" s="12">
        <f t="shared" si="8"/>
        <v>1.9778854072684052E-3</v>
      </c>
    </row>
    <row r="14" spans="1:32" x14ac:dyDescent="0.2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1.3111535391712639E-2</v>
      </c>
      <c r="N14" s="28">
        <f>output!C20/SUM(output!C$11:C$23)</f>
        <v>1.9213110981627049E-2</v>
      </c>
      <c r="O14" s="28">
        <f>output!D20/SUM(output!D$11:D$23)</f>
        <v>1.9180878027853052E-2</v>
      </c>
      <c r="P14" s="28">
        <f>output!E20/SUM(output!E$11:E$23)</f>
        <v>2.6693264038871792E-2</v>
      </c>
      <c r="Q14" s="28">
        <f>output!F20/SUM(output!F$11:F$23)</f>
        <v>1.6527996241964951E-2</v>
      </c>
      <c r="R14" s="28">
        <f>output!G20/SUM(output!G$11:G$23)</f>
        <v>1.5791334336898555E-2</v>
      </c>
      <c r="S14" s="28">
        <f>output!H20/SUM(output!H$11:H$23)</f>
        <v>4.1112227019929455E-2</v>
      </c>
      <c r="T14" s="28">
        <f>output!I20/SUM(output!I$11:I$23)</f>
        <v>3.2262464770696227E-2</v>
      </c>
      <c r="U14" s="28">
        <f>output!J20/SUM(output!J$11:J$23)</f>
        <v>2.1590479568582791E-2</v>
      </c>
      <c r="W14" s="27" t="s">
        <v>227</v>
      </c>
      <c r="X14" s="12">
        <f t="shared" si="0"/>
        <v>-8.2631577649152285E-3</v>
      </c>
      <c r="Y14" s="12">
        <f t="shared" si="1"/>
        <v>-1.9046775815549165E-2</v>
      </c>
      <c r="Z14" s="12">
        <f t="shared" si="2"/>
        <v>-9.0263994779824254E-3</v>
      </c>
      <c r="AA14" s="12">
        <f t="shared" si="3"/>
        <v>-2.6260987955728742E-2</v>
      </c>
      <c r="AB14" s="12">
        <f t="shared" si="4"/>
        <v>-9.658063790707265E-3</v>
      </c>
      <c r="AC14" s="12">
        <f t="shared" si="5"/>
        <v>-4.6648108109211689E-4</v>
      </c>
      <c r="AD14" s="12">
        <f t="shared" si="6"/>
        <v>2.521740581297667E-2</v>
      </c>
      <c r="AE14" s="12">
        <f t="shared" si="7"/>
        <v>1.7833893473363192E-2</v>
      </c>
      <c r="AF14" s="12">
        <f t="shared" si="8"/>
        <v>-5.8547753598472488E-3</v>
      </c>
    </row>
    <row r="15" spans="1:32" x14ac:dyDescent="0.2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3.6616705023034345E-2</v>
      </c>
      <c r="N15" s="28">
        <f>output!C21/SUM(output!C$11:C$23)</f>
        <v>5.7447525777311423E-2</v>
      </c>
      <c r="O15" s="28">
        <f>output!D21/SUM(output!D$11:D$23)</f>
        <v>4.7901615641698765E-2</v>
      </c>
      <c r="P15" s="28">
        <f>output!E21/SUM(output!E$11:E$23)</f>
        <v>6.1851493671014307E-2</v>
      </c>
      <c r="Q15" s="28">
        <f>output!F21/SUM(output!F$11:F$23)</f>
        <v>3.9556917976226715E-2</v>
      </c>
      <c r="R15" s="28">
        <f>output!G21/SUM(output!G$11:G$23)</f>
        <v>3.0705712121766666E-2</v>
      </c>
      <c r="S15" s="28">
        <f>output!H21/SUM(output!H$11:H$23)</f>
        <v>5.0208610289794883E-2</v>
      </c>
      <c r="T15" s="28">
        <f>output!I21/SUM(output!I$11:I$23)</f>
        <v>6.377256195570434E-2</v>
      </c>
      <c r="U15" s="28">
        <f>output!J21/SUM(output!J$11:J$23)</f>
        <v>4.6998428775553228E-2</v>
      </c>
      <c r="W15" s="27" t="s">
        <v>230</v>
      </c>
      <c r="X15" s="12">
        <f t="shared" si="0"/>
        <v>1.7759109430741729E-2</v>
      </c>
      <c r="Y15" s="12">
        <f t="shared" si="1"/>
        <v>1.6590297019017035E-2</v>
      </c>
      <c r="Z15" s="12">
        <f t="shared" si="2"/>
        <v>3.1169526786533976E-2</v>
      </c>
      <c r="AA15" s="12">
        <f t="shared" si="3"/>
        <v>3.0015359863258352E-2</v>
      </c>
      <c r="AB15" s="12">
        <f t="shared" si="4"/>
        <v>2.137683409677496E-2</v>
      </c>
      <c r="AC15" s="12">
        <f t="shared" si="5"/>
        <v>2.2748544900405905E-2</v>
      </c>
      <c r="AD15" s="12">
        <f t="shared" si="6"/>
        <v>3.5438920467354765E-2</v>
      </c>
      <c r="AE15" s="12">
        <f t="shared" si="7"/>
        <v>5.2867479967784493E-2</v>
      </c>
      <c r="AF15" s="12">
        <f t="shared" si="8"/>
        <v>2.5668545082817171E-2</v>
      </c>
    </row>
    <row r="16" spans="1:32" x14ac:dyDescent="0.2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3.2907206795466722E-2</v>
      </c>
      <c r="N16" s="28">
        <f>output!C22/SUM(output!C$11:C$23)</f>
        <v>6.3357207883617608E-2</v>
      </c>
      <c r="O16" s="28">
        <f>output!D22/SUM(output!D$11:D$23)</f>
        <v>5.3741355949518808E-2</v>
      </c>
      <c r="P16" s="28">
        <f>output!E22/SUM(output!E$11:E$23)</f>
        <v>6.6570718049591984E-2</v>
      </c>
      <c r="Q16" s="28">
        <f>output!F22/SUM(output!F$11:F$23)</f>
        <v>4.4088591254517744E-2</v>
      </c>
      <c r="R16" s="28">
        <f>output!G22/SUM(output!G$11:G$23)</f>
        <v>1.6779667042927143E-2</v>
      </c>
      <c r="S16" s="28">
        <f>output!H22/SUM(output!H$11:H$23)</f>
        <v>3.0640177961749209E-2</v>
      </c>
      <c r="T16" s="28">
        <f>output!I22/SUM(output!I$11:I$23)</f>
        <v>6.3450199904403162E-2</v>
      </c>
      <c r="U16" s="28">
        <f>output!J22/SUM(output!J$11:J$23)</f>
        <v>4.457350553314067E-2</v>
      </c>
      <c r="W16" s="27" t="s">
        <v>11</v>
      </c>
      <c r="X16" s="12">
        <f t="shared" si="0"/>
        <v>2.4459520080904039E-2</v>
      </c>
      <c r="Y16" s="12">
        <f t="shared" si="1"/>
        <v>4.5158831010167641E-2</v>
      </c>
      <c r="Z16" s="12">
        <f t="shared" si="2"/>
        <v>4.2062949355111283E-2</v>
      </c>
      <c r="AA16" s="12">
        <f t="shared" si="3"/>
        <v>4.8722292334209855E-2</v>
      </c>
      <c r="AB16" s="12">
        <f t="shared" si="4"/>
        <v>1.8901159342941436E-2</v>
      </c>
      <c r="AC16" s="12">
        <f t="shared" si="5"/>
        <v>1.1567682640092863E-2</v>
      </c>
      <c r="AD16" s="12">
        <f t="shared" si="6"/>
        <v>2.8049068184186128E-2</v>
      </c>
      <c r="AE16" s="12">
        <f t="shared" si="7"/>
        <v>4.7396235598654197E-2</v>
      </c>
      <c r="AF16" s="12">
        <f t="shared" si="8"/>
        <v>3.3215259441476713E-2</v>
      </c>
    </row>
    <row r="17" spans="1:32" x14ac:dyDescent="0.2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5.4190811996138698E-3</v>
      </c>
      <c r="N17" s="30">
        <f>output!C23/SUM(output!C$11:C$23)</f>
        <v>1.7902693572066031E-2</v>
      </c>
      <c r="O17" s="30">
        <f>output!D23/SUM(output!D$11:D$23)</f>
        <v>1.7457269878870047E-2</v>
      </c>
      <c r="P17" s="30">
        <f>output!E23/SUM(output!E$11:E$23)</f>
        <v>2.2756772031428483E-2</v>
      </c>
      <c r="Q17" s="30">
        <f>output!F23/SUM(output!F$11:F$23)</f>
        <v>1.6781193968577881E-2</v>
      </c>
      <c r="R17" s="30">
        <f>output!G23/SUM(output!G$11:G$23)</f>
        <v>3.1031675592782912E-3</v>
      </c>
      <c r="S17" s="30">
        <f>output!H23/SUM(output!H$11:H$23)</f>
        <v>4.971404245837697E-3</v>
      </c>
      <c r="T17" s="30">
        <f>output!I23/SUM(output!I$11:I$23)</f>
        <v>1.5699790297992938E-2</v>
      </c>
      <c r="U17" s="30">
        <f>output!J23/SUM(output!J$11:J$23)</f>
        <v>1.1491416635165475E-2</v>
      </c>
      <c r="W17" s="29" t="s">
        <v>206</v>
      </c>
      <c r="X17" s="12">
        <f t="shared" si="0"/>
        <v>-1.2179719537649646E-2</v>
      </c>
      <c r="Y17" s="12">
        <f t="shared" si="1"/>
        <v>-2.7821715840848686E-2</v>
      </c>
      <c r="Z17" s="12">
        <f t="shared" si="2"/>
        <v>-3.4977878646771932E-4</v>
      </c>
      <c r="AA17" s="12">
        <f t="shared" si="3"/>
        <v>-2.1606658677083102E-2</v>
      </c>
      <c r="AB17" s="12">
        <f t="shared" si="4"/>
        <v>-1.6607901289342756E-2</v>
      </c>
      <c r="AC17" s="12">
        <f t="shared" si="5"/>
        <v>3.1031675592782912E-3</v>
      </c>
      <c r="AD17" s="12">
        <f t="shared" si="6"/>
        <v>-1.0378281588253125E-3</v>
      </c>
      <c r="AE17" s="12">
        <f t="shared" si="7"/>
        <v>-8.7862530176606793E-4</v>
      </c>
      <c r="AF17" s="12">
        <f t="shared" si="8"/>
        <v>-1.140450719875521E-2</v>
      </c>
    </row>
    <row r="18" spans="1:32" ht="13.5" thickBot="1" x14ac:dyDescent="0.25">
      <c r="A18" s="15" t="s">
        <v>221</v>
      </c>
      <c r="B18" s="31">
        <f>SUM(B5:B17)</f>
        <v>1.0000000000000002</v>
      </c>
      <c r="C18" s="31">
        <f t="shared" ref="C18:J18" si="9">SUM(C5:C17)</f>
        <v>0.99999999999999978</v>
      </c>
      <c r="D18" s="31">
        <f t="shared" si="9"/>
        <v>1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1.0000000000000002</v>
      </c>
      <c r="I18" s="31">
        <f t="shared" si="9"/>
        <v>1.0000000000000002</v>
      </c>
      <c r="J18" s="31">
        <f t="shared" si="9"/>
        <v>1</v>
      </c>
      <c r="L18" s="15" t="s">
        <v>221</v>
      </c>
      <c r="M18" s="31">
        <f>SUM(M5:M17)</f>
        <v>0.99999999999999989</v>
      </c>
      <c r="N18" s="31">
        <f t="shared" ref="N18:U18" si="10">SUM(N5:N17)</f>
        <v>1</v>
      </c>
      <c r="O18" s="31">
        <f t="shared" si="10"/>
        <v>0.99999999999999989</v>
      </c>
      <c r="P18" s="31">
        <f t="shared" si="10"/>
        <v>1.0000000000000002</v>
      </c>
      <c r="Q18" s="31">
        <f t="shared" si="10"/>
        <v>1</v>
      </c>
      <c r="R18" s="31">
        <f t="shared" si="10"/>
        <v>1</v>
      </c>
      <c r="S18" s="31">
        <f t="shared" si="10"/>
        <v>1.0000000000000002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width="15.75" style="3" customWidth="1" collapsed="1"/>
    <col min="2" max="11" width="10.75" style="3" collapsed="1"/>
    <col min="12" max="12" width="15.75" style="3" customWidth="1" collapsed="1"/>
    <col min="13" max="13" width="11.25" style="39" bestFit="1" customWidth="1" collapsed="1"/>
    <col min="14" max="21" width="10.75" style="39" collapsed="1"/>
    <col min="22" max="22" width="10.75" style="3" collapsed="1"/>
    <col min="23" max="23" width="15.75" style="3" customWidth="1" collapsed="1"/>
    <col min="24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4.4454487253668767E-2</v>
      </c>
      <c r="N5" s="42">
        <f>output!C29/SUM(output!C$29:C$32)</f>
        <v>0.42427798062477429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0.6078624699415458</v>
      </c>
      <c r="R5" s="42">
        <f>output!G29/SUM(output!G$29:G$32)</f>
        <v>0.98459733444573816</v>
      </c>
      <c r="S5" s="42">
        <f>output!H29/SUM(output!H$29:H$32)</f>
        <v>1</v>
      </c>
      <c r="T5" s="42">
        <f>output!I29/SUM(output!I$29:I$32)</f>
        <v>1</v>
      </c>
      <c r="U5" s="42">
        <f>output!J29/SUM(output!J$29:J$32)</f>
        <v>0.57019199135055298</v>
      </c>
      <c r="W5" s="3" t="s">
        <v>226</v>
      </c>
      <c r="X5" s="12">
        <f t="shared" ref="X5:AF5" si="0">M5-B5</f>
        <v>-0.17498508581964622</v>
      </c>
      <c r="Y5" s="12">
        <f t="shared" si="0"/>
        <v>-0.14174105595898356</v>
      </c>
      <c r="Z5" s="12">
        <f t="shared" si="0"/>
        <v>3.5290814824202044E-2</v>
      </c>
      <c r="AA5" s="12">
        <f t="shared" si="0"/>
        <v>4.2516855789300978E-2</v>
      </c>
      <c r="AB5" s="12">
        <f t="shared" si="0"/>
        <v>8.509489697953776E-2</v>
      </c>
      <c r="AC5" s="12">
        <f t="shared" si="0"/>
        <v>1.9807682839073193E-2</v>
      </c>
      <c r="AD5" s="12">
        <f t="shared" si="0"/>
        <v>2.9657177132704771E-3</v>
      </c>
      <c r="AE5" s="12">
        <f t="shared" si="0"/>
        <v>2.0910064382133609E-3</v>
      </c>
      <c r="AF5" s="12">
        <f t="shared" si="0"/>
        <v>-6.6477982198119845E-2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3.300196729215371E-4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6.3709689998140903E-3</v>
      </c>
      <c r="R6" s="42">
        <f>output!G30/SUM(output!G$29:G$32)</f>
        <v>2.9278810127513863E-5</v>
      </c>
      <c r="S6" s="42">
        <f>output!H30/SUM(output!H$29:H$32)</f>
        <v>0</v>
      </c>
      <c r="T6" s="42">
        <f>output!I30/SUM(output!I$29:I$32)</f>
        <v>0</v>
      </c>
      <c r="U6" s="42">
        <f>output!J30/SUM(output!J$29:J$32)</f>
        <v>4.2416518407071814E-4</v>
      </c>
      <c r="W6" s="3" t="s">
        <v>235</v>
      </c>
      <c r="X6" s="12"/>
      <c r="Y6" s="12"/>
      <c r="Z6" s="12"/>
      <c r="AA6" s="12"/>
      <c r="AB6" s="12">
        <f t="shared" ref="AB6:AD8" si="1">Q6-F6</f>
        <v>-8.8797360720047347E-2</v>
      </c>
      <c r="AC6" s="12">
        <f t="shared" si="1"/>
        <v>-1.4241626981959871E-2</v>
      </c>
      <c r="AD6" s="12">
        <f t="shared" si="1"/>
        <v>-6.0032688360939018E-4</v>
      </c>
      <c r="AE6" s="12">
        <f t="shared" ref="AE6:AF9" si="2">T6-I6</f>
        <v>-7.0484567333300822E-4</v>
      </c>
      <c r="AF6" s="12">
        <f t="shared" si="2"/>
        <v>-2.8738494973070423E-3</v>
      </c>
    </row>
    <row r="7" spans="1:32" x14ac:dyDescent="0.2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0.80003750573520671</v>
      </c>
      <c r="N7" s="42">
        <f>output!C31/SUM(output!C$29:C$32)</f>
        <v>0.46638805430126329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0.32217679713378355</v>
      </c>
      <c r="R7" s="42">
        <f>output!G31/SUM(output!G$29:G$32)</f>
        <v>1.3357889221652116E-2</v>
      </c>
      <c r="S7" s="42">
        <f>output!H31/SUM(output!H$29:H$32)</f>
        <v>0</v>
      </c>
      <c r="T7" s="42">
        <f>output!I31/SUM(output!I$29:I$32)</f>
        <v>0</v>
      </c>
      <c r="U7" s="42">
        <f>output!J31/SUM(output!J$29:J$32)</f>
        <v>0.35820498453826699</v>
      </c>
      <c r="W7" s="3" t="s">
        <v>236</v>
      </c>
      <c r="X7" s="12">
        <f t="shared" ref="X7:AA9" si="3">M7-B7</f>
        <v>0.13574944379182274</v>
      </c>
      <c r="Y7" s="12">
        <f t="shared" si="3"/>
        <v>8.4786723011996579E-2</v>
      </c>
      <c r="Z7" s="12">
        <f t="shared" si="3"/>
        <v>-2.8650267257813125E-2</v>
      </c>
      <c r="AA7" s="12">
        <f t="shared" si="3"/>
        <v>-3.1955886394263493E-2</v>
      </c>
      <c r="AB7" s="12">
        <f t="shared" si="1"/>
        <v>2.3453721596991273E-2</v>
      </c>
      <c r="AC7" s="12">
        <f t="shared" si="1"/>
        <v>-7.5815533795954935E-3</v>
      </c>
      <c r="AD7" s="12">
        <f t="shared" si="1"/>
        <v>-2.3653908296611473E-3</v>
      </c>
      <c r="AE7" s="12">
        <f t="shared" si="2"/>
        <v>-1.3861607648803247E-3</v>
      </c>
      <c r="AF7" s="12">
        <f t="shared" si="2"/>
        <v>5.2158801501824392E-2</v>
      </c>
    </row>
    <row r="8" spans="1:32" x14ac:dyDescent="0.2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0.15517798733820293</v>
      </c>
      <c r="N8" s="43">
        <f>output!C32/SUM(output!C$29:C$32)</f>
        <v>0.10933396507396244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6.3589763924856518E-2</v>
      </c>
      <c r="R8" s="43">
        <f>output!G32/SUM(output!G$29:G$32)</f>
        <v>2.0154975224822265E-3</v>
      </c>
      <c r="S8" s="43">
        <f>output!H32/SUM(output!H$29:H$32)</f>
        <v>0</v>
      </c>
      <c r="T8" s="43">
        <f>output!I32/SUM(output!I$29:I$32)</f>
        <v>0</v>
      </c>
      <c r="U8" s="43">
        <f>output!J32/SUM(output!J$29:J$32)</f>
        <v>7.1178858927109318E-2</v>
      </c>
      <c r="W8" s="8" t="s">
        <v>173</v>
      </c>
      <c r="X8" s="12">
        <f t="shared" si="3"/>
        <v>3.89056223549019E-2</v>
      </c>
      <c r="Y8" s="12">
        <f t="shared" si="3"/>
        <v>5.6954332946986951E-2</v>
      </c>
      <c r="Z8" s="12">
        <f t="shared" si="3"/>
        <v>-6.6405475663888812E-3</v>
      </c>
      <c r="AA8" s="12">
        <f t="shared" si="3"/>
        <v>-1.0560969395037645E-2</v>
      </c>
      <c r="AB8" s="12">
        <f>Q8-F8</f>
        <v>-1.9751257856481685E-2</v>
      </c>
      <c r="AC8" s="12">
        <f t="shared" si="1"/>
        <v>2.0154975224822265E-3</v>
      </c>
      <c r="AD8" s="12">
        <f t="shared" si="1"/>
        <v>0</v>
      </c>
      <c r="AE8" s="12">
        <f t="shared" si="2"/>
        <v>0</v>
      </c>
      <c r="AF8" s="12">
        <f t="shared" si="2"/>
        <v>1.719303019360266E-2</v>
      </c>
    </row>
    <row r="9" spans="1:32" ht="13.5" thickBot="1" x14ac:dyDescent="0.25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1.0000000000000002</v>
      </c>
      <c r="F9" s="44">
        <f t="shared" si="4"/>
        <v>1</v>
      </c>
      <c r="G9" s="44">
        <f t="shared" si="4"/>
        <v>0.99999999999999989</v>
      </c>
      <c r="H9" s="44">
        <f t="shared" si="4"/>
        <v>1</v>
      </c>
      <c r="I9" s="44">
        <f t="shared" si="4"/>
        <v>0.99999999999999989</v>
      </c>
      <c r="J9" s="44">
        <f t="shared" si="4"/>
        <v>0.99999999999999989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0.99999999999999989</v>
      </c>
      <c r="R9" s="44">
        <f t="shared" si="5"/>
        <v>1</v>
      </c>
      <c r="S9" s="44">
        <f t="shared" si="5"/>
        <v>1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0.97862492107589694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0.28383921531204087</v>
      </c>
      <c r="R17" s="42">
        <f>output!G36/SUM(output!G$36:G$39)</f>
        <v>0.10876465503364906</v>
      </c>
      <c r="S17" s="42">
        <f>output!H36/SUM(output!H$36:H$39)</f>
        <v>0.13532304480494817</v>
      </c>
      <c r="T17" s="42">
        <f>output!I36/SUM(output!I$36:I$39)</f>
        <v>0.84152621048302723</v>
      </c>
      <c r="U17" s="42">
        <f>output!J36/SUM(output!J$36:J$39)</f>
        <v>0.80350782347479954</v>
      </c>
      <c r="W17" s="3" t="s">
        <v>226</v>
      </c>
      <c r="X17" s="12">
        <f t="shared" ref="X17:AF18" si="6">M17-B17</f>
        <v>-1.409829912635685E-2</v>
      </c>
      <c r="Y17" s="12">
        <f t="shared" si="6"/>
        <v>8.6665019389040476E-2</v>
      </c>
      <c r="Z17" s="12">
        <f t="shared" si="6"/>
        <v>2.9727775809728074E-3</v>
      </c>
      <c r="AA17" s="12">
        <f t="shared" si="6"/>
        <v>7.8039685319091778E-2</v>
      </c>
      <c r="AB17" s="12">
        <f t="shared" si="6"/>
        <v>-0.38237574628829224</v>
      </c>
      <c r="AC17" s="12">
        <f t="shared" si="6"/>
        <v>-0.12192912395010204</v>
      </c>
      <c r="AD17" s="12">
        <f t="shared" si="6"/>
        <v>-0.11389668683195028</v>
      </c>
      <c r="AE17" s="12">
        <f t="shared" si="6"/>
        <v>2.540091566911451E-2</v>
      </c>
      <c r="AF17" s="12">
        <f t="shared" si="6"/>
        <v>-2.8745158281592076E-2</v>
      </c>
    </row>
    <row r="18" spans="1:32" x14ac:dyDescent="0.2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3.4724159187431738E-4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1.0244948598515694E-2</v>
      </c>
      <c r="R18" s="42">
        <f>output!G37/SUM(output!G$36:G$39)</f>
        <v>2.4061107703971031E-4</v>
      </c>
      <c r="S18" s="42">
        <f>output!H37/SUM(output!H$36:H$39)</f>
        <v>0</v>
      </c>
      <c r="T18" s="42">
        <f>output!I37/SUM(output!I$36:I$39)</f>
        <v>0</v>
      </c>
      <c r="U18" s="42">
        <f>output!J37/SUM(output!J$36:J$39)</f>
        <v>6.1914020138702979E-4</v>
      </c>
      <c r="W18" s="3" t="s">
        <v>235</v>
      </c>
      <c r="X18" s="12">
        <f t="shared" ref="X18:Y21" si="7">M18-B18</f>
        <v>-2.7604893849494604E-3</v>
      </c>
      <c r="Y18" s="12">
        <f t="shared" si="7"/>
        <v>-5.5964950877115758E-3</v>
      </c>
      <c r="Z18" s="12"/>
      <c r="AA18" s="12">
        <f>P18-E18</f>
        <v>-1.5356619981554932E-3</v>
      </c>
      <c r="AB18" s="12">
        <f t="shared" si="6"/>
        <v>-8.7966605020902908E-4</v>
      </c>
      <c r="AC18" s="12">
        <f t="shared" si="6"/>
        <v>2.4061107703971031E-4</v>
      </c>
      <c r="AD18" s="12">
        <f t="shared" si="6"/>
        <v>0</v>
      </c>
      <c r="AE18" s="12">
        <f t="shared" si="6"/>
        <v>0</v>
      </c>
      <c r="AF18" s="12">
        <f>U18-J18</f>
        <v>-1.6588104991579191E-3</v>
      </c>
    </row>
    <row r="19" spans="1:32" x14ac:dyDescent="0.2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1.9612008213797529E-2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0.58462523979124292</v>
      </c>
      <c r="R19" s="42">
        <f>output!G38/SUM(output!G$36:G$39)</f>
        <v>0.76677395632092604</v>
      </c>
      <c r="S19" s="42">
        <f>output!H38/SUM(output!H$36:H$39)</f>
        <v>0.75171488682443599</v>
      </c>
      <c r="T19" s="42">
        <f>output!I38/SUM(output!I$36:I$39)</f>
        <v>0.13480149360374158</v>
      </c>
      <c r="U19" s="42">
        <f>output!J38/SUM(output!J$36:J$39)</f>
        <v>0.16898569467721974</v>
      </c>
      <c r="W19" s="3" t="s">
        <v>236</v>
      </c>
      <c r="X19" s="12">
        <f t="shared" si="7"/>
        <v>1.5442959392874985E-2</v>
      </c>
      <c r="Y19" s="12">
        <f t="shared" si="7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t="shared" ref="AB19:AE21" si="8">Q19-F19</f>
        <v>0.32459252559299218</v>
      </c>
      <c r="AC19" s="12">
        <f t="shared" si="8"/>
        <v>2.1348657405623639E-2</v>
      </c>
      <c r="AD19" s="12">
        <f t="shared" si="8"/>
        <v>3.9190966461387533E-2</v>
      </c>
      <c r="AE19" s="12">
        <f t="shared" si="8"/>
        <v>-4.9073211582345622E-2</v>
      </c>
      <c r="AF19" s="12">
        <f>U19-J19</f>
        <v>1.3058550300957705E-2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1.4158291184313875E-3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0.12129059629820052</v>
      </c>
      <c r="R20" s="43">
        <f>output!G39/SUM(output!G$36:G$39)</f>
        <v>0.12422077756838529</v>
      </c>
      <c r="S20" s="43">
        <f>output!H39/SUM(output!H$36:H$39)</f>
        <v>0.11296206837061593</v>
      </c>
      <c r="T20" s="43">
        <f>output!I39/SUM(output!I$36:I$39)</f>
        <v>2.3672295913231091E-2</v>
      </c>
      <c r="U20" s="43">
        <f>output!J39/SUM(output!J$36:J$39)</f>
        <v>2.688734164659368E-2</v>
      </c>
      <c r="W20" s="8" t="s">
        <v>173</v>
      </c>
      <c r="X20" s="12">
        <f t="shared" si="7"/>
        <v>1.4158291184313875E-3</v>
      </c>
      <c r="Y20" s="12">
        <f t="shared" si="7"/>
        <v>-1.3363601896693538E-2</v>
      </c>
      <c r="Z20" s="12"/>
      <c r="AA20" s="12">
        <f>P20-E20</f>
        <v>-3.776243779983147E-3</v>
      </c>
      <c r="AB20" s="12">
        <f t="shared" si="8"/>
        <v>5.8662886745509027E-2</v>
      </c>
      <c r="AC20" s="12">
        <f t="shared" si="8"/>
        <v>0.10033985546743887</v>
      </c>
      <c r="AD20" s="12">
        <f t="shared" si="8"/>
        <v>7.4705720370562848E-2</v>
      </c>
      <c r="AE20" s="12">
        <f t="shared" si="8"/>
        <v>2.3672295913231091E-2</v>
      </c>
      <c r="AF20" s="12">
        <f>U20-J20</f>
        <v>1.7345418479792218E-2</v>
      </c>
    </row>
    <row r="21" spans="1:32" ht="13.5" thickBot="1" x14ac:dyDescent="0.25">
      <c r="A21" s="15" t="s">
        <v>221</v>
      </c>
      <c r="B21" s="44">
        <f>SUM(B17:B20)</f>
        <v>1.0000000000000002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1.0000000000000002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>
        <f t="shared" si="9"/>
        <v>0.99999999999999989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0.99999999999999989</v>
      </c>
      <c r="U21" s="44">
        <f t="shared" si="10"/>
        <v>0.99999999999999989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0.76861479204060268</v>
      </c>
      <c r="N29" s="42">
        <f>output!C43/SUM(output!C$43:C$46)</f>
        <v>0.77202790552394351</v>
      </c>
      <c r="O29" s="42">
        <f>output!D43/SUM(output!D$43:D$46)</f>
        <v>0.81669367807639082</v>
      </c>
      <c r="P29" s="42">
        <f>output!E43/SUM(output!E$43:E$46)</f>
        <v>0.70306129792649685</v>
      </c>
      <c r="Q29" s="42">
        <f>output!F43/SUM(output!F$43:F$46)</f>
        <v>0.81703389717104213</v>
      </c>
      <c r="R29" s="42">
        <f>output!G43/SUM(output!G$43:G$46)</f>
        <v>0.91206468978278288</v>
      </c>
      <c r="S29" s="42">
        <f>output!H43/SUM(output!H$43:H$46)</f>
        <v>0.86101960792810839</v>
      </c>
      <c r="T29" s="42">
        <f>output!I43/SUM(output!I$43:I$46)</f>
        <v>0.70183748532519918</v>
      </c>
      <c r="U29" s="42">
        <f>output!J43/SUM(output!J$43:J$46)</f>
        <v>0.77902228993994815</v>
      </c>
      <c r="W29" s="3" t="s">
        <v>226</v>
      </c>
      <c r="X29" s="12">
        <f t="shared" ref="X29:AD33" si="11">M29-B29</f>
        <v>-6.0207896994945331E-2</v>
      </c>
      <c r="Y29" s="12">
        <f t="shared" si="11"/>
        <v>-1.9503579852055752E-2</v>
      </c>
      <c r="Z29" s="12">
        <f t="shared" si="11"/>
        <v>-7.6129758621816923E-2</v>
      </c>
      <c r="AA29" s="12">
        <f t="shared" si="11"/>
        <v>-9.5382618580483247E-2</v>
      </c>
      <c r="AB29" s="12">
        <f t="shared" si="11"/>
        <v>-5.5993524343018408E-2</v>
      </c>
      <c r="AC29" s="12">
        <f t="shared" si="11"/>
        <v>1.0116527897786942E-2</v>
      </c>
      <c r="AD29" s="12">
        <f t="shared" si="11"/>
        <v>-1.3403703608590223E-2</v>
      </c>
      <c r="AE29" s="12">
        <f t="shared" ref="AE29:AF33" si="12">T29-I29</f>
        <v>-0.14305126590307116</v>
      </c>
      <c r="AF29" s="12">
        <f t="shared" si="12"/>
        <v>-5.856345034103827E-2</v>
      </c>
    </row>
    <row r="30" spans="1:32" x14ac:dyDescent="0.2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0.15364783799237677</v>
      </c>
      <c r="N30" s="42">
        <f>output!C44/SUM(output!C$43:C$46)</f>
        <v>7.8440414661657951E-2</v>
      </c>
      <c r="O30" s="42">
        <f>output!D44/SUM(output!D$43:D$46)</f>
        <v>1.5496978492364259E-2</v>
      </c>
      <c r="P30" s="42">
        <f>output!E44/SUM(output!E$43:E$46)</f>
        <v>2.183992058472322E-2</v>
      </c>
      <c r="Q30" s="42">
        <f>output!F44/SUM(output!F$43:F$46)</f>
        <v>0.13051084752271885</v>
      </c>
      <c r="R30" s="42">
        <f>output!G44/SUM(output!G$43:G$46)</f>
        <v>4.8494899827011599E-2</v>
      </c>
      <c r="S30" s="42">
        <f>output!H44/SUM(output!H$43:H$46)</f>
        <v>6.1288523622907952E-2</v>
      </c>
      <c r="T30" s="42">
        <f>output!I44/SUM(output!I$43:I$46)</f>
        <v>4.2775228320672605E-2</v>
      </c>
      <c r="U30" s="42">
        <f>output!J44/SUM(output!J$43:J$46)</f>
        <v>8.8415295578188571E-2</v>
      </c>
      <c r="W30" s="3" t="s">
        <v>235</v>
      </c>
      <c r="X30" s="12">
        <f t="shared" si="11"/>
        <v>6.033971395343217E-2</v>
      </c>
      <c r="Y30" s="12">
        <f t="shared" si="11"/>
        <v>2.0746453150758126E-2</v>
      </c>
      <c r="Z30" s="12">
        <f t="shared" si="11"/>
        <v>1.2418986307419801E-2</v>
      </c>
      <c r="AA30" s="12">
        <f t="shared" si="11"/>
        <v>7.8887195220354554E-3</v>
      </c>
      <c r="AB30" s="12">
        <f t="shared" si="11"/>
        <v>7.4666249917859778E-2</v>
      </c>
      <c r="AC30" s="12">
        <f t="shared" si="11"/>
        <v>2.5730310322554323E-2</v>
      </c>
      <c r="AD30" s="12">
        <f t="shared" si="11"/>
        <v>-1.7993752706604367E-2</v>
      </c>
      <c r="AE30" s="12">
        <f t="shared" si="12"/>
        <v>8.4779390313276248E-3</v>
      </c>
      <c r="AF30" s="12">
        <f t="shared" si="12"/>
        <v>2.9319016181994249E-2</v>
      </c>
    </row>
    <row r="31" spans="1:32" x14ac:dyDescent="0.2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3.467456564558323E-2</v>
      </c>
      <c r="N31" s="42">
        <f>output!C45/SUM(output!C$43:C$46)</f>
        <v>0.10051179431803225</v>
      </c>
      <c r="O31" s="42">
        <f>output!D45/SUM(output!D$43:D$46)</f>
        <v>0.12420143614834558</v>
      </c>
      <c r="P31" s="42">
        <f>output!E45/SUM(output!E$43:E$46)</f>
        <v>0.20028706478314959</v>
      </c>
      <c r="Q31" s="42">
        <f>output!F45/SUM(output!F$43:F$46)</f>
        <v>2.7104835620045394E-2</v>
      </c>
      <c r="R31" s="42">
        <f>output!G45/SUM(output!G$43:G$46)</f>
        <v>2.1994519508188641E-2</v>
      </c>
      <c r="S31" s="42">
        <f>output!H45/SUM(output!H$43:H$46)</f>
        <v>4.6829452977706833E-2</v>
      </c>
      <c r="T31" s="42">
        <f>output!I45/SUM(output!I$43:I$46)</f>
        <v>0.18970894367560226</v>
      </c>
      <c r="U31" s="42">
        <f>output!J45/SUM(output!J$43:J$46)</f>
        <v>8.5918778970259124E-2</v>
      </c>
      <c r="W31" s="3" t="s">
        <v>236</v>
      </c>
      <c r="X31" s="12">
        <f t="shared" si="11"/>
        <v>-1.8972120880150663E-2</v>
      </c>
      <c r="Y31" s="12">
        <f t="shared" si="11"/>
        <v>5.4373163590576423E-4</v>
      </c>
      <c r="Z31" s="12">
        <f t="shared" si="11"/>
        <v>4.7945951362584088E-2</v>
      </c>
      <c r="AA31" s="12">
        <f t="shared" si="11"/>
        <v>6.58071244270933E-2</v>
      </c>
      <c r="AB31" s="12">
        <f t="shared" si="11"/>
        <v>-2.0584984626139304E-2</v>
      </c>
      <c r="AC31" s="12">
        <f t="shared" si="11"/>
        <v>-4.1805899348256119E-2</v>
      </c>
      <c r="AD31" s="12">
        <f t="shared" si="11"/>
        <v>9.6586892209061179E-3</v>
      </c>
      <c r="AE31" s="12">
        <f t="shared" si="12"/>
        <v>0.11416118859616042</v>
      </c>
      <c r="AF31" s="12">
        <f t="shared" si="12"/>
        <v>1.3407441713198853E-2</v>
      </c>
    </row>
    <row r="32" spans="1:32" x14ac:dyDescent="0.2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4.306280432143729E-2</v>
      </c>
      <c r="N32" s="43">
        <f>output!C46/SUM(output!C$43:C$46)</f>
        <v>4.9019885496366426E-2</v>
      </c>
      <c r="O32" s="43">
        <f>output!D46/SUM(output!D$43:D$46)</f>
        <v>4.3607907282899268E-2</v>
      </c>
      <c r="P32" s="43">
        <f>output!E46/SUM(output!E$43:E$46)</f>
        <v>7.4811716705630305E-2</v>
      </c>
      <c r="Q32" s="43">
        <f>output!F46/SUM(output!F$43:F$46)</f>
        <v>2.5350419686193719E-2</v>
      </c>
      <c r="R32" s="43">
        <f>output!G46/SUM(output!G$43:G$46)</f>
        <v>1.7445890882016979E-2</v>
      </c>
      <c r="S32" s="43">
        <f>output!H46/SUM(output!H$43:H$46)</f>
        <v>3.0862415471276654E-2</v>
      </c>
      <c r="T32" s="43">
        <f>output!I46/SUM(output!I$43:I$46)</f>
        <v>6.5678342678525875E-2</v>
      </c>
      <c r="U32" s="43">
        <f>output!J46/SUM(output!J$43:J$46)</f>
        <v>4.6643635511604144E-2</v>
      </c>
      <c r="W32" s="8" t="s">
        <v>173</v>
      </c>
      <c r="X32" s="12">
        <f t="shared" si="11"/>
        <v>1.8840303921663751E-2</v>
      </c>
      <c r="Y32" s="12">
        <f t="shared" si="11"/>
        <v>-1.7866049346079715E-3</v>
      </c>
      <c r="Z32" s="12">
        <f t="shared" si="11"/>
        <v>1.5764820951813023E-2</v>
      </c>
      <c r="AA32" s="12">
        <f t="shared" si="11"/>
        <v>2.1686774631354412E-2</v>
      </c>
      <c r="AB32" s="12">
        <f t="shared" si="11"/>
        <v>1.912259051297955E-3</v>
      </c>
      <c r="AC32" s="12">
        <f t="shared" si="11"/>
        <v>5.959061127915043E-3</v>
      </c>
      <c r="AD32" s="12">
        <f t="shared" si="11"/>
        <v>2.1738767094288257E-2</v>
      </c>
      <c r="AE32" s="12">
        <f t="shared" si="12"/>
        <v>2.0412138275583178E-2</v>
      </c>
      <c r="AF32" s="12">
        <f t="shared" si="12"/>
        <v>1.5836992445845292E-2</v>
      </c>
    </row>
    <row r="33" spans="1:32" ht="13.5" thickBot="1" x14ac:dyDescent="0.25">
      <c r="A33" s="15" t="s">
        <v>221</v>
      </c>
      <c r="B33" s="44">
        <f>SUM(B29:B32)</f>
        <v>1</v>
      </c>
      <c r="C33" s="44">
        <f t="shared" ref="C33:J33" si="13">SUM(C29:C32)</f>
        <v>1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</v>
      </c>
      <c r="I33" s="44">
        <f t="shared" si="13"/>
        <v>0.99999999999999989</v>
      </c>
      <c r="J33" s="44">
        <f t="shared" si="13"/>
        <v>0.99999999999999989</v>
      </c>
      <c r="L33" s="15" t="s">
        <v>221</v>
      </c>
      <c r="M33" s="44">
        <f>SUM(M29:M32)</f>
        <v>1</v>
      </c>
      <c r="N33" s="44">
        <f t="shared" ref="N33:U33" si="14">SUM(N29:N32)</f>
        <v>1.0000000000000002</v>
      </c>
      <c r="O33" s="44">
        <f t="shared" si="14"/>
        <v>1</v>
      </c>
      <c r="P33" s="44">
        <f t="shared" si="14"/>
        <v>1</v>
      </c>
      <c r="Q33" s="44">
        <f t="shared" si="14"/>
        <v>1.0000000000000002</v>
      </c>
      <c r="R33" s="44">
        <f t="shared" si="14"/>
        <v>1</v>
      </c>
      <c r="S33" s="44">
        <f t="shared" si="14"/>
        <v>0.99999999999999978</v>
      </c>
      <c r="T33" s="44">
        <f t="shared" si="14"/>
        <v>1</v>
      </c>
      <c r="U33" s="44">
        <f t="shared" si="14"/>
        <v>1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0.61961294047647064</v>
      </c>
      <c r="N41" s="42">
        <f>output!C50/SUM(output!C$50:C$53)</f>
        <v>0.57937217419345222</v>
      </c>
      <c r="O41" s="42">
        <f>output!D50/SUM(output!D$50:D$53)</f>
        <v>0.44506925168877765</v>
      </c>
      <c r="P41" s="42">
        <f>output!E50/SUM(output!E$50:E$53)</f>
        <v>0.52372579366353367</v>
      </c>
      <c r="Q41" s="42">
        <f>output!F50/SUM(output!F$50:F$53)</f>
        <v>0.7441484965706201</v>
      </c>
      <c r="R41" s="42">
        <f>output!G50/SUM(output!G$50:G$53)</f>
        <v>0.79286814168584174</v>
      </c>
      <c r="S41" s="42">
        <f>output!H50/SUM(output!H$50:H$53)</f>
        <v>0.75512406756183648</v>
      </c>
      <c r="T41" s="42">
        <f>output!I50/SUM(output!I$50:I$53)</f>
        <v>0.47612519742721215</v>
      </c>
      <c r="U41" s="42">
        <f>output!J50/SUM(output!J$50:J$53)</f>
        <v>0.60360141342636642</v>
      </c>
      <c r="W41" s="3" t="s">
        <v>226</v>
      </c>
      <c r="X41" s="12">
        <f t="shared" ref="X41:AD45" si="15">M41-B41</f>
        <v>-0.16849461395652554</v>
      </c>
      <c r="Y41" s="12">
        <f t="shared" si="15"/>
        <v>-0.10191451640896843</v>
      </c>
      <c r="Z41" s="12">
        <f t="shared" si="15"/>
        <v>-0.13233259273250308</v>
      </c>
      <c r="AA41" s="12">
        <f t="shared" si="15"/>
        <v>-0.12493362985347389</v>
      </c>
      <c r="AB41" s="12">
        <f t="shared" si="15"/>
        <v>1.0997646500968017E-2</v>
      </c>
      <c r="AC41" s="12">
        <f t="shared" si="15"/>
        <v>-8.1160134519104532E-2</v>
      </c>
      <c r="AD41" s="12">
        <f t="shared" si="15"/>
        <v>-5.185894691618198E-2</v>
      </c>
      <c r="AE41" s="12">
        <f t="shared" ref="AE41:AF45" si="16">T41-I41</f>
        <v>-0.25451817911725771</v>
      </c>
      <c r="AF41" s="12">
        <f t="shared" si="16"/>
        <v>-0.12911681603154335</v>
      </c>
    </row>
    <row r="42" spans="1:32" x14ac:dyDescent="0.2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0.2803272164070657</v>
      </c>
      <c r="N42" s="42">
        <f>output!C51/SUM(output!C$50:C$53)</f>
        <v>0.2331575795992033</v>
      </c>
      <c r="O42" s="42">
        <f>output!D51/SUM(output!D$50:D$53)</f>
        <v>0.22096692245332139</v>
      </c>
      <c r="P42" s="42">
        <f>output!E51/SUM(output!E$50:E$53)</f>
        <v>0.19652192627642726</v>
      </c>
      <c r="Q42" s="42">
        <f>output!F51/SUM(output!F$50:F$53)</f>
        <v>0.19643572677656335</v>
      </c>
      <c r="R42" s="42">
        <f>output!G51/SUM(output!G$50:G$53)</f>
        <v>0.13269319199518792</v>
      </c>
      <c r="S42" s="42">
        <f>output!H51/SUM(output!H$50:H$53)</f>
        <v>0.13581413824972199</v>
      </c>
      <c r="T42" s="42">
        <f>output!I51/SUM(output!I$50:I$53)</f>
        <v>0.24711030812078835</v>
      </c>
      <c r="U42" s="42">
        <f>output!J51/SUM(output!J$50:J$53)</f>
        <v>0.22686968543444072</v>
      </c>
      <c r="W42" s="3" t="s">
        <v>235</v>
      </c>
      <c r="X42" s="12">
        <f t="shared" si="15"/>
        <v>0.14300417435352178</v>
      </c>
      <c r="Y42" s="12">
        <f t="shared" si="15"/>
        <v>6.6612620881238621E-2</v>
      </c>
      <c r="Z42" s="12">
        <f t="shared" si="15"/>
        <v>7.9002581032492636E-2</v>
      </c>
      <c r="AA42" s="12">
        <f t="shared" si="15"/>
        <v>5.8934387382360509E-2</v>
      </c>
      <c r="AB42" s="12">
        <f t="shared" si="15"/>
        <v>3.3962115932363646E-2</v>
      </c>
      <c r="AC42" s="12">
        <f t="shared" si="15"/>
        <v>5.749644199928157E-2</v>
      </c>
      <c r="AD42" s="12">
        <f t="shared" si="15"/>
        <v>2.8596320727411612E-2</v>
      </c>
      <c r="AE42" s="12">
        <f t="shared" si="16"/>
        <v>0.12968980141324313</v>
      </c>
      <c r="AF42" s="12">
        <f t="shared" si="16"/>
        <v>9.2541100084019168E-2</v>
      </c>
    </row>
    <row r="43" spans="1:32" x14ac:dyDescent="0.2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5.3555651577838967E-2</v>
      </c>
      <c r="N43" s="42">
        <f>output!C52/SUM(output!C$50:C$53)</f>
        <v>9.3338624364025707E-2</v>
      </c>
      <c r="O43" s="42">
        <f>output!D52/SUM(output!D$50:D$53)</f>
        <v>0.16229950271455748</v>
      </c>
      <c r="P43" s="42">
        <f>output!E52/SUM(output!E$50:E$53)</f>
        <v>0.13513240071253724</v>
      </c>
      <c r="Q43" s="42">
        <f>output!F52/SUM(output!F$50:F$53)</f>
        <v>3.376572323385281E-2</v>
      </c>
      <c r="R43" s="42">
        <f>output!G52/SUM(output!G$50:G$53)</f>
        <v>4.689526178223654E-2</v>
      </c>
      <c r="S43" s="42">
        <f>output!H52/SUM(output!H$50:H$53)</f>
        <v>6.9452411881175027E-2</v>
      </c>
      <c r="T43" s="42">
        <f>output!I52/SUM(output!I$50:I$53)</f>
        <v>0.13666724613917347</v>
      </c>
      <c r="U43" s="42">
        <f>output!J52/SUM(output!J$50:J$53)</f>
        <v>8.7238687186901698E-2</v>
      </c>
      <c r="W43" s="3" t="s">
        <v>236</v>
      </c>
      <c r="X43" s="12">
        <f t="shared" si="15"/>
        <v>1.5532882623625829E-3</v>
      </c>
      <c r="Y43" s="12">
        <f t="shared" si="15"/>
        <v>1.4770706656367094E-3</v>
      </c>
      <c r="Z43" s="12">
        <f t="shared" si="15"/>
        <v>-1.1749012080473131E-2</v>
      </c>
      <c r="AA43" s="12">
        <f t="shared" si="15"/>
        <v>-9.532748852900591E-3</v>
      </c>
      <c r="AB43" s="12">
        <f t="shared" si="15"/>
        <v>-4.0563560189983541E-2</v>
      </c>
      <c r="AC43" s="12">
        <f t="shared" si="15"/>
        <v>6.5470185882333873E-3</v>
      </c>
      <c r="AD43" s="12">
        <f t="shared" si="15"/>
        <v>2.6669980758284861E-3</v>
      </c>
      <c r="AE43" s="12">
        <f t="shared" si="16"/>
        <v>4.0439177052148681E-2</v>
      </c>
      <c r="AF43" s="12">
        <f t="shared" si="16"/>
        <v>-1.6218748672511413E-3</v>
      </c>
    </row>
    <row r="44" spans="1:32" x14ac:dyDescent="0.2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4.6504191538624749E-2</v>
      </c>
      <c r="N44" s="43">
        <f>output!C53/SUM(output!C$50:C$53)</f>
        <v>9.4131621843318747E-2</v>
      </c>
      <c r="O44" s="43">
        <f>output!D53/SUM(output!D$50:D$53)</f>
        <v>0.17166432314334351</v>
      </c>
      <c r="P44" s="43">
        <f>output!E53/SUM(output!E$50:E$53)</f>
        <v>0.1446198793475017</v>
      </c>
      <c r="Q44" s="43">
        <f>output!F53/SUM(output!F$50:F$53)</f>
        <v>2.5650053418963821E-2</v>
      </c>
      <c r="R44" s="43">
        <f>output!G53/SUM(output!G$50:G$53)</f>
        <v>2.7543404536733811E-2</v>
      </c>
      <c r="S44" s="43">
        <f>output!H53/SUM(output!H$50:H$53)</f>
        <v>3.9609382307266509E-2</v>
      </c>
      <c r="T44" s="43">
        <f>output!I53/SUM(output!I$50:I$53)</f>
        <v>0.14009724831282608</v>
      </c>
      <c r="U44" s="43">
        <f>output!J53/SUM(output!J$50:J$53)</f>
        <v>8.2290213952291177E-2</v>
      </c>
      <c r="W44" s="8" t="s">
        <v>173</v>
      </c>
      <c r="X44" s="12">
        <f t="shared" si="15"/>
        <v>2.393715134064122E-2</v>
      </c>
      <c r="Y44" s="12">
        <f t="shared" si="15"/>
        <v>3.3824824862093136E-2</v>
      </c>
      <c r="Z44" s="12">
        <f t="shared" si="15"/>
        <v>6.5079023780483553E-2</v>
      </c>
      <c r="AA44" s="12">
        <f t="shared" si="15"/>
        <v>7.5531991324013725E-2</v>
      </c>
      <c r="AB44" s="12">
        <f t="shared" si="15"/>
        <v>-4.3962022433480449E-3</v>
      </c>
      <c r="AC44" s="12">
        <f t="shared" si="15"/>
        <v>1.7116673931589735E-2</v>
      </c>
      <c r="AD44" s="12">
        <f t="shared" si="15"/>
        <v>2.0595628112941879E-2</v>
      </c>
      <c r="AE44" s="12">
        <f t="shared" si="16"/>
        <v>8.4389200651866031E-2</v>
      </c>
      <c r="AF44" s="12">
        <f t="shared" si="16"/>
        <v>3.8197590814775438E-2</v>
      </c>
    </row>
    <row r="45" spans="1:32" ht="13.5" thickBot="1" x14ac:dyDescent="0.25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1</v>
      </c>
      <c r="F45" s="44">
        <f t="shared" si="17"/>
        <v>1</v>
      </c>
      <c r="G45" s="44">
        <f t="shared" si="17"/>
        <v>0.99999999999999989</v>
      </c>
      <c r="H45" s="44">
        <f t="shared" si="17"/>
        <v>1</v>
      </c>
      <c r="I45" s="44">
        <f t="shared" si="17"/>
        <v>0.99999999999999989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1.0000000000000002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0.526453307159922</v>
      </c>
      <c r="N53" s="42">
        <f>output!C57/SUM(output!C$57:C$60)</f>
        <v>0.50879424612133728</v>
      </c>
      <c r="O53" s="42">
        <f>output!D57/SUM(output!D$57:D$60)</f>
        <v>0.35482406712060738</v>
      </c>
      <c r="P53" s="42">
        <f>output!E57/SUM(output!E$57:E$60)</f>
        <v>0.46151155771594299</v>
      </c>
      <c r="Q53" s="42">
        <f>output!F57/SUM(output!F$57:F$60)</f>
        <v>0.57187802581763003</v>
      </c>
      <c r="R53" s="42">
        <f>output!G57/SUM(output!G$57:G$60)</f>
        <v>0.73970420972029327</v>
      </c>
      <c r="S53" s="42">
        <f>output!H57/SUM(output!H$57:H$60)</f>
        <v>0.7527515843175695</v>
      </c>
      <c r="T53" s="42">
        <f>output!I57/SUM(output!I$57:I$60)</f>
        <v>0.42576690702336406</v>
      </c>
      <c r="U53" s="42">
        <f>output!J57/SUM(output!J$57:J$60)</f>
        <v>0.52996674499792962</v>
      </c>
      <c r="W53" s="3" t="s">
        <v>226</v>
      </c>
      <c r="X53" s="12">
        <f t="shared" ref="X53:AD57" si="19">M53-B53</f>
        <v>-0.19895116814019553</v>
      </c>
      <c r="Y53" s="12">
        <f t="shared" si="19"/>
        <v>-0.14107262465576653</v>
      </c>
      <c r="Z53" s="12">
        <f t="shared" si="19"/>
        <v>-0.22273146629789914</v>
      </c>
      <c r="AA53" s="12">
        <f t="shared" si="19"/>
        <v>-0.11902118103938786</v>
      </c>
      <c r="AB53" s="12">
        <f t="shared" si="19"/>
        <v>-0.11292304704083733</v>
      </c>
      <c r="AC53" s="12">
        <f t="shared" si="19"/>
        <v>-0.20966317526893052</v>
      </c>
      <c r="AD53" s="12">
        <f t="shared" si="19"/>
        <v>-0.10826735190751979</v>
      </c>
      <c r="AE53" s="12">
        <f t="shared" ref="AE53:AF57" si="20">T53-I53</f>
        <v>-0.24698787502891728</v>
      </c>
      <c r="AF53" s="12">
        <f t="shared" si="20"/>
        <v>-0.16853186847242529</v>
      </c>
    </row>
    <row r="54" spans="1:32" x14ac:dyDescent="0.2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0.39045616537764655</v>
      </c>
      <c r="N54" s="42">
        <f>output!C58/SUM(output!C$57:C$60)</f>
        <v>0.32607506801120589</v>
      </c>
      <c r="O54" s="42">
        <f>output!D58/SUM(output!D$57:D$60)</f>
        <v>0.33733105243619232</v>
      </c>
      <c r="P54" s="42">
        <f>output!E58/SUM(output!E$57:E$60)</f>
        <v>0.29135076851486258</v>
      </c>
      <c r="Q54" s="42">
        <f>output!F58/SUM(output!F$57:F$60)</f>
        <v>0.36624333467886394</v>
      </c>
      <c r="R54" s="42">
        <f>output!G58/SUM(output!G$57:G$60)</f>
        <v>0.2036457397140079</v>
      </c>
      <c r="S54" s="42">
        <f>output!H58/SUM(output!H$57:H$60)</f>
        <v>0.14789852127692871</v>
      </c>
      <c r="T54" s="42">
        <f>output!I58/SUM(output!I$57:I$60)</f>
        <v>0.30590701650630642</v>
      </c>
      <c r="U54" s="42">
        <f>output!J58/SUM(output!J$57:J$60)</f>
        <v>0.31891137887001253</v>
      </c>
      <c r="W54" s="3" t="s">
        <v>235</v>
      </c>
      <c r="X54" s="12">
        <f t="shared" si="19"/>
        <v>0.19944851361487667</v>
      </c>
      <c r="Y54" s="12">
        <f t="shared" si="19"/>
        <v>0.12971770981248179</v>
      </c>
      <c r="Z54" s="12">
        <f t="shared" si="19"/>
        <v>0.16887995156018407</v>
      </c>
      <c r="AA54" s="12">
        <f t="shared" si="19"/>
        <v>0.13012705735057856</v>
      </c>
      <c r="AB54" s="12">
        <f t="shared" si="19"/>
        <v>0.17211275849851512</v>
      </c>
      <c r="AC54" s="12">
        <f t="shared" si="19"/>
        <v>0.16241634363300494</v>
      </c>
      <c r="AD54" s="12">
        <f t="shared" si="19"/>
        <v>5.8332846173197631E-2</v>
      </c>
      <c r="AE54" s="12">
        <f t="shared" si="20"/>
        <v>0.18434004344142169</v>
      </c>
      <c r="AF54" s="12">
        <f t="shared" si="20"/>
        <v>0.15678717849807197</v>
      </c>
    </row>
    <row r="55" spans="1:32" x14ac:dyDescent="0.2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3.5739623596754345E-2</v>
      </c>
      <c r="N55" s="42">
        <f>output!C59/SUM(output!C$57:C$60)</f>
        <v>6.7477756958243623E-2</v>
      </c>
      <c r="O55" s="42">
        <f>output!D59/SUM(output!D$57:D$60)</f>
        <v>0.11941585976516841</v>
      </c>
      <c r="P55" s="42">
        <f>output!E59/SUM(output!E$57:E$60)</f>
        <v>9.487726069584991E-2</v>
      </c>
      <c r="Q55" s="42">
        <f>output!F59/SUM(output!F$57:F$60)</f>
        <v>2.8976998731742809E-2</v>
      </c>
      <c r="R55" s="42">
        <f>output!G59/SUM(output!G$57:G$60)</f>
        <v>2.9762262014356236E-2</v>
      </c>
      <c r="S55" s="42">
        <f>output!H59/SUM(output!H$57:H$60)</f>
        <v>5.6333144250038956E-2</v>
      </c>
      <c r="T55" s="42">
        <f>output!I59/SUM(output!I$57:I$60)</f>
        <v>0.10922477010344409</v>
      </c>
      <c r="U55" s="42">
        <f>output!J59/SUM(output!J$57:J$60)</f>
        <v>6.3294617126716371E-2</v>
      </c>
      <c r="W55" s="3" t="s">
        <v>236</v>
      </c>
      <c r="X55" s="12">
        <f t="shared" si="19"/>
        <v>-2.1038381008979798E-2</v>
      </c>
      <c r="Y55" s="12">
        <f t="shared" si="19"/>
        <v>-9.6412839624121366E-3</v>
      </c>
      <c r="Z55" s="12">
        <f t="shared" si="19"/>
        <v>-3.2531074946676508E-2</v>
      </c>
      <c r="AA55" s="12">
        <f t="shared" si="19"/>
        <v>-7.9672484581701328E-2</v>
      </c>
      <c r="AB55" s="12">
        <f t="shared" si="19"/>
        <v>-3.7085457465587432E-2</v>
      </c>
      <c r="AC55" s="12">
        <f t="shared" si="19"/>
        <v>2.0359043084583139E-2</v>
      </c>
      <c r="AD55" s="12">
        <f t="shared" si="19"/>
        <v>1.6530080477240625E-2</v>
      </c>
      <c r="AE55" s="12">
        <f t="shared" si="20"/>
        <v>-9.6081684987239929E-3</v>
      </c>
      <c r="AF55" s="12">
        <f t="shared" si="20"/>
        <v>-2.5506341441086738E-2</v>
      </c>
    </row>
    <row r="56" spans="1:32" x14ac:dyDescent="0.2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4.7350903865677148E-2</v>
      </c>
      <c r="N56" s="43">
        <f>output!C60/SUM(output!C$57:C$60)</f>
        <v>9.7652928909213232E-2</v>
      </c>
      <c r="O56" s="43">
        <f>output!D60/SUM(output!D$57:D$60)</f>
        <v>0.1884290206780318</v>
      </c>
      <c r="P56" s="43">
        <f>output!E60/SUM(output!E$57:E$60)</f>
        <v>0.15226041307334467</v>
      </c>
      <c r="Q56" s="43">
        <f>output!F60/SUM(output!F$57:F$60)</f>
        <v>3.290164077176308E-2</v>
      </c>
      <c r="R56" s="43">
        <f>output!G60/SUM(output!G$57:G$60)</f>
        <v>2.6887788551342606E-2</v>
      </c>
      <c r="S56" s="43">
        <f>output!H60/SUM(output!H$57:H$60)</f>
        <v>4.3016750155462836E-2</v>
      </c>
      <c r="T56" s="43">
        <f>output!I60/SUM(output!I$57:I$60)</f>
        <v>0.1591013063668853</v>
      </c>
      <c r="U56" s="43">
        <f>output!J60/SUM(output!J$57:J$60)</f>
        <v>8.7827259005341565E-2</v>
      </c>
      <c r="W56" s="8" t="s">
        <v>173</v>
      </c>
      <c r="X56" s="12">
        <f t="shared" si="19"/>
        <v>2.0541035534298556E-2</v>
      </c>
      <c r="Y56" s="12">
        <f t="shared" si="19"/>
        <v>2.0996198805696947E-2</v>
      </c>
      <c r="Z56" s="12">
        <f t="shared" si="19"/>
        <v>8.6382589684391553E-2</v>
      </c>
      <c r="AA56" s="12">
        <f t="shared" si="19"/>
        <v>6.8566608270510795E-2</v>
      </c>
      <c r="AB56" s="12">
        <f t="shared" si="19"/>
        <v>-2.21042539920904E-2</v>
      </c>
      <c r="AC56" s="12">
        <f t="shared" si="19"/>
        <v>2.6887788551342606E-2</v>
      </c>
      <c r="AD56" s="12">
        <f t="shared" si="19"/>
        <v>3.3404425257081559E-2</v>
      </c>
      <c r="AE56" s="12">
        <f t="shared" si="20"/>
        <v>7.2256000086219546E-2</v>
      </c>
      <c r="AF56" s="12">
        <f t="shared" si="20"/>
        <v>3.7251031415440151E-2</v>
      </c>
    </row>
    <row r="57" spans="1:32" ht="13.5" thickBot="1" x14ac:dyDescent="0.25">
      <c r="A57" s="15" t="s">
        <v>221</v>
      </c>
      <c r="B57" s="44">
        <f>SUM(B53:B56)</f>
        <v>1.0000000000000002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0.99999999999999989</v>
      </c>
      <c r="F57" s="44">
        <f t="shared" si="21"/>
        <v>0.99999999999999978</v>
      </c>
      <c r="G57" s="44">
        <f t="shared" si="21"/>
        <v>0.99999999999999989</v>
      </c>
      <c r="H57" s="44">
        <f t="shared" si="21"/>
        <v>0.99999999999999989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0.99999999999999989</v>
      </c>
      <c r="P57" s="44">
        <f t="shared" si="22"/>
        <v>1.0000000000000002</v>
      </c>
      <c r="Q57" s="44">
        <f t="shared" si="22"/>
        <v>0.99999999999999978</v>
      </c>
      <c r="R57" s="44">
        <f t="shared" si="22"/>
        <v>1</v>
      </c>
      <c r="S57" s="44">
        <f t="shared" si="22"/>
        <v>1</v>
      </c>
      <c r="T57" s="44">
        <f t="shared" si="22"/>
        <v>1</v>
      </c>
      <c r="U57" s="44">
        <f t="shared" si="22"/>
        <v>1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0.99003238964151774</v>
      </c>
      <c r="N65" s="42">
        <f>output!C64/SUM(output!C$64:C$67)</f>
        <v>0.66114646641195018</v>
      </c>
      <c r="O65" s="42">
        <f>output!D64/SUM(output!D$64:D$67)</f>
        <v>0.65493142136339788</v>
      </c>
      <c r="P65" s="42">
        <f>output!E64/SUM(output!E$64:E$67)</f>
        <v>0.65247134810719387</v>
      </c>
      <c r="Q65" s="42">
        <f>output!F64/SUM(output!F$64:F$67)</f>
        <v>0.57254793439673957</v>
      </c>
      <c r="R65" s="42">
        <f>output!G64/SUM(output!G$64:G$67)</f>
        <v>0.60621633215601922</v>
      </c>
      <c r="S65" s="42">
        <f>output!H64/SUM(output!H$64:H$67)</f>
        <v>0.7024461917802759</v>
      </c>
      <c r="T65" s="42">
        <f>output!I64/SUM(output!I$64:I$67)</f>
        <v>0.7306221214638805</v>
      </c>
      <c r="U65" s="42">
        <f>output!J64/SUM(output!J$64:J$67)</f>
        <v>0.78710505578267842</v>
      </c>
      <c r="W65" s="3" t="s">
        <v>226</v>
      </c>
      <c r="X65" s="12">
        <f t="shared" ref="X65:AD69" si="23">M65-B65</f>
        <v>0.16814712808817001</v>
      </c>
      <c r="Y65" s="12">
        <f t="shared" si="23"/>
        <v>-0.17177186846040482</v>
      </c>
      <c r="Z65" s="12">
        <f t="shared" si="23"/>
        <v>-0.16827309543055669</v>
      </c>
      <c r="AA65" s="12">
        <f t="shared" si="23"/>
        <v>-0.16715598650213415</v>
      </c>
      <c r="AB65" s="12">
        <f t="shared" si="23"/>
        <v>-0.23545110878752273</v>
      </c>
      <c r="AC65" s="12">
        <f t="shared" si="23"/>
        <v>-0.33815668243277119</v>
      </c>
      <c r="AD65" s="12">
        <f t="shared" si="23"/>
        <v>-0.23530210539823537</v>
      </c>
      <c r="AE65" s="12">
        <f t="shared" ref="AE65:AF69" si="24">T65-I65</f>
        <v>-0.17545443545400141</v>
      </c>
      <c r="AF65" s="12">
        <f t="shared" si="24"/>
        <v>-6.003283789733227E-2</v>
      </c>
    </row>
    <row r="66" spans="1:32" x14ac:dyDescent="0.2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8.6889430830277663E-3</v>
      </c>
      <c r="N66" s="42">
        <f>output!C65/SUM(output!C$64:C$67)</f>
        <v>0.25797345318421888</v>
      </c>
      <c r="O66" s="42">
        <f>output!D65/SUM(output!D$64:D$67)</f>
        <v>0.2252226934611275</v>
      </c>
      <c r="P66" s="42">
        <f>output!E65/SUM(output!E$64:E$67)</f>
        <v>0.22896111314519513</v>
      </c>
      <c r="Q66" s="42">
        <f>output!F65/SUM(output!F$64:F$67)</f>
        <v>0.3872826077292153</v>
      </c>
      <c r="R66" s="42">
        <f>output!G65/SUM(output!G$64:G$67)</f>
        <v>0.32626418932214996</v>
      </c>
      <c r="S66" s="42">
        <f>output!H65/SUM(output!H$64:H$67)</f>
        <v>0.24381609406301219</v>
      </c>
      <c r="T66" s="42">
        <f>output!I65/SUM(output!I$64:I$67)</f>
        <v>0.19996986032254321</v>
      </c>
      <c r="U66" s="42">
        <f>output!J65/SUM(output!J$64:J$67)</f>
        <v>0.15884297346778023</v>
      </c>
      <c r="W66" s="3" t="s">
        <v>235</v>
      </c>
      <c r="X66" s="12">
        <f t="shared" si="23"/>
        <v>-0.1290090323174766</v>
      </c>
      <c r="Y66" s="12">
        <f t="shared" si="23"/>
        <v>0.13508695004123461</v>
      </c>
      <c r="Z66" s="12">
        <f t="shared" si="23"/>
        <v>0.12813419020187602</v>
      </c>
      <c r="AA66" s="12">
        <f t="shared" si="23"/>
        <v>0.12493958734691427</v>
      </c>
      <c r="AB66" s="12">
        <f t="shared" si="23"/>
        <v>0.24448915518749584</v>
      </c>
      <c r="AC66" s="12">
        <f t="shared" si="23"/>
        <v>0.27063720391094037</v>
      </c>
      <c r="AD66" s="12">
        <f t="shared" si="23"/>
        <v>0.20341802249031993</v>
      </c>
      <c r="AE66" s="12">
        <f t="shared" si="24"/>
        <v>0.12755668591682723</v>
      </c>
      <c r="AF66" s="12">
        <f t="shared" si="24"/>
        <v>5.2005142623118408E-2</v>
      </c>
    </row>
    <row r="67" spans="1:32" x14ac:dyDescent="0.2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7.4094000861569674E-4</v>
      </c>
      <c r="N67" s="42">
        <f>output!C66/SUM(output!C$64:C$67)</f>
        <v>4.8140252968370975E-2</v>
      </c>
      <c r="O67" s="42">
        <f>output!D66/SUM(output!D$64:D$67)</f>
        <v>7.4334335037154267E-2</v>
      </c>
      <c r="P67" s="42">
        <f>output!E66/SUM(output!E$64:E$67)</f>
        <v>6.9886069257347819E-2</v>
      </c>
      <c r="Q67" s="42">
        <f>output!F66/SUM(output!F$64:F$67)</f>
        <v>2.2500142146904437E-2</v>
      </c>
      <c r="R67" s="42">
        <f>output!G66/SUM(output!G$64:G$67)</f>
        <v>4.146704741347311E-2</v>
      </c>
      <c r="S67" s="42">
        <f>output!H66/SUM(output!H$64:H$67)</f>
        <v>3.2503902228427473E-2</v>
      </c>
      <c r="T67" s="42">
        <f>output!I66/SUM(output!I$64:I$67)</f>
        <v>4.1964122823517615E-2</v>
      </c>
      <c r="U67" s="42">
        <f>output!J66/SUM(output!J$64:J$67)</f>
        <v>3.2460580630133393E-2</v>
      </c>
      <c r="W67" s="3" t="s">
        <v>236</v>
      </c>
      <c r="X67" s="12">
        <f t="shared" si="23"/>
        <v>-3.2365051417136567E-2</v>
      </c>
      <c r="Y67" s="12">
        <f t="shared" si="23"/>
        <v>8.7912392861027311E-3</v>
      </c>
      <c r="Z67" s="12">
        <f t="shared" si="23"/>
        <v>1.7914100557805263E-3</v>
      </c>
      <c r="AA67" s="12">
        <f t="shared" si="23"/>
        <v>6.241522077623296E-3</v>
      </c>
      <c r="AB67" s="12">
        <f t="shared" si="23"/>
        <v>-1.3423971932993533E-2</v>
      </c>
      <c r="AC67" s="12">
        <f t="shared" si="23"/>
        <v>4.146704741347311E-2</v>
      </c>
      <c r="AD67" s="12">
        <f t="shared" si="23"/>
        <v>1.4245541268611248E-2</v>
      </c>
      <c r="AE67" s="12">
        <f t="shared" si="24"/>
        <v>2.1303029825328938E-2</v>
      </c>
      <c r="AF67" s="12">
        <f t="shared" si="24"/>
        <v>-6.5984790547791855E-3</v>
      </c>
    </row>
    <row r="68" spans="1:32" x14ac:dyDescent="0.2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5.3772726683875649E-4</v>
      </c>
      <c r="N68" s="43">
        <f>output!C67/SUM(output!C$64:C$67)</f>
        <v>3.2739827435460007E-2</v>
      </c>
      <c r="O68" s="43">
        <f>output!D67/SUM(output!D$64:D$67)</f>
        <v>4.5511550138320297E-2</v>
      </c>
      <c r="P68" s="43">
        <f>output!E67/SUM(output!E$64:E$67)</f>
        <v>4.8681469490263141E-2</v>
      </c>
      <c r="Q68" s="43">
        <f>output!F67/SUM(output!F$64:F$67)</f>
        <v>1.76693157271408E-2</v>
      </c>
      <c r="R68" s="43">
        <f>output!G67/SUM(output!G$64:G$67)</f>
        <v>2.6052431108357598E-2</v>
      </c>
      <c r="S68" s="43">
        <f>output!H67/SUM(output!H$64:H$67)</f>
        <v>2.1233811928284548E-2</v>
      </c>
      <c r="T68" s="43">
        <f>output!I67/SUM(output!I$64:I$67)</f>
        <v>2.7443895390058565E-2</v>
      </c>
      <c r="U68" s="43">
        <f>output!J67/SUM(output!J$64:J$67)</f>
        <v>2.1591390119407878E-2</v>
      </c>
      <c r="W68" s="8" t="s">
        <v>173</v>
      </c>
      <c r="X68" s="12">
        <f t="shared" si="23"/>
        <v>-6.7730443535569474E-3</v>
      </c>
      <c r="Y68" s="12">
        <f t="shared" si="23"/>
        <v>2.7893679133067485E-2</v>
      </c>
      <c r="Z68" s="12">
        <f t="shared" si="23"/>
        <v>3.834749517290012E-2</v>
      </c>
      <c r="AA68" s="12">
        <f t="shared" si="23"/>
        <v>3.5974877077596272E-2</v>
      </c>
      <c r="AB68" s="12">
        <f t="shared" si="23"/>
        <v>4.3859255330205779E-3</v>
      </c>
      <c r="AC68" s="12">
        <f t="shared" si="23"/>
        <v>2.6052431108357598E-2</v>
      </c>
      <c r="AD68" s="12">
        <f t="shared" si="23"/>
        <v>1.7638541639304312E-2</v>
      </c>
      <c r="AE68" s="12">
        <f t="shared" si="24"/>
        <v>2.6594719711845009E-2</v>
      </c>
      <c r="AF68" s="12">
        <f t="shared" si="24"/>
        <v>1.4626174328992891E-2</v>
      </c>
    </row>
    <row r="69" spans="1:32" ht="13.5" thickBot="1" x14ac:dyDescent="0.25">
      <c r="A69" s="15" t="s">
        <v>221</v>
      </c>
      <c r="B69" s="44">
        <f>SUM(B65:B68)</f>
        <v>1</v>
      </c>
      <c r="C69" s="44">
        <f t="shared" ref="C69:J69" si="25">SUM(C65:C68)</f>
        <v>1.0000000000000002</v>
      </c>
      <c r="D69" s="44">
        <f t="shared" si="25"/>
        <v>0.99999999999999989</v>
      </c>
      <c r="E69" s="44">
        <f t="shared" si="25"/>
        <v>1.0000000000000002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0.99999999999999989</v>
      </c>
      <c r="P69" s="44">
        <f t="shared" si="26"/>
        <v>1</v>
      </c>
      <c r="Q69" s="44">
        <f t="shared" si="26"/>
        <v>1</v>
      </c>
      <c r="R69" s="44">
        <f t="shared" si="26"/>
        <v>0.99999999999999989</v>
      </c>
      <c r="S69" s="44">
        <f t="shared" si="26"/>
        <v>1</v>
      </c>
      <c r="T69" s="44">
        <f t="shared" si="26"/>
        <v>0.99999999999999978</v>
      </c>
      <c r="U69" s="44">
        <f t="shared" si="26"/>
        <v>0.99999999999999989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0.61030014574478042</v>
      </c>
      <c r="N77" s="42">
        <f>output!C71/SUM(output!C$71:C$74)</f>
        <v>0.54933919682920962</v>
      </c>
      <c r="O77" s="42">
        <f>output!D71/SUM(output!D$71:D$74)</f>
        <v>0.53119903725227935</v>
      </c>
      <c r="P77" s="42">
        <f>output!E71/SUM(output!E$71:E$74)</f>
        <v>0.5216166200941682</v>
      </c>
      <c r="Q77" s="42">
        <f>output!F71/SUM(output!F$71:F$74)</f>
        <v>0.69671891934607666</v>
      </c>
      <c r="R77" s="42">
        <f>output!G71/SUM(output!G$71:G$74)</f>
        <v>0.6390384843642769</v>
      </c>
      <c r="S77" s="42">
        <f>output!H71/SUM(output!H$71:H$74)</f>
        <v>0.60821483946879984</v>
      </c>
      <c r="T77" s="42">
        <f>output!I71/SUM(output!I$71:I$74)</f>
        <v>0.52023791653965912</v>
      </c>
      <c r="U77" s="42">
        <f>output!J71/SUM(output!J$71:J$74)</f>
        <v>0.58202886708055879</v>
      </c>
      <c r="W77" s="3" t="s">
        <v>226</v>
      </c>
      <c r="X77" s="12">
        <f t="shared" ref="X77:AD81" si="27">M77-B77</f>
        <v>-0.14443472659588674</v>
      </c>
      <c r="Y77" s="12">
        <f t="shared" si="27"/>
        <v>-0.14260028500293676</v>
      </c>
      <c r="Z77" s="12">
        <f t="shared" si="27"/>
        <v>-0.15005230584243301</v>
      </c>
      <c r="AA77" s="12">
        <f t="shared" si="27"/>
        <v>-0.13541984162180265</v>
      </c>
      <c r="AB77" s="12">
        <f t="shared" si="27"/>
        <v>-5.9414190880713202E-2</v>
      </c>
      <c r="AC77" s="12">
        <f t="shared" si="27"/>
        <v>-0.18571032354026629</v>
      </c>
      <c r="AD77" s="12">
        <f t="shared" si="27"/>
        <v>-0.11932702492550484</v>
      </c>
      <c r="AE77" s="12">
        <f t="shared" ref="AE77:AF81" si="28">T77-I77</f>
        <v>-0.15883729085968079</v>
      </c>
      <c r="AF77" s="12">
        <f t="shared" si="28"/>
        <v>-0.13589670935690601</v>
      </c>
    </row>
    <row r="78" spans="1:32" x14ac:dyDescent="0.2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0.18778040662051929</v>
      </c>
      <c r="N78" s="42">
        <f>output!C72/SUM(output!C$71:C$74)</f>
        <v>0.15092145338913862</v>
      </c>
      <c r="O78" s="42">
        <f>output!D72/SUM(output!D$71:D$74)</f>
        <v>0.11355566408305724</v>
      </c>
      <c r="P78" s="42">
        <f>output!E72/SUM(output!E$71:E$74)</f>
        <v>0.11333129739373295</v>
      </c>
      <c r="Q78" s="42">
        <f>output!F72/SUM(output!F$71:F$74)</f>
        <v>0.19137370764771194</v>
      </c>
      <c r="R78" s="42">
        <f>output!G72/SUM(output!G$71:G$74)</f>
        <v>0.16995011781060831</v>
      </c>
      <c r="S78" s="42">
        <f>output!H72/SUM(output!H$71:H$74)</f>
        <v>0.1832838788591962</v>
      </c>
      <c r="T78" s="42">
        <f>output!I72/SUM(output!I$71:I$74)</f>
        <v>0.1582719560129171</v>
      </c>
      <c r="U78" s="42">
        <f>output!J72/SUM(output!J$71:J$74)</f>
        <v>0.16243967170931953</v>
      </c>
      <c r="W78" s="3" t="s">
        <v>235</v>
      </c>
      <c r="X78" s="12">
        <f t="shared" si="27"/>
        <v>9.1436536128599463E-2</v>
      </c>
      <c r="Y78" s="12">
        <f t="shared" si="27"/>
        <v>6.8693727113037936E-2</v>
      </c>
      <c r="Z78" s="12">
        <f t="shared" si="27"/>
        <v>5.8958991653382968E-2</v>
      </c>
      <c r="AA78" s="12">
        <f t="shared" si="27"/>
        <v>4.468918322020439E-2</v>
      </c>
      <c r="AB78" s="12">
        <f t="shared" si="27"/>
        <v>9.8900658416337689E-2</v>
      </c>
      <c r="AC78" s="12">
        <f t="shared" si="27"/>
        <v>0.11861390381001798</v>
      </c>
      <c r="AD78" s="12">
        <f t="shared" si="27"/>
        <v>9.9852907960377504E-2</v>
      </c>
      <c r="AE78" s="12">
        <f t="shared" si="28"/>
        <v>0.12397127066716632</v>
      </c>
      <c r="AF78" s="12">
        <f t="shared" si="28"/>
        <v>8.3563822506362087E-2</v>
      </c>
    </row>
    <row r="79" spans="1:32" x14ac:dyDescent="0.2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0.15806842855880102</v>
      </c>
      <c r="N79" s="42">
        <f>output!C73/SUM(output!C$71:C$74)</f>
        <v>0.23587582847371111</v>
      </c>
      <c r="O79" s="42">
        <f>output!D73/SUM(output!D$71:D$74)</f>
        <v>0.28077705370294642</v>
      </c>
      <c r="P79" s="42">
        <f>output!E73/SUM(output!E$71:E$74)</f>
        <v>0.28906439631094921</v>
      </c>
      <c r="Q79" s="42">
        <f>output!F73/SUM(output!F$71:F$74)</f>
        <v>8.7308908823721859E-2</v>
      </c>
      <c r="R79" s="42">
        <f>output!G73/SUM(output!G$71:G$74)</f>
        <v>0.15626634614179485</v>
      </c>
      <c r="S79" s="42">
        <f>output!H73/SUM(output!H$71:H$74)</f>
        <v>0.17053932256910448</v>
      </c>
      <c r="T79" s="42">
        <f>output!I73/SUM(output!I$71:I$74)</f>
        <v>0.25639227670301884</v>
      </c>
      <c r="U79" s="42">
        <f>output!J73/SUM(output!J$71:J$74)</f>
        <v>0.20241607461416841</v>
      </c>
      <c r="W79" s="3" t="s">
        <v>236</v>
      </c>
      <c r="X79" s="12">
        <f t="shared" si="27"/>
        <v>2.6748221614050383E-2</v>
      </c>
      <c r="Y79" s="12">
        <f t="shared" si="27"/>
        <v>4.4722949018589669E-2</v>
      </c>
      <c r="Z79" s="12">
        <f t="shared" si="27"/>
        <v>6.5934983910302836E-2</v>
      </c>
      <c r="AA79" s="12">
        <f t="shared" si="27"/>
        <v>5.9732151331602257E-2</v>
      </c>
      <c r="AB79" s="12">
        <f t="shared" si="27"/>
        <v>-3.5181561026081776E-2</v>
      </c>
      <c r="AC79" s="12">
        <f t="shared" si="27"/>
        <v>3.2351368046928425E-2</v>
      </c>
      <c r="AD79" s="12">
        <f t="shared" si="27"/>
        <v>-5.596634643483811E-4</v>
      </c>
      <c r="AE79" s="12">
        <f t="shared" si="28"/>
        <v>1.0438442906536116E-2</v>
      </c>
      <c r="AF79" s="12">
        <f t="shared" si="28"/>
        <v>2.7758381505070123E-2</v>
      </c>
    </row>
    <row r="80" spans="1:32" x14ac:dyDescent="0.2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4.3851019075899167E-2</v>
      </c>
      <c r="N80" s="43">
        <f>output!C74/SUM(output!C$71:C$74)</f>
        <v>6.3863521307940666E-2</v>
      </c>
      <c r="O80" s="43">
        <f>output!D74/SUM(output!D$71:D$74)</f>
        <v>7.4468244961717001E-2</v>
      </c>
      <c r="P80" s="43">
        <f>output!E74/SUM(output!E$71:E$74)</f>
        <v>7.5987686201149568E-2</v>
      </c>
      <c r="Q80" s="43">
        <f>output!F74/SUM(output!F$71:F$74)</f>
        <v>2.4598464182489333E-2</v>
      </c>
      <c r="R80" s="43">
        <f>output!G74/SUM(output!G$71:G$74)</f>
        <v>3.4745051683319941E-2</v>
      </c>
      <c r="S80" s="43">
        <f>output!H74/SUM(output!H$71:H$74)</f>
        <v>3.7961959102899359E-2</v>
      </c>
      <c r="T80" s="43">
        <f>output!I74/SUM(output!I$71:I$74)</f>
        <v>6.5097850744404939E-2</v>
      </c>
      <c r="U80" s="43">
        <f>output!J74/SUM(output!J$71:J$74)</f>
        <v>5.311538659595328E-2</v>
      </c>
      <c r="W80" s="8" t="s">
        <v>173</v>
      </c>
      <c r="X80" s="12">
        <f t="shared" si="27"/>
        <v>2.6249968853236869E-2</v>
      </c>
      <c r="Y80" s="12">
        <f t="shared" si="27"/>
        <v>2.9183608871309059E-2</v>
      </c>
      <c r="Z80" s="12">
        <f t="shared" si="27"/>
        <v>2.5158330278747337E-2</v>
      </c>
      <c r="AA80" s="12">
        <f t="shared" si="27"/>
        <v>3.0998507069996038E-2</v>
      </c>
      <c r="AB80" s="12">
        <f t="shared" si="27"/>
        <v>-4.3049065095430022E-3</v>
      </c>
      <c r="AC80" s="12">
        <f t="shared" si="27"/>
        <v>3.4745051683319941E-2</v>
      </c>
      <c r="AD80" s="12">
        <f t="shared" si="27"/>
        <v>2.0033780429475703E-2</v>
      </c>
      <c r="AE80" s="12">
        <f t="shared" si="28"/>
        <v>2.4427577285978407E-2</v>
      </c>
      <c r="AF80" s="12">
        <f t="shared" si="28"/>
        <v>2.4574505345473865E-2</v>
      </c>
    </row>
    <row r="81" spans="1:32" ht="13.5" thickBot="1" x14ac:dyDescent="0.25">
      <c r="A81" s="15" t="s">
        <v>221</v>
      </c>
      <c r="B81" s="44">
        <f>SUM(B77:B80)</f>
        <v>1</v>
      </c>
      <c r="C81" s="44">
        <f t="shared" ref="C81:J81" si="29">SUM(C77:C80)</f>
        <v>1.0000000000000002</v>
      </c>
      <c r="D81" s="44">
        <f t="shared" si="29"/>
        <v>0.99999999999999978</v>
      </c>
      <c r="E81" s="44">
        <f t="shared" si="29"/>
        <v>0.99999999999999989</v>
      </c>
      <c r="F81" s="44">
        <f t="shared" si="29"/>
        <v>1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</v>
      </c>
      <c r="J81" s="44">
        <f t="shared" si="29"/>
        <v>0.99999999999999989</v>
      </c>
      <c r="L81" s="15" t="s">
        <v>221</v>
      </c>
      <c r="M81" s="51">
        <f>SUM(M77:M80)</f>
        <v>0.99999999999999989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0.99999999999999989</v>
      </c>
      <c r="Q81" s="51">
        <f t="shared" si="30"/>
        <v>0.99999999999999978</v>
      </c>
      <c r="R81" s="51">
        <f t="shared" si="30"/>
        <v>1</v>
      </c>
      <c r="S81" s="51">
        <f t="shared" si="30"/>
        <v>0.99999999999999989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5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11" width="10.75" style="3" collapsed="1"/>
    <col min="12" max="21" width="10.75" style="39" collapsed="1"/>
    <col min="22" max="23" width="10.75" style="3" collapsed="1"/>
    <col min="24" max="32" width="10.75" style="39" collapsed="1"/>
    <col min="33" max="16384" width="10.75" style="3" collapsed="1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0.97464871846703471</v>
      </c>
      <c r="N5" s="42">
        <f>output!C81/SUM(output!C$81:C$83)</f>
        <v>0.9488105991387743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0.95885841948319206</v>
      </c>
      <c r="R5" s="42">
        <f>output!G81/SUM(output!G$81:G$83)</f>
        <v>0.96311945173182778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0.97090978539954353</v>
      </c>
      <c r="W5" s="18">
        <v>1</v>
      </c>
      <c r="X5" s="12">
        <f t="shared" ref="X5:AD8" si="0">M5-B5</f>
        <v>1.0982200716020074E-2</v>
      </c>
      <c r="Y5" s="12">
        <f t="shared" si="0"/>
        <v>1.1640142666724307E-2</v>
      </c>
      <c r="Z5" s="12" t="e">
        <f t="shared" si="0"/>
        <v>#DIV/0!</v>
      </c>
      <c r="AA5" s="12" t="e">
        <f t="shared" si="0"/>
        <v>#DIV/0!</v>
      </c>
      <c r="AB5" s="12">
        <f t="shared" si="0"/>
        <v>6.1871985691830056E-2</v>
      </c>
      <c r="AC5" s="12">
        <f t="shared" si="0"/>
        <v>-3.688054826817222E-2</v>
      </c>
      <c r="AD5" s="12" t="e">
        <f t="shared" si="0"/>
        <v>#DIV/0!</v>
      </c>
      <c r="AE5" s="12" t="e">
        <f t="shared" ref="AE5:AF8" si="1">T5-I5</f>
        <v>#DIV/0!</v>
      </c>
      <c r="AF5" s="12">
        <f t="shared" si="1"/>
        <v>1.2000717540820105E-2</v>
      </c>
    </row>
    <row r="6" spans="1:32" x14ac:dyDescent="0.2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2.4480232374163542E-2</v>
      </c>
      <c r="N6" s="42">
        <f>output!C82/SUM(output!C$81:C$83)</f>
        <v>4.9412495410838725E-2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3.9384889097715751E-2</v>
      </c>
      <c r="R6" s="42">
        <f>output!G82/SUM(output!G$81:G$83)</f>
        <v>3.688054826817231E-2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2.8075546134739143E-2</v>
      </c>
      <c r="W6" s="18">
        <v>2</v>
      </c>
      <c r="X6" s="12">
        <f t="shared" si="0"/>
        <v>-1.0529549370820315E-2</v>
      </c>
      <c r="Y6" s="12">
        <f t="shared" si="0"/>
        <v>-1.278901619777735E-2</v>
      </c>
      <c r="Z6" s="12" t="e">
        <f t="shared" si="0"/>
        <v>#DIV/0!</v>
      </c>
      <c r="AA6" s="12" t="e">
        <f t="shared" si="0"/>
        <v>#DIV/0!</v>
      </c>
      <c r="AB6" s="12">
        <f t="shared" si="0"/>
        <v>-3.5896251837087993E-2</v>
      </c>
      <c r="AC6" s="12">
        <f t="shared" si="0"/>
        <v>3.688054826817231E-2</v>
      </c>
      <c r="AD6" s="12" t="e">
        <f t="shared" si="0"/>
        <v>#DIV/0!</v>
      </c>
      <c r="AE6" s="12" t="e">
        <f t="shared" si="1"/>
        <v>#DIV/0!</v>
      </c>
      <c r="AF6" s="12">
        <f t="shared" si="1"/>
        <v>-1.0774210748295626E-2</v>
      </c>
    </row>
    <row r="7" spans="1:32" x14ac:dyDescent="0.2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8.7104915880186016E-4</v>
      </c>
      <c r="N7" s="43">
        <f>output!C83/SUM(output!C$81:C$83)</f>
        <v>1.776905450386963E-3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1.7566914190922114E-3</v>
      </c>
      <c r="R7" s="43">
        <f>output!G83/SUM(output!G$81:G$83)</f>
        <v>0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1.0146684657172389E-3</v>
      </c>
      <c r="W7" s="23" t="s">
        <v>116</v>
      </c>
      <c r="X7" s="12">
        <f t="shared" si="0"/>
        <v>-4.5265134519981523E-4</v>
      </c>
      <c r="Y7" s="12">
        <f t="shared" si="0"/>
        <v>1.1488735310529893E-3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-2.5975733854741851E-2</v>
      </c>
      <c r="AC7" s="12">
        <f t="shared" si="0"/>
        <v>0</v>
      </c>
      <c r="AD7" s="12" t="e">
        <f t="shared" si="0"/>
        <v>#DIV/0!</v>
      </c>
      <c r="AE7" s="12" t="e">
        <f t="shared" si="1"/>
        <v>#DIV/0!</v>
      </c>
      <c r="AF7" s="12">
        <f t="shared" si="1"/>
        <v>-1.2265067925245161E-3</v>
      </c>
    </row>
    <row r="8" spans="1:32" ht="13.5" thickBot="1" x14ac:dyDescent="0.25">
      <c r="A8" s="21" t="s">
        <v>221</v>
      </c>
      <c r="B8" s="51">
        <f>SUM(B5:B7)</f>
        <v>1.0000000000000002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 t="e">
        <f t="shared" si="3"/>
        <v>#DIV/0!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 t="e">
        <f t="shared" si="0"/>
        <v>#DIV/0!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>
        <f>output!B88/SUM(output!B$88:B$90)</f>
        <v>0.99005411474898686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0.83107197244538045</v>
      </c>
      <c r="R16" s="42">
        <f>output!G88/SUM(output!G$88:G$90)</f>
        <v>0.98811697025569811</v>
      </c>
      <c r="S16" s="42">
        <f>output!H88/SUM(output!H$88:H$90)</f>
        <v>0.98435418822571885</v>
      </c>
      <c r="T16" s="42">
        <f>output!I88/SUM(output!I$88:I$90)</f>
        <v>0.98936151048191456</v>
      </c>
      <c r="U16" s="42">
        <f>output!J88/SUM(output!J$88:J$90)</f>
        <v>0.95947089971692878</v>
      </c>
      <c r="W16" s="18">
        <v>1</v>
      </c>
      <c r="X16" s="12">
        <f t="shared" ref="X16:AF19" si="4">M16-B16</f>
        <v>-9.9458852510131424E-3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-7.047841974623803E-2</v>
      </c>
      <c r="AC16" s="12">
        <f t="shared" si="4"/>
        <v>1.4966902197081078E-3</v>
      </c>
      <c r="AD16" s="12">
        <f t="shared" si="4"/>
        <v>-2.9307413145663874E-3</v>
      </c>
      <c r="AE16" s="12">
        <f t="shared" si="4"/>
        <v>4.5414538297818829E-3</v>
      </c>
      <c r="AF16" s="12">
        <f t="shared" si="4"/>
        <v>-1.7926936855945597E-2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>
        <f>output!B89/SUM(output!B$88:B$90)</f>
        <v>9.2385456077975839E-3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0.14784117569611349</v>
      </c>
      <c r="R17" s="42">
        <f>output!G89/SUM(output!G$88:G$90)</f>
        <v>1.0322046735624592E-2</v>
      </c>
      <c r="S17" s="42">
        <f>output!H89/SUM(output!H$88:H$90)</f>
        <v>1.3124433558487565E-2</v>
      </c>
      <c r="T17" s="42">
        <f>output!I89/SUM(output!I$88:I$90)</f>
        <v>9.1357138490416549E-3</v>
      </c>
      <c r="U17" s="42">
        <f>output!J89/SUM(output!J$88:J$90)</f>
        <v>3.5133590899051055E-2</v>
      </c>
      <c r="W17" s="18">
        <v>2</v>
      </c>
      <c r="X17" s="12">
        <f t="shared" si="4"/>
        <v>9.2385456077975839E-3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6.8691013990920938E-2</v>
      </c>
      <c r="AC17" s="12">
        <f t="shared" si="4"/>
        <v>-3.0576732283853873E-3</v>
      </c>
      <c r="AD17" s="12">
        <f t="shared" si="4"/>
        <v>4.0936309877279142E-4</v>
      </c>
      <c r="AE17" s="12">
        <f t="shared" si="4"/>
        <v>3.8122987402984011E-4</v>
      </c>
      <c r="AF17" s="12">
        <f t="shared" si="4"/>
        <v>1.4185809050234619E-2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>
        <f>output!B90/SUM(output!B$88:B$90)</f>
        <v>7.0733964321555826E-4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2.1086851858505978E-2</v>
      </c>
      <c r="R18" s="43">
        <f>output!G90/SUM(output!G$88:G$90)</f>
        <v>1.5609830086773563E-3</v>
      </c>
      <c r="S18" s="43">
        <f>output!H90/SUM(output!H$88:H$90)</f>
        <v>2.5213782157935349E-3</v>
      </c>
      <c r="T18" s="43">
        <f>output!I90/SUM(output!I$88:I$90)</f>
        <v>1.5027756690438069E-3</v>
      </c>
      <c r="U18" s="43">
        <f>output!J90/SUM(output!J$88:J$90)</f>
        <v>5.3955093840200403E-3</v>
      </c>
      <c r="W18" s="23" t="s">
        <v>116</v>
      </c>
      <c r="X18" s="12">
        <f t="shared" si="4"/>
        <v>7.0733964321555826E-4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1.7874057553169606E-3</v>
      </c>
      <c r="AC18" s="12">
        <f t="shared" si="4"/>
        <v>1.5609830086773563E-3</v>
      </c>
      <c r="AD18" s="12">
        <f t="shared" si="4"/>
        <v>2.5213782157935349E-3</v>
      </c>
      <c r="AE18" s="12">
        <f t="shared" si="4"/>
        <v>-4.9226837038117421E-3</v>
      </c>
      <c r="AF18" s="12">
        <f t="shared" si="4"/>
        <v>3.7411278057107207E-3</v>
      </c>
    </row>
    <row r="19" spans="1:32" ht="13.5" thickBot="1" x14ac:dyDescent="0.25">
      <c r="A19" s="21" t="s">
        <v>221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>
        <f t="shared" ref="M19:U19" si="6">SUM(M16:M18)</f>
        <v>1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0.99999999999999989</v>
      </c>
      <c r="R19" s="51">
        <f t="shared" si="6"/>
        <v>1.0000000000000002</v>
      </c>
      <c r="S19" s="51">
        <f t="shared" si="6"/>
        <v>1</v>
      </c>
      <c r="T19" s="51">
        <f t="shared" si="6"/>
        <v>1</v>
      </c>
      <c r="U19" s="51">
        <f t="shared" si="6"/>
        <v>0.99999999999999989</v>
      </c>
      <c r="W19" s="21" t="s">
        <v>221</v>
      </c>
      <c r="X19" s="14">
        <f t="shared" si="4"/>
        <v>0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>
        <f t="shared" si="4"/>
        <v>0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0.88098751774978068</v>
      </c>
      <c r="N27" s="42">
        <f>output!C95/SUM(output!C$95:C$97)</f>
        <v>0.59435466410421367</v>
      </c>
      <c r="O27" s="42">
        <f>output!D95/SUM(output!D$95:D$97)</f>
        <v>0.74162703263032725</v>
      </c>
      <c r="P27" s="42">
        <f>output!E95/SUM(output!E$95:E$97)</f>
        <v>0.56735348331099933</v>
      </c>
      <c r="Q27" s="42">
        <f>output!F95/SUM(output!F$95:F$97)</f>
        <v>0.81432938228513263</v>
      </c>
      <c r="R27" s="42">
        <f>output!G95/SUM(output!G$95:G$97)</f>
        <v>0.86001392490734541</v>
      </c>
      <c r="S27" s="42">
        <f>output!H95/SUM(output!H$95:H$97)</f>
        <v>0.84322028286810202</v>
      </c>
      <c r="T27" s="42">
        <f>output!I95/SUM(output!I$95:I$97)</f>
        <v>0.90704273932543189</v>
      </c>
      <c r="U27" s="42">
        <f>output!J95/SUM(output!J$95:J$97)</f>
        <v>0.73279480799036478</v>
      </c>
      <c r="W27" s="18">
        <v>1</v>
      </c>
      <c r="X27" s="12">
        <f t="shared" ref="X27:AD30" si="7">M27-B27</f>
        <v>0.17699897030158784</v>
      </c>
      <c r="Y27" s="12">
        <f t="shared" si="7"/>
        <v>1.9289396217681332E-2</v>
      </c>
      <c r="Z27" s="12">
        <f t="shared" si="7"/>
        <v>-0.14239737559161514</v>
      </c>
      <c r="AA27" s="12">
        <f t="shared" si="7"/>
        <v>-1.6349209588857327E-3</v>
      </c>
      <c r="AB27" s="12">
        <f t="shared" si="7"/>
        <v>-3.8379118707568827E-2</v>
      </c>
      <c r="AC27" s="12">
        <f t="shared" si="7"/>
        <v>-7.0758091615726881E-2</v>
      </c>
      <c r="AD27" s="12">
        <f t="shared" si="7"/>
        <v>-0.1166873993568931</v>
      </c>
      <c r="AE27" s="12">
        <f t="shared" ref="AE27:AF30" si="8">T27-I27</f>
        <v>-2.5268176525073405E-2</v>
      </c>
      <c r="AF27" s="12">
        <f t="shared" si="8"/>
        <v>2.4329167033170673E-2</v>
      </c>
    </row>
    <row r="28" spans="1:32" x14ac:dyDescent="0.2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0.10341380068556082</v>
      </c>
      <c r="N28" s="42">
        <f>output!C96/SUM(output!C$95:C$97)</f>
        <v>0.34775106379985671</v>
      </c>
      <c r="O28" s="42">
        <f>output!D96/SUM(output!D$95:D$97)</f>
        <v>0.22191004566359343</v>
      </c>
      <c r="P28" s="42">
        <f>output!E96/SUM(output!E$95:E$97)</f>
        <v>0.37078019763618147</v>
      </c>
      <c r="Q28" s="42">
        <f>output!F96/SUM(output!F$95:F$97)</f>
        <v>0.15336803193691187</v>
      </c>
      <c r="R28" s="42">
        <f>output!G96/SUM(output!G$95:G$97)</f>
        <v>0.12365505365951769</v>
      </c>
      <c r="S28" s="42">
        <f>output!H96/SUM(output!H$95:H$97)</f>
        <v>0.11784261125055961</v>
      </c>
      <c r="T28" s="42">
        <f>output!I96/SUM(output!I$95:I$97)</f>
        <v>7.2657301120475123E-2</v>
      </c>
      <c r="U28" s="42">
        <f>output!J96/SUM(output!J$95:J$97)</f>
        <v>0.22716208988379022</v>
      </c>
      <c r="W28" s="18">
        <v>2</v>
      </c>
      <c r="X28" s="12">
        <f t="shared" si="7"/>
        <v>-0.16802372599573978</v>
      </c>
      <c r="Y28" s="12">
        <f t="shared" si="7"/>
        <v>2.8076646919851789E-3</v>
      </c>
      <c r="Z28" s="12">
        <f t="shared" si="7"/>
        <v>0.11253245668015589</v>
      </c>
      <c r="AA28" s="12">
        <f t="shared" si="7"/>
        <v>6.024702681613775E-2</v>
      </c>
      <c r="AB28" s="12">
        <f t="shared" si="7"/>
        <v>3.9654989240783256E-2</v>
      </c>
      <c r="AC28" s="12">
        <f t="shared" si="7"/>
        <v>5.4427070182589965E-2</v>
      </c>
      <c r="AD28" s="12">
        <f t="shared" si="7"/>
        <v>7.7750293475554816E-2</v>
      </c>
      <c r="AE28" s="12">
        <f t="shared" si="8"/>
        <v>4.9682169709803908E-3</v>
      </c>
      <c r="AF28" s="12">
        <f t="shared" si="8"/>
        <v>-1.0261040378606118E-2</v>
      </c>
    </row>
    <row r="29" spans="1:32" x14ac:dyDescent="0.2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1.5598681564658563E-2</v>
      </c>
      <c r="N29" s="43">
        <f>output!C97/SUM(output!C$95:C$97)</f>
        <v>5.7894272095929712E-2</v>
      </c>
      <c r="O29" s="43">
        <f>output!D97/SUM(output!D$95:D$97)</f>
        <v>3.6462921706079426E-2</v>
      </c>
      <c r="P29" s="43">
        <f>output!E97/SUM(output!E$95:E$97)</f>
        <v>6.186631905281928E-2</v>
      </c>
      <c r="Q29" s="43">
        <f>output!F97/SUM(output!F$95:F$97)</f>
        <v>3.2302585777955542E-2</v>
      </c>
      <c r="R29" s="43">
        <f>output!G97/SUM(output!G$95:G$97)</f>
        <v>1.6331021433137055E-2</v>
      </c>
      <c r="S29" s="43">
        <f>output!H97/SUM(output!H$95:H$97)</f>
        <v>3.8937105881338509E-2</v>
      </c>
      <c r="T29" s="43">
        <f>output!I97/SUM(output!I$95:I$97)</f>
        <v>2.0299959554093007E-2</v>
      </c>
      <c r="U29" s="43">
        <f>output!J97/SUM(output!J$95:J$97)</f>
        <v>4.0043102125845026E-2</v>
      </c>
      <c r="W29" s="18">
        <v>3</v>
      </c>
      <c r="X29" s="12">
        <f t="shared" si="7"/>
        <v>-8.9752443058480486E-3</v>
      </c>
      <c r="Y29" s="12">
        <f t="shared" si="7"/>
        <v>-2.2097060909666365E-2</v>
      </c>
      <c r="Z29" s="12">
        <f t="shared" si="7"/>
        <v>2.9864918911459384E-2</v>
      </c>
      <c r="AA29" s="12">
        <f t="shared" si="7"/>
        <v>-5.8612105857251934E-2</v>
      </c>
      <c r="AB29" s="12">
        <f t="shared" si="7"/>
        <v>-1.2758705332143253E-3</v>
      </c>
      <c r="AC29" s="12">
        <f t="shared" si="7"/>
        <v>1.6331021433137055E-2</v>
      </c>
      <c r="AD29" s="12">
        <f t="shared" si="7"/>
        <v>3.8937105881338509E-2</v>
      </c>
      <c r="AE29" s="12">
        <f t="shared" si="8"/>
        <v>2.0299959554093007E-2</v>
      </c>
      <c r="AF29" s="12">
        <f t="shared" si="8"/>
        <v>-1.4068126654564424E-2</v>
      </c>
    </row>
    <row r="30" spans="1:32" ht="13.5" thickBot="1" x14ac:dyDescent="0.25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0.99999999999999989</v>
      </c>
      <c r="I30" s="51">
        <f t="shared" si="9"/>
        <v>1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1.0000000000000002</v>
      </c>
      <c r="S30" s="44">
        <f t="shared" si="10"/>
        <v>1.0000000000000002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0.93781493204034283</v>
      </c>
      <c r="N38" s="42">
        <f>output!C102/SUM(output!C$102:C$104)</f>
        <v>0.86311263725399312</v>
      </c>
      <c r="O38" s="42">
        <f>output!D102/SUM(output!D$102:D$104)</f>
        <v>0.85085928623166929</v>
      </c>
      <c r="P38" s="42">
        <f>output!E102/SUM(output!E$102:E$104)</f>
        <v>0.84651260772930248</v>
      </c>
      <c r="Q38" s="42">
        <f>output!F102/SUM(output!F$102:F$104)</f>
        <v>0.90442370097481672</v>
      </c>
      <c r="R38" s="42">
        <f>output!G102/SUM(output!G$102:G$104)</f>
        <v>0.91261481944821166</v>
      </c>
      <c r="S38" s="42">
        <f>output!H102/SUM(output!H$102:H$104)</f>
        <v>0.92295813999914877</v>
      </c>
      <c r="T38" s="42">
        <f>output!I102/SUM(output!I$102:I$104)</f>
        <v>0.86164556328743991</v>
      </c>
      <c r="U38" s="42">
        <f>output!J102/SUM(output!J$102:J$104)</f>
        <v>0.87939349130633859</v>
      </c>
      <c r="W38" s="18">
        <v>1</v>
      </c>
      <c r="X38" s="12">
        <f t="shared" ref="X38:AF41" si="11">M38-B38</f>
        <v>1.1114011833827764E-2</v>
      </c>
      <c r="Y38" s="12">
        <f t="shared" si="11"/>
        <v>3.4482641197391195E-2</v>
      </c>
      <c r="Z38" s="12">
        <f t="shared" si="11"/>
        <v>1.201467610496898E-2</v>
      </c>
      <c r="AA38" s="12">
        <f t="shared" si="11"/>
        <v>-2.8942643895569664E-2</v>
      </c>
      <c r="AB38" s="12">
        <f t="shared" si="11"/>
        <v>-3.896238048466738E-2</v>
      </c>
      <c r="AC38" s="12">
        <f t="shared" si="11"/>
        <v>-7.9326170848797561E-2</v>
      </c>
      <c r="AD38" s="12">
        <f t="shared" si="11"/>
        <v>5.4532542269655093E-2</v>
      </c>
      <c r="AE38" s="12">
        <f t="shared" si="11"/>
        <v>7.0747752698818389E-2</v>
      </c>
      <c r="AF38" s="12">
        <f t="shared" si="11"/>
        <v>1.110767570797222E-2</v>
      </c>
    </row>
    <row r="39" spans="1:32" x14ac:dyDescent="0.2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5.4048350619402705E-2</v>
      </c>
      <c r="N39" s="42">
        <f>output!C103/SUM(output!C$102:C$104)</f>
        <v>0.11992812637855037</v>
      </c>
      <c r="O39" s="42">
        <f>output!D103/SUM(output!D$102:D$104)</f>
        <v>0.1295267679033113</v>
      </c>
      <c r="P39" s="42">
        <f>output!E103/SUM(output!E$102:E$104)</f>
        <v>0.13443172587330465</v>
      </c>
      <c r="Q39" s="42">
        <f>output!F103/SUM(output!F$102:F$104)</f>
        <v>8.5609890581419171E-2</v>
      </c>
      <c r="R39" s="42">
        <f>output!G103/SUM(output!G$102:G$104)</f>
        <v>8.0472651980549328E-2</v>
      </c>
      <c r="S39" s="42">
        <f>output!H103/SUM(output!H$102:H$104)</f>
        <v>6.6571447746512066E-2</v>
      </c>
      <c r="T39" s="42">
        <f>output!I103/SUM(output!I$102:I$104)</f>
        <v>0.12071283937137124</v>
      </c>
      <c r="U39" s="42">
        <f>output!J103/SUM(output!J$102:J$104)</f>
        <v>0.10527673805036103</v>
      </c>
      <c r="W39" s="18">
        <v>2</v>
      </c>
      <c r="X39" s="12">
        <f t="shared" si="11"/>
        <v>-1.1723339754050863E-2</v>
      </c>
      <c r="Y39" s="12">
        <f t="shared" si="11"/>
        <v>8.3106461673665977E-3</v>
      </c>
      <c r="Z39" s="12">
        <f t="shared" si="11"/>
        <v>-8.800013985503119E-3</v>
      </c>
      <c r="AA39" s="12">
        <f t="shared" si="11"/>
        <v>2.7694565474692609E-2</v>
      </c>
      <c r="AB39" s="12">
        <f t="shared" si="11"/>
        <v>3.9428938794698436E-2</v>
      </c>
      <c r="AC39" s="12">
        <f t="shared" si="11"/>
        <v>7.2413642277558546E-2</v>
      </c>
      <c r="AD39" s="12">
        <f t="shared" si="11"/>
        <v>-1.5375641780597984E-2</v>
      </c>
      <c r="AE39" s="12">
        <f t="shared" si="11"/>
        <v>-4.4692242618412245E-2</v>
      </c>
      <c r="AF39" s="12">
        <f t="shared" si="11"/>
        <v>-6.0563804755869866E-4</v>
      </c>
    </row>
    <row r="40" spans="1:32" x14ac:dyDescent="0.2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8.1367173402545068E-3</v>
      </c>
      <c r="N40" s="43">
        <f>output!C104/SUM(output!C$102:C$104)</f>
        <v>1.6959236367456557E-2</v>
      </c>
      <c r="O40" s="43">
        <f>output!D104/SUM(output!D$102:D$104)</f>
        <v>1.9613945865019404E-2</v>
      </c>
      <c r="P40" s="43">
        <f>output!E104/SUM(output!E$102:E$104)</f>
        <v>1.9055666397392881E-2</v>
      </c>
      <c r="Q40" s="43">
        <f>output!F104/SUM(output!F$102:F$104)</f>
        <v>9.9664084437640146E-3</v>
      </c>
      <c r="R40" s="43">
        <f>output!G104/SUM(output!G$102:G$104)</f>
        <v>6.9125285712390051E-3</v>
      </c>
      <c r="S40" s="43">
        <f>output!H104/SUM(output!H$102:H$104)</f>
        <v>1.0470412254339112E-2</v>
      </c>
      <c r="T40" s="43">
        <f>output!I104/SUM(output!I$102:I$104)</f>
        <v>1.7641597341188912E-2</v>
      </c>
      <c r="U40" s="43">
        <f>output!J104/SUM(output!J$102:J$104)</f>
        <v>1.5329770643300272E-2</v>
      </c>
      <c r="W40" s="23" t="s">
        <v>116</v>
      </c>
      <c r="X40" s="12">
        <f t="shared" si="11"/>
        <v>6.0932792022308155E-4</v>
      </c>
      <c r="Y40" s="12">
        <f t="shared" si="11"/>
        <v>-4.2793287364757834E-2</v>
      </c>
      <c r="Z40" s="12">
        <f t="shared" si="11"/>
        <v>-3.2146621194659476E-3</v>
      </c>
      <c r="AA40" s="12">
        <f t="shared" si="11"/>
        <v>1.2480784208770343E-3</v>
      </c>
      <c r="AB40" s="12">
        <f t="shared" si="11"/>
        <v>-4.66558310031253E-4</v>
      </c>
      <c r="AC40" s="12">
        <f t="shared" si="11"/>
        <v>6.9125285712390051E-3</v>
      </c>
      <c r="AD40" s="12">
        <f t="shared" si="11"/>
        <v>-3.9156900489057178E-2</v>
      </c>
      <c r="AE40" s="12">
        <f t="shared" si="11"/>
        <v>-2.6055510080406061E-2</v>
      </c>
      <c r="AF40" s="12">
        <f t="shared" si="11"/>
        <v>-1.0502037660413696E-2</v>
      </c>
    </row>
    <row r="41" spans="1:32" ht="13.5" thickBot="1" x14ac:dyDescent="0.25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1.0000000000000002</v>
      </c>
      <c r="G41" s="51">
        <f t="shared" si="12"/>
        <v>1</v>
      </c>
      <c r="H41" s="51">
        <f t="shared" si="12"/>
        <v>1</v>
      </c>
      <c r="I41" s="51">
        <f t="shared" si="12"/>
        <v>0.99999999999999989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1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0.99999999999999989</v>
      </c>
      <c r="T41" s="51">
        <f t="shared" si="13"/>
        <v>1</v>
      </c>
      <c r="U41" s="51">
        <f t="shared" si="13"/>
        <v>0.99999999999999989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0.941099083531997</v>
      </c>
      <c r="N49" s="42">
        <f>output!C109/SUM(output!C$109:C$111)</f>
        <v>0.91709555792188913</v>
      </c>
      <c r="O49" s="42">
        <f>output!D109/SUM(output!D$109:D$111)</f>
        <v>0.90123851714267222</v>
      </c>
      <c r="P49" s="42">
        <f>output!E109/SUM(output!E$109:E$111)</f>
        <v>0.88836083168883018</v>
      </c>
      <c r="Q49" s="42">
        <f>output!F109/SUM(output!F$109:F$111)</f>
        <v>0.89403139601259995</v>
      </c>
      <c r="R49" s="42">
        <f>output!G109/SUM(output!G$109:G$111)</f>
        <v>0.93216492964489872</v>
      </c>
      <c r="S49" s="42">
        <f>output!H109/SUM(output!H$109:H$111)</f>
        <v>0.45175015089044701</v>
      </c>
      <c r="T49" s="42">
        <f>output!I109/SUM(output!I$109:I$111)</f>
        <v>0.69197828602229494</v>
      </c>
      <c r="U49" s="42">
        <f>output!J109/SUM(output!J$109:J$111)</f>
        <v>0.84490671013887364</v>
      </c>
      <c r="W49" s="18">
        <v>1</v>
      </c>
      <c r="X49" s="12">
        <f t="shared" ref="X49:AF52" si="14">M49-B49</f>
        <v>8.4608184307545242E-3</v>
      </c>
      <c r="Y49" s="12">
        <f t="shared" si="14"/>
        <v>-2.2652373724500574E-2</v>
      </c>
      <c r="Z49" s="12">
        <f t="shared" si="14"/>
        <v>-2.4689716157505481E-3</v>
      </c>
      <c r="AA49" s="12">
        <f t="shared" si="14"/>
        <v>-2.4152430634088673E-2</v>
      </c>
      <c r="AB49" s="12">
        <f t="shared" si="14"/>
        <v>1.163504598860976E-2</v>
      </c>
      <c r="AC49" s="12">
        <f t="shared" si="14"/>
        <v>-6.7835070355101279E-2</v>
      </c>
      <c r="AD49" s="12">
        <f t="shared" si="14"/>
        <v>-0.52635335474805423</v>
      </c>
      <c r="AE49" s="12">
        <f t="shared" si="14"/>
        <v>-0.28125510638070561</v>
      </c>
      <c r="AF49" s="12">
        <f t="shared" si="14"/>
        <v>-8.2438448429655087E-2</v>
      </c>
    </row>
    <row r="50" spans="1:32" x14ac:dyDescent="0.2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5.3296247975115688E-2</v>
      </c>
      <c r="N50" s="42">
        <f>output!C110/SUM(output!C$109:C$111)</f>
        <v>7.1056709430893053E-2</v>
      </c>
      <c r="O50" s="42">
        <f>output!D110/SUM(output!D$109:D$111)</f>
        <v>7.6292757563447652E-2</v>
      </c>
      <c r="P50" s="42">
        <f>output!E110/SUM(output!E$109:E$111)</f>
        <v>8.7161984535602047E-2</v>
      </c>
      <c r="Q50" s="42">
        <f>output!F110/SUM(output!F$109:F$111)</f>
        <v>6.5075352864669922E-2</v>
      </c>
      <c r="R50" s="42">
        <f>output!G110/SUM(output!G$109:G$111)</f>
        <v>6.0690111109337599E-2</v>
      </c>
      <c r="S50" s="42">
        <f>output!H110/SUM(output!H$109:H$111)</f>
        <v>2.6437392464186259E-2</v>
      </c>
      <c r="T50" s="42">
        <f>output!I110/SUM(output!I$109:I$111)</f>
        <v>4.7878416871100032E-2</v>
      </c>
      <c r="U50" s="42">
        <f>output!J110/SUM(output!J$109:J$111)</f>
        <v>6.5764646753426539E-2</v>
      </c>
      <c r="W50" s="18">
        <v>2</v>
      </c>
      <c r="X50" s="12">
        <f t="shared" si="14"/>
        <v>-9.8146978562562853E-3</v>
      </c>
      <c r="Y50" s="12">
        <f t="shared" si="14"/>
        <v>1.0804641077282774E-2</v>
      </c>
      <c r="Z50" s="12">
        <f t="shared" si="14"/>
        <v>-1.9999753678129589E-2</v>
      </c>
      <c r="AA50" s="12">
        <f t="shared" si="14"/>
        <v>2.4124835845742293E-3</v>
      </c>
      <c r="AB50" s="12">
        <f t="shared" si="14"/>
        <v>-5.2528297111339925E-2</v>
      </c>
      <c r="AC50" s="12">
        <f t="shared" si="14"/>
        <v>6.0690111109337599E-2</v>
      </c>
      <c r="AD50" s="12">
        <f t="shared" si="14"/>
        <v>1.4220269705295272E-2</v>
      </c>
      <c r="AE50" s="12">
        <f t="shared" si="14"/>
        <v>2.1111809274100574E-2</v>
      </c>
      <c r="AF50" s="12">
        <f t="shared" si="14"/>
        <v>-4.6317436282932306E-3</v>
      </c>
    </row>
    <row r="51" spans="1:32" x14ac:dyDescent="0.2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5.6046684928872607E-3</v>
      </c>
      <c r="N51" s="43">
        <f>output!C111/SUM(output!C$109:C$111)</f>
        <v>1.1847732647217845E-2</v>
      </c>
      <c r="O51" s="43">
        <f>output!D111/SUM(output!D$109:D$111)</f>
        <v>2.2468725293880089E-2</v>
      </c>
      <c r="P51" s="43">
        <f>output!E111/SUM(output!E$109:E$111)</f>
        <v>2.4477183775567797E-2</v>
      </c>
      <c r="Q51" s="43">
        <f>output!F111/SUM(output!F$109:F$111)</f>
        <v>4.0893251122730102E-2</v>
      </c>
      <c r="R51" s="43">
        <f>output!G111/SUM(output!G$109:G$111)</f>
        <v>7.1449592457636865E-3</v>
      </c>
      <c r="S51" s="43">
        <f>output!H111/SUM(output!H$109:H$111)</f>
        <v>0.52181245664536668</v>
      </c>
      <c r="T51" s="43">
        <f>output!I111/SUM(output!I$109:I$111)</f>
        <v>0.260143297106605</v>
      </c>
      <c r="U51" s="43">
        <f>output!J111/SUM(output!J$109:J$111)</f>
        <v>8.9328643107699904E-2</v>
      </c>
      <c r="W51" s="23" t="s">
        <v>116</v>
      </c>
      <c r="X51" s="12">
        <f t="shared" si="14"/>
        <v>1.3538794255017359E-3</v>
      </c>
      <c r="Y51" s="12">
        <f t="shared" si="14"/>
        <v>1.1847732647217845E-2</v>
      </c>
      <c r="Z51" s="12">
        <f t="shared" si="14"/>
        <v>2.2468725293880089E-2</v>
      </c>
      <c r="AA51" s="12">
        <f t="shared" si="14"/>
        <v>2.1739947049514416E-2</v>
      </c>
      <c r="AB51" s="12">
        <f t="shared" si="14"/>
        <v>4.0893251122730102E-2</v>
      </c>
      <c r="AC51" s="12">
        <f t="shared" si="14"/>
        <v>7.1449592457636865E-3</v>
      </c>
      <c r="AD51" s="12">
        <f t="shared" si="14"/>
        <v>0.5121330850427589</v>
      </c>
      <c r="AE51" s="12">
        <f t="shared" si="14"/>
        <v>0.260143297106605</v>
      </c>
      <c r="AF51" s="12">
        <f t="shared" si="14"/>
        <v>8.7070192057948484E-2</v>
      </c>
    </row>
    <row r="52" spans="1:32" ht="13.5" thickBot="1" x14ac:dyDescent="0.25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0.99999999999999989</v>
      </c>
      <c r="L52" s="50" t="s">
        <v>221</v>
      </c>
      <c r="M52" s="51">
        <f>SUM(M49:M51)</f>
        <v>0.99999999999999989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0.98338561323462403</v>
      </c>
      <c r="N60" s="42">
        <f>output!C116/SUM(output!C$116:C$118)</f>
        <v>0.93320009802546933</v>
      </c>
      <c r="O60" s="42">
        <f>output!D116/SUM(output!D$116:D$118)</f>
        <v>0.90482507938051526</v>
      </c>
      <c r="P60" s="42">
        <f>output!E116/SUM(output!E$116:E$118)</f>
        <v>0.96115612996522093</v>
      </c>
      <c r="Q60" s="42">
        <f>output!F116/SUM(output!F$116:F$118)</f>
        <v>0.98054063412845738</v>
      </c>
      <c r="R60" s="42">
        <f>output!G116/SUM(output!G$116:G$118)</f>
        <v>0.98746448139032117</v>
      </c>
      <c r="S60" s="42">
        <f>output!H116/SUM(output!H$116:H$118)</f>
        <v>0.99897516617141335</v>
      </c>
      <c r="T60" s="42">
        <f>output!I116/SUM(output!I$116:I$118)</f>
        <v>0.9949426273490769</v>
      </c>
      <c r="U60" s="42">
        <f>output!J116/SUM(output!J$116:J$118)</f>
        <v>0.95403261379690396</v>
      </c>
      <c r="W60" s="18">
        <v>1</v>
      </c>
      <c r="X60" s="12">
        <f t="shared" ref="X60:AF63" si="17">M60-B60</f>
        <v>3.3168439318803644E-3</v>
      </c>
      <c r="Y60" s="12">
        <f t="shared" si="17"/>
        <v>3.0654992217438837E-2</v>
      </c>
      <c r="Z60" s="12">
        <f t="shared" si="17"/>
        <v>-3.6368730383290582E-2</v>
      </c>
      <c r="AA60" s="12">
        <f t="shared" si="17"/>
        <v>2.575847625950034E-2</v>
      </c>
      <c r="AB60" s="12">
        <f t="shared" si="17"/>
        <v>5.5120653583051737E-4</v>
      </c>
      <c r="AC60" s="12" t="e">
        <f t="shared" si="17"/>
        <v>#DIV/0!</v>
      </c>
      <c r="AD60" s="12">
        <f t="shared" si="17"/>
        <v>-1.0248338285866465E-3</v>
      </c>
      <c r="AE60" s="12">
        <f t="shared" si="17"/>
        <v>-5.0573726509230976E-3</v>
      </c>
      <c r="AF60" s="12">
        <f t="shared" si="17"/>
        <v>-2.3618869014054855E-3</v>
      </c>
    </row>
    <row r="61" spans="1:32" x14ac:dyDescent="0.2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1.6614386765376046E-2</v>
      </c>
      <c r="N61" s="42">
        <f>output!C117/SUM(output!C$116:C$118)</f>
        <v>6.6799901974530687E-2</v>
      </c>
      <c r="O61" s="42">
        <f>output!D117/SUM(output!D$116:D$118)</f>
        <v>9.517492061948464E-2</v>
      </c>
      <c r="P61" s="42">
        <f>output!E117/SUM(output!E$116:E$118)</f>
        <v>3.8843870034778995E-2</v>
      </c>
      <c r="Q61" s="42">
        <f>output!F117/SUM(output!F$116:F$118)</f>
        <v>1.9459365871542691E-2</v>
      </c>
      <c r="R61" s="42">
        <f>output!G117/SUM(output!G$116:G$118)</f>
        <v>1.2535518609678812E-2</v>
      </c>
      <c r="S61" s="42">
        <f>output!H117/SUM(output!H$116:H$118)</f>
        <v>1.0248338285865361E-3</v>
      </c>
      <c r="T61" s="42">
        <f>output!I117/SUM(output!I$116:I$118)</f>
        <v>5.0573726509230785E-3</v>
      </c>
      <c r="U61" s="42">
        <f>output!J117/SUM(output!J$116:J$118)</f>
        <v>4.5967386203095997E-2</v>
      </c>
      <c r="W61" s="18">
        <v>2</v>
      </c>
      <c r="X61" s="12">
        <f t="shared" si="17"/>
        <v>-3.3168439318803158E-3</v>
      </c>
      <c r="Y61" s="12">
        <f t="shared" si="17"/>
        <v>-3.0654992217438795E-2</v>
      </c>
      <c r="Z61" s="12">
        <f t="shared" si="17"/>
        <v>3.6368730383290485E-2</v>
      </c>
      <c r="AA61" s="12">
        <f t="shared" si="17"/>
        <v>-2.575847625950043E-2</v>
      </c>
      <c r="AB61" s="12">
        <f t="shared" si="17"/>
        <v>-5.512065358303439E-4</v>
      </c>
      <c r="AC61" s="12" t="e">
        <f t="shared" si="17"/>
        <v>#DIV/0!</v>
      </c>
      <c r="AD61" s="12">
        <f t="shared" si="17"/>
        <v>1.0248338285865361E-3</v>
      </c>
      <c r="AE61" s="12">
        <f t="shared" si="17"/>
        <v>5.0573726509230785E-3</v>
      </c>
      <c r="AF61" s="12">
        <f t="shared" si="17"/>
        <v>2.3618869014054369E-3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5" thickBot="1" x14ac:dyDescent="0.25">
      <c r="A63" s="21" t="s">
        <v>221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0.99999999999999989</v>
      </c>
      <c r="P63" s="51">
        <f t="shared" si="19"/>
        <v>0.99999999999999989</v>
      </c>
      <c r="Q63" s="51">
        <f t="shared" si="19"/>
        <v>1</v>
      </c>
      <c r="R63" s="51">
        <f t="shared" si="19"/>
        <v>1</v>
      </c>
      <c r="S63" s="51">
        <f t="shared" si="19"/>
        <v>0.99999999999999989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0.89777601093057591</v>
      </c>
      <c r="N71" s="42">
        <f>output!C123/SUM(output!C$123:C$125)</f>
        <v>0.86732656910341732</v>
      </c>
      <c r="O71" s="42">
        <f>output!D123/SUM(output!D$123:D$125)</f>
        <v>0.84194961613627517</v>
      </c>
      <c r="P71" s="42">
        <f>output!E123/SUM(output!E$123:E$125)</f>
        <v>0.84129802791879449</v>
      </c>
      <c r="Q71" s="42">
        <f>output!F123/SUM(output!F$123:F$125)</f>
        <v>0.91153608143837761</v>
      </c>
      <c r="R71" s="42">
        <f>output!G123/SUM(output!G$123:G$125)</f>
        <v>0.89372339489617036</v>
      </c>
      <c r="S71" s="42">
        <f>output!H123/SUM(output!H$123:H$125)</f>
        <v>0.91821019244123148</v>
      </c>
      <c r="T71" s="42">
        <f>output!I123/SUM(output!I$123:I$125)</f>
        <v>0.85455875796774505</v>
      </c>
      <c r="U71" s="42">
        <f>output!J123/SUM(output!J$123:J$125)</f>
        <v>0.87309922275352581</v>
      </c>
      <c r="W71" s="18">
        <v>1</v>
      </c>
      <c r="X71" s="12">
        <f t="shared" ref="X71:AF74" si="20">M71-B71</f>
        <v>2.7996273998237453E-2</v>
      </c>
      <c r="Y71" s="12">
        <f t="shared" si="20"/>
        <v>6.7818262410872077E-2</v>
      </c>
      <c r="Z71" s="12">
        <f t="shared" si="20"/>
        <v>-6.2121019828055735E-2</v>
      </c>
      <c r="AA71" s="12">
        <f t="shared" si="20"/>
        <v>-1.2538137465635923E-2</v>
      </c>
      <c r="AB71" s="12">
        <f t="shared" si="20"/>
        <v>3.0416045123401125E-2</v>
      </c>
      <c r="AC71" s="12">
        <f t="shared" si="20"/>
        <v>0.10917101286229369</v>
      </c>
      <c r="AD71" s="12">
        <f t="shared" si="20"/>
        <v>2.2822792211630083E-2</v>
      </c>
      <c r="AE71" s="12">
        <f t="shared" si="20"/>
        <v>-2.8923403881411236E-3</v>
      </c>
      <c r="AF71" s="12">
        <f t="shared" si="20"/>
        <v>8.1147538334507274E-3</v>
      </c>
    </row>
    <row r="72" spans="1:32" x14ac:dyDescent="0.2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9.2290872946149058E-2</v>
      </c>
      <c r="N72" s="42">
        <f>output!C124/SUM(output!C$123:C$125)</f>
        <v>0.1214475729212697</v>
      </c>
      <c r="O72" s="42">
        <f>output!D124/SUM(output!D$123:D$125)</f>
        <v>0.14309770906410471</v>
      </c>
      <c r="P72" s="42">
        <f>output!E124/SUM(output!E$123:E$125)</f>
        <v>0.14330401631056602</v>
      </c>
      <c r="Q72" s="42">
        <f>output!F124/SUM(output!F$123:F$125)</f>
        <v>8.0387342903629908E-2</v>
      </c>
      <c r="R72" s="42">
        <f>output!G124/SUM(output!G$123:G$125)</f>
        <v>9.4962776302856003E-2</v>
      </c>
      <c r="S72" s="42">
        <f>output!H124/SUM(output!H$123:H$125)</f>
        <v>7.5096819342708079E-2</v>
      </c>
      <c r="T72" s="42">
        <f>output!I124/SUM(output!I$123:I$125)</f>
        <v>0.13359821297145133</v>
      </c>
      <c r="U72" s="42">
        <f>output!J124/SUM(output!J$123:J$125)</f>
        <v>0.1151126080239898</v>
      </c>
      <c r="W72" s="18">
        <v>2</v>
      </c>
      <c r="X72" s="12">
        <f t="shared" si="20"/>
        <v>-2.8421829358697373E-2</v>
      </c>
      <c r="Y72" s="12">
        <f t="shared" si="20"/>
        <v>-6.0984756280583419E-2</v>
      </c>
      <c r="Z72" s="12">
        <f t="shared" si="20"/>
        <v>4.9271328610673612E-2</v>
      </c>
      <c r="AA72" s="12">
        <f t="shared" si="20"/>
        <v>1.6033985131904932E-2</v>
      </c>
      <c r="AB72" s="12">
        <f t="shared" si="20"/>
        <v>-2.3357631936486267E-2</v>
      </c>
      <c r="AC72" s="12">
        <f t="shared" si="20"/>
        <v>-0.12048484166326735</v>
      </c>
      <c r="AD72" s="12">
        <f t="shared" si="20"/>
        <v>-8.6188157002597687E-3</v>
      </c>
      <c r="AE72" s="12">
        <f t="shared" si="20"/>
        <v>-7.0241088601374901E-3</v>
      </c>
      <c r="AF72" s="12">
        <f t="shared" si="20"/>
        <v>-7.8034696865134923E-3</v>
      </c>
    </row>
    <row r="73" spans="1:32" x14ac:dyDescent="0.2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9.9331161232749481E-3</v>
      </c>
      <c r="N73" s="43">
        <f>output!C125/SUM(output!C$123:C$125)</f>
        <v>1.1225857975312914E-2</v>
      </c>
      <c r="O73" s="43">
        <f>output!D125/SUM(output!D$123:D$125)</f>
        <v>1.4952674799620171E-2</v>
      </c>
      <c r="P73" s="43">
        <f>output!E125/SUM(output!E$123:E$125)</f>
        <v>1.5397955770639616E-2</v>
      </c>
      <c r="Q73" s="43">
        <f>output!F125/SUM(output!F$123:F$125)</f>
        <v>8.0765756579925015E-3</v>
      </c>
      <c r="R73" s="43">
        <f>output!G125/SUM(output!G$123:G$125)</f>
        <v>1.1313828800973747E-2</v>
      </c>
      <c r="S73" s="43">
        <f>output!H125/SUM(output!H$123:H$125)</f>
        <v>6.6929882160603601E-3</v>
      </c>
      <c r="T73" s="43">
        <f>output!I125/SUM(output!I$123:I$125)</f>
        <v>1.1843029060803499E-2</v>
      </c>
      <c r="U73" s="43">
        <f>output!J125/SUM(output!J$123:J$125)</f>
        <v>1.1788169222484345E-2</v>
      </c>
      <c r="W73" s="23" t="s">
        <v>116</v>
      </c>
      <c r="X73" s="12">
        <f t="shared" si="20"/>
        <v>4.2555536045981064E-4</v>
      </c>
      <c r="Y73" s="12">
        <f t="shared" si="20"/>
        <v>-6.8335061302886146E-3</v>
      </c>
      <c r="Z73" s="12">
        <f t="shared" si="20"/>
        <v>1.2849691217382275E-2</v>
      </c>
      <c r="AA73" s="12">
        <f t="shared" si="20"/>
        <v>-3.4958476662688767E-3</v>
      </c>
      <c r="AB73" s="12">
        <f t="shared" si="20"/>
        <v>-7.0584131869148251E-3</v>
      </c>
      <c r="AC73" s="12">
        <f t="shared" si="20"/>
        <v>1.1313828800973747E-2</v>
      </c>
      <c r="AD73" s="12">
        <f t="shared" si="20"/>
        <v>-1.4203976511370359E-2</v>
      </c>
      <c r="AE73" s="12">
        <f t="shared" si="20"/>
        <v>9.9164492482785877E-3</v>
      </c>
      <c r="AF73" s="12">
        <f t="shared" si="20"/>
        <v>-3.1128414693725598E-4</v>
      </c>
    </row>
    <row r="74" spans="1:32" ht="13.5" thickBot="1" x14ac:dyDescent="0.25">
      <c r="A74" s="21" t="s">
        <v>221</v>
      </c>
      <c r="B74" s="51">
        <f>SUM(B71:B73)</f>
        <v>1</v>
      </c>
      <c r="C74" s="51">
        <f t="shared" ref="C74:J74" si="21">SUM(C71:C73)</f>
        <v>0.99999999999999989</v>
      </c>
      <c r="D74" s="51">
        <f t="shared" si="21"/>
        <v>0.99999999999999989</v>
      </c>
      <c r="E74" s="51">
        <f t="shared" si="21"/>
        <v>1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0.99999999999999989</v>
      </c>
      <c r="J74" s="51">
        <f t="shared" si="21"/>
        <v>1</v>
      </c>
      <c r="L74" s="50" t="s">
        <v>221</v>
      </c>
      <c r="M74" s="51">
        <f>SUM(M71:M73)</f>
        <v>0.99999999999999989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0.99999999999999989</v>
      </c>
      <c r="T74" s="51">
        <f t="shared" si="22"/>
        <v>0.99999999999999989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5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4.4784506926590306E-2</v>
      </c>
      <c r="N5" s="12">
        <f>output!C80/SUM(output!C$80:C$83)</f>
        <v>0.42427798062477429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0.61423343894135995</v>
      </c>
      <c r="R5" s="12">
        <f>output!G80/SUM(output!G$80:G$83)</f>
        <v>0.98462661325586565</v>
      </c>
      <c r="S5" s="28">
        <f>output!H80/SUM(output!H$80:H$83)</f>
        <v>1</v>
      </c>
      <c r="T5" s="28">
        <f>output!I80/SUM(output!I$80:I$83)</f>
        <v>1</v>
      </c>
      <c r="U5" s="12">
        <f>output!J80/SUM(output!J$80:J$83)</f>
        <v>0.57061615653462372</v>
      </c>
      <c r="W5" s="18">
        <v>0</v>
      </c>
      <c r="X5" s="12">
        <f t="shared" ref="X5:AF9" si="0">M5-B5</f>
        <v>-0.17465506614672471</v>
      </c>
      <c r="Y5" s="12">
        <f t="shared" si="0"/>
        <v>-0.14174105595898356</v>
      </c>
      <c r="Z5" s="12">
        <f t="shared" si="0"/>
        <v>3.5290814824201933E-2</v>
      </c>
      <c r="AA5" s="12">
        <f t="shared" si="0"/>
        <v>4.2516855789300978E-2</v>
      </c>
      <c r="AB5" s="12">
        <f t="shared" si="0"/>
        <v>-3.7024637405095318E-3</v>
      </c>
      <c r="AC5" s="12">
        <f t="shared" si="0"/>
        <v>5.5660558571132279E-3</v>
      </c>
      <c r="AD5" s="12">
        <f t="shared" si="0"/>
        <v>2.3653908296611403E-3</v>
      </c>
      <c r="AE5" s="12">
        <f t="shared" si="0"/>
        <v>1.3861607648802954E-3</v>
      </c>
      <c r="AF5" s="12">
        <f t="shared" si="0"/>
        <v>-6.9351831695426913E-2</v>
      </c>
    </row>
    <row r="6" spans="1:32" x14ac:dyDescent="0.2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0.93099955618385533</v>
      </c>
      <c r="N6" s="12">
        <f>output!C81/SUM(output!C$80:C$83)</f>
        <v>0.54625115414079295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0.36989551502615392</v>
      </c>
      <c r="R6" s="12">
        <f>output!G81/SUM(output!G$80:G$83)</f>
        <v>1.4806407812272014E-2</v>
      </c>
      <c r="S6" s="28">
        <f>output!H81/SUM(output!H$80:H$83)</f>
        <v>0</v>
      </c>
      <c r="T6" s="28">
        <f>output!I81/SUM(output!I$80:I$83)</f>
        <v>0</v>
      </c>
      <c r="U6" s="12">
        <f>output!J81/SUM(output!J$80:J$83)</f>
        <v>0.41689297531299979</v>
      </c>
      <c r="W6" s="18">
        <v>1</v>
      </c>
      <c r="X6" s="12">
        <f t="shared" si="0"/>
        <v>0.1787996076731716</v>
      </c>
      <c r="Y6" s="12">
        <f t="shared" si="0"/>
        <v>0.13953701655581324</v>
      </c>
      <c r="Z6" s="12">
        <f t="shared" si="0"/>
        <v>-3.4529876356416987E-2</v>
      </c>
      <c r="AA6" s="12">
        <f t="shared" si="0"/>
        <v>-4.1124108563141304E-2</v>
      </c>
      <c r="AB6" s="12">
        <f t="shared" si="0"/>
        <v>2.7189202893048103E-2</v>
      </c>
      <c r="AC6" s="12">
        <f t="shared" si="0"/>
        <v>-6.1330347889756026E-3</v>
      </c>
      <c r="AD6" s="12">
        <f t="shared" si="0"/>
        <v>-2.3653908296611473E-3</v>
      </c>
      <c r="AE6" s="12">
        <f t="shared" si="0"/>
        <v>-1.3861607648803247E-3</v>
      </c>
      <c r="AF6" s="12">
        <f t="shared" si="0"/>
        <v>7.1655014507376658E-2</v>
      </c>
    </row>
    <row r="7" spans="1:32" x14ac:dyDescent="0.2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2.3383897237838271E-2</v>
      </c>
      <c r="N7" s="12">
        <f>output!C82/SUM(output!C$80:C$83)</f>
        <v>2.8447861640297143E-2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1.5193373224901732E-2</v>
      </c>
      <c r="R7" s="12">
        <f>output!G82/SUM(output!G$80:G$83)</f>
        <v>5.6697893186232688E-4</v>
      </c>
      <c r="S7" s="28">
        <f>output!H82/SUM(output!H$80:H$83)</f>
        <v>0</v>
      </c>
      <c r="T7" s="28">
        <f>output!I82/SUM(output!I$80:I$83)</f>
        <v>0</v>
      </c>
      <c r="U7" s="12">
        <f>output!J82/SUM(output!J$80:J$83)</f>
        <v>1.2055185906723784E-2</v>
      </c>
      <c r="W7" s="18">
        <v>2</v>
      </c>
      <c r="X7" s="12">
        <f t="shared" si="0"/>
        <v>-3.9433529476363902E-3</v>
      </c>
      <c r="Y7" s="12">
        <f t="shared" si="0"/>
        <v>1.4535897064433673E-3</v>
      </c>
      <c r="Z7" s="12">
        <f t="shared" si="0"/>
        <v>-7.6093846778502519E-4</v>
      </c>
      <c r="AA7" s="12">
        <f t="shared" si="0"/>
        <v>-9.5589031194776117E-4</v>
      </c>
      <c r="AB7" s="12">
        <f t="shared" si="0"/>
        <v>-1.3568847931433026E-2</v>
      </c>
      <c r="AC7" s="12">
        <f t="shared" si="0"/>
        <v>5.6697893186232688E-4</v>
      </c>
      <c r="AD7" s="12">
        <f t="shared" si="0"/>
        <v>0</v>
      </c>
      <c r="AE7" s="12">
        <f t="shared" si="0"/>
        <v>0</v>
      </c>
      <c r="AF7" s="12">
        <f t="shared" si="0"/>
        <v>-1.9319702206486641E-3</v>
      </c>
    </row>
    <row r="8" spans="1:32" x14ac:dyDescent="0.2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8.3203965171609756E-4</v>
      </c>
      <c r="N8" s="13">
        <f>output!C83/SUM(output!C$80:C$83)</f>
        <v>1.0230035941356272E-3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6.7767280758442461E-4</v>
      </c>
      <c r="R8" s="13">
        <f>output!G83/SUM(output!G$80:G$83)</f>
        <v>0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4.3568224565278447E-4</v>
      </c>
      <c r="W8" s="23" t="s">
        <v>116</v>
      </c>
      <c r="X8" s="12">
        <f t="shared" si="0"/>
        <v>-2.0118857881051822E-4</v>
      </c>
      <c r="Y8" s="12">
        <f t="shared" si="0"/>
        <v>7.5044969672691752E-4</v>
      </c>
      <c r="Z8" s="12">
        <f t="shared" si="0"/>
        <v>0</v>
      </c>
      <c r="AA8" s="12">
        <f t="shared" si="0"/>
        <v>-4.3685691421207009E-4</v>
      </c>
      <c r="AB8" s="12">
        <f t="shared" si="0"/>
        <v>-9.9178912211054931E-3</v>
      </c>
      <c r="AC8" s="12">
        <f t="shared" si="0"/>
        <v>0</v>
      </c>
      <c r="AD8" s="12">
        <f t="shared" si="0"/>
        <v>0</v>
      </c>
      <c r="AE8" s="12">
        <f t="shared" si="0"/>
        <v>0</v>
      </c>
      <c r="AF8" s="12">
        <f t="shared" si="0"/>
        <v>-3.7121259130103043E-4</v>
      </c>
    </row>
    <row r="9" spans="1:32" ht="13.5" thickBot="1" x14ac:dyDescent="0.25">
      <c r="A9" s="21" t="s">
        <v>221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1.0000000000000002</v>
      </c>
      <c r="E9" s="14">
        <f t="shared" si="1"/>
        <v>1.0000000000000002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0.97897216266777121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0.29408416391055658</v>
      </c>
      <c r="R17" s="12">
        <f>output!G87/SUM(output!G$87:G$90)</f>
        <v>0.10900526611068875</v>
      </c>
      <c r="S17" s="28">
        <f>output!H87/SUM(output!H$87:H$90)</f>
        <v>0.13532304480494814</v>
      </c>
      <c r="T17" s="28">
        <f>output!I87/SUM(output!I$87:I$90)</f>
        <v>0.84152621048302723</v>
      </c>
      <c r="U17" s="12">
        <f>output!J87/SUM(output!J$87:J$90)</f>
        <v>0.80412696367618652</v>
      </c>
      <c r="W17" s="18">
        <v>0</v>
      </c>
      <c r="X17" s="12">
        <f t="shared" ref="X17:AF21" si="3">M17-B17</f>
        <v>-1.6858788511306289E-2</v>
      </c>
      <c r="Y17" s="12">
        <f t="shared" si="3"/>
        <v>8.1068524301328937E-2</v>
      </c>
      <c r="Z17" s="12">
        <f t="shared" si="3"/>
        <v>2.9727775809728074E-3</v>
      </c>
      <c r="AA17" s="12">
        <f t="shared" si="3"/>
        <v>7.6504023320936421E-2</v>
      </c>
      <c r="AB17" s="12">
        <f t="shared" si="3"/>
        <v>-0.38325541233850113</v>
      </c>
      <c r="AC17" s="12">
        <f t="shared" si="3"/>
        <v>-0.12168851287306234</v>
      </c>
      <c r="AD17" s="12">
        <f t="shared" si="3"/>
        <v>-0.11389668683195034</v>
      </c>
      <c r="AE17" s="12">
        <f t="shared" si="3"/>
        <v>2.540091566911451E-2</v>
      </c>
      <c r="AF17" s="12">
        <f t="shared" si="3"/>
        <v>-3.0403968780749913E-2</v>
      </c>
    </row>
    <row r="18" spans="1:32" x14ac:dyDescent="0.2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2.0818696875045593E-2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0.58666686627928366</v>
      </c>
      <c r="R18" s="12">
        <f>output!G88/SUM(output!G$87:G$90)</f>
        <v>0.8804070169644882</v>
      </c>
      <c r="S18" s="28">
        <f>output!H88/SUM(output!H$87:H$90)</f>
        <v>0.85114838230851164</v>
      </c>
      <c r="T18" s="28">
        <f>output!I88/SUM(output!I$87:I$90)</f>
        <v>0.15678786776830508</v>
      </c>
      <c r="U18" s="12">
        <f>output!J88/SUM(output!J$87:J$90)</f>
        <v>0.18793447839189595</v>
      </c>
      <c r="W18" s="18">
        <v>1</v>
      </c>
      <c r="X18" s="12">
        <f t="shared" si="3"/>
        <v>1.6649648054123049E-2</v>
      </c>
      <c r="Y18" s="12">
        <f t="shared" si="3"/>
        <v>-7.7731224295088525E-2</v>
      </c>
      <c r="Z18" s="12">
        <f t="shared" si="3"/>
        <v>-2.9727775809728469E-3</v>
      </c>
      <c r="AA18" s="12">
        <f t="shared" si="3"/>
        <v>-7.1946786378869726E-2</v>
      </c>
      <c r="AB18" s="12">
        <f t="shared" si="3"/>
        <v>0.29577223470190794</v>
      </c>
      <c r="AC18" s="12">
        <f t="shared" si="3"/>
        <v>0.12139389775200748</v>
      </c>
      <c r="AD18" s="12">
        <f t="shared" si="3"/>
        <v>0.10991433795741046</v>
      </c>
      <c r="AE18" s="12">
        <f t="shared" si="3"/>
        <v>-2.4295629809951508E-2</v>
      </c>
      <c r="AF18" s="12">
        <f t="shared" si="3"/>
        <v>2.6205369755574887E-2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1.9426663422714545E-4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0.10436342714996827</v>
      </c>
      <c r="R19" s="12">
        <f>output!G89/SUM(output!G$87:G$90)</f>
        <v>9.1968892844008672E-3</v>
      </c>
      <c r="S19" s="28">
        <f>output!H89/SUM(output!H$87:H$90)</f>
        <v>1.1348395248012788E-2</v>
      </c>
      <c r="T19" s="28">
        <f>output!I89/SUM(output!I$87:I$90)</f>
        <v>1.4477711936003192E-3</v>
      </c>
      <c r="U19" s="12">
        <f>output!J89/SUM(output!J$87:J$90)</f>
        <v>6.8817231263558279E-3</v>
      </c>
      <c r="W19" s="18">
        <v>2</v>
      </c>
      <c r="X19" s="12">
        <f t="shared" si="3"/>
        <v>1.9426663422714545E-4</v>
      </c>
      <c r="Y19" s="12">
        <f t="shared" si="3"/>
        <v>-3.3373000062403122E-3</v>
      </c>
      <c r="Z19" s="12">
        <f t="shared" si="3"/>
        <v>0</v>
      </c>
      <c r="AA19" s="12">
        <f t="shared" si="3"/>
        <v>-4.5572369420667442E-3</v>
      </c>
      <c r="AB19" s="12">
        <f t="shared" si="3"/>
        <v>7.8824802434215246E-2</v>
      </c>
      <c r="AC19" s="12">
        <f t="shared" si="3"/>
        <v>-1.0962125193673122E-3</v>
      </c>
      <c r="AD19" s="12">
        <f t="shared" si="3"/>
        <v>1.8021712360123867E-3</v>
      </c>
      <c r="AE19" s="12">
        <f t="shared" si="3"/>
        <v>-1.6195696636130304E-4</v>
      </c>
      <c r="AF19" s="12">
        <f t="shared" si="3"/>
        <v>3.4155131967366623E-3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1.4873822956173593E-5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1.4885542660191483E-2</v>
      </c>
      <c r="R20" s="13">
        <f>output!G90/SUM(output!G$87:G$90)</f>
        <v>1.3908276404222175E-3</v>
      </c>
      <c r="S20" s="30">
        <f>output!H90/SUM(output!H$87:H$90)</f>
        <v>2.1801776385274863E-3</v>
      </c>
      <c r="T20" s="30">
        <f>output!I90/SUM(output!I$87:I$90)</f>
        <v>2.3815055506727604E-4</v>
      </c>
      <c r="U20" s="13">
        <f>output!J90/SUM(output!J$87:J$90)</f>
        <v>1.0568348055616337E-3</v>
      </c>
      <c r="W20" s="23" t="s">
        <v>116</v>
      </c>
      <c r="X20" s="12">
        <f t="shared" si="3"/>
        <v>1.4873822956173593E-5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8.6583752023780443E-3</v>
      </c>
      <c r="AC20" s="12">
        <f t="shared" si="3"/>
        <v>1.3908276404222175E-3</v>
      </c>
      <c r="AD20" s="12">
        <f t="shared" si="3"/>
        <v>2.1801776385274863E-3</v>
      </c>
      <c r="AE20" s="12">
        <f t="shared" si="3"/>
        <v>-9.4332889280171874E-4</v>
      </c>
      <c r="AF20" s="12">
        <f t="shared" si="3"/>
        <v>7.8308582843836889E-4</v>
      </c>
    </row>
    <row r="21" spans="1:32" ht="13.5" thickBot="1" x14ac:dyDescent="0.25">
      <c r="A21" s="21" t="s">
        <v>221</v>
      </c>
      <c r="B21" s="14">
        <f t="shared" ref="B21:J21" si="4">SUM(B17:B20)</f>
        <v>1</v>
      </c>
      <c r="C21" s="14">
        <f t="shared" si="4"/>
        <v>0.99999999999999989</v>
      </c>
      <c r="D21" s="14">
        <f t="shared" si="4"/>
        <v>1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0.99999999999999989</v>
      </c>
      <c r="J21" s="14">
        <f t="shared" si="4"/>
        <v>1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1</v>
      </c>
      <c r="T21" s="14">
        <f t="shared" si="5"/>
        <v>0.99999999999999989</v>
      </c>
      <c r="U21" s="14">
        <f t="shared" si="5"/>
        <v>0.99999999999999989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0.92226263003297948</v>
      </c>
      <c r="N29" s="12">
        <f>output!C94/SUM(output!C$94:C$97)</f>
        <v>0.85046832018560126</v>
      </c>
      <c r="O29" s="12">
        <f>output!D94/SUM(output!D$94:D$97)</f>
        <v>0.83219065656875513</v>
      </c>
      <c r="P29" s="12">
        <f>output!E94/SUM(output!E$94:E$97)</f>
        <v>0.72490121851122025</v>
      </c>
      <c r="Q29" s="12">
        <f>output!F94/SUM(output!F$94:F$97)</f>
        <v>0.94754474469376082</v>
      </c>
      <c r="R29" s="12">
        <f>output!G94/SUM(output!G$94:G$97)</f>
        <v>0.96055958960979437</v>
      </c>
      <c r="S29" s="28">
        <f>output!H94/SUM(output!H$94:H$97)</f>
        <v>0.92230813155101654</v>
      </c>
      <c r="T29" s="28">
        <f>output!I94/SUM(output!I$94:I$97)</f>
        <v>0.74461271364587189</v>
      </c>
      <c r="U29" s="12">
        <f>output!J94/SUM(output!J$94:J$97)</f>
        <v>0.86743758551813677</v>
      </c>
      <c r="W29" s="18">
        <v>0</v>
      </c>
      <c r="X29" s="12">
        <f t="shared" ref="X29:AF33" si="6">M29-B29</f>
        <v>1.3181695848685226E-4</v>
      </c>
      <c r="Y29" s="12">
        <f t="shared" si="6"/>
        <v>1.2428732987022073E-3</v>
      </c>
      <c r="Z29" s="12">
        <f t="shared" si="6"/>
        <v>-6.3710772314397146E-2</v>
      </c>
      <c r="AA29" s="12">
        <f t="shared" si="6"/>
        <v>-8.74938990584474E-2</v>
      </c>
      <c r="AB29" s="12">
        <f t="shared" si="6"/>
        <v>1.8672725574841342E-2</v>
      </c>
      <c r="AC29" s="12">
        <f t="shared" si="6"/>
        <v>3.5846838220341071E-2</v>
      </c>
      <c r="AD29" s="12">
        <f t="shared" si="6"/>
        <v>-3.1397456315194305E-2</v>
      </c>
      <c r="AE29" s="12">
        <f t="shared" si="6"/>
        <v>-0.13457332687174339</v>
      </c>
      <c r="AF29" s="12">
        <f t="shared" si="6"/>
        <v>-2.9244434159044097E-2</v>
      </c>
    </row>
    <row r="30" spans="1:32" x14ac:dyDescent="0.2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6.8485652603641756E-2</v>
      </c>
      <c r="N30" s="12">
        <f>output!C95/SUM(output!C$94:C$97)</f>
        <v>8.8874851329025728E-2</v>
      </c>
      <c r="O30" s="12">
        <f>output!D95/SUM(output!D$94:D$97)</f>
        <v>0.12445194541655762</v>
      </c>
      <c r="P30" s="12">
        <f>output!E95/SUM(output!E$94:E$97)</f>
        <v>0.15607825193227076</v>
      </c>
      <c r="Q30" s="12">
        <f>output!F95/SUM(output!F$94:F$97)</f>
        <v>4.2715855651138605E-2</v>
      </c>
      <c r="R30" s="12">
        <f>output!G95/SUM(output!G$94:G$97)</f>
        <v>3.3919302139637175E-2</v>
      </c>
      <c r="S30" s="28">
        <f>output!H95/SUM(output!H$94:H$97)</f>
        <v>6.5511359290103224E-2</v>
      </c>
      <c r="T30" s="28">
        <f>output!I95/SUM(output!I$94:I$97)</f>
        <v>0.23164718380353688</v>
      </c>
      <c r="U30" s="12">
        <f>output!J95/SUM(output!J$94:J$97)</f>
        <v>9.714104906697614E-2</v>
      </c>
      <c r="W30" s="18">
        <v>1</v>
      </c>
      <c r="X30" s="12">
        <f t="shared" si="6"/>
        <v>1.3666636808981961E-2</v>
      </c>
      <c r="Y30" s="12">
        <f t="shared" si="6"/>
        <v>2.1696425525681573E-3</v>
      </c>
      <c r="Z30" s="12">
        <f t="shared" si="6"/>
        <v>3.2426267688236504E-2</v>
      </c>
      <c r="AA30" s="12">
        <f t="shared" si="6"/>
        <v>4.9333249244996671E-2</v>
      </c>
      <c r="AB30" s="12">
        <f t="shared" si="6"/>
        <v>-1.7935578304605036E-2</v>
      </c>
      <c r="AC30" s="12">
        <f t="shared" si="6"/>
        <v>-3.6155962068075254E-2</v>
      </c>
      <c r="AD30" s="12">
        <f t="shared" si="6"/>
        <v>2.1072997438789029E-2</v>
      </c>
      <c r="AE30" s="12">
        <f t="shared" si="6"/>
        <v>0.11901101059098912</v>
      </c>
      <c r="AF30" s="12">
        <f t="shared" si="6"/>
        <v>2.39438099151673E-2</v>
      </c>
    </row>
    <row r="31" spans="1:32" x14ac:dyDescent="0.2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8.0391168835891608E-3</v>
      </c>
      <c r="N31" s="12">
        <f>output!C96/SUM(output!C$94:C$97)</f>
        <v>5.1999800727236686E-2</v>
      </c>
      <c r="O31" s="12">
        <f>output!D96/SUM(output!D$94:D$97)</f>
        <v>3.7238579063605177E-2</v>
      </c>
      <c r="P31" s="12">
        <f>output!E96/SUM(output!E$94:E$97)</f>
        <v>0.10200118056988251</v>
      </c>
      <c r="Q31" s="12">
        <f>output!F96/SUM(output!F$94:F$97)</f>
        <v>8.0449592710661443E-3</v>
      </c>
      <c r="R31" s="12">
        <f>output!G96/SUM(output!G$94:G$97)</f>
        <v>4.877006063154274E-3</v>
      </c>
      <c r="S31" s="28">
        <f>output!H96/SUM(output!H$94:H$97)</f>
        <v>9.1554126509631791E-3</v>
      </c>
      <c r="T31" s="28">
        <f>output!I96/SUM(output!I$94:I$97)</f>
        <v>1.8555750966972897E-2</v>
      </c>
      <c r="U31" s="12">
        <f>output!J96/SUM(output!J$94:J$97)</f>
        <v>3.0113155113741276E-2</v>
      </c>
      <c r="W31" s="18">
        <v>2</v>
      </c>
      <c r="X31" s="12">
        <f t="shared" si="6"/>
        <v>-1.3097502620154451E-2</v>
      </c>
      <c r="Y31" s="12">
        <f t="shared" si="6"/>
        <v>-8.8861225666508892E-6</v>
      </c>
      <c r="Z31" s="12">
        <f t="shared" si="6"/>
        <v>2.5852528338223463E-2</v>
      </c>
      <c r="AA31" s="12">
        <f t="shared" si="6"/>
        <v>4.374364156746996E-2</v>
      </c>
      <c r="AB31" s="12">
        <f t="shared" si="6"/>
        <v>-4.3219855753576231E-5</v>
      </c>
      <c r="AC31" s="12">
        <f t="shared" si="6"/>
        <v>-3.3497833968000341E-4</v>
      </c>
      <c r="AD31" s="12">
        <f t="shared" si="6"/>
        <v>7.2993623684882679E-3</v>
      </c>
      <c r="AE31" s="12">
        <f t="shared" si="6"/>
        <v>1.0377964697136123E-2</v>
      </c>
      <c r="AF31" s="12">
        <f t="shared" si="6"/>
        <v>5.5830768131088816E-3</v>
      </c>
    </row>
    <row r="32" spans="1:32" x14ac:dyDescent="0.2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1.2126004797896053E-3</v>
      </c>
      <c r="N32" s="13">
        <f>output!C97/SUM(output!C$94:C$97)</f>
        <v>8.6570277581362355E-3</v>
      </c>
      <c r="O32" s="13">
        <f>output!D97/SUM(output!D$94:D$97)</f>
        <v>6.1188189510820749E-3</v>
      </c>
      <c r="P32" s="13">
        <f>output!E97/SUM(output!E$94:E$97)</f>
        <v>1.7019348986626673E-2</v>
      </c>
      <c r="Q32" s="13">
        <f>output!F97/SUM(output!F$94:F$97)</f>
        <v>1.694440384034346E-3</v>
      </c>
      <c r="R32" s="13">
        <f>output!G97/SUM(output!G$94:G$97)</f>
        <v>6.4410218741416927E-4</v>
      </c>
      <c r="S32" s="30">
        <f>output!H97/SUM(output!H$94:H$97)</f>
        <v>3.0250965079170931E-3</v>
      </c>
      <c r="T32" s="30">
        <f>output!I97/SUM(output!I$94:I$97)</f>
        <v>5.18435158361837E-3</v>
      </c>
      <c r="U32" s="13">
        <f>output!J97/SUM(output!J$94:J$97)</f>
        <v>5.3082103011458477E-3</v>
      </c>
      <c r="W32" s="18" t="s">
        <v>116</v>
      </c>
      <c r="X32" s="12">
        <f t="shared" si="6"/>
        <v>-7.0095114731443713E-4</v>
      </c>
      <c r="Y32" s="12">
        <f t="shared" si="6"/>
        <v>-3.4036297287037519E-3</v>
      </c>
      <c r="Z32" s="12">
        <f t="shared" si="6"/>
        <v>5.43197628793716E-3</v>
      </c>
      <c r="AA32" s="12">
        <f t="shared" si="6"/>
        <v>-5.5829917540188359E-3</v>
      </c>
      <c r="AB32" s="12">
        <f t="shared" si="6"/>
        <v>-6.9392741448273958E-4</v>
      </c>
      <c r="AC32" s="12">
        <f t="shared" si="6"/>
        <v>6.4410218741416927E-4</v>
      </c>
      <c r="AD32" s="12">
        <f t="shared" si="6"/>
        <v>3.0250965079170931E-3</v>
      </c>
      <c r="AE32" s="12">
        <f t="shared" si="6"/>
        <v>5.18435158361837E-3</v>
      </c>
      <c r="AF32" s="12">
        <f t="shared" si="6"/>
        <v>-2.8245256923206067E-4</v>
      </c>
    </row>
    <row r="33" spans="1:32" ht="13.5" thickBot="1" x14ac:dyDescent="0.25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0.99999999999999978</v>
      </c>
      <c r="F33" s="14">
        <f t="shared" si="7"/>
        <v>0.99999999999999989</v>
      </c>
      <c r="G33" s="14">
        <f t="shared" si="7"/>
        <v>1</v>
      </c>
      <c r="H33" s="14">
        <f t="shared" si="7"/>
        <v>1</v>
      </c>
      <c r="I33" s="14">
        <f t="shared" si="7"/>
        <v>0.99999999999999989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0.99999999999999989</v>
      </c>
      <c r="O33" s="14">
        <f t="shared" si="8"/>
        <v>1</v>
      </c>
      <c r="P33" s="14">
        <f t="shared" si="8"/>
        <v>1.0000000000000002</v>
      </c>
      <c r="Q33" s="14">
        <f t="shared" si="8"/>
        <v>0.99999999999999989</v>
      </c>
      <c r="R33" s="14">
        <f t="shared" si="8"/>
        <v>1</v>
      </c>
      <c r="S33" s="14">
        <f t="shared" si="8"/>
        <v>1</v>
      </c>
      <c r="T33" s="14">
        <f t="shared" si="8"/>
        <v>1</v>
      </c>
      <c r="U33" s="14">
        <f t="shared" si="8"/>
        <v>1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0.89994015688353635</v>
      </c>
      <c r="N41" s="12">
        <f>output!C101/SUM(output!C$101:C$104)</f>
        <v>0.81252975379265557</v>
      </c>
      <c r="O41" s="12">
        <f>output!D101/SUM(output!D$101:D$104)</f>
        <v>0.66603617414209904</v>
      </c>
      <c r="P41" s="12">
        <f>output!E101/SUM(output!E$101:E$104)</f>
        <v>0.72024771993996095</v>
      </c>
      <c r="Q41" s="12">
        <f>output!F101/SUM(output!F$101:F$104)</f>
        <v>0.9405842233471835</v>
      </c>
      <c r="R41" s="12">
        <f>output!G101/SUM(output!G$101:G$104)</f>
        <v>0.92556133368102966</v>
      </c>
      <c r="S41" s="28">
        <f>output!H101/SUM(output!H$101:H$104)</f>
        <v>0.89093820581155847</v>
      </c>
      <c r="T41" s="28">
        <f>output!I101/SUM(output!I$101:I$104)</f>
        <v>0.72323550554800031</v>
      </c>
      <c r="U41" s="12">
        <f>output!J101/SUM(output!J$101:J$104)</f>
        <v>0.83047109886080717</v>
      </c>
      <c r="W41" s="18">
        <v>0</v>
      </c>
      <c r="X41" s="12">
        <f t="shared" ref="X41:AF45" si="9">M41-B41</f>
        <v>-2.5490439603003678E-2</v>
      </c>
      <c r="Y41" s="12">
        <f t="shared" si="9"/>
        <v>-3.5301895527729887E-2</v>
      </c>
      <c r="Z41" s="12">
        <f t="shared" si="9"/>
        <v>-5.3330011700010393E-2</v>
      </c>
      <c r="AA41" s="12">
        <f t="shared" si="9"/>
        <v>-6.5999242471113106E-2</v>
      </c>
      <c r="AB41" s="12">
        <f t="shared" si="9"/>
        <v>4.4959762433331663E-2</v>
      </c>
      <c r="AC41" s="12">
        <f t="shared" si="9"/>
        <v>-2.3663692519823032E-2</v>
      </c>
      <c r="AD41" s="12">
        <f t="shared" si="9"/>
        <v>-2.3262626188770286E-2</v>
      </c>
      <c r="AE41" s="12">
        <f t="shared" si="9"/>
        <v>-0.12482837770401478</v>
      </c>
      <c r="AF41" s="12">
        <f t="shared" si="9"/>
        <v>-3.6575715947524179E-2</v>
      </c>
    </row>
    <row r="42" spans="1:32" x14ac:dyDescent="0.2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9.3837614972233793E-2</v>
      </c>
      <c r="N42" s="12">
        <f>output!C102/SUM(output!C$101:C$104)</f>
        <v>0.16180793861067647</v>
      </c>
      <c r="O42" s="12">
        <f>output!D102/SUM(output!D$101:D$104)</f>
        <v>0.28415622249665118</v>
      </c>
      <c r="P42" s="12">
        <f>output!E102/SUM(output!E$101:E$104)</f>
        <v>0.23681383211184173</v>
      </c>
      <c r="Q42" s="12">
        <f>output!F102/SUM(output!F$101:F$104)</f>
        <v>5.3737036616633538E-2</v>
      </c>
      <c r="R42" s="12">
        <f>output!G102/SUM(output!G$101:G$104)</f>
        <v>6.7933830022652797E-2</v>
      </c>
      <c r="S42" s="28">
        <f>output!H102/SUM(output!H$101:H$104)</f>
        <v>0.10065947070913399</v>
      </c>
      <c r="T42" s="28">
        <f>output!I102/SUM(output!I$101:I$104)</f>
        <v>0.23847289872005664</v>
      </c>
      <c r="U42" s="12">
        <f>output!J102/SUM(output!J$101:J$104)</f>
        <v>0.14908261225012193</v>
      </c>
      <c r="W42" s="18">
        <v>1</v>
      </c>
      <c r="X42" s="12">
        <f t="shared" si="9"/>
        <v>2.4734080117059562E-2</v>
      </c>
      <c r="Y42" s="12">
        <f t="shared" si="9"/>
        <v>3.5716678787087786E-2</v>
      </c>
      <c r="Z42" s="12">
        <f t="shared" si="9"/>
        <v>4.8748060071006627E-2</v>
      </c>
      <c r="AA42" s="12">
        <f t="shared" si="9"/>
        <v>4.9682612803847975E-2</v>
      </c>
      <c r="AB42" s="12">
        <f t="shared" si="9"/>
        <v>-4.4729394202069048E-2</v>
      </c>
      <c r="AC42" s="12">
        <f t="shared" si="9"/>
        <v>1.7568052230022002E-2</v>
      </c>
      <c r="AD42" s="12">
        <f t="shared" si="9"/>
        <v>2.6149276954326311E-2</v>
      </c>
      <c r="AE42" s="12">
        <f t="shared" si="9"/>
        <v>0.11830695663473824</v>
      </c>
      <c r="AF42" s="12">
        <f t="shared" si="9"/>
        <v>3.3641247409573319E-2</v>
      </c>
    </row>
    <row r="43" spans="1:32" x14ac:dyDescent="0.2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5.4080694836810593E-3</v>
      </c>
      <c r="N43" s="12">
        <f>output!C103/SUM(output!C$101:C$104)</f>
        <v>2.2482955379372359E-2</v>
      </c>
      <c r="O43" s="12">
        <f>output!D103/SUM(output!D$101:D$104)</f>
        <v>4.3257254959998215E-2</v>
      </c>
      <c r="P43" s="12">
        <f>output!E103/SUM(output!E$101:E$104)</f>
        <v>3.7607581825463109E-2</v>
      </c>
      <c r="Q43" s="12">
        <f>output!F103/SUM(output!F$101:F$104)</f>
        <v>5.0865781380576725E-3</v>
      </c>
      <c r="R43" s="12">
        <f>output!G103/SUM(output!G$101:G$104)</f>
        <v>5.9902768885827405E-3</v>
      </c>
      <c r="S43" s="28">
        <f>output!H103/SUM(output!H$101:H$104)</f>
        <v>7.2604015329566897E-3</v>
      </c>
      <c r="T43" s="28">
        <f>output!I103/SUM(output!I$101:I$104)</f>
        <v>3.3409027962482983E-2</v>
      </c>
      <c r="U43" s="12">
        <f>output!J103/SUM(output!J$101:J$104)</f>
        <v>1.7847449717196359E-2</v>
      </c>
      <c r="W43" s="18">
        <v>2</v>
      </c>
      <c r="X43" s="12">
        <f t="shared" si="9"/>
        <v>5.0351376446065334E-4</v>
      </c>
      <c r="Y43" s="12">
        <f t="shared" si="9"/>
        <v>5.498307508622003E-3</v>
      </c>
      <c r="Z43" s="12">
        <f t="shared" si="9"/>
        <v>4.4380825583536093E-3</v>
      </c>
      <c r="AA43" s="12">
        <f t="shared" si="9"/>
        <v>1.4792189566643393E-2</v>
      </c>
      <c r="AB43" s="12">
        <f t="shared" si="9"/>
        <v>2.6641639980727605E-4</v>
      </c>
      <c r="AC43" s="12">
        <f t="shared" si="9"/>
        <v>5.5810808820663102E-3</v>
      </c>
      <c r="AD43" s="12">
        <f t="shared" si="9"/>
        <v>2.2940943153608191E-4</v>
      </c>
      <c r="AE43" s="12">
        <f t="shared" si="9"/>
        <v>8.2780221145732323E-3</v>
      </c>
      <c r="AF43" s="12">
        <f t="shared" si="9"/>
        <v>3.7700505593157331E-3</v>
      </c>
    </row>
    <row r="44" spans="1:32" x14ac:dyDescent="0.2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8.1415866054887584E-4</v>
      </c>
      <c r="N44" s="13">
        <f>output!C104/SUM(output!C$101:C$104)</f>
        <v>3.1793522172956306E-3</v>
      </c>
      <c r="O44" s="13">
        <f>output!D104/SUM(output!D$101:D$104)</f>
        <v>6.5503484012516379E-3</v>
      </c>
      <c r="P44" s="13">
        <f>output!E104/SUM(output!E$101:E$104)</f>
        <v>5.3308661227341276E-3</v>
      </c>
      <c r="Q44" s="13">
        <f>output!F104/SUM(output!F$101:F$104)</f>
        <v>5.9216189812542864E-4</v>
      </c>
      <c r="R44" s="13">
        <f>output!G104/SUM(output!G$101:G$104)</f>
        <v>5.1455940773480918E-4</v>
      </c>
      <c r="S44" s="30">
        <f>output!H104/SUM(output!H$101:H$104)</f>
        <v>1.1419219463508687E-3</v>
      </c>
      <c r="T44" s="30">
        <f>output!I104/SUM(output!I$101:I$104)</f>
        <v>4.8825677694598882E-3</v>
      </c>
      <c r="U44" s="13">
        <f>output!J104/SUM(output!J$101:J$104)</f>
        <v>2.5988391718745527E-3</v>
      </c>
      <c r="W44" s="23" t="s">
        <v>116</v>
      </c>
      <c r="X44" s="12">
        <f t="shared" si="9"/>
        <v>2.5284572148360346E-4</v>
      </c>
      <c r="Y44" s="12">
        <f t="shared" si="9"/>
        <v>-5.9130907679799619E-3</v>
      </c>
      <c r="Z44" s="12">
        <f t="shared" si="9"/>
        <v>1.4386907065023959E-4</v>
      </c>
      <c r="AA44" s="12">
        <f t="shared" si="9"/>
        <v>1.524440100621834E-3</v>
      </c>
      <c r="AB44" s="12">
        <f t="shared" si="9"/>
        <v>-4.9678463106981425E-4</v>
      </c>
      <c r="AC44" s="12">
        <f t="shared" si="9"/>
        <v>5.1455940773480918E-4</v>
      </c>
      <c r="AD44" s="12">
        <f t="shared" si="9"/>
        <v>-3.1160601970920106E-3</v>
      </c>
      <c r="AE44" s="12">
        <f t="shared" si="9"/>
        <v>-1.7566010452968002E-3</v>
      </c>
      <c r="AF44" s="12">
        <f t="shared" si="9"/>
        <v>-8.3558202136481277E-4</v>
      </c>
    </row>
    <row r="45" spans="1:32" ht="13.5" thickBot="1" x14ac:dyDescent="0.25">
      <c r="A45" s="21" t="s">
        <v>221</v>
      </c>
      <c r="B45" s="14">
        <f t="shared" ref="B45:J45" si="10">SUM(B41:B44)</f>
        <v>0.99999999999999989</v>
      </c>
      <c r="C45" s="14">
        <f t="shared" si="10"/>
        <v>1.0000000000000002</v>
      </c>
      <c r="D45" s="14">
        <f t="shared" si="10"/>
        <v>0.99999999999999989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0.99999999999999989</v>
      </c>
      <c r="I45" s="14">
        <f t="shared" si="10"/>
        <v>0.99999999999999989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0.99999999999999989</v>
      </c>
      <c r="Q45" s="14">
        <f t="shared" si="11"/>
        <v>1.0000000000000002</v>
      </c>
      <c r="R45" s="14">
        <f t="shared" si="11"/>
        <v>1</v>
      </c>
      <c r="S45" s="14">
        <f t="shared" si="11"/>
        <v>1</v>
      </c>
      <c r="T45" s="14">
        <f t="shared" si="11"/>
        <v>0.99999999999999978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0.9169094725375686</v>
      </c>
      <c r="N53" s="12">
        <f>output!C108/SUM(output!C$108:C$111)</f>
        <v>0.83486931413254306</v>
      </c>
      <c r="O53" s="12">
        <f>output!D108/SUM(output!D$108:D$111)</f>
        <v>0.69215511955679987</v>
      </c>
      <c r="P53" s="12">
        <f>output!E108/SUM(output!E$108:E$111)</f>
        <v>0.75286232623080551</v>
      </c>
      <c r="Q53" s="12">
        <f>output!F108/SUM(output!F$108:F$111)</f>
        <v>0.93812136049649419</v>
      </c>
      <c r="R53" s="12">
        <f>output!G108/SUM(output!G$108:G$111)</f>
        <v>0.94334994943430106</v>
      </c>
      <c r="S53" s="28">
        <f>output!H108/SUM(output!H$108:H$111)</f>
        <v>0.90065010559449821</v>
      </c>
      <c r="T53" s="28">
        <f>output!I108/SUM(output!I$108:I$111)</f>
        <v>0.73167392352967064</v>
      </c>
      <c r="U53" s="12">
        <f>output!J108/SUM(output!J$108:J$111)</f>
        <v>0.84887812386794215</v>
      </c>
      <c r="W53" s="18">
        <v>0</v>
      </c>
      <c r="X53" s="12">
        <f t="shared" ref="X53:AF57" si="12">M53-B53</f>
        <v>4.9734547468138768E-4</v>
      </c>
      <c r="Y53" s="12">
        <f t="shared" si="12"/>
        <v>-1.135491484328488E-2</v>
      </c>
      <c r="Z53" s="12">
        <f t="shared" si="12"/>
        <v>-5.3851514737714989E-2</v>
      </c>
      <c r="AA53" s="12">
        <f t="shared" si="12"/>
        <v>1.1105876311190532E-2</v>
      </c>
      <c r="AB53" s="12">
        <f t="shared" si="12"/>
        <v>5.9189711457677929E-2</v>
      </c>
      <c r="AC53" s="12">
        <f t="shared" si="12"/>
        <v>-4.7246831635925801E-2</v>
      </c>
      <c r="AD53" s="12">
        <f t="shared" si="12"/>
        <v>-4.9934505734322121E-2</v>
      </c>
      <c r="AE53" s="12">
        <f t="shared" si="12"/>
        <v>-6.2647831587495428E-2</v>
      </c>
      <c r="AF53" s="12">
        <f t="shared" si="12"/>
        <v>-1.1744689974353295E-2</v>
      </c>
    </row>
    <row r="54" spans="1:32" x14ac:dyDescent="0.2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7.8196419245084525E-2</v>
      </c>
      <c r="N54" s="12">
        <f>output!C109/SUM(output!C$108:C$111)</f>
        <v>0.15144061848563953</v>
      </c>
      <c r="O54" s="12">
        <f>output!D109/SUM(output!D$108:D$111)</f>
        <v>0.27744166356059313</v>
      </c>
      <c r="P54" s="12">
        <f>output!E109/SUM(output!E$108:E$111)</f>
        <v>0.21954742941124444</v>
      </c>
      <c r="Q54" s="12">
        <f>output!F109/SUM(output!F$108:F$111)</f>
        <v>5.5321446458679799E-2</v>
      </c>
      <c r="R54" s="12">
        <f>output!G109/SUM(output!G$108:G$111)</f>
        <v>5.2807190399954615E-2</v>
      </c>
      <c r="S54" s="28">
        <f>output!H109/SUM(output!H$108:H$111)</f>
        <v>4.4881329788635418E-2</v>
      </c>
      <c r="T54" s="28">
        <f>output!I109/SUM(output!I$108:I$111)</f>
        <v>0.1856758184910258</v>
      </c>
      <c r="U54" s="12">
        <f>output!J109/SUM(output!J$108:J$111)</f>
        <v>0.12768388719275145</v>
      </c>
      <c r="W54" s="18">
        <v>1</v>
      </c>
      <c r="X54" s="12">
        <f t="shared" si="12"/>
        <v>2.391704455126098E-4</v>
      </c>
      <c r="Y54" s="12">
        <f t="shared" si="12"/>
        <v>6.9301557283450166E-3</v>
      </c>
      <c r="Z54" s="12">
        <f t="shared" si="12"/>
        <v>4.7905956877589445E-2</v>
      </c>
      <c r="AA54" s="12">
        <f t="shared" si="12"/>
        <v>-1.6103234946459849E-2</v>
      </c>
      <c r="AB54" s="12">
        <f t="shared" si="12"/>
        <v>-5.1508824532892156E-2</v>
      </c>
      <c r="AC54" s="12">
        <f t="shared" si="12"/>
        <v>4.3403971470181518E-2</v>
      </c>
      <c r="AD54" s="12">
        <f t="shared" si="12"/>
        <v>-3.4520351031344376E-3</v>
      </c>
      <c r="AE54" s="12">
        <f t="shared" si="12"/>
        <v>-1.4497117519789632E-2</v>
      </c>
      <c r="AF54" s="12">
        <f t="shared" si="12"/>
        <v>-1.566871605500425E-3</v>
      </c>
    </row>
    <row r="55" spans="1:32" x14ac:dyDescent="0.2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4.4284133560209098E-3</v>
      </c>
      <c r="N55" s="12">
        <f>output!C110/SUM(output!C$108:C$111)</f>
        <v>1.1733643163807957E-2</v>
      </c>
      <c r="O55" s="12">
        <f>output!D110/SUM(output!D$108:D$111)</f>
        <v>2.3486334830801613E-2</v>
      </c>
      <c r="P55" s="12">
        <f>output!E110/SUM(output!E$108:E$111)</f>
        <v>2.1541010099235196E-2</v>
      </c>
      <c r="Q55" s="12">
        <f>output!F110/SUM(output!F$108:F$111)</f>
        <v>4.0267743004763507E-3</v>
      </c>
      <c r="R55" s="12">
        <f>output!G110/SUM(output!G$108:G$111)</f>
        <v>3.4380978631818561E-3</v>
      </c>
      <c r="S55" s="28">
        <f>output!H110/SUM(output!H$108:H$111)</f>
        <v>2.6265521496737138E-3</v>
      </c>
      <c r="T55" s="28">
        <f>output!I110/SUM(output!I$108:I$111)</f>
        <v>1.2847027746633098E-2</v>
      </c>
      <c r="U55" s="12">
        <f>output!J110/SUM(output!J$108:J$111)</f>
        <v>9.9384768005398721E-3</v>
      </c>
      <c r="W55" s="18">
        <v>2</v>
      </c>
      <c r="X55" s="12">
        <f t="shared" si="12"/>
        <v>-8.4689636507281375E-4</v>
      </c>
      <c r="Y55" s="12">
        <f t="shared" si="12"/>
        <v>2.4683348969304179E-3</v>
      </c>
      <c r="Z55" s="12">
        <f t="shared" si="12"/>
        <v>-9.7132419167985859E-4</v>
      </c>
      <c r="AA55" s="12">
        <f t="shared" si="12"/>
        <v>-3.4500189389919875E-4</v>
      </c>
      <c r="AB55" s="12">
        <f t="shared" si="12"/>
        <v>-1.0211305669135414E-2</v>
      </c>
      <c r="AC55" s="12">
        <f t="shared" si="12"/>
        <v>3.4380978631818561E-3</v>
      </c>
      <c r="AD55" s="12">
        <f t="shared" si="12"/>
        <v>2.0228382800996014E-3</v>
      </c>
      <c r="AE55" s="12">
        <f t="shared" si="12"/>
        <v>7.3417188746147241E-3</v>
      </c>
      <c r="AF55" s="12">
        <f t="shared" si="12"/>
        <v>1.2682599347647178E-4</v>
      </c>
    </row>
    <row r="56" spans="1:32" x14ac:dyDescent="0.2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4.6569486132607351E-4</v>
      </c>
      <c r="N56" s="13">
        <f>output!C111/SUM(output!C$108:C$111)</f>
        <v>1.9564242180093424E-3</v>
      </c>
      <c r="O56" s="13">
        <f>output!D111/SUM(output!D$108:D$111)</f>
        <v>6.9168820518056276E-3</v>
      </c>
      <c r="P56" s="13">
        <f>output!E111/SUM(output!E$108:E$111)</f>
        <v>6.0492342587148955E-3</v>
      </c>
      <c r="Q56" s="13">
        <f>output!F111/SUM(output!F$108:F$111)</f>
        <v>2.5304187443497541E-3</v>
      </c>
      <c r="R56" s="13">
        <f>output!G111/SUM(output!G$108:G$111)</f>
        <v>4.0476230256237031E-4</v>
      </c>
      <c r="S56" s="30">
        <f>output!H111/SUM(output!H$108:H$111)</f>
        <v>5.1842012467192673E-2</v>
      </c>
      <c r="T56" s="30">
        <f>output!I111/SUM(output!I$108:I$111)</f>
        <v>6.9803230232670516E-2</v>
      </c>
      <c r="U56" s="13">
        <f>output!J111/SUM(output!J$108:J$111)</f>
        <v>1.3499512138766635E-2</v>
      </c>
      <c r="W56" s="23" t="s">
        <v>116</v>
      </c>
      <c r="X56" s="12">
        <f t="shared" si="12"/>
        <v>1.1038044487898438E-4</v>
      </c>
      <c r="Y56" s="12">
        <f t="shared" si="12"/>
        <v>1.9564242180093424E-3</v>
      </c>
      <c r="Z56" s="12">
        <f t="shared" si="12"/>
        <v>6.9168820518056276E-3</v>
      </c>
      <c r="AA56" s="12">
        <f t="shared" si="12"/>
        <v>5.3423605291684599E-3</v>
      </c>
      <c r="AB56" s="12">
        <f t="shared" si="12"/>
        <v>2.5304187443497541E-3</v>
      </c>
      <c r="AC56" s="12">
        <f t="shared" si="12"/>
        <v>4.0476230256237031E-4</v>
      </c>
      <c r="AD56" s="12">
        <f t="shared" si="12"/>
        <v>5.1363702557357033E-2</v>
      </c>
      <c r="AE56" s="12">
        <f t="shared" si="12"/>
        <v>6.9803230232670516E-2</v>
      </c>
      <c r="AF56" s="12">
        <f t="shared" si="12"/>
        <v>1.318473558637737E-2</v>
      </c>
    </row>
    <row r="57" spans="1:32" ht="13.5" thickBot="1" x14ac:dyDescent="0.25">
      <c r="A57" s="21" t="s">
        <v>221</v>
      </c>
      <c r="B57" s="14">
        <f t="shared" ref="B57:J57" si="13">SUM(B53:B56)</f>
        <v>0.99999999999999989</v>
      </c>
      <c r="C57" s="14">
        <f t="shared" si="13"/>
        <v>1</v>
      </c>
      <c r="D57" s="14">
        <f t="shared" si="13"/>
        <v>1</v>
      </c>
      <c r="E57" s="14">
        <f t="shared" si="13"/>
        <v>1.0000000000000002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0.99999999999999989</v>
      </c>
      <c r="J57" s="14">
        <f t="shared" si="13"/>
        <v>1</v>
      </c>
      <c r="L57" s="21" t="s">
        <v>221</v>
      </c>
      <c r="M57" s="14">
        <f>SUM(M53:M56)</f>
        <v>1.0000000000000002</v>
      </c>
      <c r="N57" s="14">
        <f t="shared" ref="N57:U57" si="14">SUM(N53:N56)</f>
        <v>0.99999999999999989</v>
      </c>
      <c r="O57" s="14">
        <f t="shared" si="14"/>
        <v>1.0000000000000002</v>
      </c>
      <c r="P57" s="14">
        <f t="shared" si="14"/>
        <v>0.99999999999999989</v>
      </c>
      <c r="Q57" s="14">
        <f t="shared" si="14"/>
        <v>1</v>
      </c>
      <c r="R57" s="14">
        <f t="shared" si="14"/>
        <v>0.99999999999999989</v>
      </c>
      <c r="S57" s="14">
        <f t="shared" si="14"/>
        <v>1</v>
      </c>
      <c r="T57" s="14">
        <f t="shared" si="14"/>
        <v>1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0.99872133272454555</v>
      </c>
      <c r="N65" s="12">
        <f>output!C115/SUM(output!C$115:C$118)</f>
        <v>0.9191199195961689</v>
      </c>
      <c r="O65" s="12">
        <f>output!D115/SUM(output!D$115:D$118)</f>
        <v>0.88015411482452532</v>
      </c>
      <c r="P65" s="12">
        <f>output!E115/SUM(output!E$115:E$118)</f>
        <v>0.88143246125238905</v>
      </c>
      <c r="Q65" s="12">
        <f>output!F115/SUM(output!F$115:F$118)</f>
        <v>0.95983054212595476</v>
      </c>
      <c r="R65" s="12">
        <f>output!G115/SUM(output!G$115:G$118)</f>
        <v>0.93248052147816929</v>
      </c>
      <c r="S65" s="28">
        <f>output!H115/SUM(output!H$115:H$118)</f>
        <v>0.94626228584328798</v>
      </c>
      <c r="T65" s="28">
        <f>output!I115/SUM(output!I$115:I$118)</f>
        <v>0.93059198178642377</v>
      </c>
      <c r="U65" s="12">
        <f>output!J115/SUM(output!J$115:J$118)</f>
        <v>0.94594802925045873</v>
      </c>
      <c r="W65" s="18">
        <v>0</v>
      </c>
      <c r="X65" s="12">
        <f t="shared" ref="X65:AF69" si="15">M65-B65</f>
        <v>3.9138095770693604E-2</v>
      </c>
      <c r="Y65" s="12">
        <f t="shared" si="15"/>
        <v>-3.6684918419170431E-2</v>
      </c>
      <c r="Z65" s="12">
        <f t="shared" si="15"/>
        <v>-4.013890522868091E-2</v>
      </c>
      <c r="AA65" s="12">
        <f t="shared" si="15"/>
        <v>-4.2216399155219575E-2</v>
      </c>
      <c r="AB65" s="12">
        <f t="shared" si="15"/>
        <v>9.0380463999729654E-3</v>
      </c>
      <c r="AC65" s="12">
        <f t="shared" si="15"/>
        <v>-6.7519478521830711E-2</v>
      </c>
      <c r="AD65" s="12">
        <f t="shared" si="15"/>
        <v>-3.1884082907915556E-2</v>
      </c>
      <c r="AE65" s="12">
        <f t="shared" si="15"/>
        <v>-4.7897749537173961E-2</v>
      </c>
      <c r="AF65" s="12">
        <f t="shared" si="15"/>
        <v>-8.0276952742136531E-3</v>
      </c>
    </row>
    <row r="66" spans="1:32" x14ac:dyDescent="0.2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1.2574230027958234E-3</v>
      </c>
      <c r="N66" s="12">
        <f>output!C116/SUM(output!C$115:C$118)</f>
        <v>7.5477298961162911E-2</v>
      </c>
      <c r="O66" s="12">
        <f>output!D116/SUM(output!D$115:D$118)</f>
        <v>0.10843956256732691</v>
      </c>
      <c r="P66" s="12">
        <f>output!E116/SUM(output!E$115:E$118)</f>
        <v>0.11396191668215513</v>
      </c>
      <c r="Q66" s="12">
        <f>output!F116/SUM(output!F$115:F$118)</f>
        <v>3.9387785696412672E-2</v>
      </c>
      <c r="R66" s="12">
        <f>output!G116/SUM(output!G$115:G$118)</f>
        <v>6.6673086842304483E-2</v>
      </c>
      <c r="S66" s="28">
        <f>output!H116/SUM(output!H$115:H$118)</f>
        <v>5.3682641929373297E-2</v>
      </c>
      <c r="T66" s="28">
        <f>output!I116/SUM(output!I$115:I$118)</f>
        <v>6.9056996000508075E-2</v>
      </c>
      <c r="U66" s="12">
        <f>output!J116/SUM(output!J$115:J$118)</f>
        <v>5.1567342935058672E-2</v>
      </c>
      <c r="W66" s="18">
        <v>1</v>
      </c>
      <c r="X66" s="12">
        <f t="shared" si="15"/>
        <v>-3.835378421504302E-2</v>
      </c>
      <c r="Y66" s="12">
        <f t="shared" si="15"/>
        <v>3.5589171811514213E-2</v>
      </c>
      <c r="Z66" s="12">
        <f t="shared" si="15"/>
        <v>3.3419846446436655E-2</v>
      </c>
      <c r="AA66" s="12">
        <f t="shared" si="15"/>
        <v>4.2543239849674314E-2</v>
      </c>
      <c r="AB66" s="12">
        <f t="shared" si="15"/>
        <v>-8.8350482503441671E-3</v>
      </c>
      <c r="AC66" s="12">
        <f t="shared" si="15"/>
        <v>6.6673086842304483E-2</v>
      </c>
      <c r="AD66" s="12">
        <f t="shared" si="15"/>
        <v>3.1829010680576836E-2</v>
      </c>
      <c r="AE66" s="12">
        <f t="shared" si="15"/>
        <v>4.754672732410585E-2</v>
      </c>
      <c r="AF66" s="12">
        <f t="shared" si="15"/>
        <v>7.5499789718313365E-3</v>
      </c>
    </row>
    <row r="67" spans="1:32" x14ac:dyDescent="0.2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2.1244272658629915E-5</v>
      </c>
      <c r="N67" s="12">
        <f>output!C117/SUM(output!C$115:C$118)</f>
        <v>5.4027814426680695E-3</v>
      </c>
      <c r="O67" s="12">
        <f>output!D117/SUM(output!D$115:D$118)</f>
        <v>1.1406322608147664E-2</v>
      </c>
      <c r="P67" s="12">
        <f>output!E117/SUM(output!E$115:E$118)</f>
        <v>4.6056220654558232E-3</v>
      </c>
      <c r="Q67" s="12">
        <f>output!F117/SUM(output!F$115:F$118)</f>
        <v>7.816721776325678E-4</v>
      </c>
      <c r="R67" s="12">
        <f>output!G117/SUM(output!G$115:G$118)</f>
        <v>8.4639167952621768E-4</v>
      </c>
      <c r="S67" s="28">
        <f>output!H117/SUM(output!H$115:H$118)</f>
        <v>5.5072227338712082E-5</v>
      </c>
      <c r="T67" s="28">
        <f>output!I117/SUM(output!I$115:I$118)</f>
        <v>3.510222130681111E-4</v>
      </c>
      <c r="U67" s="12">
        <f>output!J117/SUM(output!J$115:J$118)</f>
        <v>2.484627814482613E-3</v>
      </c>
      <c r="W67" s="18">
        <v>2</v>
      </c>
      <c r="X67" s="12">
        <f t="shared" si="15"/>
        <v>-7.84311555650491E-4</v>
      </c>
      <c r="Y67" s="12">
        <f t="shared" si="15"/>
        <v>1.0957466076560026E-3</v>
      </c>
      <c r="Z67" s="12">
        <f t="shared" si="15"/>
        <v>6.7190587822439874E-3</v>
      </c>
      <c r="AA67" s="12">
        <f t="shared" si="15"/>
        <v>-3.2684069445471173E-4</v>
      </c>
      <c r="AB67" s="12">
        <f t="shared" si="15"/>
        <v>-2.0299814962879148E-4</v>
      </c>
      <c r="AC67" s="12">
        <f t="shared" si="15"/>
        <v>8.4639167952621768E-4</v>
      </c>
      <c r="AD67" s="12">
        <f t="shared" si="15"/>
        <v>5.5072227338712082E-5</v>
      </c>
      <c r="AE67" s="12">
        <f t="shared" si="15"/>
        <v>3.510222130681111E-4</v>
      </c>
      <c r="AF67" s="12">
        <f t="shared" si="15"/>
        <v>4.7771630238240383E-4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5" thickBot="1" x14ac:dyDescent="0.25">
      <c r="A69" s="21" t="s">
        <v>221</v>
      </c>
      <c r="B69" s="14">
        <f t="shared" ref="B69:J69" si="16">SUM(B65:B68)</f>
        <v>0.99999999999999989</v>
      </c>
      <c r="C69" s="14">
        <f t="shared" si="16"/>
        <v>1.0000000000000002</v>
      </c>
      <c r="D69" s="14">
        <f t="shared" si="16"/>
        <v>1.0000000000000002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0.99999999999999989</v>
      </c>
      <c r="O69" s="14">
        <f t="shared" si="17"/>
        <v>0.99999999999999989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0.79808055236529984</v>
      </c>
      <c r="N77" s="12">
        <f>output!C122/SUM(output!C$122:C$125)</f>
        <v>0.70026065021834816</v>
      </c>
      <c r="O77" s="12">
        <f>output!D122/SUM(output!D$122:D$125)</f>
        <v>0.64475470133533652</v>
      </c>
      <c r="P77" s="12">
        <f>output!E122/SUM(output!E$122:E$125)</f>
        <v>0.63494791748790114</v>
      </c>
      <c r="Q77" s="12">
        <f>output!F122/SUM(output!F$122:F$125)</f>
        <v>0.88809262699378888</v>
      </c>
      <c r="R77" s="12">
        <f>output!G122/SUM(output!G$122:G$125)</f>
        <v>0.80898860217488522</v>
      </c>
      <c r="S77" s="28">
        <f>output!H122/SUM(output!H$122:H$125)</f>
        <v>0.79149871832799601</v>
      </c>
      <c r="T77" s="28">
        <f>output!I122/SUM(output!I$122:I$125)</f>
        <v>0.67850987255257633</v>
      </c>
      <c r="U77" s="12">
        <f>output!J122/SUM(output!J$122:J$125)</f>
        <v>0.7444685387898784</v>
      </c>
      <c r="W77" s="18">
        <v>0</v>
      </c>
      <c r="X77" s="12">
        <f t="shared" ref="X77:AF81" si="18">M77-B77</f>
        <v>-5.2998190467287265E-2</v>
      </c>
      <c r="Y77" s="12">
        <f t="shared" si="18"/>
        <v>-7.390655788989875E-2</v>
      </c>
      <c r="Z77" s="12">
        <f t="shared" si="18"/>
        <v>-9.1093314189050201E-2</v>
      </c>
      <c r="AA77" s="12">
        <f t="shared" si="18"/>
        <v>-9.0730658401598219E-2</v>
      </c>
      <c r="AB77" s="12">
        <f t="shared" si="18"/>
        <v>3.9486467535624903E-2</v>
      </c>
      <c r="AC77" s="12">
        <f t="shared" si="18"/>
        <v>-6.709641973024838E-2</v>
      </c>
      <c r="AD77" s="12">
        <f t="shared" si="18"/>
        <v>-1.9474116965127464E-2</v>
      </c>
      <c r="AE77" s="12">
        <f t="shared" si="18"/>
        <v>-3.4866020192514391E-2</v>
      </c>
      <c r="AF77" s="12">
        <f t="shared" si="18"/>
        <v>-5.2332886850543825E-2</v>
      </c>
    </row>
    <row r="78" spans="1:32" x14ac:dyDescent="0.2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0.18127843622678652</v>
      </c>
      <c r="N78" s="12">
        <f>output!C123/SUM(output!C$122:C$125)</f>
        <v>0.25997190187140923</v>
      </c>
      <c r="O78" s="12">
        <f>output!D123/SUM(output!D$122:D$125)</f>
        <v>0.29909864284492976</v>
      </c>
      <c r="P78" s="12">
        <f>output!E123/SUM(output!E$122:E$125)</f>
        <v>0.30711759710507769</v>
      </c>
      <c r="Q78" s="12">
        <f>output!F123/SUM(output!F$122:F$125)</f>
        <v>0.10200760827414464</v>
      </c>
      <c r="R78" s="12">
        <f>output!G123/SUM(output!G$122:G$125)</f>
        <v>0.17071135492812456</v>
      </c>
      <c r="S78" s="28">
        <f>output!H123/SUM(output!H$122:H$125)</f>
        <v>0.19144800196829409</v>
      </c>
      <c r="T78" s="28">
        <f>output!I123/SUM(output!I$122:I$125)</f>
        <v>0.27473220401036258</v>
      </c>
      <c r="U78" s="12">
        <f>output!J123/SUM(output!J$122:J$125)</f>
        <v>0.22310432017162996</v>
      </c>
      <c r="W78" s="18">
        <v>1</v>
      </c>
      <c r="X78" s="12">
        <f t="shared" si="18"/>
        <v>5.1749744344080945E-2</v>
      </c>
      <c r="Y78" s="12">
        <f t="shared" si="18"/>
        <v>7.9416708830383792E-2</v>
      </c>
      <c r="Z78" s="12">
        <f t="shared" si="18"/>
        <v>6.0286590248821992E-2</v>
      </c>
      <c r="AA78" s="12">
        <f t="shared" si="18"/>
        <v>7.2892044259771943E-2</v>
      </c>
      <c r="AB78" s="12">
        <f t="shared" si="18"/>
        <v>-3.1388538001941593E-2</v>
      </c>
      <c r="AC78" s="12">
        <f t="shared" si="18"/>
        <v>7.3493563694121453E-2</v>
      </c>
      <c r="AD78" s="12">
        <f t="shared" si="18"/>
        <v>2.2195460388631266E-2</v>
      </c>
      <c r="AE78" s="12">
        <f t="shared" si="18"/>
        <v>2.8966048429365232E-2</v>
      </c>
      <c r="AF78" s="12">
        <f t="shared" si="18"/>
        <v>4.7340709243894247E-2</v>
      </c>
    </row>
    <row r="79" spans="1:32" x14ac:dyDescent="0.2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1.8635322087010717E-2</v>
      </c>
      <c r="N79" s="12">
        <f>output!C124/SUM(output!C$122:C$125)</f>
        <v>3.6402616539981128E-2</v>
      </c>
      <c r="O79" s="12">
        <f>output!D124/SUM(output!D$122:D$125)</f>
        <v>5.0834788394706988E-2</v>
      </c>
      <c r="P79" s="12">
        <f>output!E124/SUM(output!E$122:E$125)</f>
        <v>5.231342958651989E-2</v>
      </c>
      <c r="Q79" s="12">
        <f>output!F124/SUM(output!F$122:F$125)</f>
        <v>8.9959363672947185E-3</v>
      </c>
      <c r="R79" s="12">
        <f>output!G124/SUM(output!G$122:G$125)</f>
        <v>1.8138972642962211E-2</v>
      </c>
      <c r="S79" s="28">
        <f>output!H124/SUM(output!H$122:H$125)</f>
        <v>1.5657783082445566E-2</v>
      </c>
      <c r="T79" s="28">
        <f>output!I124/SUM(output!I$122:I$125)</f>
        <v>4.2950506514939958E-2</v>
      </c>
      <c r="U79" s="12">
        <f>output!J124/SUM(output!J$122:J$125)</f>
        <v>2.941489293207809E-2</v>
      </c>
      <c r="W79" s="18">
        <v>2</v>
      </c>
      <c r="X79" s="12">
        <f t="shared" si="18"/>
        <v>6.5863470369732086E-4</v>
      </c>
      <c r="Y79" s="12">
        <f t="shared" si="18"/>
        <v>-4.7965856949887462E-3</v>
      </c>
      <c r="Z79" s="12">
        <f t="shared" si="18"/>
        <v>2.6050363801769272E-2</v>
      </c>
      <c r="AA79" s="12">
        <f t="shared" si="18"/>
        <v>1.7400533387001788E-2</v>
      </c>
      <c r="AB79" s="12">
        <f t="shared" si="18"/>
        <v>-6.7104138106666121E-3</v>
      </c>
      <c r="AC79" s="12">
        <f t="shared" si="18"/>
        <v>-8.5582142179011153E-3</v>
      </c>
      <c r="AD79" s="12">
        <f t="shared" si="18"/>
        <v>-1.6674605136228135E-4</v>
      </c>
      <c r="AE79" s="12">
        <f t="shared" si="18"/>
        <v>2.6447590598482687E-3</v>
      </c>
      <c r="AF79" s="12">
        <f t="shared" si="18"/>
        <v>4.438521175432756E-3</v>
      </c>
    </row>
    <row r="80" spans="1:32" x14ac:dyDescent="0.2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2.0056893209030127E-3</v>
      </c>
      <c r="N80" s="13">
        <f>output!C125/SUM(output!C$122:C$125)</f>
        <v>3.3648313702614634E-3</v>
      </c>
      <c r="O80" s="13">
        <f>output!D125/SUM(output!D$122:D$125)</f>
        <v>5.3118674250266541E-3</v>
      </c>
      <c r="P80" s="13">
        <f>output!E125/SUM(output!E$122:E$125)</f>
        <v>5.6210558205011798E-3</v>
      </c>
      <c r="Q80" s="13">
        <f>output!F125/SUM(output!F$122:F$125)</f>
        <v>9.0382836477185256E-4</v>
      </c>
      <c r="R80" s="13">
        <f>output!G125/SUM(output!G$122:G$125)</f>
        <v>2.1610702540280379E-3</v>
      </c>
      <c r="S80" s="30">
        <f>output!H125/SUM(output!H$122:H$125)</f>
        <v>1.3954966212642039E-3</v>
      </c>
      <c r="T80" s="30">
        <f>output!I125/SUM(output!I$122:I$125)</f>
        <v>3.8074169221212614E-3</v>
      </c>
      <c r="U80" s="13">
        <f>output!J125/SUM(output!J$122:J$125)</f>
        <v>3.0122481064136083E-3</v>
      </c>
      <c r="W80" s="23" t="s">
        <v>116</v>
      </c>
      <c r="X80" s="12">
        <f t="shared" si="18"/>
        <v>5.8981141950901475E-4</v>
      </c>
      <c r="Y80" s="12">
        <f t="shared" si="18"/>
        <v>-7.135652454962416E-4</v>
      </c>
      <c r="Z80" s="12">
        <f t="shared" si="18"/>
        <v>4.7563601384588801E-3</v>
      </c>
      <c r="AA80" s="12">
        <f t="shared" si="18"/>
        <v>4.3808075482457392E-4</v>
      </c>
      <c r="AB80" s="12">
        <f t="shared" si="18"/>
        <v>-1.3875157230165132E-3</v>
      </c>
      <c r="AC80" s="12">
        <f t="shared" si="18"/>
        <v>2.1610702540280379E-3</v>
      </c>
      <c r="AD80" s="12">
        <f t="shared" si="18"/>
        <v>-2.5545973721416322E-3</v>
      </c>
      <c r="AE80" s="12">
        <f t="shared" si="18"/>
        <v>3.2552127033009782E-3</v>
      </c>
      <c r="AF80" s="12">
        <f t="shared" si="18"/>
        <v>5.5365643121695019E-4</v>
      </c>
    </row>
    <row r="81" spans="1:32" ht="13.5" thickBot="1" x14ac:dyDescent="0.25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0.99999999999999989</v>
      </c>
      <c r="E81" s="14">
        <f t="shared" si="19"/>
        <v>0.99999999999999978</v>
      </c>
      <c r="F81" s="14">
        <f t="shared" si="19"/>
        <v>0.99999999999999989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1</v>
      </c>
      <c r="O81" s="14">
        <f t="shared" si="20"/>
        <v>1</v>
      </c>
      <c r="P81" s="14">
        <f t="shared" si="20"/>
        <v>0.99999999999999989</v>
      </c>
      <c r="Q81" s="14">
        <f t="shared" si="20"/>
        <v>1</v>
      </c>
      <c r="R81" s="14">
        <f t="shared" si="20"/>
        <v>1</v>
      </c>
      <c r="S81" s="14">
        <f t="shared" si="20"/>
        <v>0.99999999999999989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5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width="21.375" style="3" customWidth="1" collapsed="1"/>
    <col min="2" max="5" width="10.75" style="3" collapsed="1"/>
    <col min="6" max="6" width="21.375" style="3" customWidth="1" collapsed="1"/>
    <col min="7" max="9" width="12.125" style="3" bestFit="1" customWidth="1" collapsed="1"/>
    <col min="10" max="10" width="10.75" style="3" collapsed="1"/>
    <col min="11" max="11" width="21.375" style="3" customWidth="1" collapsed="1"/>
    <col min="12" max="16384" width="10.75" style="3" collapsed="1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0.93511814588213737</v>
      </c>
      <c r="H5" s="92">
        <f>output!C129/SUM(output!C$129:C$132)</f>
        <v>0.79530793266882516</v>
      </c>
      <c r="I5" s="12">
        <f>output!D129/SUM(output!D$129:D$132)</f>
        <v>0.912254927469481</v>
      </c>
      <c r="J5"/>
      <c r="K5" s="18">
        <v>0</v>
      </c>
      <c r="L5" s="12">
        <f t="shared" ref="L5:N9" si="0">G5-B5</f>
        <v>4.1587003849575699E-2</v>
      </c>
      <c r="M5" s="12">
        <f t="shared" si="0"/>
        <v>-0.1682395211653932</v>
      </c>
      <c r="N5" s="12">
        <f t="shared" si="0"/>
        <v>6.0995929099296742E-3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6.0864103714809048E-2</v>
      </c>
      <c r="H6" s="92">
        <f>output!C130/SUM(output!C$129:C$132)</f>
        <v>0.15417307179659948</v>
      </c>
      <c r="I6" s="12">
        <f>output!D130/SUM(output!D$129:D$132)</f>
        <v>7.6122955468784059E-2</v>
      </c>
      <c r="J6"/>
      <c r="K6" s="18">
        <v>1</v>
      </c>
      <c r="L6" s="12">
        <f t="shared" si="0"/>
        <v>-3.4525631104537782E-2</v>
      </c>
      <c r="M6" s="12">
        <f t="shared" si="0"/>
        <v>0.12096375202000757</v>
      </c>
      <c r="N6" s="12">
        <f t="shared" si="0"/>
        <v>-8.0554271569260594E-3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3.370548687352377E-3</v>
      </c>
      <c r="H7" s="92">
        <f>output!C131/SUM(output!C$129:C$132)</f>
        <v>3.6716558375575102E-2</v>
      </c>
      <c r="I7" s="12">
        <f>output!D131/SUM(output!D$129:D$132)</f>
        <v>8.8236345898049101E-3</v>
      </c>
      <c r="J7"/>
      <c r="K7" s="18">
        <v>2</v>
      </c>
      <c r="L7" s="12">
        <f t="shared" si="0"/>
        <v>-6.7977045702301304E-3</v>
      </c>
      <c r="M7" s="12">
        <f t="shared" si="0"/>
        <v>3.3473331986385316E-2</v>
      </c>
      <c r="N7" s="12">
        <f t="shared" si="0"/>
        <v>-9.6011447665547006E-5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6.4720171570114855E-4</v>
      </c>
      <c r="H8" s="90">
        <f>output!C132/SUM(output!C$129:C$132)</f>
        <v>1.3802437159000272E-2</v>
      </c>
      <c r="I8" s="13">
        <f>output!D132/SUM(output!D$129:D$132)</f>
        <v>2.7984824719301188E-3</v>
      </c>
      <c r="J8"/>
      <c r="K8" s="23" t="s">
        <v>116</v>
      </c>
      <c r="L8" s="12">
        <f t="shared" si="0"/>
        <v>-2.6366817480767116E-4</v>
      </c>
      <c r="M8" s="12">
        <f t="shared" si="0"/>
        <v>1.3802437159000272E-2</v>
      </c>
      <c r="N8" s="12">
        <f t="shared" si="0"/>
        <v>2.0518456946620502E-3</v>
      </c>
      <c r="O8"/>
      <c r="P8"/>
      <c r="Q8"/>
    </row>
    <row r="9" spans="1:17" ht="13.5" thickBot="1" x14ac:dyDescent="0.25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0.99999999999999989</v>
      </c>
      <c r="H9" s="91">
        <f>SUM(H5:H8)</f>
        <v>1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0.31781137179733759</v>
      </c>
      <c r="H16" s="12">
        <f>output!C136/SUM(output!C$136:C$142)</f>
        <v>6.9154912898585968E-2</v>
      </c>
      <c r="I16" s="12">
        <f>output!D136/SUM(output!D$136:D$142)</f>
        <v>0.20992289607350897</v>
      </c>
      <c r="K16" s="18" t="s">
        <v>117</v>
      </c>
      <c r="L16" s="12">
        <f t="shared" ref="L16:L23" si="1">G16-B16</f>
        <v>0.10397435498371271</v>
      </c>
      <c r="M16" s="12">
        <f t="shared" ref="M16:M23" si="2">H16-C16</f>
        <v>3.1745642956778862E-2</v>
      </c>
      <c r="N16" s="12">
        <f t="shared" ref="N16:N23" si="3">I16-D16</f>
        <v>8.1936233761082944E-3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1.3920111348641022E-3</v>
      </c>
      <c r="H17" s="12">
        <f>output!C137/SUM(output!C$136:C$142)</f>
        <v>7.0294396629513693E-3</v>
      </c>
      <c r="I17" s="12">
        <f>output!D137/SUM(output!D$136:D$142)</f>
        <v>3.8380106218310422E-3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5.0192173675345848E-2</v>
      </c>
      <c r="H18" s="12">
        <f>output!C138/SUM(output!C$136:C$142)</f>
        <v>8.5485702918524156E-3</v>
      </c>
      <c r="I18" s="12">
        <f>output!D138/SUM(output!D$136:D$142)</f>
        <v>3.2123610676456714E-2</v>
      </c>
      <c r="K18" s="18" t="s">
        <v>4</v>
      </c>
      <c r="L18" s="12">
        <f t="shared" si="1"/>
        <v>2.4450873453411622E-2</v>
      </c>
      <c r="M18" s="12">
        <f t="shared" si="2"/>
        <v>-8.2043799844379539E-2</v>
      </c>
      <c r="N18" s="12">
        <f t="shared" si="3"/>
        <v>1.9317624307121396E-3</v>
      </c>
    </row>
    <row r="19" spans="1:15" x14ac:dyDescent="0.2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0.17184447816776693</v>
      </c>
      <c r="H19" s="12">
        <f>output!C139/SUM(output!C$136:C$142)</f>
        <v>2.9255122100492085E-2</v>
      </c>
      <c r="I19" s="12">
        <f>output!D139/SUM(output!D$136:D$142)</f>
        <v>0.10997699904145748</v>
      </c>
      <c r="K19" s="18" t="s">
        <v>5</v>
      </c>
      <c r="L19" s="12">
        <f t="shared" si="1"/>
        <v>6.936298870792415E-2</v>
      </c>
      <c r="M19" s="12">
        <f t="shared" si="2"/>
        <v>-0.12551118323956659</v>
      </c>
      <c r="N19" s="12">
        <f t="shared" si="3"/>
        <v>3.9073485181427281E-3</v>
      </c>
    </row>
    <row r="20" spans="1:15" x14ac:dyDescent="0.2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0.18453335841934962</v>
      </c>
      <c r="H20" s="12">
        <f>output!C140/SUM(output!C$136:C$142)</f>
        <v>3.143919530958534E-2</v>
      </c>
      <c r="I20" s="12">
        <f>output!D140/SUM(output!D$136:D$142)</f>
        <v>0.11810799398973258</v>
      </c>
      <c r="K20" s="18" t="s">
        <v>6</v>
      </c>
      <c r="L20" s="12">
        <f t="shared" si="1"/>
        <v>7.6871572439684593E-2</v>
      </c>
      <c r="M20" s="12">
        <f t="shared" si="2"/>
        <v>-0.16237851063681719</v>
      </c>
      <c r="N20" s="12">
        <f t="shared" si="3"/>
        <v>4.5335675578089818E-3</v>
      </c>
    </row>
    <row r="21" spans="1:15" x14ac:dyDescent="0.2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0.10349555777745036</v>
      </c>
      <c r="H21" s="12">
        <f>output!C141/SUM(output!C$136:C$142)</f>
        <v>0.82098842909116942</v>
      </c>
      <c r="I21" s="12">
        <f>output!D141/SUM(output!D$136:D$142)</f>
        <v>0.41480543716517998</v>
      </c>
      <c r="K21" s="18" t="s">
        <v>7</v>
      </c>
      <c r="L21" s="12">
        <f t="shared" si="1"/>
        <v>-0.33185229287381718</v>
      </c>
      <c r="M21" s="12">
        <f t="shared" si="2"/>
        <v>0.3850842782645566</v>
      </c>
      <c r="N21" s="12">
        <f t="shared" si="3"/>
        <v>-2.0580590815301947E-2</v>
      </c>
    </row>
    <row r="22" spans="1:15" x14ac:dyDescent="0.2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0.1707310490278855</v>
      </c>
      <c r="H22" s="13">
        <f>output!C142/SUM(output!C$136:C$142)</f>
        <v>3.3584330645363376E-2</v>
      </c>
      <c r="I22" s="13">
        <f>output!D142/SUM(output!D$136:D$142)</f>
        <v>0.11122505243183332</v>
      </c>
      <c r="K22" s="23" t="s">
        <v>8</v>
      </c>
      <c r="L22" s="12">
        <f t="shared" si="1"/>
        <v>5.5800492154219797E-2</v>
      </c>
      <c r="M22" s="12">
        <f t="shared" si="2"/>
        <v>-7.1313342084377632E-3</v>
      </c>
      <c r="N22" s="12">
        <f t="shared" si="3"/>
        <v>1.3876565723622003E-3</v>
      </c>
      <c r="O22" s="36"/>
    </row>
    <row r="23" spans="1:15" ht="13.5" thickBot="1" x14ac:dyDescent="0.25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0.99999999999999989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0.23957831703555887</v>
      </c>
      <c r="M23" s="14">
        <f t="shared" si="2"/>
        <v>0.17479617303312478</v>
      </c>
      <c r="N23" s="14">
        <f t="shared" si="3"/>
        <v>0.2351324992048085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16384" width="10.75" style="3" collapsed="1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r="3" spans="1:29" ht="13.5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685271.42263810802</v>
      </c>
      <c r="M5" s="7">
        <f>output!C148</f>
        <v>361882.98589490651</v>
      </c>
      <c r="N5" s="7">
        <f>output!D148</f>
        <v>308453.06889655063</v>
      </c>
      <c r="O5" s="7">
        <f>output!E148</f>
        <v>433375.19391327124</v>
      </c>
      <c r="P5" s="7">
        <f>output!F148</f>
        <v>450800.16463627206</v>
      </c>
      <c r="Q5" s="7">
        <f>output!G148</f>
        <v>193541.11145863865</v>
      </c>
      <c r="R5" s="7">
        <f>output!H148</f>
        <v>778945.72127442097</v>
      </c>
      <c r="S5" s="7">
        <f>output!I148</f>
        <v>3212269.6687121685</v>
      </c>
      <c r="U5" s="18">
        <v>0</v>
      </c>
      <c r="V5" s="7">
        <f>L5-B5</f>
        <v>685271.42263810802</v>
      </c>
      <c r="W5" s="7">
        <f t="shared" ref="W5:W12" si="0">M5-C5</f>
        <v>361882.98589490651</v>
      </c>
      <c r="X5" s="7">
        <f t="shared" ref="X5:X12" si="1">N5-D5</f>
        <v>308453.06889655063</v>
      </c>
      <c r="Y5" s="7">
        <f t="shared" ref="Y5:Y12" si="2">O5-E5</f>
        <v>433375.19391327124</v>
      </c>
      <c r="Z5" s="7">
        <f t="shared" ref="Z5:Z12" si="3">P5-F5</f>
        <v>450800.16463627206</v>
      </c>
      <c r="AA5" s="7">
        <f t="shared" ref="AA5:AA12" si="4">Q5-G5</f>
        <v>193541.11145863865</v>
      </c>
      <c r="AB5" s="7">
        <f t="shared" ref="AB5:AB12" si="5">R5-H5</f>
        <v>778945.72127442097</v>
      </c>
      <c r="AC5" s="7">
        <f t="shared" ref="AC5:AC12" si="6">S5-I5</f>
        <v>3212269.6687121685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520789.55090766057</v>
      </c>
      <c r="M6" s="7">
        <f>output!C149</f>
        <v>236735.05330307511</v>
      </c>
      <c r="N6" s="7">
        <f>output!D149</f>
        <v>205559.30230016966</v>
      </c>
      <c r="O6" s="7">
        <f>output!E149</f>
        <v>199381.43460905211</v>
      </c>
      <c r="P6" s="7">
        <f>output!F149</f>
        <v>183979.51465115248</v>
      </c>
      <c r="Q6" s="7">
        <f>output!G149</f>
        <v>60577.334275005051</v>
      </c>
      <c r="R6" s="7">
        <f>output!H149</f>
        <v>246193.75432577723</v>
      </c>
      <c r="S6" s="7">
        <f>output!I149</f>
        <v>1653215.9443718924</v>
      </c>
      <c r="U6" s="18">
        <v>1</v>
      </c>
      <c r="V6" s="7">
        <f t="shared" ref="V6:V12" si="7">L6-B6</f>
        <v>520789.55090766057</v>
      </c>
      <c r="W6" s="7">
        <f t="shared" si="0"/>
        <v>236735.05330307511</v>
      </c>
      <c r="X6" s="7">
        <f t="shared" si="1"/>
        <v>205559.30230016966</v>
      </c>
      <c r="Y6" s="7">
        <f t="shared" si="2"/>
        <v>199381.43460905211</v>
      </c>
      <c r="Z6" s="7">
        <f t="shared" si="3"/>
        <v>183979.51465115248</v>
      </c>
      <c r="AA6" s="7">
        <f t="shared" si="4"/>
        <v>60577.334275005051</v>
      </c>
      <c r="AB6" s="7">
        <f t="shared" si="5"/>
        <v>246193.75432577723</v>
      </c>
      <c r="AC6" s="7">
        <f t="shared" si="6"/>
        <v>1653215.9443718924</v>
      </c>
    </row>
    <row r="7" spans="1:29" x14ac:dyDescent="0.2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294411.7982056528</v>
      </c>
      <c r="M7" s="7">
        <f>output!C150</f>
        <v>115916.43085020279</v>
      </c>
      <c r="N7" s="7">
        <f>output!D150</f>
        <v>96905.964443787074</v>
      </c>
      <c r="O7" s="7">
        <f>output!E150</f>
        <v>77961.238031850371</v>
      </c>
      <c r="P7" s="7">
        <f>output!F150</f>
        <v>68295.928770893937</v>
      </c>
      <c r="Q7" s="7">
        <f>output!G150</f>
        <v>21297.596827721285</v>
      </c>
      <c r="R7" s="7">
        <f>output!H150</f>
        <v>66263.23495253305</v>
      </c>
      <c r="S7" s="7">
        <f>output!I150</f>
        <v>741052.19208264141</v>
      </c>
      <c r="U7" s="19">
        <v>2</v>
      </c>
      <c r="V7" s="7">
        <f t="shared" si="7"/>
        <v>-555751.38035262004</v>
      </c>
      <c r="W7" s="7">
        <f t="shared" si="0"/>
        <v>-439640.45982613775</v>
      </c>
      <c r="X7" s="7">
        <f t="shared" si="1"/>
        <v>-269936.78271240712</v>
      </c>
      <c r="Y7" s="7">
        <f t="shared" si="2"/>
        <v>-414225.27471840091</v>
      </c>
      <c r="Z7" s="7">
        <f t="shared" si="3"/>
        <v>-338228.31302286364</v>
      </c>
      <c r="AA7" s="7">
        <f t="shared" si="4"/>
        <v>-198918.79083963711</v>
      </c>
      <c r="AB7" s="7">
        <f t="shared" si="5"/>
        <v>-751411.26142022666</v>
      </c>
      <c r="AC7" s="7">
        <f t="shared" si="6"/>
        <v>-2968112.2628922937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119716.9555979045</v>
      </c>
      <c r="M8" s="7">
        <f>output!C151</f>
        <v>39698.967494204007</v>
      </c>
      <c r="N8" s="7">
        <f>output!D151</f>
        <v>33184.742166914861</v>
      </c>
      <c r="O8" s="7">
        <f>output!E151</f>
        <v>23965.741732977884</v>
      </c>
      <c r="P8" s="7">
        <f>output!F151</f>
        <v>20496.22034690878</v>
      </c>
      <c r="Q8" s="7">
        <f>output!G151</f>
        <v>6597.7747993440189</v>
      </c>
      <c r="R8" s="7">
        <f>output!H151</f>
        <v>16051.134539315399</v>
      </c>
      <c r="S8" s="7">
        <f>output!I151</f>
        <v>259711.53667756944</v>
      </c>
      <c r="U8" s="20">
        <v>3</v>
      </c>
      <c r="V8" s="7">
        <f t="shared" si="7"/>
        <v>119716.9555979045</v>
      </c>
      <c r="W8" s="7">
        <f t="shared" si="0"/>
        <v>39698.967494204007</v>
      </c>
      <c r="X8" s="7">
        <f t="shared" si="1"/>
        <v>33184.742166914861</v>
      </c>
      <c r="Y8" s="7">
        <f t="shared" si="2"/>
        <v>23965.741732977884</v>
      </c>
      <c r="Z8" s="7">
        <f t="shared" si="3"/>
        <v>20496.22034690878</v>
      </c>
      <c r="AA8" s="7">
        <f t="shared" si="4"/>
        <v>6597.7747993440189</v>
      </c>
      <c r="AB8" s="7">
        <f t="shared" si="5"/>
        <v>16051.134539315399</v>
      </c>
      <c r="AC8" s="7">
        <f t="shared" si="6"/>
        <v>259711.53667756944</v>
      </c>
    </row>
    <row r="9" spans="1:29" x14ac:dyDescent="0.2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48685.738858815777</v>
      </c>
      <c r="M9" s="7">
        <f>output!C152</f>
        <v>11885.702126640552</v>
      </c>
      <c r="N9" s="7">
        <f>output!D152</f>
        <v>10872.320907970148</v>
      </c>
      <c r="O9" s="7">
        <f>output!E152</f>
        <v>6841.0981423480152</v>
      </c>
      <c r="P9" s="7">
        <f>output!F152</f>
        <v>6421.7582065600427</v>
      </c>
      <c r="Q9" s="7">
        <f>output!G152</f>
        <v>2152.5041220936191</v>
      </c>
      <c r="R9" s="7">
        <f>output!H152</f>
        <v>4045.8491447931583</v>
      </c>
      <c r="S9" s="7">
        <f>output!I152</f>
        <v>90904.971509221316</v>
      </c>
      <c r="U9" s="20">
        <v>4</v>
      </c>
      <c r="V9" s="7">
        <f t="shared" si="7"/>
        <v>-368149.85294509539</v>
      </c>
      <c r="W9" s="7">
        <f t="shared" si="0"/>
        <v>-110545.95308480236</v>
      </c>
      <c r="X9" s="7">
        <f t="shared" si="1"/>
        <v>-98508.157449750259</v>
      </c>
      <c r="Y9" s="7">
        <f t="shared" si="2"/>
        <v>-116059.98060486569</v>
      </c>
      <c r="Z9" s="7">
        <f t="shared" si="3"/>
        <v>-160409.63700539185</v>
      </c>
      <c r="AA9" s="7">
        <f t="shared" si="4"/>
        <v>-39927.319516911884</v>
      </c>
      <c r="AB9" s="7">
        <f t="shared" si="5"/>
        <v>-176144.48677814147</v>
      </c>
      <c r="AC9" s="7">
        <f t="shared" si="6"/>
        <v>-1069745.387384959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18675.167408692629</v>
      </c>
      <c r="M10" s="7">
        <f>output!C153</f>
        <v>3304.7077765056611</v>
      </c>
      <c r="N10" s="7">
        <f>output!D153</f>
        <v>3299.7211920713744</v>
      </c>
      <c r="O10" s="7">
        <f>output!E153</f>
        <v>1445.6490889685117</v>
      </c>
      <c r="P10" s="7">
        <f>output!F153</f>
        <v>1933.1218608753027</v>
      </c>
      <c r="Q10" s="7">
        <f>output!G153</f>
        <v>502.33035825933149</v>
      </c>
      <c r="R10" s="7">
        <f>output!H153</f>
        <v>958.33827826538015</v>
      </c>
      <c r="S10" s="7">
        <f>output!I153</f>
        <v>30119.035963638191</v>
      </c>
      <c r="U10" s="20">
        <v>5</v>
      </c>
      <c r="V10" s="7">
        <f t="shared" si="7"/>
        <v>18675.167408692629</v>
      </c>
      <c r="W10" s="7">
        <f t="shared" si="0"/>
        <v>3304.7077765056611</v>
      </c>
      <c r="X10" s="7">
        <f t="shared" si="1"/>
        <v>3299.7211920713744</v>
      </c>
      <c r="Y10" s="7">
        <f t="shared" si="2"/>
        <v>1445.6490889685117</v>
      </c>
      <c r="Z10" s="7">
        <f t="shared" si="3"/>
        <v>1933.1218608753027</v>
      </c>
      <c r="AA10" s="7">
        <f t="shared" si="4"/>
        <v>502.33035825933149</v>
      </c>
      <c r="AB10" s="7">
        <f t="shared" si="5"/>
        <v>958.33827826538015</v>
      </c>
      <c r="AC10" s="7">
        <f t="shared" si="6"/>
        <v>30119.035963638191</v>
      </c>
    </row>
    <row r="11" spans="1:29" x14ac:dyDescent="0.2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21083.875752578781</v>
      </c>
      <c r="M11" s="9">
        <f>output!C154</f>
        <v>1717.186327030425</v>
      </c>
      <c r="N11" s="9">
        <f>output!D154</f>
        <v>1607.050817713937</v>
      </c>
      <c r="O11" s="9">
        <f>output!E154</f>
        <v>498.39844067477577</v>
      </c>
      <c r="P11" s="9">
        <f>output!F154</f>
        <v>542.55895086160626</v>
      </c>
      <c r="Q11" s="9">
        <f>output!G154</f>
        <v>181.21342949406838</v>
      </c>
      <c r="R11" s="9">
        <f>output!H154</f>
        <v>294.00520003887124</v>
      </c>
      <c r="S11" s="9">
        <f>output!I154</f>
        <v>25924.288918392467</v>
      </c>
      <c r="U11" s="3" t="s">
        <v>209</v>
      </c>
      <c r="V11" s="9">
        <f t="shared" si="7"/>
        <v>-476603.2010409332</v>
      </c>
      <c r="W11" s="9">
        <f t="shared" si="0"/>
        <v>-125961.82505457397</v>
      </c>
      <c r="X11" s="9">
        <f t="shared" si="1"/>
        <v>-176523.34008628607</v>
      </c>
      <c r="Y11" s="9">
        <f t="shared" si="2"/>
        <v>-122078.50952515143</v>
      </c>
      <c r="Z11" s="9">
        <f t="shared" si="3"/>
        <v>-149442.21629954531</v>
      </c>
      <c r="AA11" s="9">
        <f t="shared" si="4"/>
        <v>-42902.941750332429</v>
      </c>
      <c r="AB11" s="9">
        <f t="shared" si="5"/>
        <v>-112066.58514399703</v>
      </c>
      <c r="AC11" s="9">
        <f t="shared" si="6"/>
        <v>-1205578.6189008194</v>
      </c>
    </row>
    <row r="12" spans="1:29" ht="13.5" thickBot="1" x14ac:dyDescent="0.25">
      <c r="A12" s="21" t="s">
        <v>221</v>
      </c>
      <c r="B12" s="22">
        <f t="shared" ref="B12:I12" si="8">SUM(B5:B11)</f>
        <v>1764685.8471556962</v>
      </c>
      <c r="C12" s="22">
        <f t="shared" si="8"/>
        <v>805667.55726938776</v>
      </c>
      <c r="D12" s="22">
        <f t="shared" si="8"/>
        <v>654353.61641791463</v>
      </c>
      <c r="E12" s="22">
        <f t="shared" si="8"/>
        <v>737664.49946329126</v>
      </c>
      <c r="F12" s="22">
        <f t="shared" si="8"/>
        <v>723340.4122561164</v>
      </c>
      <c r="G12" s="22">
        <f t="shared" si="8"/>
        <v>305380.36648619035</v>
      </c>
      <c r="H12" s="22">
        <f t="shared" si="8"/>
        <v>1110225.4226397302</v>
      </c>
      <c r="I12" s="22">
        <f t="shared" si="8"/>
        <v>6101317.7216883264</v>
      </c>
      <c r="K12" s="21" t="s">
        <v>221</v>
      </c>
      <c r="L12" s="22">
        <f t="shared" ref="L12:S12" si="9">SUM(L5:L11)</f>
        <v>1708634.5093694129</v>
      </c>
      <c r="M12" s="22">
        <f t="shared" si="9"/>
        <v>771141.03377256508</v>
      </c>
      <c r="N12" s="22">
        <f t="shared" si="9"/>
        <v>659882.17072517774</v>
      </c>
      <c r="O12" s="22">
        <f t="shared" si="9"/>
        <v>743468.75395914284</v>
      </c>
      <c r="P12" s="22">
        <f t="shared" si="9"/>
        <v>732469.26742352417</v>
      </c>
      <c r="Q12" s="22">
        <f t="shared" si="9"/>
        <v>284849.86527055601</v>
      </c>
      <c r="R12" s="22">
        <f t="shared" si="9"/>
        <v>1112752.0377151442</v>
      </c>
      <c r="S12" s="22">
        <f t="shared" si="9"/>
        <v>6013197.6382355234</v>
      </c>
      <c r="U12" s="21" t="s">
        <v>221</v>
      </c>
      <c r="V12" s="22">
        <f t="shared" si="7"/>
        <v>-56051.337786283344</v>
      </c>
      <c r="W12" s="22">
        <f t="shared" si="0"/>
        <v>-34526.523496822687</v>
      </c>
      <c r="X12" s="22">
        <f t="shared" si="1"/>
        <v>5528.5543072631117</v>
      </c>
      <c r="Y12" s="22">
        <f t="shared" si="2"/>
        <v>5804.2544958515791</v>
      </c>
      <c r="Z12" s="22">
        <f t="shared" si="3"/>
        <v>9128.8551674077753</v>
      </c>
      <c r="AA12" s="22">
        <f t="shared" si="4"/>
        <v>-20530.501215634344</v>
      </c>
      <c r="AB12" s="22">
        <f t="shared" si="5"/>
        <v>2526.615075414069</v>
      </c>
      <c r="AC12" s="22">
        <f t="shared" si="6"/>
        <v>-88120.083452803083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r="17" spans="1:29" ht="13.5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0.40106378449011526</v>
      </c>
      <c r="M19" s="12">
        <f t="shared" ref="M19:S19" si="11">M5/M$12</f>
        <v>0.46928249184783716</v>
      </c>
      <c r="N19" s="12">
        <f t="shared" si="11"/>
        <v>0.4674365857734511</v>
      </c>
      <c r="O19" s="12">
        <f t="shared" si="11"/>
        <v>0.58290976131202321</v>
      </c>
      <c r="P19" s="12">
        <f t="shared" si="11"/>
        <v>0.61545266768935025</v>
      </c>
      <c r="Q19" s="12">
        <f t="shared" si="11"/>
        <v>0.67944954537650737</v>
      </c>
      <c r="R19" s="12">
        <f t="shared" si="11"/>
        <v>0.70001733977846459</v>
      </c>
      <c r="S19" s="12">
        <f t="shared" si="11"/>
        <v>0.53420324126495156</v>
      </c>
      <c r="U19" s="18">
        <v>0</v>
      </c>
      <c r="V19" s="12">
        <f t="shared" ref="V19:AA26" si="12">L19-B19</f>
        <v>0.40106378449011526</v>
      </c>
      <c r="W19" s="12">
        <f t="shared" si="12"/>
        <v>0.46928249184783716</v>
      </c>
      <c r="X19" s="12">
        <f t="shared" si="12"/>
        <v>0.4674365857734511</v>
      </c>
      <c r="Y19" s="12">
        <f t="shared" si="12"/>
        <v>0.58290976131202321</v>
      </c>
      <c r="Z19" s="12">
        <f t="shared" si="12"/>
        <v>0.61545266768935025</v>
      </c>
      <c r="AA19" s="12">
        <f t="shared" si="12"/>
        <v>0.67944954537650737</v>
      </c>
      <c r="AB19" s="12">
        <f t="shared" ref="AB19:AB26" si="13">R19-H19</f>
        <v>0.70001733977846459</v>
      </c>
      <c r="AC19" s="12">
        <f t="shared" ref="AC19:AC26" si="14">S19-I19</f>
        <v>0.53420324126495156</v>
      </c>
    </row>
    <row r="20" spans="1:29" x14ac:dyDescent="0.2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0.30479868459397014</v>
      </c>
      <c r="M20" s="12">
        <f t="shared" si="15"/>
        <v>0.30699319960309113</v>
      </c>
      <c r="N20" s="12">
        <f t="shared" si="15"/>
        <v>0.31150910180566055</v>
      </c>
      <c r="O20" s="12">
        <f t="shared" si="15"/>
        <v>0.26817728861811602</v>
      </c>
      <c r="P20" s="12">
        <f t="shared" si="15"/>
        <v>0.25117711122311553</v>
      </c>
      <c r="Q20" s="12">
        <f t="shared" si="15"/>
        <v>0.21266407908414317</v>
      </c>
      <c r="R20" s="12">
        <f t="shared" si="15"/>
        <v>0.22124763287901603</v>
      </c>
      <c r="S20" s="12">
        <f t="shared" si="15"/>
        <v>0.2749312501986883</v>
      </c>
      <c r="U20" s="18">
        <v>1</v>
      </c>
      <c r="V20" s="12">
        <f t="shared" si="12"/>
        <v>0.30479868459397014</v>
      </c>
      <c r="W20" s="12">
        <f t="shared" si="12"/>
        <v>0.30699319960309113</v>
      </c>
      <c r="X20" s="12">
        <f t="shared" si="12"/>
        <v>0.31150910180566055</v>
      </c>
      <c r="Y20" s="12">
        <f t="shared" si="12"/>
        <v>0.26817728861811602</v>
      </c>
      <c r="Z20" s="12">
        <f t="shared" si="12"/>
        <v>0.25117711122311553</v>
      </c>
      <c r="AA20" s="12">
        <f t="shared" si="12"/>
        <v>0.21266407908414317</v>
      </c>
      <c r="AB20" s="12">
        <f t="shared" si="13"/>
        <v>0.22124763287901603</v>
      </c>
      <c r="AC20" s="12">
        <f t="shared" si="14"/>
        <v>0.2749312501986883</v>
      </c>
    </row>
    <row r="21" spans="1:29" x14ac:dyDescent="0.2">
      <c r="A21" s="19">
        <v>2</v>
      </c>
      <c r="B21" s="12">
        <f t="shared" si="10"/>
        <v>0.4817646041240472</v>
      </c>
      <c r="C21" s="12">
        <f t="shared" si="10"/>
        <v>0.68956095558726993</v>
      </c>
      <c r="D21" s="12">
        <f t="shared" si="10"/>
        <v>0.56061850649558187</v>
      </c>
      <c r="E21" s="12">
        <f t="shared" si="10"/>
        <v>0.66722271860494242</v>
      </c>
      <c r="F21" s="12">
        <f t="shared" si="10"/>
        <v>0.56200958069769469</v>
      </c>
      <c r="G21" s="12">
        <f t="shared" si="10"/>
        <v>0.72112163005514252</v>
      </c>
      <c r="H21" s="12">
        <f t="shared" si="10"/>
        <v>0.73649412065219511</v>
      </c>
      <c r="I21" s="12">
        <f t="shared" si="10"/>
        <v>0.60792842205053255</v>
      </c>
      <c r="K21" s="19">
        <v>2</v>
      </c>
      <c r="L21" s="12">
        <f t="shared" ref="L21:S21" si="16">L7/L$12</f>
        <v>0.17230823595755898</v>
      </c>
      <c r="M21" s="12">
        <f t="shared" si="16"/>
        <v>0.15031806864578076</v>
      </c>
      <c r="N21" s="12">
        <f t="shared" si="16"/>
        <v>0.14685343648138308</v>
      </c>
      <c r="O21" s="12">
        <f t="shared" si="16"/>
        <v>0.10486148559262076</v>
      </c>
      <c r="P21" s="12">
        <f t="shared" si="16"/>
        <v>9.324067480827733E-2</v>
      </c>
      <c r="Q21" s="12">
        <f t="shared" si="16"/>
        <v>7.47677967391433E-2</v>
      </c>
      <c r="R21" s="12">
        <f t="shared" si="16"/>
        <v>5.954896752073701E-2</v>
      </c>
      <c r="S21" s="12">
        <f t="shared" si="16"/>
        <v>0.12323762441643134</v>
      </c>
      <c r="U21" s="19">
        <v>2</v>
      </c>
      <c r="V21" s="12">
        <f t="shared" si="12"/>
        <v>-0.30945636816648825</v>
      </c>
      <c r="W21" s="12">
        <f t="shared" si="12"/>
        <v>-0.53924288694148914</v>
      </c>
      <c r="X21" s="12">
        <f t="shared" si="12"/>
        <v>-0.41376507001419882</v>
      </c>
      <c r="Y21" s="12">
        <f t="shared" si="12"/>
        <v>-0.56236123301232166</v>
      </c>
      <c r="Z21" s="12">
        <f t="shared" si="12"/>
        <v>-0.46876890588941733</v>
      </c>
      <c r="AA21" s="12">
        <f t="shared" si="12"/>
        <v>-0.64635383331599927</v>
      </c>
      <c r="AB21" s="12">
        <f t="shared" si="13"/>
        <v>-0.67694515313145809</v>
      </c>
      <c r="AC21" s="12">
        <f t="shared" si="14"/>
        <v>-0.48469079763410122</v>
      </c>
    </row>
    <row r="22" spans="1:29" x14ac:dyDescent="0.2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7.0065865427292068E-2</v>
      </c>
      <c r="M22" s="12">
        <f t="shared" si="17"/>
        <v>5.1480813178867282E-2</v>
      </c>
      <c r="N22" s="12">
        <f t="shared" si="17"/>
        <v>5.0288890409702199E-2</v>
      </c>
      <c r="O22" s="12">
        <f t="shared" si="17"/>
        <v>3.2235035575274379E-2</v>
      </c>
      <c r="P22" s="12">
        <f t="shared" si="17"/>
        <v>2.7982362207502109E-2</v>
      </c>
      <c r="Q22" s="12">
        <f t="shared" si="17"/>
        <v>2.3162288643097384E-2</v>
      </c>
      <c r="R22" s="12">
        <f t="shared" si="17"/>
        <v>1.4424718171960215E-2</v>
      </c>
      <c r="S22" s="12">
        <f t="shared" si="17"/>
        <v>4.3190254553778083E-2</v>
      </c>
      <c r="U22" s="20">
        <v>3</v>
      </c>
      <c r="V22" s="12">
        <f t="shared" si="12"/>
        <v>7.0065865427292068E-2</v>
      </c>
      <c r="W22" s="12">
        <f t="shared" si="12"/>
        <v>5.1480813178867282E-2</v>
      </c>
      <c r="X22" s="12">
        <f t="shared" si="12"/>
        <v>5.0288890409702199E-2</v>
      </c>
      <c r="Y22" s="12">
        <f t="shared" si="12"/>
        <v>3.2235035575274379E-2</v>
      </c>
      <c r="Z22" s="12">
        <f t="shared" si="12"/>
        <v>2.7982362207502109E-2</v>
      </c>
      <c r="AA22" s="12">
        <f t="shared" si="12"/>
        <v>2.3162288643097384E-2</v>
      </c>
      <c r="AB22" s="12">
        <f t="shared" si="13"/>
        <v>1.4424718171960215E-2</v>
      </c>
      <c r="AC22" s="12">
        <f t="shared" si="14"/>
        <v>4.3190254553778083E-2</v>
      </c>
    </row>
    <row r="23" spans="1:29" x14ac:dyDescent="0.2">
      <c r="A23" s="20">
        <v>4</v>
      </c>
      <c r="B23" s="12">
        <f t="shared" si="10"/>
        <v>0.23620951710796731</v>
      </c>
      <c r="C23" s="12">
        <f t="shared" si="10"/>
        <v>0.15196299529100429</v>
      </c>
      <c r="D23" s="12">
        <f t="shared" si="10"/>
        <v>0.16715805584829627</v>
      </c>
      <c r="E23" s="12">
        <f t="shared" si="10"/>
        <v>0.16660836848815941</v>
      </c>
      <c r="F23" s="12">
        <f t="shared" si="10"/>
        <v>0.23064022469254924</v>
      </c>
      <c r="G23" s="12">
        <f t="shared" si="10"/>
        <v>0.13779479055313926</v>
      </c>
      <c r="H23" s="12">
        <f t="shared" si="10"/>
        <v>0.16230067538401763</v>
      </c>
      <c r="I23" s="12">
        <f t="shared" si="10"/>
        <v>0.190229457280748</v>
      </c>
      <c r="K23" s="20">
        <v>4</v>
      </c>
      <c r="L23" s="12">
        <f t="shared" ref="L23:S23" si="18">L9/L$12</f>
        <v>2.8493945657684094E-2</v>
      </c>
      <c r="M23" s="12">
        <f t="shared" si="18"/>
        <v>1.541313664569695E-2</v>
      </c>
      <c r="N23" s="12">
        <f t="shared" si="18"/>
        <v>1.6476154971761105E-2</v>
      </c>
      <c r="O23" s="12">
        <f t="shared" si="18"/>
        <v>9.2015946950259678E-3</v>
      </c>
      <c r="P23" s="12">
        <f t="shared" si="18"/>
        <v>8.7672732388468805E-3</v>
      </c>
      <c r="Q23" s="12">
        <f t="shared" si="18"/>
        <v>7.5566267867078971E-3</v>
      </c>
      <c r="R23" s="12">
        <f t="shared" si="18"/>
        <v>3.6358946177269223E-3</v>
      </c>
      <c r="S23" s="12">
        <f t="shared" si="18"/>
        <v>1.5117575868651463E-2</v>
      </c>
      <c r="U23" s="20">
        <v>4</v>
      </c>
      <c r="V23" s="12">
        <f t="shared" si="12"/>
        <v>-0.20771557145028322</v>
      </c>
      <c r="W23" s="12">
        <f t="shared" si="12"/>
        <v>-0.13654985864530733</v>
      </c>
      <c r="X23" s="12">
        <f t="shared" si="12"/>
        <v>-0.15068190087653516</v>
      </c>
      <c r="Y23" s="12">
        <f t="shared" si="12"/>
        <v>-0.15740677379313345</v>
      </c>
      <c r="Z23" s="12">
        <f t="shared" si="12"/>
        <v>-0.22187295145370237</v>
      </c>
      <c r="AA23" s="12">
        <f t="shared" si="12"/>
        <v>-0.13023816376643135</v>
      </c>
      <c r="AB23" s="12">
        <f t="shared" si="13"/>
        <v>-0.1586647807662907</v>
      </c>
      <c r="AC23" s="12">
        <f t="shared" si="14"/>
        <v>-0.17511188141209655</v>
      </c>
    </row>
    <row r="24" spans="1:29" x14ac:dyDescent="0.2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1.0929878394873851E-2</v>
      </c>
      <c r="M24" s="12">
        <f t="shared" si="19"/>
        <v>4.2854777942997243E-3</v>
      </c>
      <c r="N24" s="12">
        <f t="shared" si="19"/>
        <v>5.0004702937270521E-3</v>
      </c>
      <c r="O24" s="12">
        <f t="shared" si="19"/>
        <v>1.9444651591208055E-3</v>
      </c>
      <c r="P24" s="12">
        <f t="shared" si="19"/>
        <v>2.6391849417451998E-3</v>
      </c>
      <c r="Q24" s="12">
        <f t="shared" si="19"/>
        <v>1.7634916477218912E-3</v>
      </c>
      <c r="R24" s="12">
        <f t="shared" si="19"/>
        <v>8.6123255297125524E-4</v>
      </c>
      <c r="S24" s="12">
        <f t="shared" si="19"/>
        <v>5.0088218907230432E-3</v>
      </c>
      <c r="U24" s="20">
        <v>5</v>
      </c>
      <c r="V24" s="12">
        <f t="shared" si="12"/>
        <v>1.0929878394873851E-2</v>
      </c>
      <c r="W24" s="12">
        <f t="shared" si="12"/>
        <v>4.2854777942997243E-3</v>
      </c>
      <c r="X24" s="12">
        <f t="shared" si="12"/>
        <v>5.0004702937270521E-3</v>
      </c>
      <c r="Y24" s="12">
        <f t="shared" si="12"/>
        <v>1.9444651591208055E-3</v>
      </c>
      <c r="Z24" s="12">
        <f t="shared" si="12"/>
        <v>2.6391849417451998E-3</v>
      </c>
      <c r="AA24" s="12">
        <f t="shared" si="12"/>
        <v>1.7634916477218912E-3</v>
      </c>
      <c r="AB24" s="12">
        <f t="shared" si="13"/>
        <v>8.6123255297125524E-4</v>
      </c>
      <c r="AC24" s="12">
        <f t="shared" si="14"/>
        <v>5.0088218907230432E-3</v>
      </c>
    </row>
    <row r="25" spans="1:29" x14ac:dyDescent="0.2">
      <c r="A25" s="3" t="s">
        <v>209</v>
      </c>
      <c r="B25" s="13">
        <f t="shared" ref="B25:I25" si="20">B11/B$12</f>
        <v>0.28202587876798541</v>
      </c>
      <c r="C25" s="13">
        <f t="shared" si="20"/>
        <v>0.15847604912172589</v>
      </c>
      <c r="D25" s="13">
        <f t="shared" si="20"/>
        <v>0.27222343765612178</v>
      </c>
      <c r="E25" s="13">
        <f t="shared" si="20"/>
        <v>0.16616891290689809</v>
      </c>
      <c r="F25" s="13">
        <f t="shared" si="20"/>
        <v>0.20735019460975604</v>
      </c>
      <c r="G25" s="13">
        <f t="shared" si="20"/>
        <v>0.14108357939171839</v>
      </c>
      <c r="H25" s="13">
        <f t="shared" si="20"/>
        <v>0.10120520396378735</v>
      </c>
      <c r="I25" s="13">
        <f t="shared" si="20"/>
        <v>0.20184212066871951</v>
      </c>
      <c r="K25" s="3" t="s">
        <v>209</v>
      </c>
      <c r="L25" s="13">
        <f t="shared" ref="L25:S25" si="21">L11/L$12</f>
        <v>1.2339605478505744E-2</v>
      </c>
      <c r="M25" s="13">
        <f t="shared" si="21"/>
        <v>2.2268122844269233E-3</v>
      </c>
      <c r="N25" s="13">
        <f t="shared" si="21"/>
        <v>2.435360264314867E-3</v>
      </c>
      <c r="O25" s="13">
        <f t="shared" si="21"/>
        <v>6.7036904781900915E-4</v>
      </c>
      <c r="P25" s="13">
        <f t="shared" si="21"/>
        <v>7.4072589116273586E-4</v>
      </c>
      <c r="Q25" s="13">
        <f t="shared" si="21"/>
        <v>6.3617172267906215E-4</v>
      </c>
      <c r="R25" s="13">
        <f t="shared" si="21"/>
        <v>2.6421447912381557E-4</v>
      </c>
      <c r="S25" s="13">
        <f t="shared" si="21"/>
        <v>4.3112318067761923E-3</v>
      </c>
      <c r="U25" s="3" t="s">
        <v>209</v>
      </c>
      <c r="V25" s="12">
        <f t="shared" si="12"/>
        <v>-0.26968627328947964</v>
      </c>
      <c r="W25" s="12">
        <f t="shared" si="12"/>
        <v>-0.15624923683729897</v>
      </c>
      <c r="X25" s="12">
        <f t="shared" si="12"/>
        <v>-0.26978807739180694</v>
      </c>
      <c r="Y25" s="12">
        <f t="shared" si="12"/>
        <v>-0.16549854385907908</v>
      </c>
      <c r="Z25" s="12">
        <f t="shared" si="12"/>
        <v>-0.20660946871859331</v>
      </c>
      <c r="AA25" s="12">
        <f t="shared" si="12"/>
        <v>-0.14044740766903932</v>
      </c>
      <c r="AB25" s="12">
        <f t="shared" si="13"/>
        <v>-0.10094098948466354</v>
      </c>
      <c r="AC25" s="12">
        <f t="shared" si="14"/>
        <v>-0.19753088886194331</v>
      </c>
    </row>
    <row r="26" spans="1:29" ht="13.5" thickBot="1" x14ac:dyDescent="0.25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r="33" spans="1:29" ht="13.5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1252004.3757906142</v>
      </c>
      <c r="M35" s="7">
        <f>output!C158</f>
        <v>607915.71878501971</v>
      </c>
      <c r="N35" s="7">
        <f>output!D158</f>
        <v>476835.35877061263</v>
      </c>
      <c r="O35" s="7">
        <f>output!E158</f>
        <v>590137.87506261922</v>
      </c>
      <c r="P35" s="7">
        <f>output!F158</f>
        <v>591882.281605214</v>
      </c>
      <c r="Q35" s="7">
        <f>output!G158</f>
        <v>236778.94788524401</v>
      </c>
      <c r="R35" s="7">
        <f>output!H158</f>
        <v>959857.00913008431</v>
      </c>
      <c r="S35" s="7">
        <f>output!I158</f>
        <v>4715411.5670294082</v>
      </c>
      <c r="U35" s="18">
        <v>0</v>
      </c>
      <c r="V35" s="7">
        <f t="shared" ref="V35:AA42" si="24">L35-B35</f>
        <v>1252004.3757906142</v>
      </c>
      <c r="W35" s="7">
        <f t="shared" si="24"/>
        <v>607915.71878501971</v>
      </c>
      <c r="X35" s="7">
        <f t="shared" si="24"/>
        <v>476835.35877061263</v>
      </c>
      <c r="Y35" s="7">
        <f t="shared" si="24"/>
        <v>590137.87506261922</v>
      </c>
      <c r="Z35" s="7">
        <f t="shared" si="24"/>
        <v>591882.281605214</v>
      </c>
      <c r="AA35" s="7">
        <f t="shared" si="24"/>
        <v>236778.94788524401</v>
      </c>
      <c r="AB35" s="7">
        <f t="shared" ref="AB35:AB42" si="25">R35-H35</f>
        <v>959857.00913008431</v>
      </c>
      <c r="AC35" s="7">
        <f t="shared" ref="AC35:AC42" si="26">S35-I35</f>
        <v>4715411.5670294082</v>
      </c>
    </row>
    <row r="36" spans="1:29" x14ac:dyDescent="0.2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339535.78306682006</v>
      </c>
      <c r="M36" s="7">
        <f>output!C159</f>
        <v>129035.06726282486</v>
      </c>
      <c r="N36" s="7">
        <f>output!D159</f>
        <v>137981.50048156027</v>
      </c>
      <c r="O36" s="7">
        <f>output!E159</f>
        <v>118594.32289617503</v>
      </c>
      <c r="P36" s="7">
        <f>output!F159</f>
        <v>108652.16964267181</v>
      </c>
      <c r="Q36" s="7">
        <f>output!G159</f>
        <v>37358.16271561545</v>
      </c>
      <c r="R36" s="7">
        <f>output!H159</f>
        <v>127159.26647514701</v>
      </c>
      <c r="S36" s="7">
        <f>output!I159</f>
        <v>998316.27254081448</v>
      </c>
      <c r="U36" s="18">
        <v>1</v>
      </c>
      <c r="V36" s="7">
        <f t="shared" si="24"/>
        <v>-1014043.193551447</v>
      </c>
      <c r="W36" s="7">
        <f t="shared" si="24"/>
        <v>-594586.11904523615</v>
      </c>
      <c r="X36" s="7">
        <f t="shared" si="24"/>
        <v>-394646.46585045627</v>
      </c>
      <c r="Y36" s="7">
        <f t="shared" si="24"/>
        <v>-530979.01541153737</v>
      </c>
      <c r="Z36" s="7">
        <f t="shared" si="24"/>
        <v>-423018.46371758287</v>
      </c>
      <c r="AA36" s="7">
        <f t="shared" si="24"/>
        <v>-217536.48385433745</v>
      </c>
      <c r="AB36" s="7">
        <f t="shared" si="25"/>
        <v>-827330.97464807413</v>
      </c>
      <c r="AC36" s="7">
        <f t="shared" si="26"/>
        <v>-4002140.7160786716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81143.900404772226</v>
      </c>
      <c r="M37" s="7">
        <f>output!C160</f>
        <v>26887.512295659388</v>
      </c>
      <c r="N37" s="7">
        <f>output!D160</f>
        <v>34324.757000028534</v>
      </c>
      <c r="O37" s="7">
        <f>output!E160</f>
        <v>27173.43025854378</v>
      </c>
      <c r="P37" s="7">
        <f>output!F160</f>
        <v>24765.313743746301</v>
      </c>
      <c r="Q37" s="7">
        <f>output!G160</f>
        <v>8116.403100936076</v>
      </c>
      <c r="R37" s="7">
        <f>output!H160</f>
        <v>21080.553508107107</v>
      </c>
      <c r="S37" s="7">
        <f>output!I160</f>
        <v>223491.87031179341</v>
      </c>
      <c r="U37" s="19">
        <v>2</v>
      </c>
      <c r="V37" s="7">
        <f t="shared" si="24"/>
        <v>81143.900404772226</v>
      </c>
      <c r="W37" s="7">
        <f t="shared" si="24"/>
        <v>26887.512295659388</v>
      </c>
      <c r="X37" s="7">
        <f t="shared" si="24"/>
        <v>34324.757000028534</v>
      </c>
      <c r="Y37" s="7">
        <f t="shared" si="24"/>
        <v>27173.43025854378</v>
      </c>
      <c r="Z37" s="7">
        <f t="shared" si="24"/>
        <v>24765.313743746301</v>
      </c>
      <c r="AA37" s="7">
        <f t="shared" si="24"/>
        <v>8116.403100936076</v>
      </c>
      <c r="AB37" s="7">
        <f t="shared" si="25"/>
        <v>21080.553508107107</v>
      </c>
      <c r="AC37" s="7">
        <f t="shared" si="26"/>
        <v>223491.87031179341</v>
      </c>
    </row>
    <row r="38" spans="1:29" x14ac:dyDescent="0.2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21052.118623511557</v>
      </c>
      <c r="M38" s="7">
        <f>output!C161</f>
        <v>5404.7411135819802</v>
      </c>
      <c r="N38" s="7">
        <f>output!D161</f>
        <v>7478.2080528303914</v>
      </c>
      <c r="O38" s="7">
        <f>output!E161</f>
        <v>5744.9023361066065</v>
      </c>
      <c r="P38" s="7">
        <f>output!F161</f>
        <v>5264.1540313902578</v>
      </c>
      <c r="Q38" s="7">
        <f>output!G161</f>
        <v>1925.8844685823738</v>
      </c>
      <c r="R38" s="7">
        <f>output!H161</f>
        <v>3557.3212842115836</v>
      </c>
      <c r="S38" s="7">
        <f>output!I161</f>
        <v>50427.32991021475</v>
      </c>
      <c r="U38" s="20">
        <v>3</v>
      </c>
      <c r="V38" s="7">
        <f t="shared" si="24"/>
        <v>-289327.35288202664</v>
      </c>
      <c r="W38" s="7">
        <f t="shared" si="24"/>
        <v>-58309.738883154525</v>
      </c>
      <c r="X38" s="7">
        <f t="shared" si="24"/>
        <v>-55938.477737277011</v>
      </c>
      <c r="Y38" s="7">
        <f t="shared" si="24"/>
        <v>-53175.44934034859</v>
      </c>
      <c r="Z38" s="7">
        <f t="shared" si="24"/>
        <v>-125447.52717396045</v>
      </c>
      <c r="AA38" s="7">
        <f t="shared" si="24"/>
        <v>-26367.668966395726</v>
      </c>
      <c r="AB38" s="7">
        <f t="shared" si="25"/>
        <v>-112474.26020864661</v>
      </c>
      <c r="AC38" s="7">
        <f t="shared" si="26"/>
        <v>-721040.47519180959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8625.7679742695764</v>
      </c>
      <c r="M39" s="7">
        <f>output!C162</f>
        <v>1441.1479657248651</v>
      </c>
      <c r="N39" s="7">
        <f>output!D162</f>
        <v>2364.981692773169</v>
      </c>
      <c r="O39" s="7">
        <f>output!E162</f>
        <v>1469.1594558486024</v>
      </c>
      <c r="P39" s="7">
        <f>output!F162</f>
        <v>1491.837846067368</v>
      </c>
      <c r="Q39" s="7">
        <f>output!G162</f>
        <v>552.54281783433669</v>
      </c>
      <c r="R39" s="7">
        <f>output!H162</f>
        <v>881.60728721394582</v>
      </c>
      <c r="S39" s="7">
        <f>output!I162</f>
        <v>16827.045039731864</v>
      </c>
      <c r="U39" s="20">
        <v>4</v>
      </c>
      <c r="V39" s="7">
        <f t="shared" si="24"/>
        <v>8625.7679742695764</v>
      </c>
      <c r="W39" s="7">
        <f t="shared" si="24"/>
        <v>1441.1479657248651</v>
      </c>
      <c r="X39" s="7">
        <f t="shared" si="24"/>
        <v>2364.981692773169</v>
      </c>
      <c r="Y39" s="7">
        <f t="shared" si="24"/>
        <v>1469.1594558486024</v>
      </c>
      <c r="Z39" s="7">
        <f t="shared" si="24"/>
        <v>1491.837846067368</v>
      </c>
      <c r="AA39" s="7">
        <f t="shared" si="24"/>
        <v>552.54281783433669</v>
      </c>
      <c r="AB39" s="7">
        <f t="shared" si="25"/>
        <v>881.60728721394582</v>
      </c>
      <c r="AC39" s="7">
        <f t="shared" si="26"/>
        <v>16827.045039731864</v>
      </c>
    </row>
    <row r="40" spans="1:29" x14ac:dyDescent="0.2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2717.9454212595547</v>
      </c>
      <c r="M40" s="7">
        <f>output!C163</f>
        <v>294.41445920584471</v>
      </c>
      <c r="N40" s="7">
        <f>output!D163</f>
        <v>581.86913213712262</v>
      </c>
      <c r="O40" s="7">
        <f>output!E163</f>
        <v>267.60781008231953</v>
      </c>
      <c r="P40" s="7">
        <f>output!F163</f>
        <v>318.749504324844</v>
      </c>
      <c r="Q40" s="7">
        <f>output!G163</f>
        <v>68.469689696081645</v>
      </c>
      <c r="R40" s="7">
        <f>output!H163</f>
        <v>166.80617113457336</v>
      </c>
      <c r="S40" s="7">
        <f>output!I163</f>
        <v>4415.8621878403401</v>
      </c>
      <c r="U40" s="20">
        <v>5</v>
      </c>
      <c r="V40" s="7">
        <f t="shared" si="24"/>
        <v>-63716.543664347053</v>
      </c>
      <c r="W40" s="7">
        <f t="shared" si="24"/>
        <v>-10295.102350791454</v>
      </c>
      <c r="X40" s="7">
        <f t="shared" si="24"/>
        <v>-24069.383764409176</v>
      </c>
      <c r="Y40" s="7">
        <f t="shared" si="24"/>
        <v>-19095.288033354082</v>
      </c>
      <c r="Z40" s="7">
        <f t="shared" si="24"/>
        <v>-36153.846162456161</v>
      </c>
      <c r="AA40" s="7">
        <f t="shared" si="24"/>
        <v>-13307.184915927919</v>
      </c>
      <c r="AB40" s="7">
        <f t="shared" si="25"/>
        <v>-26821.271843061026</v>
      </c>
      <c r="AC40" s="7">
        <f t="shared" si="26"/>
        <v>-193458.62073434689</v>
      </c>
    </row>
    <row r="41" spans="1:29" x14ac:dyDescent="0.2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3554.6180881657879</v>
      </c>
      <c r="M41" s="9">
        <f>output!C164</f>
        <v>162.4318905483955</v>
      </c>
      <c r="N41" s="9">
        <f>output!D164</f>
        <v>315.49559523554643</v>
      </c>
      <c r="O41" s="9">
        <f>output!E164</f>
        <v>81.456139767318291</v>
      </c>
      <c r="P41" s="9">
        <f>output!F164</f>
        <v>94.761050109647186</v>
      </c>
      <c r="Q41" s="9">
        <f>output!G164</f>
        <v>49.454592647714954</v>
      </c>
      <c r="R41" s="9">
        <f>output!H164</f>
        <v>49.473859245578048</v>
      </c>
      <c r="S41" s="9">
        <f>output!I164</f>
        <v>4307.6912157199877</v>
      </c>
      <c r="U41" s="3" t="s">
        <v>209</v>
      </c>
      <c r="V41" s="9">
        <f t="shared" si="24"/>
        <v>-30738.291858118308</v>
      </c>
      <c r="W41" s="9">
        <f t="shared" si="24"/>
        <v>-7579.9422640447046</v>
      </c>
      <c r="X41" s="9">
        <f t="shared" si="24"/>
        <v>-33342.215804008854</v>
      </c>
      <c r="Y41" s="9">
        <f t="shared" si="24"/>
        <v>-9726.4574959197816</v>
      </c>
      <c r="Z41" s="9">
        <f t="shared" si="24"/>
        <v>-24390.740973620352</v>
      </c>
      <c r="AA41" s="9">
        <f t="shared" si="24"/>
        <v>-8767.0572829876855</v>
      </c>
      <c r="AB41" s="9">
        <f t="shared" si="25"/>
        <v>-12666.048150209723</v>
      </c>
      <c r="AC41" s="9">
        <f t="shared" si="26"/>
        <v>-127210.75382890941</v>
      </c>
    </row>
    <row r="42" spans="1:29" ht="13.5" thickBot="1" x14ac:dyDescent="0.25">
      <c r="A42" s="21" t="s">
        <v>221</v>
      </c>
      <c r="B42" s="22">
        <f t="shared" ref="B42:I42" si="27">SUM(B35:B41)</f>
        <v>1764685.8471556958</v>
      </c>
      <c r="C42" s="22">
        <f t="shared" si="27"/>
        <v>805667.55726938788</v>
      </c>
      <c r="D42" s="22">
        <f t="shared" si="27"/>
        <v>654353.61641791451</v>
      </c>
      <c r="E42" s="22">
        <f t="shared" si="27"/>
        <v>737664.49946329114</v>
      </c>
      <c r="F42" s="22">
        <f t="shared" si="27"/>
        <v>723340.41225611628</v>
      </c>
      <c r="G42" s="22">
        <f t="shared" si="27"/>
        <v>305380.36648619041</v>
      </c>
      <c r="H42" s="22">
        <f t="shared" si="27"/>
        <v>1110225.4226397304</v>
      </c>
      <c r="I42" s="22">
        <f t="shared" si="27"/>
        <v>6101317.7216883264</v>
      </c>
      <c r="K42" s="21" t="s">
        <v>221</v>
      </c>
      <c r="L42" s="22">
        <f>SUM(L35:L41)</f>
        <v>1708634.5093694131</v>
      </c>
      <c r="M42" s="22">
        <f t="shared" ref="M42:S42" si="28">SUM(M35:M41)</f>
        <v>771141.03377256496</v>
      </c>
      <c r="N42" s="22">
        <f t="shared" si="28"/>
        <v>659882.17072517762</v>
      </c>
      <c r="O42" s="22">
        <f t="shared" si="28"/>
        <v>743468.75395914284</v>
      </c>
      <c r="P42" s="22">
        <f t="shared" si="28"/>
        <v>732469.26742352417</v>
      </c>
      <c r="Q42" s="22">
        <f t="shared" si="28"/>
        <v>284849.86527055613</v>
      </c>
      <c r="R42" s="22">
        <f t="shared" si="28"/>
        <v>1112752.037715144</v>
      </c>
      <c r="S42" s="22">
        <f t="shared" si="28"/>
        <v>6013197.6382355224</v>
      </c>
      <c r="U42" s="21" t="s">
        <v>221</v>
      </c>
      <c r="V42" s="22">
        <f t="shared" si="24"/>
        <v>-56051.337786282646</v>
      </c>
      <c r="W42" s="22">
        <f t="shared" si="24"/>
        <v>-34526.52349682292</v>
      </c>
      <c r="X42" s="22">
        <f t="shared" si="24"/>
        <v>5528.5543072631117</v>
      </c>
      <c r="Y42" s="22">
        <f t="shared" si="24"/>
        <v>5804.2544958516955</v>
      </c>
      <c r="Z42" s="22">
        <f t="shared" si="24"/>
        <v>9128.8551674078917</v>
      </c>
      <c r="AA42" s="22">
        <f t="shared" si="24"/>
        <v>-20530.501215634285</v>
      </c>
      <c r="AB42" s="22">
        <f t="shared" si="25"/>
        <v>2526.6150754136033</v>
      </c>
      <c r="AC42" s="22">
        <f t="shared" si="26"/>
        <v>-88120.083452804014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r="47" spans="1:29" ht="13.5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0.73275142748502575</v>
      </c>
      <c r="M49" s="12">
        <f t="shared" si="30"/>
        <v>0.78833273313311214</v>
      </c>
      <c r="N49" s="12">
        <f t="shared" si="30"/>
        <v>0.72260682274017851</v>
      </c>
      <c r="O49" s="12">
        <f t="shared" si="30"/>
        <v>0.793762847355721</v>
      </c>
      <c r="P49" s="12">
        <f t="shared" si="30"/>
        <v>0.80806432150685614</v>
      </c>
      <c r="Q49" s="12">
        <f t="shared" si="30"/>
        <v>0.83124121424578035</v>
      </c>
      <c r="R49" s="12">
        <f t="shared" si="30"/>
        <v>0.86259739510429934</v>
      </c>
      <c r="S49" s="12">
        <f t="shared" si="30"/>
        <v>0.78417704700839852</v>
      </c>
      <c r="U49" s="18">
        <v>0</v>
      </c>
      <c r="V49" s="12">
        <f>L49-B49</f>
        <v>0.73275142748502575</v>
      </c>
      <c r="W49" s="12">
        <f t="shared" ref="V49:AA56" si="31">M49-C49</f>
        <v>0.78833273313311214</v>
      </c>
      <c r="X49" s="12">
        <f t="shared" si="31"/>
        <v>0.72260682274017851</v>
      </c>
      <c r="Y49" s="12">
        <f t="shared" si="31"/>
        <v>0.793762847355721</v>
      </c>
      <c r="Z49" s="12">
        <f t="shared" si="31"/>
        <v>0.80806432150685614</v>
      </c>
      <c r="AA49" s="12">
        <f t="shared" si="31"/>
        <v>0.83124121424578035</v>
      </c>
      <c r="AB49" s="12">
        <f t="shared" ref="AB49:AB56" si="32">R49-H49</f>
        <v>0.86259739510429934</v>
      </c>
      <c r="AC49" s="12">
        <f t="shared" ref="AC49:AC56" si="33">S49-I49</f>
        <v>0.78417704700839852</v>
      </c>
    </row>
    <row r="50" spans="1:29" x14ac:dyDescent="0.2">
      <c r="A50" s="18">
        <v>1</v>
      </c>
      <c r="B50" s="12">
        <f t="shared" ref="B50:I50" si="34">B36/B$12</f>
        <v>0.76703679513265932</v>
      </c>
      <c r="C50" s="12">
        <f t="shared" si="34"/>
        <v>0.89816349160266207</v>
      </c>
      <c r="D50" s="12">
        <f t="shared" si="34"/>
        <v>0.81397573570044146</v>
      </c>
      <c r="E50" s="12">
        <f t="shared" si="34"/>
        <v>0.88058099417869229</v>
      </c>
      <c r="F50" s="12">
        <f t="shared" si="34"/>
        <v>0.73502133207511666</v>
      </c>
      <c r="G50" s="12">
        <f t="shared" si="34"/>
        <v>0.8346792215323362</v>
      </c>
      <c r="H50" s="12">
        <f t="shared" si="34"/>
        <v>0.85972652189298193</v>
      </c>
      <c r="I50" s="12">
        <f t="shared" si="34"/>
        <v>0.81957000384431444</v>
      </c>
      <c r="K50" s="18">
        <v>1</v>
      </c>
      <c r="L50" s="12">
        <f t="shared" si="30"/>
        <v>0.1987176199502893</v>
      </c>
      <c r="M50" s="12">
        <f t="shared" si="30"/>
        <v>0.16733004938352375</v>
      </c>
      <c r="N50" s="12">
        <f t="shared" si="30"/>
        <v>0.20910021001162296</v>
      </c>
      <c r="O50" s="12">
        <f t="shared" si="30"/>
        <v>0.15951487169384437</v>
      </c>
      <c r="P50" s="12">
        <f t="shared" si="30"/>
        <v>0.14833683060158698</v>
      </c>
      <c r="Q50" s="12">
        <f t="shared" si="30"/>
        <v>0.131150361191612</v>
      </c>
      <c r="R50" s="12">
        <f t="shared" si="30"/>
        <v>0.11427457525600039</v>
      </c>
      <c r="S50" s="12">
        <f t="shared" si="30"/>
        <v>0.16602086487111614</v>
      </c>
      <c r="U50" s="18">
        <v>1</v>
      </c>
      <c r="V50" s="12">
        <f t="shared" si="31"/>
        <v>-0.56831917518236996</v>
      </c>
      <c r="W50" s="12">
        <f t="shared" si="31"/>
        <v>-0.73083344221913826</v>
      </c>
      <c r="X50" s="12">
        <f t="shared" si="31"/>
        <v>-0.60487552568881853</v>
      </c>
      <c r="Y50" s="12">
        <f t="shared" si="31"/>
        <v>-0.72106612248484792</v>
      </c>
      <c r="Z50" s="12">
        <f t="shared" si="31"/>
        <v>-0.58668450147352968</v>
      </c>
      <c r="AA50" s="12">
        <f t="shared" si="31"/>
        <v>-0.70352886034072415</v>
      </c>
      <c r="AB50" s="12">
        <f t="shared" si="32"/>
        <v>-0.74545194663698156</v>
      </c>
      <c r="AC50" s="12">
        <f t="shared" si="33"/>
        <v>-0.65354913897319833</v>
      </c>
    </row>
    <row r="51" spans="1:29" x14ac:dyDescent="0.2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4.7490496042198696E-2</v>
      </c>
      <c r="M51" s="12">
        <f t="shared" si="30"/>
        <v>3.4867178788451567E-2</v>
      </c>
      <c r="N51" s="12">
        <f t="shared" si="30"/>
        <v>5.2016494039090852E-2</v>
      </c>
      <c r="O51" s="12">
        <f t="shared" si="30"/>
        <v>3.6549525603919449E-2</v>
      </c>
      <c r="P51" s="12">
        <f t="shared" si="30"/>
        <v>3.381072059290461E-2</v>
      </c>
      <c r="Q51" s="12">
        <f t="shared" si="30"/>
        <v>2.8493617482412897E-2</v>
      </c>
      <c r="R51" s="12">
        <f t="shared" si="30"/>
        <v>1.8944520246750217E-2</v>
      </c>
      <c r="S51" s="12">
        <f t="shared" si="30"/>
        <v>3.7166892518332981E-2</v>
      </c>
      <c r="U51" s="19">
        <v>2</v>
      </c>
      <c r="V51" s="12">
        <f t="shared" si="31"/>
        <v>4.7490496042198696E-2</v>
      </c>
      <c r="W51" s="12">
        <f t="shared" si="31"/>
        <v>3.4867178788451567E-2</v>
      </c>
      <c r="X51" s="12">
        <f t="shared" si="31"/>
        <v>5.2016494039090852E-2</v>
      </c>
      <c r="Y51" s="12">
        <f t="shared" si="31"/>
        <v>3.6549525603919449E-2</v>
      </c>
      <c r="Z51" s="12">
        <f t="shared" si="31"/>
        <v>3.381072059290461E-2</v>
      </c>
      <c r="AA51" s="12">
        <f t="shared" si="31"/>
        <v>2.8493617482412897E-2</v>
      </c>
      <c r="AB51" s="12">
        <f t="shared" si="32"/>
        <v>1.8944520246750217E-2</v>
      </c>
      <c r="AC51" s="12">
        <f t="shared" si="33"/>
        <v>3.7166892518332981E-2</v>
      </c>
    </row>
    <row r="52" spans="1:29" x14ac:dyDescent="0.2">
      <c r="A52" s="20">
        <v>3</v>
      </c>
      <c r="B52" s="12">
        <f t="shared" ref="B52:I52" si="36">B38/B$12</f>
        <v>0.17588369737639414</v>
      </c>
      <c r="C52" s="12">
        <f t="shared" si="36"/>
        <v>7.9082841827069567E-2</v>
      </c>
      <c r="D52" s="12">
        <f t="shared" si="36"/>
        <v>9.6915007725127636E-2</v>
      </c>
      <c r="E52" s="12">
        <f t="shared" si="36"/>
        <v>7.9874186326337207E-2</v>
      </c>
      <c r="F52" s="12">
        <f t="shared" si="36"/>
        <v>0.18070562489057923</v>
      </c>
      <c r="G52" s="12">
        <f t="shared" si="36"/>
        <v>9.2650204597411689E-2</v>
      </c>
      <c r="H52" s="12">
        <f t="shared" si="36"/>
        <v>0.10451173169587076</v>
      </c>
      <c r="I52" s="12">
        <f t="shared" si="36"/>
        <v>0.12644281781289496</v>
      </c>
      <c r="K52" s="20">
        <v>3</v>
      </c>
      <c r="L52" s="12">
        <f t="shared" si="30"/>
        <v>1.2321019216263536E-2</v>
      </c>
      <c r="M52" s="12">
        <f t="shared" si="30"/>
        <v>7.0087582904789598E-3</v>
      </c>
      <c r="N52" s="12">
        <f t="shared" si="30"/>
        <v>1.1332641469328098E-2</v>
      </c>
      <c r="O52" s="12">
        <f t="shared" si="30"/>
        <v>7.7271604294244711E-3</v>
      </c>
      <c r="P52" s="12">
        <f t="shared" si="30"/>
        <v>7.1868599346250096E-3</v>
      </c>
      <c r="Q52" s="12">
        <f t="shared" si="30"/>
        <v>6.7610510075303354E-3</v>
      </c>
      <c r="R52" s="12">
        <f t="shared" si="30"/>
        <v>3.1968679127435851E-3</v>
      </c>
      <c r="S52" s="12">
        <f t="shared" si="30"/>
        <v>8.3861088465756548E-3</v>
      </c>
      <c r="U52" s="20">
        <v>3</v>
      </c>
      <c r="V52" s="12">
        <f t="shared" si="31"/>
        <v>-0.16356267816013062</v>
      </c>
      <c r="W52" s="12">
        <f t="shared" si="31"/>
        <v>-7.2074083536590602E-2</v>
      </c>
      <c r="X52" s="12">
        <f t="shared" si="31"/>
        <v>-8.5582366255799541E-2</v>
      </c>
      <c r="Y52" s="12">
        <f t="shared" si="31"/>
        <v>-7.2147025896912742E-2</v>
      </c>
      <c r="Z52" s="12">
        <f t="shared" si="31"/>
        <v>-0.17351876495595422</v>
      </c>
      <c r="AA52" s="12">
        <f t="shared" si="31"/>
        <v>-8.5889153589881348E-2</v>
      </c>
      <c r="AB52" s="12">
        <f t="shared" si="32"/>
        <v>-0.10131486378312718</v>
      </c>
      <c r="AC52" s="12">
        <f t="shared" si="33"/>
        <v>-0.1180567089663193</v>
      </c>
    </row>
    <row r="53" spans="1:29" x14ac:dyDescent="0.2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5.048340020624419E-3</v>
      </c>
      <c r="M53" s="12">
        <f t="shared" si="30"/>
        <v>1.8688513548222197E-3</v>
      </c>
      <c r="N53" s="12">
        <f t="shared" si="30"/>
        <v>3.5839454340373706E-3</v>
      </c>
      <c r="O53" s="12">
        <f t="shared" si="30"/>
        <v>1.9760876943718067E-3</v>
      </c>
      <c r="P53" s="12">
        <f t="shared" si="30"/>
        <v>2.0367241499632312E-3</v>
      </c>
      <c r="Q53" s="12">
        <f t="shared" si="30"/>
        <v>1.9397685770696097E-3</v>
      </c>
      <c r="R53" s="12">
        <f t="shared" si="30"/>
        <v>7.9227649766805506E-4</v>
      </c>
      <c r="S53" s="12">
        <f t="shared" si="30"/>
        <v>2.7983522332170499E-3</v>
      </c>
      <c r="U53" s="20">
        <v>4</v>
      </c>
      <c r="V53" s="12">
        <f t="shared" si="31"/>
        <v>5.048340020624419E-3</v>
      </c>
      <c r="W53" s="12">
        <f t="shared" si="31"/>
        <v>1.8688513548222197E-3</v>
      </c>
      <c r="X53" s="12">
        <f t="shared" si="31"/>
        <v>3.5839454340373706E-3</v>
      </c>
      <c r="Y53" s="12">
        <f t="shared" si="31"/>
        <v>1.9760876943718067E-3</v>
      </c>
      <c r="Z53" s="12">
        <f t="shared" si="31"/>
        <v>2.0367241499632312E-3</v>
      </c>
      <c r="AA53" s="12">
        <f t="shared" si="31"/>
        <v>1.9397685770696097E-3</v>
      </c>
      <c r="AB53" s="12">
        <f t="shared" si="32"/>
        <v>7.9227649766805506E-4</v>
      </c>
      <c r="AC53" s="12">
        <f t="shared" si="33"/>
        <v>2.7983522332170499E-3</v>
      </c>
    </row>
    <row r="54" spans="1:29" x14ac:dyDescent="0.2">
      <c r="A54" s="20">
        <v>5</v>
      </c>
      <c r="B54" s="12">
        <f t="shared" ref="B54:I54" si="38">B40/B$12</f>
        <v>3.7646637894606046E-2</v>
      </c>
      <c r="C54" s="12">
        <f t="shared" si="38"/>
        <v>1.3143779607916527E-2</v>
      </c>
      <c r="D54" s="12">
        <f t="shared" si="38"/>
        <v>3.7672677705203259E-2</v>
      </c>
      <c r="E54" s="12">
        <f t="shared" si="38"/>
        <v>2.6248919200428412E-2</v>
      </c>
      <c r="F54" s="12">
        <f t="shared" si="38"/>
        <v>5.0422449857352898E-2</v>
      </c>
      <c r="G54" s="12">
        <f t="shared" si="38"/>
        <v>4.3799982164959721E-2</v>
      </c>
      <c r="H54" s="12">
        <f t="shared" si="38"/>
        <v>2.4308647112428149E-2</v>
      </c>
      <c r="I54" s="12">
        <f t="shared" si="38"/>
        <v>3.2431433986596647E-2</v>
      </c>
      <c r="K54" s="20">
        <v>5</v>
      </c>
      <c r="L54" s="12">
        <f t="shared" si="30"/>
        <v>1.5907120021019807E-3</v>
      </c>
      <c r="M54" s="12">
        <f t="shared" si="30"/>
        <v>3.8179067941115073E-4</v>
      </c>
      <c r="N54" s="12">
        <f t="shared" si="30"/>
        <v>8.8177732018077928E-4</v>
      </c>
      <c r="O54" s="12">
        <f t="shared" si="30"/>
        <v>3.5994493199242893E-4</v>
      </c>
      <c r="P54" s="12">
        <f t="shared" si="30"/>
        <v>4.3517116485453647E-4</v>
      </c>
      <c r="Q54" s="12">
        <f t="shared" si="30"/>
        <v>2.4037115001282434E-4</v>
      </c>
      <c r="R54" s="12">
        <f t="shared" si="30"/>
        <v>1.4990417045389806E-4</v>
      </c>
      <c r="S54" s="12">
        <f t="shared" si="30"/>
        <v>7.3436172457755854E-4</v>
      </c>
      <c r="U54" s="20">
        <v>5</v>
      </c>
      <c r="V54" s="12">
        <f t="shared" si="31"/>
        <v>-3.6055925892504066E-2</v>
      </c>
      <c r="W54" s="12">
        <f t="shared" si="31"/>
        <v>-1.2761988928505377E-2</v>
      </c>
      <c r="X54" s="12">
        <f t="shared" si="31"/>
        <v>-3.6790900385022481E-2</v>
      </c>
      <c r="Y54" s="12">
        <f t="shared" si="31"/>
        <v>-2.5888974268435984E-2</v>
      </c>
      <c r="Z54" s="12">
        <f t="shared" si="31"/>
        <v>-4.998727869249836E-2</v>
      </c>
      <c r="AA54" s="12">
        <f t="shared" si="31"/>
        <v>-4.3559611014946896E-2</v>
      </c>
      <c r="AB54" s="12">
        <f t="shared" si="32"/>
        <v>-2.4158742941974252E-2</v>
      </c>
      <c r="AC54" s="12">
        <f t="shared" si="33"/>
        <v>-3.1697072262019087E-2</v>
      </c>
    </row>
    <row r="55" spans="1:29" x14ac:dyDescent="0.2">
      <c r="A55" s="3" t="s">
        <v>209</v>
      </c>
      <c r="B55" s="13">
        <f t="shared" ref="B55:I55" si="39">B41/B$12</f>
        <v>1.9432869596340382E-2</v>
      </c>
      <c r="C55" s="13">
        <f t="shared" si="39"/>
        <v>9.6098869623520329E-3</v>
      </c>
      <c r="D55" s="13">
        <f t="shared" si="39"/>
        <v>5.1436578869227645E-2</v>
      </c>
      <c r="E55" s="13">
        <f t="shared" si="39"/>
        <v>1.3295900294541932E-2</v>
      </c>
      <c r="F55" s="13">
        <f t="shared" si="39"/>
        <v>3.3850593176951251E-2</v>
      </c>
      <c r="G55" s="13">
        <f t="shared" si="39"/>
        <v>2.887059170529253E-2</v>
      </c>
      <c r="H55" s="13">
        <f t="shared" si="39"/>
        <v>1.1453099298719181E-2</v>
      </c>
      <c r="I55" s="13">
        <f t="shared" si="39"/>
        <v>2.1555744356193968E-2</v>
      </c>
      <c r="K55" s="3" t="s">
        <v>209</v>
      </c>
      <c r="L55" s="13">
        <f t="shared" ref="L55:S55" si="40">L41/L$42</f>
        <v>2.0803852834961477E-3</v>
      </c>
      <c r="M55" s="13">
        <f t="shared" si="40"/>
        <v>2.1063837020025839E-4</v>
      </c>
      <c r="N55" s="13">
        <f t="shared" si="40"/>
        <v>4.7810898556151698E-4</v>
      </c>
      <c r="O55" s="13">
        <f t="shared" si="40"/>
        <v>1.095622907264704E-4</v>
      </c>
      <c r="P55" s="13">
        <f t="shared" si="40"/>
        <v>1.2937204920961552E-4</v>
      </c>
      <c r="Q55" s="13">
        <f t="shared" si="40"/>
        <v>1.7361634558170491E-4</v>
      </c>
      <c r="R55" s="13">
        <f t="shared" si="40"/>
        <v>4.446081208457241E-5</v>
      </c>
      <c r="S55" s="13">
        <f t="shared" si="40"/>
        <v>7.1637279778218152E-4</v>
      </c>
      <c r="U55" s="3" t="s">
        <v>209</v>
      </c>
      <c r="V55" s="12">
        <f t="shared" si="31"/>
        <v>-1.7352484312844235E-2</v>
      </c>
      <c r="W55" s="12">
        <f t="shared" si="31"/>
        <v>-9.3992485921517745E-3</v>
      </c>
      <c r="X55" s="12">
        <f t="shared" si="31"/>
        <v>-5.0958469883666126E-2</v>
      </c>
      <c r="Y55" s="12">
        <f t="shared" si="31"/>
        <v>-1.3186338003815461E-2</v>
      </c>
      <c r="Z55" s="12">
        <f t="shared" si="31"/>
        <v>-3.3721221127741632E-2</v>
      </c>
      <c r="AA55" s="12">
        <f t="shared" si="31"/>
        <v>-2.8696975359710827E-2</v>
      </c>
      <c r="AB55" s="12">
        <f t="shared" si="32"/>
        <v>-1.1408638486634608E-2</v>
      </c>
      <c r="AC55" s="12">
        <f t="shared" si="33"/>
        <v>-2.0839371558411788E-2</v>
      </c>
    </row>
    <row r="56" spans="1:29" ht="13.5" thickBot="1" x14ac:dyDescent="0.25">
      <c r="A56" s="21" t="s">
        <v>221</v>
      </c>
      <c r="B56" s="17">
        <f t="shared" ref="B56:I56" si="41">B42/B$12</f>
        <v>0.99999999999999978</v>
      </c>
      <c r="C56" s="17">
        <f t="shared" si="41"/>
        <v>1.0000000000000002</v>
      </c>
      <c r="D56" s="17">
        <f t="shared" si="41"/>
        <v>0.99999999999999978</v>
      </c>
      <c r="E56" s="17">
        <f t="shared" si="41"/>
        <v>0.99999999999999989</v>
      </c>
      <c r="F56" s="17">
        <f t="shared" si="41"/>
        <v>0.99999999999999989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r="63" spans="1:29" ht="13.5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853317.32123591495</v>
      </c>
      <c r="M65" s="7">
        <f>output!C168</f>
        <v>435397.22296203772</v>
      </c>
      <c r="N65" s="7">
        <f>output!D168</f>
        <v>403858.70201292576</v>
      </c>
      <c r="O65" s="7">
        <f>output!E168</f>
        <v>526911.42463235033</v>
      </c>
      <c r="P65" s="7">
        <f>output!F168</f>
        <v>537754.36888850806</v>
      </c>
      <c r="Q65" s="7">
        <f>output!G168</f>
        <v>224177.93323563237</v>
      </c>
      <c r="R65" s="7">
        <f>output!H168</f>
        <v>884883.72230215522</v>
      </c>
      <c r="S65" s="7">
        <f>output!I168</f>
        <v>3866300.6952695241</v>
      </c>
      <c r="U65" s="18">
        <v>0</v>
      </c>
      <c r="V65" s="7">
        <f t="shared" ref="V65:AA72" si="43">L65-B65</f>
        <v>853317.32123591495</v>
      </c>
      <c r="W65" s="7">
        <f t="shared" si="43"/>
        <v>435397.22296203772</v>
      </c>
      <c r="X65" s="7">
        <f t="shared" si="43"/>
        <v>403858.70201292576</v>
      </c>
      <c r="Y65" s="7">
        <f t="shared" si="43"/>
        <v>526911.42463235033</v>
      </c>
      <c r="Z65" s="7">
        <f t="shared" si="43"/>
        <v>537754.36888850806</v>
      </c>
      <c r="AA65" s="7">
        <f t="shared" si="43"/>
        <v>224177.93323563237</v>
      </c>
      <c r="AB65" s="7">
        <f t="shared" ref="AB65:AB72" si="44">R65-H65</f>
        <v>884883.72230215522</v>
      </c>
      <c r="AC65" s="7">
        <f t="shared" ref="AC65:AC72" si="45">S65-I65</f>
        <v>3866300.6952695241</v>
      </c>
    </row>
    <row r="66" spans="1:29" x14ac:dyDescent="0.2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566036.42029053438</v>
      </c>
      <c r="M66" s="7">
        <f>output!C169</f>
        <v>239483.96836920499</v>
      </c>
      <c r="N66" s="7">
        <f>output!D169</f>
        <v>197343.80688617282</v>
      </c>
      <c r="O66" s="7">
        <f>output!E169</f>
        <v>173338.21864112254</v>
      </c>
      <c r="P66" s="7">
        <f>output!F169</f>
        <v>156927.98050694494</v>
      </c>
      <c r="Q66" s="7">
        <f>output!G169</f>
        <v>49984.543186722796</v>
      </c>
      <c r="R66" s="7">
        <f>output!H169</f>
        <v>195038.01982352481</v>
      </c>
      <c r="S66" s="7">
        <f>output!I169</f>
        <v>1578152.9577042274</v>
      </c>
      <c r="U66" s="18">
        <v>1</v>
      </c>
      <c r="V66" s="7">
        <f t="shared" si="43"/>
        <v>-440829.74409711349</v>
      </c>
      <c r="W66" s="7">
        <f t="shared" si="43"/>
        <v>-350859.74967885192</v>
      </c>
      <c r="X66" s="7">
        <f t="shared" si="43"/>
        <v>-244604.86973111736</v>
      </c>
      <c r="Y66" s="7">
        <f t="shared" si="43"/>
        <v>-359539.4150262872</v>
      </c>
      <c r="Z66" s="7">
        <f t="shared" si="43"/>
        <v>-369478.00054525712</v>
      </c>
      <c r="AA66" s="7">
        <f t="shared" si="43"/>
        <v>-200950.89683073742</v>
      </c>
      <c r="AB66" s="7">
        <f t="shared" si="44"/>
        <v>-725364.44626416406</v>
      </c>
      <c r="AC66" s="7">
        <f t="shared" si="45"/>
        <v>-2691627.1221735291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208032.11723231606</v>
      </c>
      <c r="M67" s="7">
        <f>output!C170</f>
        <v>77764.944156855214</v>
      </c>
      <c r="N67" s="7">
        <f>output!D170</f>
        <v>49512.946396660373</v>
      </c>
      <c r="O67" s="7">
        <f>output!E170</f>
        <v>37037.240210350297</v>
      </c>
      <c r="P67" s="7">
        <f>output!F170</f>
        <v>32533.816638206219</v>
      </c>
      <c r="Q67" s="7">
        <f>output!G170</f>
        <v>9322.8062598312281</v>
      </c>
      <c r="R67" s="7">
        <f>output!H170</f>
        <v>28987.717449591732</v>
      </c>
      <c r="S67" s="7">
        <f>output!I170</f>
        <v>443191.58834381116</v>
      </c>
      <c r="U67" s="19">
        <v>2</v>
      </c>
      <c r="V67" s="7">
        <f t="shared" si="43"/>
        <v>208032.11723231606</v>
      </c>
      <c r="W67" s="7">
        <f t="shared" si="43"/>
        <v>77764.944156855214</v>
      </c>
      <c r="X67" s="7">
        <f t="shared" si="43"/>
        <v>49512.946396660373</v>
      </c>
      <c r="Y67" s="7">
        <f t="shared" si="43"/>
        <v>37037.240210350297</v>
      </c>
      <c r="Z67" s="7">
        <f t="shared" si="43"/>
        <v>32533.816638206219</v>
      </c>
      <c r="AA67" s="7">
        <f t="shared" si="43"/>
        <v>9322.8062598312281</v>
      </c>
      <c r="AB67" s="7">
        <f t="shared" si="44"/>
        <v>28987.717449591732</v>
      </c>
      <c r="AC67" s="7">
        <f t="shared" si="45"/>
        <v>443191.58834381116</v>
      </c>
    </row>
    <row r="68" spans="1:29" x14ac:dyDescent="0.2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51913.966658472491</v>
      </c>
      <c r="M68" s="7">
        <f>output!C171</f>
        <v>14568.265024874783</v>
      </c>
      <c r="N68" s="7">
        <f>output!D171</f>
        <v>7507.6757786496546</v>
      </c>
      <c r="O68" s="7">
        <f>output!E171</f>
        <v>5282.0700890265334</v>
      </c>
      <c r="P68" s="7">
        <f>output!F171</f>
        <v>4397.2506488247463</v>
      </c>
      <c r="Q68" s="7">
        <f>output!G171</f>
        <v>1157.821656052063</v>
      </c>
      <c r="R68" s="7">
        <f>output!H171</f>
        <v>3397.8114424340538</v>
      </c>
      <c r="S68" s="7">
        <f>output!I171</f>
        <v>88224.861298334334</v>
      </c>
      <c r="U68" s="20">
        <v>3</v>
      </c>
      <c r="V68" s="7">
        <f t="shared" si="43"/>
        <v>-385097.90061835048</v>
      </c>
      <c r="W68" s="7">
        <f t="shared" si="43"/>
        <v>-113633.22501070822</v>
      </c>
      <c r="X68" s="7">
        <f t="shared" si="43"/>
        <v>-87192.05288226284</v>
      </c>
      <c r="Y68" s="7">
        <f t="shared" si="43"/>
        <v>-124678.38851920777</v>
      </c>
      <c r="Z68" s="7">
        <f t="shared" si="43"/>
        <v>-131259.21293241603</v>
      </c>
      <c r="AA68" s="7">
        <f t="shared" si="43"/>
        <v>-36545.819030879044</v>
      </c>
      <c r="AB68" s="7">
        <f t="shared" si="44"/>
        <v>-137714.40503918534</v>
      </c>
      <c r="AC68" s="7">
        <f t="shared" si="45"/>
        <v>-1016121.0040330095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18632.825931263851</v>
      </c>
      <c r="M69" s="7">
        <f>output!C172</f>
        <v>3224.3419783076524</v>
      </c>
      <c r="N69" s="7">
        <f>output!D172</f>
        <v>1426.3378696552454</v>
      </c>
      <c r="O69" s="7">
        <f>output!E172</f>
        <v>736.11851550967856</v>
      </c>
      <c r="P69" s="7">
        <f>output!F172</f>
        <v>771.59842297961382</v>
      </c>
      <c r="Q69" s="7">
        <f>output!G172</f>
        <v>167.03933089371128</v>
      </c>
      <c r="R69" s="7">
        <f>output!H172</f>
        <v>405.24832603614851</v>
      </c>
      <c r="S69" s="7">
        <f>output!I172</f>
        <v>25363.510374645903</v>
      </c>
      <c r="U69" s="20">
        <v>4</v>
      </c>
      <c r="V69" s="7">
        <f t="shared" si="43"/>
        <v>18632.825931263851</v>
      </c>
      <c r="W69" s="7">
        <f t="shared" si="43"/>
        <v>3224.3419783076524</v>
      </c>
      <c r="X69" s="7">
        <f t="shared" si="43"/>
        <v>1426.3378696552454</v>
      </c>
      <c r="Y69" s="7">
        <f t="shared" si="43"/>
        <v>736.11851550967856</v>
      </c>
      <c r="Z69" s="7">
        <f t="shared" si="43"/>
        <v>771.59842297961382</v>
      </c>
      <c r="AA69" s="7">
        <f t="shared" si="43"/>
        <v>167.03933089371128</v>
      </c>
      <c r="AB69" s="7">
        <f t="shared" si="44"/>
        <v>405.24832603614851</v>
      </c>
      <c r="AC69" s="7">
        <f t="shared" si="45"/>
        <v>25363.510374645903</v>
      </c>
    </row>
    <row r="70" spans="1:29" x14ac:dyDescent="0.2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2764.730636647696</v>
      </c>
      <c r="M70" s="7">
        <f>output!C173</f>
        <v>312.75501070290028</v>
      </c>
      <c r="N70" s="7">
        <f>output!D173</f>
        <v>117.24800104246813</v>
      </c>
      <c r="O70" s="7">
        <f>output!E173</f>
        <v>94.940528404321725</v>
      </c>
      <c r="P70" s="7">
        <f>output!F173</f>
        <v>49.746998584889241</v>
      </c>
      <c r="Q70" s="7">
        <f>output!G173</f>
        <v>30.73244247997944</v>
      </c>
      <c r="R70" s="7">
        <f>output!H173</f>
        <v>22.010791366906499</v>
      </c>
      <c r="S70" s="7">
        <f>output!I173</f>
        <v>3392.1644092291617</v>
      </c>
      <c r="U70" s="20">
        <v>5</v>
      </c>
      <c r="V70" s="7">
        <f t="shared" si="43"/>
        <v>-218389.9740104248</v>
      </c>
      <c r="W70" s="7">
        <f t="shared" si="43"/>
        <v>-62837.424175106797</v>
      </c>
      <c r="X70" s="7">
        <f t="shared" si="43"/>
        <v>-67314.81951397474</v>
      </c>
      <c r="Y70" s="7">
        <f t="shared" si="43"/>
        <v>-45099.820225597578</v>
      </c>
      <c r="Z70" s="7">
        <f t="shared" si="43"/>
        <v>-38428.849850702711</v>
      </c>
      <c r="AA70" s="7">
        <f t="shared" si="43"/>
        <v>-10824.534633397621</v>
      </c>
      <c r="AB70" s="7">
        <f t="shared" si="44"/>
        <v>-33122.065616731692</v>
      </c>
      <c r="AC70" s="7">
        <f t="shared" si="45"/>
        <v>-476017.48802593595</v>
      </c>
    </row>
    <row r="71" spans="1:29" x14ac:dyDescent="0.2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7937.127384263712</v>
      </c>
      <c r="M71" s="9">
        <f>output!C174</f>
        <v>389.53627058178699</v>
      </c>
      <c r="N71" s="9">
        <f>output!D174</f>
        <v>115.45378007132852</v>
      </c>
      <c r="O71" s="9">
        <f>output!E174</f>
        <v>68.741342379122855</v>
      </c>
      <c r="P71" s="9">
        <f>output!F174</f>
        <v>34.505319475790408</v>
      </c>
      <c r="Q71" s="9">
        <f>output!G174</f>
        <v>8.9891589438713098</v>
      </c>
      <c r="R71" s="9">
        <f>output!H174</f>
        <v>17.50758003524798</v>
      </c>
      <c r="S71" s="9">
        <f>output!I174</f>
        <v>8571.8608357508601</v>
      </c>
      <c r="U71" s="3" t="s">
        <v>209</v>
      </c>
      <c r="V71" s="9">
        <f t="shared" si="43"/>
        <v>-91715.983459888987</v>
      </c>
      <c r="W71" s="9">
        <f t="shared" si="43"/>
        <v>-23582.633729356516</v>
      </c>
      <c r="X71" s="9">
        <f t="shared" si="43"/>
        <v>-50157.689844623368</v>
      </c>
      <c r="Y71" s="9">
        <f t="shared" si="43"/>
        <v>-29562.905091266079</v>
      </c>
      <c r="Z71" s="9">
        <f t="shared" si="43"/>
        <v>-22764.865453910112</v>
      </c>
      <c r="AA71" s="9">
        <f t="shared" si="43"/>
        <v>-5877.0295469776293</v>
      </c>
      <c r="AB71" s="9">
        <f t="shared" si="44"/>
        <v>-15549.156082288151</v>
      </c>
      <c r="AC71" s="9">
        <f t="shared" si="45"/>
        <v>-239210.26320831085</v>
      </c>
    </row>
    <row r="72" spans="1:29" ht="13.5" thickBot="1" x14ac:dyDescent="0.25">
      <c r="A72" s="21" t="s">
        <v>221</v>
      </c>
      <c r="B72" s="22">
        <f t="shared" ref="B72:I72" si="46">SUM(B65:B71)</f>
        <v>1764685.8471556962</v>
      </c>
      <c r="C72" s="22">
        <f t="shared" si="46"/>
        <v>805667.55726938799</v>
      </c>
      <c r="D72" s="22">
        <f t="shared" si="46"/>
        <v>654353.61641791463</v>
      </c>
      <c r="E72" s="22">
        <f t="shared" si="46"/>
        <v>737664.49946329114</v>
      </c>
      <c r="F72" s="22">
        <f t="shared" si="46"/>
        <v>723340.4122561164</v>
      </c>
      <c r="G72" s="22">
        <f t="shared" si="46"/>
        <v>305380.36648619035</v>
      </c>
      <c r="H72" s="22">
        <f t="shared" si="46"/>
        <v>1110225.4226397304</v>
      </c>
      <c r="I72" s="22">
        <f t="shared" si="46"/>
        <v>6101317.7216883274</v>
      </c>
      <c r="K72" s="21" t="s">
        <v>221</v>
      </c>
      <c r="L72" s="22">
        <f>SUM(L65:L71)</f>
        <v>1708634.5093694131</v>
      </c>
      <c r="M72" s="22">
        <f t="shared" ref="M72:S72" si="47">SUM(M65:M71)</f>
        <v>771141.03377256508</v>
      </c>
      <c r="N72" s="22">
        <f t="shared" si="47"/>
        <v>659882.17072517774</v>
      </c>
      <c r="O72" s="22">
        <f t="shared" si="47"/>
        <v>743468.75395914284</v>
      </c>
      <c r="P72" s="22">
        <f t="shared" si="47"/>
        <v>732469.26742352429</v>
      </c>
      <c r="Q72" s="22">
        <f t="shared" si="47"/>
        <v>284849.86527055607</v>
      </c>
      <c r="R72" s="22">
        <f t="shared" si="47"/>
        <v>1112752.037715144</v>
      </c>
      <c r="S72" s="22">
        <f t="shared" si="47"/>
        <v>6013197.6382355234</v>
      </c>
      <c r="U72" s="21" t="s">
        <v>221</v>
      </c>
      <c r="V72" s="22">
        <f t="shared" si="43"/>
        <v>-56051.337786283111</v>
      </c>
      <c r="W72" s="22">
        <f t="shared" si="43"/>
        <v>-34526.52349682292</v>
      </c>
      <c r="X72" s="22">
        <f t="shared" si="43"/>
        <v>5528.5543072631117</v>
      </c>
      <c r="Y72" s="22">
        <f t="shared" si="43"/>
        <v>5804.2544958516955</v>
      </c>
      <c r="Z72" s="22">
        <f t="shared" si="43"/>
        <v>9128.8551674078917</v>
      </c>
      <c r="AA72" s="22">
        <f t="shared" si="43"/>
        <v>-20530.501215634285</v>
      </c>
      <c r="AB72" s="22">
        <f t="shared" si="44"/>
        <v>2526.6150754136033</v>
      </c>
      <c r="AC72" s="22">
        <f t="shared" si="45"/>
        <v>-88120.083452804014</v>
      </c>
    </row>
    <row r="74" spans="1:29" x14ac:dyDescent="0.2">
      <c r="B74" s="7">
        <f>SUM(B66:B71)</f>
        <v>1764685.8471556962</v>
      </c>
      <c r="C74" s="7">
        <f t="shared" ref="C74:H74" si="48">SUM(C66:C71)</f>
        <v>805667.55726938799</v>
      </c>
      <c r="D74" s="7">
        <f t="shared" si="48"/>
        <v>654353.61641791463</v>
      </c>
      <c r="E74" s="7">
        <f t="shared" si="48"/>
        <v>737664.49946329114</v>
      </c>
      <c r="F74" s="7">
        <f t="shared" si="48"/>
        <v>723340.4122561164</v>
      </c>
      <c r="G74" s="7">
        <f t="shared" si="48"/>
        <v>305380.36648619035</v>
      </c>
      <c r="H74" s="7">
        <f t="shared" si="48"/>
        <v>1110225.4226397304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r="77" spans="1:29" ht="13.5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0.4994147762770163</v>
      </c>
      <c r="M79" s="12">
        <f t="shared" si="50"/>
        <v>0.56461425847356828</v>
      </c>
      <c r="N79" s="12">
        <f t="shared" si="50"/>
        <v>0.61201638706059458</v>
      </c>
      <c r="O79" s="12">
        <f t="shared" si="50"/>
        <v>0.70872033535562229</v>
      </c>
      <c r="P79" s="12">
        <f t="shared" si="50"/>
        <v>0.73416645967969429</v>
      </c>
      <c r="Q79" s="12">
        <f t="shared" si="50"/>
        <v>0.78700382400638913</v>
      </c>
      <c r="R79" s="12">
        <f t="shared" si="50"/>
        <v>0.79522094079389027</v>
      </c>
      <c r="S79" s="12">
        <f t="shared" si="50"/>
        <v>0.64296917012759758</v>
      </c>
      <c r="U79" s="18">
        <v>0</v>
      </c>
      <c r="V79" s="12">
        <f t="shared" ref="V79:AA86" si="51">L79-B79</f>
        <v>0.4994147762770163</v>
      </c>
      <c r="W79" s="12">
        <f t="shared" si="51"/>
        <v>0.56461425847356828</v>
      </c>
      <c r="X79" s="12">
        <f t="shared" si="51"/>
        <v>0.61201638706059458</v>
      </c>
      <c r="Y79" s="12">
        <f t="shared" si="51"/>
        <v>0.70872033535562229</v>
      </c>
      <c r="Z79" s="12">
        <f t="shared" si="51"/>
        <v>0.73416645967969429</v>
      </c>
      <c r="AA79" s="12">
        <f t="shared" si="51"/>
        <v>0.78700382400638913</v>
      </c>
      <c r="AB79" s="12">
        <f t="shared" ref="AB79:AB86" si="52">R79-H79</f>
        <v>0.79522094079389027</v>
      </c>
      <c r="AC79" s="12">
        <f t="shared" ref="AC79:AC86" si="53">S79-I79</f>
        <v>0.64296917012759758</v>
      </c>
    </row>
    <row r="80" spans="1:29" x14ac:dyDescent="0.2">
      <c r="A80" s="18">
        <v>1</v>
      </c>
      <c r="B80" s="12">
        <f t="shared" ref="B80:I80" si="54">B66/B$12</f>
        <v>0.57056397092462952</v>
      </c>
      <c r="C80" s="12">
        <f t="shared" si="54"/>
        <v>0.73273860008572511</v>
      </c>
      <c r="D80" s="12">
        <f t="shared" si="54"/>
        <v>0.67539731657115465</v>
      </c>
      <c r="E80" s="12">
        <f t="shared" si="54"/>
        <v>0.72238481593613357</v>
      </c>
      <c r="F80" s="12">
        <f t="shared" si="54"/>
        <v>0.7277430821407157</v>
      </c>
      <c r="G80" s="12">
        <f t="shared" si="54"/>
        <v>0.82171438493184135</v>
      </c>
      <c r="H80" s="12">
        <f t="shared" si="54"/>
        <v>0.82902305002104137</v>
      </c>
      <c r="I80" s="12">
        <f t="shared" si="54"/>
        <v>0.69981277400126018</v>
      </c>
      <c r="K80" s="18">
        <v>1</v>
      </c>
      <c r="L80" s="12">
        <f t="shared" si="50"/>
        <v>0.33127998831033512</v>
      </c>
      <c r="M80" s="12">
        <f t="shared" si="50"/>
        <v>0.31055793672086801</v>
      </c>
      <c r="N80" s="12">
        <f t="shared" si="50"/>
        <v>0.29905915880300538</v>
      </c>
      <c r="O80" s="12">
        <f t="shared" si="50"/>
        <v>0.23314795372106292</v>
      </c>
      <c r="P80" s="12">
        <f t="shared" si="50"/>
        <v>0.21424513967520076</v>
      </c>
      <c r="Q80" s="12">
        <f t="shared" si="50"/>
        <v>0.17547680122385342</v>
      </c>
      <c r="R80" s="12">
        <f t="shared" si="50"/>
        <v>0.17527536523231518</v>
      </c>
      <c r="S80" s="12">
        <f t="shared" si="50"/>
        <v>0.26244821019508535</v>
      </c>
      <c r="U80" s="18">
        <v>1</v>
      </c>
      <c r="V80" s="12">
        <f t="shared" si="51"/>
        <v>-0.2392839826142944</v>
      </c>
      <c r="W80" s="12">
        <f t="shared" si="51"/>
        <v>-0.4221806633648571</v>
      </c>
      <c r="X80" s="12">
        <f t="shared" si="51"/>
        <v>-0.37633815776814927</v>
      </c>
      <c r="Y80" s="12">
        <f t="shared" si="51"/>
        <v>-0.48923686221507068</v>
      </c>
      <c r="Z80" s="12">
        <f t="shared" si="51"/>
        <v>-0.51349794246551494</v>
      </c>
      <c r="AA80" s="12">
        <f t="shared" si="51"/>
        <v>-0.64623758370798789</v>
      </c>
      <c r="AB80" s="12">
        <f t="shared" si="52"/>
        <v>-0.65374768478872625</v>
      </c>
      <c r="AC80" s="12">
        <f t="shared" si="53"/>
        <v>-0.43736456380617483</v>
      </c>
    </row>
    <row r="81" spans="1:29" x14ac:dyDescent="0.2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0.12175343298497007</v>
      </c>
      <c r="M81" s="12">
        <f t="shared" si="50"/>
        <v>0.1008439970784782</v>
      </c>
      <c r="N81" s="12">
        <f t="shared" si="50"/>
        <v>7.5033011336324035E-2</v>
      </c>
      <c r="O81" s="12">
        <f t="shared" si="50"/>
        <v>4.9816808054297425E-2</v>
      </c>
      <c r="P81" s="12">
        <f t="shared" si="50"/>
        <v>4.4416630273983494E-2</v>
      </c>
      <c r="Q81" s="12">
        <f t="shared" si="50"/>
        <v>3.2728842090117338E-2</v>
      </c>
      <c r="R81" s="12">
        <f t="shared" si="50"/>
        <v>2.6050473481147977E-2</v>
      </c>
      <c r="S81" s="12">
        <f t="shared" si="50"/>
        <v>7.3703146812559892E-2</v>
      </c>
      <c r="U81" s="19">
        <v>2</v>
      </c>
      <c r="V81" s="12">
        <f t="shared" si="51"/>
        <v>0.12175343298497007</v>
      </c>
      <c r="W81" s="12">
        <f t="shared" si="51"/>
        <v>0.1008439970784782</v>
      </c>
      <c r="X81" s="12">
        <f t="shared" si="51"/>
        <v>7.5033011336324035E-2</v>
      </c>
      <c r="Y81" s="12">
        <f t="shared" si="51"/>
        <v>4.9816808054297425E-2</v>
      </c>
      <c r="Z81" s="12">
        <f t="shared" si="51"/>
        <v>4.4416630273983494E-2</v>
      </c>
      <c r="AA81" s="12">
        <f t="shared" si="51"/>
        <v>3.2728842090117338E-2</v>
      </c>
      <c r="AB81" s="12">
        <f t="shared" si="52"/>
        <v>2.6050473481147977E-2</v>
      </c>
      <c r="AC81" s="12">
        <f t="shared" si="53"/>
        <v>7.3703146812559892E-2</v>
      </c>
    </row>
    <row r="82" spans="1:29" x14ac:dyDescent="0.2">
      <c r="A82" s="20">
        <v>3</v>
      </c>
      <c r="B82" s="12">
        <f t="shared" ref="B82:I82" si="56">B68/B$12</f>
        <v>0.2476428696819859</v>
      </c>
      <c r="C82" s="12">
        <f t="shared" si="56"/>
        <v>0.1591245531470703</v>
      </c>
      <c r="D82" s="12">
        <f t="shared" si="56"/>
        <v>0.14472255716919707</v>
      </c>
      <c r="E82" s="12">
        <f t="shared" si="56"/>
        <v>0.17617827440901754</v>
      </c>
      <c r="F82" s="12">
        <f t="shared" si="56"/>
        <v>0.18754166265662522</v>
      </c>
      <c r="G82" s="12">
        <f t="shared" si="56"/>
        <v>0.12346452105209621</v>
      </c>
      <c r="H82" s="12">
        <f t="shared" si="56"/>
        <v>0.12710231057950699</v>
      </c>
      <c r="I82" s="12">
        <f t="shared" si="56"/>
        <v>0.18100120592076865</v>
      </c>
      <c r="K82" s="20">
        <v>3</v>
      </c>
      <c r="L82" s="12">
        <f t="shared" si="50"/>
        <v>3.0383306888511697E-2</v>
      </c>
      <c r="M82" s="12">
        <f t="shared" si="50"/>
        <v>1.8891829622402698E-2</v>
      </c>
      <c r="N82" s="12">
        <f t="shared" si="50"/>
        <v>1.1377297511158836E-2</v>
      </c>
      <c r="O82" s="12">
        <f t="shared" si="50"/>
        <v>7.1046295636478197E-3</v>
      </c>
      <c r="P82" s="12">
        <f t="shared" si="50"/>
        <v>6.0033244320163298E-3</v>
      </c>
      <c r="Q82" s="12">
        <f t="shared" si="50"/>
        <v>4.064673349774419E-3</v>
      </c>
      <c r="R82" s="12">
        <f t="shared" si="50"/>
        <v>3.0535207550919513E-3</v>
      </c>
      <c r="S82" s="12">
        <f t="shared" si="50"/>
        <v>1.4671871208314801E-2</v>
      </c>
      <c r="U82" s="20">
        <v>3</v>
      </c>
      <c r="V82" s="12">
        <f t="shared" si="51"/>
        <v>-0.21725956279347419</v>
      </c>
      <c r="W82" s="12">
        <f t="shared" si="51"/>
        <v>-0.14023272352466759</v>
      </c>
      <c r="X82" s="12">
        <f t="shared" si="51"/>
        <v>-0.13334525965803823</v>
      </c>
      <c r="Y82" s="12">
        <f t="shared" si="51"/>
        <v>-0.16907364484536971</v>
      </c>
      <c r="Z82" s="12">
        <f t="shared" si="51"/>
        <v>-0.18153833822460891</v>
      </c>
      <c r="AA82" s="12">
        <f t="shared" si="51"/>
        <v>-0.11939984770232179</v>
      </c>
      <c r="AB82" s="12">
        <f t="shared" si="52"/>
        <v>-0.12404878982441504</v>
      </c>
      <c r="AC82" s="12">
        <f t="shared" si="53"/>
        <v>-0.16632933471245384</v>
      </c>
    </row>
    <row r="83" spans="1:29" x14ac:dyDescent="0.2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1.0905097508618424E-2</v>
      </c>
      <c r="M83" s="12">
        <f t="shared" si="50"/>
        <v>4.1812610626276404E-3</v>
      </c>
      <c r="N83" s="12">
        <f t="shared" si="50"/>
        <v>2.1615038758931323E-3</v>
      </c>
      <c r="O83" s="12">
        <f t="shared" si="50"/>
        <v>9.9011358794795002E-4</v>
      </c>
      <c r="P83" s="12">
        <f t="shared" si="50"/>
        <v>1.053420883709875E-3</v>
      </c>
      <c r="Q83" s="12">
        <f t="shared" si="50"/>
        <v>5.8641183043935791E-4</v>
      </c>
      <c r="R83" s="12">
        <f t="shared" si="50"/>
        <v>3.6418565170031979E-4</v>
      </c>
      <c r="S83" s="12">
        <f t="shared" si="50"/>
        <v>4.217973846954483E-3</v>
      </c>
      <c r="U83" s="20">
        <v>4</v>
      </c>
      <c r="V83" s="12">
        <f t="shared" si="51"/>
        <v>1.0905097508618424E-2</v>
      </c>
      <c r="W83" s="12">
        <f t="shared" si="51"/>
        <v>4.1812610626276404E-3</v>
      </c>
      <c r="X83" s="12">
        <f t="shared" si="51"/>
        <v>2.1615038758931323E-3</v>
      </c>
      <c r="Y83" s="12">
        <f t="shared" si="51"/>
        <v>9.9011358794795002E-4</v>
      </c>
      <c r="Z83" s="12">
        <f t="shared" si="51"/>
        <v>1.053420883709875E-3</v>
      </c>
      <c r="AA83" s="12">
        <f t="shared" si="51"/>
        <v>5.8641183043935791E-4</v>
      </c>
      <c r="AB83" s="12">
        <f t="shared" si="52"/>
        <v>3.6418565170031979E-4</v>
      </c>
      <c r="AC83" s="12">
        <f t="shared" si="53"/>
        <v>4.217973846954483E-3</v>
      </c>
    </row>
    <row r="84" spans="1:29" x14ac:dyDescent="0.2">
      <c r="A84" s="20">
        <v>5</v>
      </c>
      <c r="B84" s="12">
        <f t="shared" ref="B84:I84" si="58">B70/B$12</f>
        <v>0.12532242212036071</v>
      </c>
      <c r="C84" s="12">
        <f t="shared" si="58"/>
        <v>7.8382427858758166E-2</v>
      </c>
      <c r="D84" s="12">
        <f t="shared" si="58"/>
        <v>0.10305141718961711</v>
      </c>
      <c r="E84" s="12">
        <f t="shared" si="58"/>
        <v>6.1267365837565223E-2</v>
      </c>
      <c r="F84" s="12">
        <f t="shared" si="58"/>
        <v>5.3195696241098871E-2</v>
      </c>
      <c r="G84" s="12">
        <f t="shared" si="58"/>
        <v>3.5546709177089443E-2</v>
      </c>
      <c r="H84" s="12">
        <f t="shared" si="58"/>
        <v>2.9853465550530724E-2</v>
      </c>
      <c r="I84" s="12">
        <f t="shared" si="58"/>
        <v>7.857477258248817E-2</v>
      </c>
      <c r="K84" s="20">
        <v>5</v>
      </c>
      <c r="L84" s="12">
        <f t="shared" si="50"/>
        <v>1.6180936423132672E-3</v>
      </c>
      <c r="M84" s="12">
        <f t="shared" si="50"/>
        <v>4.0557433336525317E-4</v>
      </c>
      <c r="N84" s="12">
        <f t="shared" si="50"/>
        <v>1.776802075340487E-4</v>
      </c>
      <c r="O84" s="12">
        <f t="shared" si="50"/>
        <v>1.2769941964439188E-4</v>
      </c>
      <c r="P84" s="12">
        <f t="shared" si="50"/>
        <v>6.7916840743196408E-5</v>
      </c>
      <c r="Q84" s="12">
        <f t="shared" si="50"/>
        <v>1.078899667050541E-4</v>
      </c>
      <c r="R84" s="12">
        <f t="shared" si="50"/>
        <v>1.9780499716812106E-5</v>
      </c>
      <c r="S84" s="12">
        <f t="shared" si="50"/>
        <v>5.6411989315962978E-4</v>
      </c>
      <c r="U84" s="20">
        <v>5</v>
      </c>
      <c r="V84" s="12">
        <f t="shared" si="51"/>
        <v>-0.12370432847804744</v>
      </c>
      <c r="W84" s="12">
        <f t="shared" si="51"/>
        <v>-7.7976853525392908E-2</v>
      </c>
      <c r="X84" s="12">
        <f t="shared" si="51"/>
        <v>-0.10287373698208306</v>
      </c>
      <c r="Y84" s="12">
        <f t="shared" si="51"/>
        <v>-6.1139666417920832E-2</v>
      </c>
      <c r="Z84" s="12">
        <f t="shared" si="51"/>
        <v>-5.3127779400355672E-2</v>
      </c>
      <c r="AA84" s="12">
        <f t="shared" si="51"/>
        <v>-3.5438819210384387E-2</v>
      </c>
      <c r="AB84" s="12">
        <f t="shared" si="52"/>
        <v>-2.9833685050813911E-2</v>
      </c>
      <c r="AC84" s="12">
        <f t="shared" si="53"/>
        <v>-7.8010652689328538E-2</v>
      </c>
    </row>
    <row r="85" spans="1:29" x14ac:dyDescent="0.2">
      <c r="A85" s="3" t="s">
        <v>209</v>
      </c>
      <c r="B85" s="13">
        <f t="shared" ref="B85:I85" si="59">B71/B$12</f>
        <v>5.647073727302377E-2</v>
      </c>
      <c r="C85" s="13">
        <f t="shared" si="59"/>
        <v>2.9754418908446659E-2</v>
      </c>
      <c r="D85" s="13">
        <f t="shared" si="59"/>
        <v>7.6828709070031115E-2</v>
      </c>
      <c r="E85" s="13">
        <f t="shared" si="59"/>
        <v>4.0169543817283528E-2</v>
      </c>
      <c r="F85" s="13">
        <f t="shared" si="59"/>
        <v>3.1519558961560168E-2</v>
      </c>
      <c r="G85" s="13">
        <f t="shared" si="59"/>
        <v>1.9274384838973178E-2</v>
      </c>
      <c r="H85" s="13">
        <f t="shared" si="59"/>
        <v>1.4021173848920954E-2</v>
      </c>
      <c r="I85" s="13">
        <f t="shared" si="59"/>
        <v>4.0611247495483102E-2</v>
      </c>
      <c r="K85" s="3" t="s">
        <v>209</v>
      </c>
      <c r="L85" s="13">
        <f t="shared" ref="L85:S85" si="60">L71/L$72</f>
        <v>4.6453043882351292E-3</v>
      </c>
      <c r="M85" s="13">
        <f t="shared" si="60"/>
        <v>5.0514270868987901E-4</v>
      </c>
      <c r="N85" s="13">
        <f t="shared" si="60"/>
        <v>1.749612054898385E-4</v>
      </c>
      <c r="O85" s="13">
        <f t="shared" si="60"/>
        <v>9.2460297777222414E-5</v>
      </c>
      <c r="P85" s="13">
        <f t="shared" si="60"/>
        <v>4.7108214652013426E-5</v>
      </c>
      <c r="Q85" s="13">
        <f t="shared" si="60"/>
        <v>3.1557532721081782E-5</v>
      </c>
      <c r="R85" s="13">
        <f t="shared" si="60"/>
        <v>1.5733586137660065E-5</v>
      </c>
      <c r="S85" s="13">
        <f t="shared" si="60"/>
        <v>1.4255079163282144E-3</v>
      </c>
      <c r="U85" s="3" t="s">
        <v>209</v>
      </c>
      <c r="V85" s="12">
        <f t="shared" si="51"/>
        <v>-5.1825432884788643E-2</v>
      </c>
      <c r="W85" s="12">
        <f t="shared" si="51"/>
        <v>-2.9249276199756782E-2</v>
      </c>
      <c r="X85" s="12">
        <f t="shared" si="51"/>
        <v>-7.665374786454128E-2</v>
      </c>
      <c r="Y85" s="12">
        <f t="shared" si="51"/>
        <v>-4.0077083519506305E-2</v>
      </c>
      <c r="Z85" s="12">
        <f t="shared" si="51"/>
        <v>-3.1472450746908152E-2</v>
      </c>
      <c r="AA85" s="12">
        <f t="shared" si="51"/>
        <v>-1.9242827306252097E-2</v>
      </c>
      <c r="AB85" s="12">
        <f t="shared" si="52"/>
        <v>-1.4005440262783294E-2</v>
      </c>
      <c r="AC85" s="12">
        <f t="shared" si="53"/>
        <v>-3.9185739579154888E-2</v>
      </c>
    </row>
    <row r="86" spans="1:29" ht="13.5" thickBot="1" x14ac:dyDescent="0.25">
      <c r="A86" s="21" t="s">
        <v>221</v>
      </c>
      <c r="B86" s="17">
        <f t="shared" ref="B86:I86" si="61">B72/B$12</f>
        <v>1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0.99999999999999989</v>
      </c>
      <c r="F86" s="17">
        <f t="shared" si="61"/>
        <v>1</v>
      </c>
      <c r="G86" s="17">
        <f t="shared" si="61"/>
        <v>1</v>
      </c>
      <c r="H86" s="17">
        <f t="shared" si="61"/>
        <v>1.0000000000000002</v>
      </c>
      <c r="I86" s="17">
        <f t="shared" si="61"/>
        <v>1.0000000000000002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5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138"/>
  <sheetViews>
    <sheetView workbookViewId="0">
      <selection activeCell="L38" sqref="L38"/>
    </sheetView>
  </sheetViews>
  <sheetFormatPr defaultColWidth="10.75" defaultRowHeight="12.75" x14ac:dyDescent="0.2"/>
  <cols>
    <col min="1" max="13" width="10.75" style="3" collapsed="1"/>
    <col min="14" max="23" width="10.75" style="39" collapsed="1"/>
    <col min="24" max="35" width="10.75" style="3" collapsed="1"/>
    <col min="36" max="36" width="2.125" style="3" customWidth="1" collapsed="1"/>
    <col min="37" max="37" width="10.75" style="3" collapsed="1"/>
    <col min="38" max="38" width="2.25" style="3" customWidth="1" collapsed="1"/>
    <col min="39" max="16384" width="10.75" style="3" collapsed="1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1397557.6171067096</v>
      </c>
      <c r="O5" s="53">
        <f>output!C178</f>
        <v>201053.25524696853</v>
      </c>
      <c r="P5" s="53">
        <f>output!D178</f>
        <v>0</v>
      </c>
      <c r="Q5" s="53">
        <f>output!E178</f>
        <v>0</v>
      </c>
      <c r="R5" s="53">
        <f>output!F178</f>
        <v>71143.5447406764</v>
      </c>
      <c r="S5" s="53">
        <f>output!G178</f>
        <v>1936.3045015029468</v>
      </c>
      <c r="T5" s="53"/>
      <c r="U5" s="53">
        <f>output!H178</f>
        <v>0</v>
      </c>
      <c r="V5" s="53">
        <f>output!I178</f>
        <v>0</v>
      </c>
      <c r="W5" s="53">
        <f>output!J178</f>
        <v>1671690.7215958575</v>
      </c>
      <c r="Y5" s="3" t="s">
        <v>210</v>
      </c>
      <c r="Z5" s="7">
        <f t="shared" ref="Z5:Z13" si="0">N5-B5</f>
        <v>-12294.63177368883</v>
      </c>
      <c r="AA5" s="7">
        <f t="shared" ref="AA5:AA13" si="1">O5-C5</f>
        <v>4029.1380252137315</v>
      </c>
      <c r="AB5" s="7">
        <f t="shared" ref="AB5:AB13" si="2">P5-D5</f>
        <v>-17274.135335971201</v>
      </c>
      <c r="AC5" s="7">
        <f t="shared" ref="AC5:AC13" si="3">Q5-E5</f>
        <v>-36504.904088915901</v>
      </c>
      <c r="AD5" s="7">
        <f t="shared" ref="AD5:AD13" si="4">R5-F5</f>
        <v>8290.8668875704971</v>
      </c>
      <c r="AE5" s="7">
        <f t="shared" ref="AE5:AE13" si="5">S5-G5</f>
        <v>-118.36637349705302</v>
      </c>
      <c r="AF5" s="7"/>
      <c r="AG5" s="7">
        <f t="shared" ref="AG5:AG13" si="6">U5-I5</f>
        <v>-1525.4285</v>
      </c>
      <c r="AH5" s="7">
        <f t="shared" ref="AH5:AH13" si="7">V5-J5</f>
        <v>-470.77049999999997</v>
      </c>
      <c r="AI5" s="7">
        <f t="shared" ref="AI5:AI13" si="8">W5-K5</f>
        <v>-55868.231659288518</v>
      </c>
      <c r="AK5" s="3">
        <v>1424330</v>
      </c>
      <c r="AM5" s="7">
        <f>W5-AK5</f>
        <v>247360.72159585753</v>
      </c>
    </row>
    <row r="6" spans="1:39" x14ac:dyDescent="0.2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30292.700548767785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148716.11844476379</v>
      </c>
      <c r="S6" s="53">
        <f>output!G179</f>
        <v>108176.66993366009</v>
      </c>
      <c r="T6" s="53"/>
      <c r="U6" s="53">
        <f>output!H179</f>
        <v>445422.27026237833</v>
      </c>
      <c r="V6" s="53">
        <f>output!I179</f>
        <v>37857.833015935488</v>
      </c>
      <c r="W6" s="53">
        <f>output!J179</f>
        <v>770465.59220550547</v>
      </c>
      <c r="Y6" s="3" t="s">
        <v>211</v>
      </c>
      <c r="Z6" s="7">
        <f t="shared" si="0"/>
        <v>22788.626691330486</v>
      </c>
      <c r="AA6" s="7">
        <f t="shared" si="1"/>
        <v>-41458.994241735199</v>
      </c>
      <c r="AB6" s="7">
        <f t="shared" si="2"/>
        <v>-1402.1807139949999</v>
      </c>
      <c r="AC6" s="7">
        <f t="shared" si="3"/>
        <v>-71975.982674155399</v>
      </c>
      <c r="AD6" s="7">
        <f t="shared" si="4"/>
        <v>96876.207632843783</v>
      </c>
      <c r="AE6" s="7">
        <f t="shared" si="5"/>
        <v>31409.05118408009</v>
      </c>
      <c r="AF6" s="7"/>
      <c r="AG6" s="7">
        <f t="shared" si="6"/>
        <v>-44908.412612621672</v>
      </c>
      <c r="AH6" s="7">
        <f t="shared" si="7"/>
        <v>-25939.248109064509</v>
      </c>
      <c r="AI6" s="7">
        <f t="shared" si="8"/>
        <v>-34610.932843317394</v>
      </c>
      <c r="AK6" s="3">
        <v>741310</v>
      </c>
      <c r="AM6" s="7">
        <f t="shared" ref="AM6:AM13" si="9">W6-AK6</f>
        <v>29155.592205505469</v>
      </c>
    </row>
    <row r="7" spans="1:39" x14ac:dyDescent="0.2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126163.81869083301</v>
      </c>
      <c r="O7" s="53">
        <f>output!C180</f>
        <v>72439.071966043601</v>
      </c>
      <c r="P7" s="53">
        <f>output!D180</f>
        <v>85804.439106771868</v>
      </c>
      <c r="Q7" s="53">
        <f>output!E180</f>
        <v>236935.98549904593</v>
      </c>
      <c r="R7" s="53">
        <f>output!F180</f>
        <v>11397.011078789415</v>
      </c>
      <c r="S7" s="53">
        <f>output!G180</f>
        <v>5451.963105945556</v>
      </c>
      <c r="T7" s="53"/>
      <c r="U7" s="53">
        <f>output!H180</f>
        <v>48177.049323860454</v>
      </c>
      <c r="V7" s="53">
        <f>output!I180</f>
        <v>67859.48075900074</v>
      </c>
      <c r="W7" s="53">
        <f>output!J180</f>
        <v>654228.81953029044</v>
      </c>
      <c r="Y7" s="3" t="s">
        <v>212</v>
      </c>
      <c r="Z7" s="7">
        <f t="shared" si="0"/>
        <v>-49796.19391194878</v>
      </c>
      <c r="AA7" s="7">
        <f t="shared" si="1"/>
        <v>-22764.4989871445</v>
      </c>
      <c r="AB7" s="7">
        <f t="shared" si="2"/>
        <v>29516.446509451569</v>
      </c>
      <c r="AC7" s="7">
        <f t="shared" si="3"/>
        <v>10259.16145780342</v>
      </c>
      <c r="AD7" s="7">
        <f t="shared" si="4"/>
        <v>-172.8181522869836</v>
      </c>
      <c r="AE7" s="7">
        <f t="shared" si="5"/>
        <v>-2786.4156910144438</v>
      </c>
      <c r="AF7" s="7"/>
      <c r="AG7" s="7">
        <f t="shared" si="6"/>
        <v>17125.061323860453</v>
      </c>
      <c r="AH7" s="7">
        <f t="shared" si="7"/>
        <v>24051.063884000738</v>
      </c>
      <c r="AI7" s="7">
        <f t="shared" si="8"/>
        <v>-124327.59618679248</v>
      </c>
      <c r="AK7" s="3">
        <v>924620</v>
      </c>
      <c r="AM7" s="7">
        <f t="shared" si="9"/>
        <v>-270391.18046970956</v>
      </c>
    </row>
    <row r="8" spans="1:39" x14ac:dyDescent="0.2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152614.22043388017</v>
      </c>
      <c r="O8" s="53">
        <f>output!C181</f>
        <v>71650.841984299797</v>
      </c>
      <c r="P8" s="53">
        <f>output!D181</f>
        <v>153931.74473304278</v>
      </c>
      <c r="Q8" s="53">
        <f>output!E181</f>
        <v>188520.00060808912</v>
      </c>
      <c r="R8" s="53">
        <f>output!F181</f>
        <v>11613.384767710173</v>
      </c>
      <c r="S8" s="53">
        <f>output!G181</f>
        <v>9763.7864639598756</v>
      </c>
      <c r="T8" s="53"/>
      <c r="U8" s="53">
        <f>output!H181</f>
        <v>60363.031076326719</v>
      </c>
      <c r="V8" s="53">
        <f>output!I181</f>
        <v>75657.176150269923</v>
      </c>
      <c r="W8" s="53">
        <f>output!J181</f>
        <v>724114.18621757848</v>
      </c>
      <c r="Y8" s="3" t="s">
        <v>213</v>
      </c>
      <c r="Z8" s="7">
        <f t="shared" si="0"/>
        <v>12665.921614480874</v>
      </c>
      <c r="AA8" s="7">
        <f t="shared" si="1"/>
        <v>-6360.421487684609</v>
      </c>
      <c r="AB8" s="7">
        <f t="shared" si="2"/>
        <v>-6164.2333503604168</v>
      </c>
      <c r="AC8" s="7">
        <f t="shared" si="3"/>
        <v>634.09147028010921</v>
      </c>
      <c r="AD8" s="7">
        <f t="shared" si="4"/>
        <v>-4384.892948075727</v>
      </c>
      <c r="AE8" s="7">
        <f t="shared" si="5"/>
        <v>4741.3689639598761</v>
      </c>
      <c r="AF8" s="7"/>
      <c r="AG8" s="7">
        <f t="shared" si="6"/>
        <v>-4994.5684236732777</v>
      </c>
      <c r="AH8" s="7">
        <f t="shared" si="7"/>
        <v>9833.8151502699184</v>
      </c>
      <c r="AI8" s="7">
        <f t="shared" si="8"/>
        <v>-137657.54005647963</v>
      </c>
      <c r="AK8" s="3">
        <v>541880</v>
      </c>
      <c r="AM8" s="7">
        <f t="shared" si="9"/>
        <v>182234.18621757848</v>
      </c>
    </row>
    <row r="9" spans="1:39" x14ac:dyDescent="0.2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126097.1010517589</v>
      </c>
      <c r="O9" s="53">
        <f>output!C182</f>
        <v>59837.170319304423</v>
      </c>
      <c r="P9" s="53">
        <f>output!D182</f>
        <v>136046.18755718213</v>
      </c>
      <c r="Q9" s="53">
        <f>output!E182</f>
        <v>161314.73385473588</v>
      </c>
      <c r="R9" s="53">
        <f>output!F182</f>
        <v>12499.540171875387</v>
      </c>
      <c r="S9" s="53">
        <f>output!G182</f>
        <v>7289.484712907225</v>
      </c>
      <c r="T9" s="53"/>
      <c r="U9" s="53">
        <f>output!H182</f>
        <v>107155.33869253565</v>
      </c>
      <c r="V9" s="53">
        <f>output!I182</f>
        <v>101444.19054149408</v>
      </c>
      <c r="W9" s="53">
        <f>output!J182</f>
        <v>711683.74690179364</v>
      </c>
      <c r="Y9" s="3" t="s">
        <v>214</v>
      </c>
      <c r="Z9" s="7">
        <f t="shared" si="0"/>
        <v>-29325.884207686395</v>
      </c>
      <c r="AA9" s="7">
        <f t="shared" si="1"/>
        <v>-9421.2032814822742</v>
      </c>
      <c r="AB9" s="7">
        <f t="shared" si="2"/>
        <v>3068.6381382026302</v>
      </c>
      <c r="AC9" s="7">
        <f t="shared" si="3"/>
        <v>-58286.749661599606</v>
      </c>
      <c r="AD9" s="7">
        <f t="shared" si="4"/>
        <v>-7037.7270175719113</v>
      </c>
      <c r="AE9" s="7">
        <f t="shared" si="5"/>
        <v>6245.8638905132248</v>
      </c>
      <c r="AF9" s="7"/>
      <c r="AG9" s="7">
        <f t="shared" si="6"/>
        <v>74281.354942535647</v>
      </c>
      <c r="AH9" s="7">
        <f t="shared" si="7"/>
        <v>29721.638791494086</v>
      </c>
      <c r="AI9" s="7">
        <f t="shared" si="8"/>
        <v>-131241.63146707229</v>
      </c>
      <c r="AK9" s="3">
        <v>394190</v>
      </c>
      <c r="AM9" s="7">
        <f t="shared" si="9"/>
        <v>317493.74690179364</v>
      </c>
    </row>
    <row r="10" spans="1:39" x14ac:dyDescent="0.2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1833.4143561999435</v>
      </c>
      <c r="O10" s="53">
        <f>output!C183</f>
        <v>28573.31451916488</v>
      </c>
      <c r="P10" s="53">
        <f>output!D183</f>
        <v>51735.97305330028</v>
      </c>
      <c r="Q10" s="53">
        <f>output!E183</f>
        <v>70725.823546630738</v>
      </c>
      <c r="R10" s="53">
        <f>output!F183</f>
        <v>7189.8815525158434</v>
      </c>
      <c r="S10" s="53">
        <f>output!G183</f>
        <v>8181.4716396314379</v>
      </c>
      <c r="T10" s="53"/>
      <c r="U10" s="53">
        <f>output!H183</f>
        <v>27200.328717748078</v>
      </c>
      <c r="V10" s="53">
        <f>output!I183</f>
        <v>16409.121380852052</v>
      </c>
      <c r="W10" s="53">
        <f>output!J183</f>
        <v>211849.32876604324</v>
      </c>
      <c r="Y10" s="3" t="s">
        <v>129</v>
      </c>
      <c r="Z10" s="7">
        <f t="shared" si="0"/>
        <v>-71075.476102673958</v>
      </c>
      <c r="AA10" s="7">
        <f t="shared" si="1"/>
        <v>7903.0828216493792</v>
      </c>
      <c r="AB10" s="7">
        <f t="shared" si="2"/>
        <v>11066.101051691177</v>
      </c>
      <c r="AC10" s="7">
        <f t="shared" si="3"/>
        <v>8000.1701396993376</v>
      </c>
      <c r="AD10" s="7">
        <f t="shared" si="4"/>
        <v>312.63839059474321</v>
      </c>
      <c r="AE10" s="7">
        <f t="shared" si="5"/>
        <v>8181.4716396314379</v>
      </c>
      <c r="AF10" s="7"/>
      <c r="AG10" s="7">
        <f t="shared" si="6"/>
        <v>13107.033217748078</v>
      </c>
      <c r="AH10" s="7">
        <f t="shared" si="7"/>
        <v>9103.7638808520514</v>
      </c>
      <c r="AI10" s="7">
        <f t="shared" si="8"/>
        <v>-58451.323706177995</v>
      </c>
      <c r="AK10" s="3">
        <v>166390</v>
      </c>
      <c r="AM10" s="7">
        <f t="shared" si="9"/>
        <v>45459.32876604324</v>
      </c>
    </row>
    <row r="11" spans="1:39" x14ac:dyDescent="0.2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319738.99530929013</v>
      </c>
      <c r="O11" s="54">
        <f>output!C184</f>
        <v>113475.53483463333</v>
      </c>
      <c r="P11" s="54">
        <f>output!D184</f>
        <v>164241.59155458264</v>
      </c>
      <c r="Q11" s="54">
        <f>output!E184</f>
        <v>246203.48506317055</v>
      </c>
      <c r="R11" s="54">
        <f>output!F184</f>
        <v>21695.278448555695</v>
      </c>
      <c r="S11" s="54">
        <f>output!G184</f>
        <v>25566.607337771278</v>
      </c>
      <c r="T11" s="53"/>
      <c r="U11" s="54">
        <f>output!H184</f>
        <v>114725.82942590537</v>
      </c>
      <c r="V11" s="54">
        <f>output!I184</f>
        <v>87530.506310047815</v>
      </c>
      <c r="W11" s="54">
        <f>output!J184</f>
        <v>1093177.828283957</v>
      </c>
      <c r="Y11" s="25" t="s">
        <v>130</v>
      </c>
      <c r="Z11" s="33">
        <f t="shared" si="0"/>
        <v>21310.27871791285</v>
      </c>
      <c r="AA11" s="33">
        <f t="shared" si="1"/>
        <v>-3480.119044028761</v>
      </c>
      <c r="AB11" s="33">
        <f t="shared" si="2"/>
        <v>25039.055091344548</v>
      </c>
      <c r="AC11" s="33">
        <f t="shared" si="3"/>
        <v>-883.16592299105832</v>
      </c>
      <c r="AD11" s="33">
        <f t="shared" si="4"/>
        <v>-3045.0354890904055</v>
      </c>
      <c r="AE11" s="33">
        <f t="shared" si="5"/>
        <v>10580.090943113279</v>
      </c>
      <c r="AF11" s="33"/>
      <c r="AG11" s="33">
        <f t="shared" si="6"/>
        <v>-22476.775699094636</v>
      </c>
      <c r="AH11" s="33">
        <f t="shared" si="7"/>
        <v>-23877.100939952186</v>
      </c>
      <c r="AI11" s="33">
        <f t="shared" si="8"/>
        <v>-214834.89246813511</v>
      </c>
      <c r="AK11" s="3">
        <v>630330</v>
      </c>
      <c r="AM11" s="7">
        <f t="shared" si="9"/>
        <v>462847.82828395697</v>
      </c>
    </row>
    <row r="12" spans="1:39" x14ac:dyDescent="0.2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99628.996351271577</v>
      </c>
      <c r="O12" s="54">
        <f>output!C185</f>
        <v>52832.424919101984</v>
      </c>
      <c r="P12" s="54">
        <f>output!D185</f>
        <v>0</v>
      </c>
      <c r="Q12" s="54">
        <f>output!E185</f>
        <v>0</v>
      </c>
      <c r="R12" s="54">
        <f>output!F185</f>
        <v>22960.882337736151</v>
      </c>
      <c r="S12" s="54">
        <f>output!G185</f>
        <v>565.11112638710915</v>
      </c>
      <c r="T12" s="53"/>
      <c r="U12" s="54">
        <f>output!H185</f>
        <v>0</v>
      </c>
      <c r="V12" s="54">
        <f>output!I185</f>
        <v>0</v>
      </c>
      <c r="W12" s="54">
        <f>output!J185</f>
        <v>175987.41473449682</v>
      </c>
      <c r="Y12" s="25" t="s">
        <v>247</v>
      </c>
      <c r="Z12" s="33">
        <f t="shared" si="0"/>
        <v>-71783.800000001822</v>
      </c>
      <c r="AA12" s="33">
        <f t="shared" si="1"/>
        <v>46075.962276920785</v>
      </c>
      <c r="AB12" s="33">
        <f t="shared" si="2"/>
        <v>0</v>
      </c>
      <c r="AC12" s="33">
        <f t="shared" si="3"/>
        <v>0</v>
      </c>
      <c r="AD12" s="33">
        <f t="shared" si="4"/>
        <v>17086.975933766553</v>
      </c>
      <c r="AE12" s="33">
        <f t="shared" si="5"/>
        <v>565.11112638710915</v>
      </c>
      <c r="AF12" s="33"/>
      <c r="AG12" s="33">
        <f t="shared" si="6"/>
        <v>0</v>
      </c>
      <c r="AH12" s="33">
        <f t="shared" si="7"/>
        <v>0</v>
      </c>
      <c r="AI12" s="33">
        <f t="shared" si="8"/>
        <v>-8055.7506629273703</v>
      </c>
      <c r="AK12" s="3">
        <v>147120</v>
      </c>
      <c r="AM12" s="7">
        <f t="shared" si="9"/>
        <v>28867.414734496822</v>
      </c>
    </row>
    <row r="13" spans="1:39" ht="13.5" thickBot="1" x14ac:dyDescent="0.25">
      <c r="A13" s="10" t="s">
        <v>221</v>
      </c>
      <c r="B13" s="55">
        <f>SUM(B5:B12)</f>
        <v>2431438.0228209868</v>
      </c>
      <c r="C13" s="55">
        <f t="shared" ref="C13:K13" si="10">SUM(C5:C12)</f>
        <v>625338.66770780808</v>
      </c>
      <c r="D13" s="55">
        <f t="shared" si="10"/>
        <v>547910.24461451638</v>
      </c>
      <c r="E13" s="55">
        <f t="shared" si="10"/>
        <v>1052457.4078515514</v>
      </c>
      <c r="F13" s="55">
        <f t="shared" si="10"/>
        <v>199289.42630487229</v>
      </c>
      <c r="G13" s="55">
        <f t="shared" si="10"/>
        <v>108113.22313859199</v>
      </c>
      <c r="H13" s="55"/>
      <c r="I13" s="55">
        <f t="shared" si="10"/>
        <v>772435.58325000003</v>
      </c>
      <c r="J13" s="55">
        <f t="shared" si="10"/>
        <v>364335.14600000007</v>
      </c>
      <c r="K13" s="55">
        <f t="shared" si="10"/>
        <v>6778245.5372857135</v>
      </c>
      <c r="L13"/>
      <c r="M13" s="10" t="s">
        <v>221</v>
      </c>
      <c r="N13" s="55">
        <f>SUM(N5:N12)</f>
        <v>2253926.8638487109</v>
      </c>
      <c r="O13" s="55">
        <f t="shared" ref="O13:W13" si="11">SUM(O5:O12)</f>
        <v>599861.61378951662</v>
      </c>
      <c r="P13" s="55">
        <f t="shared" si="11"/>
        <v>591759.93600487965</v>
      </c>
      <c r="Q13" s="55">
        <f t="shared" si="11"/>
        <v>903700.02857167227</v>
      </c>
      <c r="R13" s="55">
        <f t="shared" si="11"/>
        <v>307215.64154262282</v>
      </c>
      <c r="S13" s="55">
        <f t="shared" si="11"/>
        <v>166931.3988217655</v>
      </c>
      <c r="T13" s="55"/>
      <c r="U13" s="55">
        <f t="shared" si="11"/>
        <v>803043.84749875451</v>
      </c>
      <c r="V13" s="55">
        <f t="shared" si="11"/>
        <v>386758.30815760011</v>
      </c>
      <c r="W13" s="55">
        <f t="shared" si="11"/>
        <v>6013197.6382355234</v>
      </c>
      <c r="Y13" s="10" t="s">
        <v>221</v>
      </c>
      <c r="Z13" s="11">
        <f t="shared" si="0"/>
        <v>-177511.15897227591</v>
      </c>
      <c r="AA13" s="11">
        <f t="shared" si="1"/>
        <v>-25477.053918291465</v>
      </c>
      <c r="AB13" s="11">
        <f t="shared" si="2"/>
        <v>43849.691390363267</v>
      </c>
      <c r="AC13" s="11">
        <f t="shared" si="3"/>
        <v>-148757.37927987915</v>
      </c>
      <c r="AD13" s="11">
        <f t="shared" si="4"/>
        <v>107926.21523775053</v>
      </c>
      <c r="AE13" s="11">
        <f t="shared" si="5"/>
        <v>58818.175683173511</v>
      </c>
      <c r="AF13" s="11"/>
      <c r="AG13" s="11">
        <f t="shared" si="6"/>
        <v>30608.26424875448</v>
      </c>
      <c r="AH13" s="11">
        <f t="shared" si="7"/>
        <v>22423.162157600047</v>
      </c>
      <c r="AI13" s="11">
        <f t="shared" si="8"/>
        <v>-765047.89905019011</v>
      </c>
      <c r="AK13" s="3">
        <v>4970170</v>
      </c>
      <c r="AM13" s="7">
        <f t="shared" si="9"/>
        <v>1043027.6382355234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1410222.3792541239</v>
      </c>
      <c r="O15" s="33">
        <f>output!B307</f>
        <v>330587.79410013492</v>
      </c>
      <c r="P15" s="33">
        <f>output!B308</f>
        <v>393707.17935026012</v>
      </c>
      <c r="Q15" s="33">
        <f>output!B309</f>
        <v>573902.57800400315</v>
      </c>
      <c r="R15" s="33">
        <f>output!B310</f>
        <v>175566.13317979188</v>
      </c>
      <c r="S15" s="33">
        <f>output!B311</f>
        <v>119540.37697423306</v>
      </c>
      <c r="T15" s="33"/>
      <c r="U15" s="33">
        <f>output!B312</f>
        <v>503887.95581699541</v>
      </c>
      <c r="V15" s="33">
        <f>output!B313</f>
        <v>235060.42178434858</v>
      </c>
      <c r="W15" s="33">
        <f>SUM(N15:V15)</f>
        <v>3742474.8184638908</v>
      </c>
      <c r="Y15" s="25" t="s">
        <v>88</v>
      </c>
      <c r="Z15" s="33">
        <f t="shared" ref="Z15:AE16" si="12">N15-B15</f>
        <v>-2367.3631458762102</v>
      </c>
      <c r="AA15" s="33">
        <f t="shared" si="12"/>
        <v>-10367.887999865052</v>
      </c>
      <c r="AB15" s="33">
        <f t="shared" si="12"/>
        <v>8615.2009502600995</v>
      </c>
      <c r="AC15" s="33">
        <f t="shared" si="12"/>
        <v>-18386.090395996813</v>
      </c>
      <c r="AD15" s="33">
        <f t="shared" si="12"/>
        <v>64087.197579791886</v>
      </c>
      <c r="AE15" s="33">
        <f t="shared" si="12"/>
        <v>41040.832774233058</v>
      </c>
      <c r="AF15" s="33"/>
      <c r="AG15" s="33">
        <f t="shared" ref="AG15:AI16" si="13">U15-I15</f>
        <v>-12027.970083004562</v>
      </c>
      <c r="AH15" s="33">
        <f t="shared" si="13"/>
        <v>-36637.067815651448</v>
      </c>
      <c r="AI15" s="33">
        <f t="shared" si="13"/>
        <v>33956.851863890886</v>
      </c>
    </row>
    <row r="16" spans="1:39" x14ac:dyDescent="0.2">
      <c r="A16" s="25" t="s">
        <v>89</v>
      </c>
      <c r="B16" s="37">
        <f>B13/B15</f>
        <v>1.7212626920891809</v>
      </c>
      <c r="C16" s="37">
        <f t="shared" ref="C16:K16" si="14">C13/C15</f>
        <v>1.8340761000263974</v>
      </c>
      <c r="D16" s="37">
        <f t="shared" si="14"/>
        <v>1.4228035777088945</v>
      </c>
      <c r="E16" s="37">
        <f t="shared" si="14"/>
        <v>1.7769332151746962</v>
      </c>
      <c r="F16" s="37">
        <f t="shared" si="14"/>
        <v>1.7876868417540963</v>
      </c>
      <c r="G16" s="37">
        <f t="shared" si="14"/>
        <v>1.3772465081216609</v>
      </c>
      <c r="H16" s="37"/>
      <c r="I16" s="37">
        <f t="shared" si="14"/>
        <v>1.4972121318071527</v>
      </c>
      <c r="J16" s="37">
        <f t="shared" si="14"/>
        <v>1.3409588234929353</v>
      </c>
      <c r="K16" s="37">
        <f t="shared" si="14"/>
        <v>1.8277504917955312</v>
      </c>
      <c r="L16"/>
      <c r="M16" s="25" t="s">
        <v>89</v>
      </c>
      <c r="N16" s="37">
        <f t="shared" ref="N16:W16" si="15">N13/N15</f>
        <v>1.5982776170669111</v>
      </c>
      <c r="O16" s="37">
        <f t="shared" si="15"/>
        <v>1.8145304348648117</v>
      </c>
      <c r="P16" s="37">
        <f t="shared" si="15"/>
        <v>1.5030458346771032</v>
      </c>
      <c r="Q16" s="37">
        <f t="shared" si="15"/>
        <v>1.5746575520094086</v>
      </c>
      <c r="R16" s="37">
        <f t="shared" si="15"/>
        <v>1.7498570822199104</v>
      </c>
      <c r="S16" s="37">
        <f t="shared" si="15"/>
        <v>1.3964436372636466</v>
      </c>
      <c r="T16" s="37"/>
      <c r="U16" s="37">
        <f t="shared" si="15"/>
        <v>1.5936952614727866</v>
      </c>
      <c r="V16" s="37">
        <f t="shared" si="15"/>
        <v>1.6453569904355216</v>
      </c>
      <c r="W16" s="37">
        <f t="shared" si="15"/>
        <v>1.6067436468961085</v>
      </c>
      <c r="Y16" s="25" t="s">
        <v>89</v>
      </c>
      <c r="Z16" s="37">
        <f t="shared" si="12"/>
        <v>-0.12298507502226985</v>
      </c>
      <c r="AA16" s="37">
        <f t="shared" si="12"/>
        <v>-1.9545665161585735E-2</v>
      </c>
      <c r="AB16" s="37">
        <f t="shared" si="12"/>
        <v>8.0242256968208636E-2</v>
      </c>
      <c r="AC16" s="37">
        <f t="shared" si="12"/>
        <v>-0.20227566316528756</v>
      </c>
      <c r="AD16" s="37">
        <f t="shared" si="12"/>
        <v>-3.7829759534185881E-2</v>
      </c>
      <c r="AE16" s="37">
        <f t="shared" si="12"/>
        <v>1.919712914198568E-2</v>
      </c>
      <c r="AF16" s="37"/>
      <c r="AG16" s="37">
        <f t="shared" si="13"/>
        <v>9.6483129665633882E-2</v>
      </c>
      <c r="AH16" s="37">
        <f t="shared" si="13"/>
        <v>0.30439816694258637</v>
      </c>
      <c r="AI16" s="37">
        <f t="shared" si="13"/>
        <v>-0.22100684489942268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t="shared" ref="B23:J23" si="16">B5/B$13</f>
        <v>0.57984297179192301</v>
      </c>
      <c r="C23" s="12">
        <f t="shared" si="16"/>
        <v>0.31506786225766403</v>
      </c>
      <c r="D23" s="12">
        <f t="shared" si="16"/>
        <v>3.1527308543253217E-2</v>
      </c>
      <c r="E23" s="12">
        <f t="shared" si="16"/>
        <v>3.4685398018562762E-2</v>
      </c>
      <c r="F23" s="12">
        <f t="shared" si="16"/>
        <v>0.31538390680574335</v>
      </c>
      <c r="G23" s="12">
        <f t="shared" si="16"/>
        <v>1.9004806399732305E-2</v>
      </c>
      <c r="H23" s="12"/>
      <c r="I23" s="12">
        <f t="shared" si="16"/>
        <v>1.9748294007660865E-3</v>
      </c>
      <c r="J23" s="12">
        <f t="shared" si="16"/>
        <v>1.2921358402244287E-3</v>
      </c>
      <c r="K23" s="12">
        <f>K5/K$13</f>
        <v>0.25486815780753369</v>
      </c>
      <c r="L23"/>
      <c r="M23" s="3" t="s">
        <v>210</v>
      </c>
      <c r="N23" s="42">
        <f t="shared" ref="N23:V23" si="17">N5/N$13</f>
        <v>0.62005455435244194</v>
      </c>
      <c r="O23" s="42">
        <f t="shared" si="17"/>
        <v>0.33516606268044252</v>
      </c>
      <c r="P23" s="42">
        <f t="shared" si="17"/>
        <v>0</v>
      </c>
      <c r="Q23" s="42">
        <f t="shared" si="17"/>
        <v>0</v>
      </c>
      <c r="R23" s="42">
        <f t="shared" si="17"/>
        <v>0.23157526870521014</v>
      </c>
      <c r="S23" s="42">
        <f t="shared" si="17"/>
        <v>1.1599402599928851E-2</v>
      </c>
      <c r="T23" s="42"/>
      <c r="U23" s="42">
        <f t="shared" si="17"/>
        <v>0</v>
      </c>
      <c r="V23" s="42">
        <f t="shared" si="17"/>
        <v>0</v>
      </c>
      <c r="W23" s="42">
        <f>W5/W$13</f>
        <v>0.27800362172802096</v>
      </c>
      <c r="Y23" s="3" t="s">
        <v>210</v>
      </c>
      <c r="Z23" s="12">
        <f t="shared" ref="Z23:Z31" si="18">N23-B23</f>
        <v>4.0211582560518933E-2</v>
      </c>
      <c r="AA23" s="12">
        <f t="shared" ref="AA23:AA31" si="19">O23-C23</f>
        <v>2.0098200422778489E-2</v>
      </c>
      <c r="AB23" s="12">
        <f t="shared" ref="AB23:AB31" si="20">P23-D23</f>
        <v>-3.1527308543253217E-2</v>
      </c>
      <c r="AC23" s="12">
        <f t="shared" ref="AC23:AC31" si="21">Q23-E23</f>
        <v>-3.4685398018562762E-2</v>
      </c>
      <c r="AD23" s="12">
        <f t="shared" ref="AD23:AD31" si="22">R23-F23</f>
        <v>-8.3808638100533212E-2</v>
      </c>
      <c r="AE23" s="12">
        <f t="shared" ref="AE23:AE31" si="23">S23-G23</f>
        <v>-7.405403799803454E-3</v>
      </c>
      <c r="AF23" s="12"/>
      <c r="AG23" s="12">
        <f t="shared" ref="AG23:AG31" si="24">U23-I23</f>
        <v>-1.9748294007660865E-3</v>
      </c>
      <c r="AH23" s="12">
        <f t="shared" ref="AH23:AH31" si="25">V23-J23</f>
        <v>-1.2921358402244287E-3</v>
      </c>
      <c r="AI23" s="12">
        <f t="shared" ref="AI23:AI31" si="26">W23-K23</f>
        <v>2.3135463920487265E-2</v>
      </c>
    </row>
    <row r="24" spans="1:35" x14ac:dyDescent="0.2">
      <c r="A24" s="3" t="s">
        <v>211</v>
      </c>
      <c r="B24" s="12">
        <f t="shared" ref="B24:K24" si="27">B6/B$13</f>
        <v>3.086269848133317E-3</v>
      </c>
      <c r="C24" s="12">
        <f t="shared" si="27"/>
        <v>6.6298465747694782E-2</v>
      </c>
      <c r="D24" s="12">
        <f t="shared" si="27"/>
        <v>2.5591430855276443E-3</v>
      </c>
      <c r="E24" s="12">
        <f t="shared" si="27"/>
        <v>6.8388499275314693E-2</v>
      </c>
      <c r="F24" s="12">
        <f t="shared" si="27"/>
        <v>0.26012373949341139</v>
      </c>
      <c r="G24" s="12">
        <f t="shared" si="27"/>
        <v>0.71006687730667706</v>
      </c>
      <c r="H24" s="12"/>
      <c r="I24" s="12">
        <f t="shared" si="27"/>
        <v>0.6347852086408915</v>
      </c>
      <c r="J24" s="12">
        <f t="shared" si="27"/>
        <v>0.1751054813827925</v>
      </c>
      <c r="K24" s="12">
        <f t="shared" si="27"/>
        <v>0.11877358537991357</v>
      </c>
      <c r="L24"/>
      <c r="M24" s="3" t="s">
        <v>211</v>
      </c>
      <c r="N24" s="42">
        <f t="shared" ref="N24:W24" si="28">N6/N$13</f>
        <v>1.3439966058632995E-2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0.48407730055024251</v>
      </c>
      <c r="S24" s="42">
        <f t="shared" si="28"/>
        <v>0.64803069223161258</v>
      </c>
      <c r="T24" s="42"/>
      <c r="U24" s="42">
        <f t="shared" si="28"/>
        <v>0.55466743397603724</v>
      </c>
      <c r="V24" s="42">
        <f t="shared" si="28"/>
        <v>9.7884989714322579E-2</v>
      </c>
      <c r="W24" s="42">
        <f t="shared" si="28"/>
        <v>0.12812909845278031</v>
      </c>
      <c r="Y24" s="3" t="s">
        <v>211</v>
      </c>
      <c r="Z24" s="12">
        <f t="shared" si="18"/>
        <v>1.0353696210499679E-2</v>
      </c>
      <c r="AA24" s="12">
        <f t="shared" si="19"/>
        <v>-6.6298465747694782E-2</v>
      </c>
      <c r="AB24" s="12">
        <f t="shared" si="20"/>
        <v>-2.5591430855276443E-3</v>
      </c>
      <c r="AC24" s="12">
        <f t="shared" si="21"/>
        <v>-6.8388499275314693E-2</v>
      </c>
      <c r="AD24" s="12">
        <f t="shared" si="22"/>
        <v>0.22395356105683112</v>
      </c>
      <c r="AE24" s="12">
        <f t="shared" si="23"/>
        <v>-6.2036185075064476E-2</v>
      </c>
      <c r="AF24" s="12"/>
      <c r="AG24" s="12">
        <f t="shared" si="24"/>
        <v>-8.0117774664854258E-2</v>
      </c>
      <c r="AH24" s="12">
        <f t="shared" si="25"/>
        <v>-7.7220491668469921E-2</v>
      </c>
      <c r="AI24" s="12">
        <f t="shared" si="26"/>
        <v>9.3555130728667363E-3</v>
      </c>
    </row>
    <row r="25" spans="1:35" x14ac:dyDescent="0.2">
      <c r="A25" s="3" t="s">
        <v>212</v>
      </c>
      <c r="B25" s="12">
        <f t="shared" ref="B25:K25" si="29">B7/B$13</f>
        <v>7.2368701546680028E-2</v>
      </c>
      <c r="C25" s="12">
        <f t="shared" si="29"/>
        <v>0.15224321774656727</v>
      </c>
      <c r="D25" s="12">
        <f t="shared" si="29"/>
        <v>0.10273214116834384</v>
      </c>
      <c r="E25" s="12">
        <f t="shared" si="29"/>
        <v>0.21537861993291718</v>
      </c>
      <c r="F25" s="12">
        <f t="shared" si="29"/>
        <v>5.8055409389241322E-2</v>
      </c>
      <c r="G25" s="12">
        <f t="shared" si="29"/>
        <v>7.6201398476475876E-2</v>
      </c>
      <c r="H25" s="12"/>
      <c r="I25" s="12">
        <f t="shared" si="29"/>
        <v>4.0200100401058265E-2</v>
      </c>
      <c r="J25" s="12">
        <f t="shared" si="29"/>
        <v>0.12024208302703795</v>
      </c>
      <c r="K25" s="12">
        <f t="shared" si="29"/>
        <v>0.11486105238212553</v>
      </c>
      <c r="L25"/>
      <c r="M25" s="3" t="s">
        <v>212</v>
      </c>
      <c r="N25" s="42">
        <f t="shared" ref="N25:W25" si="30">N7/N$13</f>
        <v>5.5975116457594801E-2</v>
      </c>
      <c r="O25" s="42">
        <f t="shared" si="30"/>
        <v>0.12075963905812033</v>
      </c>
      <c r="P25" s="42">
        <f t="shared" si="30"/>
        <v>0.14499872986680923</v>
      </c>
      <c r="Q25" s="42">
        <f t="shared" si="30"/>
        <v>0.26218432887905413</v>
      </c>
      <c r="R25" s="42">
        <f t="shared" si="30"/>
        <v>3.7097756551592129E-2</v>
      </c>
      <c r="S25" s="42">
        <f t="shared" si="30"/>
        <v>3.2659901878415797E-2</v>
      </c>
      <c r="T25" s="42"/>
      <c r="U25" s="42">
        <f t="shared" si="30"/>
        <v>5.9993049537603454E-2</v>
      </c>
      <c r="V25" s="42">
        <f t="shared" si="30"/>
        <v>0.17545707313247602</v>
      </c>
      <c r="W25" s="42">
        <f t="shared" si="30"/>
        <v>0.10879882200616699</v>
      </c>
      <c r="Y25" s="3" t="s">
        <v>212</v>
      </c>
      <c r="Z25" s="12">
        <f t="shared" si="18"/>
        <v>-1.6393585089085227E-2</v>
      </c>
      <c r="AA25" s="12">
        <f t="shared" si="19"/>
        <v>-3.1483578688446937E-2</v>
      </c>
      <c r="AB25" s="12">
        <f t="shared" si="20"/>
        <v>4.226658869846539E-2</v>
      </c>
      <c r="AC25" s="12">
        <f t="shared" si="21"/>
        <v>4.6805708946136948E-2</v>
      </c>
      <c r="AD25" s="12">
        <f t="shared" si="22"/>
        <v>-2.0957652837649193E-2</v>
      </c>
      <c r="AE25" s="12">
        <f t="shared" si="23"/>
        <v>-4.354149659806008E-2</v>
      </c>
      <c r="AF25" s="12"/>
      <c r="AG25" s="12">
        <f t="shared" si="24"/>
        <v>1.9792949136545189E-2</v>
      </c>
      <c r="AH25" s="12">
        <f t="shared" si="25"/>
        <v>5.5214990105438067E-2</v>
      </c>
      <c r="AI25" s="12">
        <f t="shared" si="26"/>
        <v>-6.0622303759585439E-3</v>
      </c>
    </row>
    <row r="26" spans="1:35" x14ac:dyDescent="0.2">
      <c r="A26" s="3" t="s">
        <v>213</v>
      </c>
      <c r="B26" s="12">
        <f t="shared" ref="B26:K26" si="31">B8/B$13</f>
        <v>5.7557831006125916E-2</v>
      </c>
      <c r="C26" s="12">
        <f t="shared" si="31"/>
        <v>0.12475042325135005</v>
      </c>
      <c r="D26" s="12">
        <f t="shared" si="31"/>
        <v>0.29219380301246078</v>
      </c>
      <c r="E26" s="12">
        <f t="shared" si="31"/>
        <v>0.17852115224439583</v>
      </c>
      <c r="F26" s="12">
        <f t="shared" si="31"/>
        <v>8.0276600783183494E-2</v>
      </c>
      <c r="G26" s="12">
        <f t="shared" si="31"/>
        <v>4.6455163893890074E-2</v>
      </c>
      <c r="H26" s="12"/>
      <c r="I26" s="12">
        <f t="shared" si="31"/>
        <v>8.4612362399217572E-2</v>
      </c>
      <c r="J26" s="12">
        <f t="shared" si="31"/>
        <v>0.1806670636162013</v>
      </c>
      <c r="K26" s="12">
        <f t="shared" si="31"/>
        <v>0.12713787388397657</v>
      </c>
      <c r="L26"/>
      <c r="M26" s="3" t="s">
        <v>213</v>
      </c>
      <c r="N26" s="42">
        <f t="shared" ref="N26:W26" si="32">N8/N$13</f>
        <v>6.7710369347691493E-2</v>
      </c>
      <c r="O26" s="42">
        <f t="shared" si="32"/>
        <v>0.1194456193515345</v>
      </c>
      <c r="P26" s="42">
        <f t="shared" si="32"/>
        <v>0.2601253234077906</v>
      </c>
      <c r="Q26" s="42">
        <f t="shared" si="32"/>
        <v>0.20860904575387831</v>
      </c>
      <c r="R26" s="42">
        <f t="shared" si="32"/>
        <v>3.7802062126120431E-2</v>
      </c>
      <c r="S26" s="42">
        <f t="shared" si="32"/>
        <v>5.8489813976726923E-2</v>
      </c>
      <c r="T26" s="42"/>
      <c r="U26" s="42">
        <f t="shared" si="32"/>
        <v>7.5167789734445781E-2</v>
      </c>
      <c r="V26" s="42">
        <f t="shared" si="32"/>
        <v>0.19561874833582213</v>
      </c>
      <c r="W26" s="42">
        <f t="shared" si="32"/>
        <v>0.12042081930140221</v>
      </c>
      <c r="Y26" s="3" t="s">
        <v>213</v>
      </c>
      <c r="Z26" s="12">
        <f t="shared" si="18"/>
        <v>1.0152538341565577E-2</v>
      </c>
      <c r="AA26" s="12">
        <f t="shared" si="19"/>
        <v>-5.3048038998155522E-3</v>
      </c>
      <c r="AB26" s="12">
        <f t="shared" si="20"/>
        <v>-3.2068479604670186E-2</v>
      </c>
      <c r="AC26" s="12">
        <f t="shared" si="21"/>
        <v>3.0087893509482488E-2</v>
      </c>
      <c r="AD26" s="12">
        <f t="shared" si="22"/>
        <v>-4.2474538657063063E-2</v>
      </c>
      <c r="AE26" s="12">
        <f t="shared" si="23"/>
        <v>1.2034650082836849E-2</v>
      </c>
      <c r="AF26" s="12"/>
      <c r="AG26" s="12">
        <f t="shared" si="24"/>
        <v>-9.4445726647717915E-3</v>
      </c>
      <c r="AH26" s="12">
        <f t="shared" si="25"/>
        <v>1.4951684719620828E-2</v>
      </c>
      <c r="AI26" s="12">
        <f t="shared" si="26"/>
        <v>-6.7170545825743638E-3</v>
      </c>
    </row>
    <row r="27" spans="1:35" x14ac:dyDescent="0.2">
      <c r="A27" s="3" t="s">
        <v>214</v>
      </c>
      <c r="B27" s="12">
        <f t="shared" ref="B27:K27" si="33">B9/B$13</f>
        <v>6.3922248398139911E-2</v>
      </c>
      <c r="C27" s="12">
        <f t="shared" si="33"/>
        <v>0.11075338400974741</v>
      </c>
      <c r="D27" s="12">
        <f t="shared" si="33"/>
        <v>0.24269951278705545</v>
      </c>
      <c r="E27" s="12">
        <f t="shared" si="33"/>
        <v>0.20865593408157204</v>
      </c>
      <c r="F27" s="12">
        <f t="shared" si="33"/>
        <v>9.8034640129673778E-2</v>
      </c>
      <c r="G27" s="12">
        <f t="shared" si="33"/>
        <v>9.6530358830960623E-3</v>
      </c>
      <c r="H27" s="12"/>
      <c r="I27" s="12">
        <f t="shared" si="33"/>
        <v>4.2558867642637173E-2</v>
      </c>
      <c r="J27" s="12">
        <f t="shared" si="33"/>
        <v>0.19685872345129171</v>
      </c>
      <c r="K27" s="12">
        <f t="shared" si="33"/>
        <v>0.1243574570634996</v>
      </c>
      <c r="L27"/>
      <c r="M27" s="3" t="s">
        <v>214</v>
      </c>
      <c r="N27" s="42">
        <f t="shared" ref="N27:W27" si="34">N9/N$13</f>
        <v>5.5945515834724464E-2</v>
      </c>
      <c r="O27" s="42">
        <f t="shared" si="34"/>
        <v>9.9751624280963708E-2</v>
      </c>
      <c r="P27" s="42">
        <f t="shared" si="34"/>
        <v>0.22990097720312769</v>
      </c>
      <c r="Q27" s="42">
        <f t="shared" si="34"/>
        <v>0.17850473470682429</v>
      </c>
      <c r="R27" s="42">
        <f t="shared" si="34"/>
        <v>4.0686535715145911E-2</v>
      </c>
      <c r="S27" s="42">
        <f t="shared" si="34"/>
        <v>4.3667547054405793E-2</v>
      </c>
      <c r="T27" s="42"/>
      <c r="U27" s="42">
        <f t="shared" si="34"/>
        <v>0.13343647302235492</v>
      </c>
      <c r="V27" s="42">
        <f t="shared" si="34"/>
        <v>0.26229350062250401</v>
      </c>
      <c r="W27" s="42">
        <f t="shared" si="34"/>
        <v>0.11835362642606004</v>
      </c>
      <c r="Y27" s="3" t="s">
        <v>214</v>
      </c>
      <c r="Z27" s="12">
        <f t="shared" si="18"/>
        <v>-7.9767325634154465E-3</v>
      </c>
      <c r="AA27" s="12">
        <f t="shared" si="19"/>
        <v>-1.10017597287837E-2</v>
      </c>
      <c r="AB27" s="12">
        <f t="shared" si="20"/>
        <v>-1.2798535583927767E-2</v>
      </c>
      <c r="AC27" s="12">
        <f t="shared" si="21"/>
        <v>-3.015119937474775E-2</v>
      </c>
      <c r="AD27" s="12">
        <f t="shared" si="22"/>
        <v>-5.7348104414527867E-2</v>
      </c>
      <c r="AE27" s="12">
        <f t="shared" si="23"/>
        <v>3.4014511171309728E-2</v>
      </c>
      <c r="AF27" s="12"/>
      <c r="AG27" s="12">
        <f t="shared" si="24"/>
        <v>9.0877605379717757E-2</v>
      </c>
      <c r="AH27" s="12">
        <f t="shared" si="25"/>
        <v>6.5434777171212294E-2</v>
      </c>
      <c r="AI27" s="12">
        <f t="shared" si="26"/>
        <v>-6.0038306374395611E-3</v>
      </c>
    </row>
    <row r="28" spans="1:35" x14ac:dyDescent="0.2">
      <c r="A28" s="3" t="s">
        <v>129</v>
      </c>
      <c r="B28" s="12">
        <f t="shared" ref="B28:K28" si="35">B10/B$13</f>
        <v>2.9985913592929681E-2</v>
      </c>
      <c r="C28" s="12">
        <f t="shared" si="35"/>
        <v>3.3054459551146366E-2</v>
      </c>
      <c r="D28" s="12">
        <f t="shared" si="35"/>
        <v>7.4227252367260424E-2</v>
      </c>
      <c r="E28" s="12">
        <f t="shared" si="35"/>
        <v>5.9599232176984041E-2</v>
      </c>
      <c r="F28" s="12">
        <f t="shared" si="35"/>
        <v>3.4508821112266726E-2</v>
      </c>
      <c r="G28" s="12">
        <f t="shared" si="35"/>
        <v>0</v>
      </c>
      <c r="H28" s="12"/>
      <c r="I28" s="12">
        <f t="shared" si="35"/>
        <v>1.8245269645273038E-2</v>
      </c>
      <c r="J28" s="12">
        <f t="shared" si="35"/>
        <v>2.0051201703170297E-2</v>
      </c>
      <c r="K28" s="12">
        <f t="shared" si="35"/>
        <v>3.9877672029635658E-2</v>
      </c>
      <c r="L28"/>
      <c r="M28" s="3" t="s">
        <v>129</v>
      </c>
      <c r="N28" s="42">
        <f t="shared" ref="N28:W28" si="36">N10/N$13</f>
        <v>8.1343116567202285E-4</v>
      </c>
      <c r="O28" s="42">
        <f t="shared" si="36"/>
        <v>4.7633177156741473E-2</v>
      </c>
      <c r="P28" s="42">
        <f t="shared" si="36"/>
        <v>8.7427299324423446E-2</v>
      </c>
      <c r="Q28" s="42">
        <f t="shared" si="36"/>
        <v>7.8262500066991522E-2</v>
      </c>
      <c r="R28" s="42">
        <f t="shared" si="36"/>
        <v>2.340337072817409E-2</v>
      </c>
      <c r="S28" s="42">
        <f t="shared" si="36"/>
        <v>4.9010981141821529E-2</v>
      </c>
      <c r="T28" s="42"/>
      <c r="U28" s="42">
        <f t="shared" si="36"/>
        <v>3.3871536158914743E-2</v>
      </c>
      <c r="V28" s="42">
        <f t="shared" si="36"/>
        <v>4.2427327441316401E-2</v>
      </c>
      <c r="W28" s="42">
        <f t="shared" si="36"/>
        <v>3.5230727727786279E-2</v>
      </c>
      <c r="Y28" s="3" t="s">
        <v>129</v>
      </c>
      <c r="Z28" s="12">
        <f t="shared" si="18"/>
        <v>-2.9172482427257659E-2</v>
      </c>
      <c r="AA28" s="12">
        <f t="shared" si="19"/>
        <v>1.4578717605595107E-2</v>
      </c>
      <c r="AB28" s="12">
        <f t="shared" si="20"/>
        <v>1.3200046957163022E-2</v>
      </c>
      <c r="AC28" s="12">
        <f t="shared" si="21"/>
        <v>1.8663267890007482E-2</v>
      </c>
      <c r="AD28" s="12">
        <f t="shared" si="22"/>
        <v>-1.1105450384092636E-2</v>
      </c>
      <c r="AE28" s="12">
        <f t="shared" si="23"/>
        <v>4.9010981141821529E-2</v>
      </c>
      <c r="AF28" s="12"/>
      <c r="AG28" s="12">
        <f t="shared" si="24"/>
        <v>1.5626266513641705E-2</v>
      </c>
      <c r="AH28" s="12">
        <f t="shared" si="25"/>
        <v>2.2376125738146103E-2</v>
      </c>
      <c r="AI28" s="12">
        <f t="shared" si="26"/>
        <v>-4.6469443018493789E-3</v>
      </c>
    </row>
    <row r="29" spans="1:35" x14ac:dyDescent="0.2">
      <c r="A29" s="25" t="s">
        <v>130</v>
      </c>
      <c r="B29" s="34">
        <f t="shared" ref="B29:K30" si="37">B11/B$13</f>
        <v>0.12273753794683868</v>
      </c>
      <c r="C29" s="34">
        <f t="shared" si="37"/>
        <v>0.18702770181694581</v>
      </c>
      <c r="D29" s="34">
        <f t="shared" si="37"/>
        <v>0.25406083903609866</v>
      </c>
      <c r="E29" s="34">
        <f t="shared" si="37"/>
        <v>0.23477116427025335</v>
      </c>
      <c r="F29" s="34">
        <f t="shared" si="37"/>
        <v>0.12414263213241655</v>
      </c>
      <c r="G29" s="34">
        <f t="shared" si="37"/>
        <v>0.13861871804012868</v>
      </c>
      <c r="H29" s="34"/>
      <c r="I29" s="34">
        <f t="shared" si="37"/>
        <v>0.17762336187015632</v>
      </c>
      <c r="J29" s="34">
        <f t="shared" si="37"/>
        <v>0.30578331097928163</v>
      </c>
      <c r="K29" s="34">
        <f t="shared" si="37"/>
        <v>0.19297216566691</v>
      </c>
      <c r="L29"/>
      <c r="M29" s="25" t="s">
        <v>130</v>
      </c>
      <c r="N29" s="56">
        <f t="shared" ref="N29:W29" si="38">N11/N$13</f>
        <v>0.14185863811184948</v>
      </c>
      <c r="O29" s="56">
        <f t="shared" si="38"/>
        <v>0.18916952214657026</v>
      </c>
      <c r="P29" s="56">
        <f t="shared" si="38"/>
        <v>0.27754767019784915</v>
      </c>
      <c r="Q29" s="56">
        <f t="shared" si="38"/>
        <v>0.27243939059325173</v>
      </c>
      <c r="R29" s="56">
        <f t="shared" si="38"/>
        <v>7.0619055526004892E-2</v>
      </c>
      <c r="S29" s="56">
        <f t="shared" si="38"/>
        <v>0.15315637152881603</v>
      </c>
      <c r="T29" s="56"/>
      <c r="U29" s="56">
        <f t="shared" si="38"/>
        <v>0.14286371757064398</v>
      </c>
      <c r="V29" s="56">
        <f t="shared" si="38"/>
        <v>0.22631836075355882</v>
      </c>
      <c r="W29" s="56">
        <f t="shared" si="38"/>
        <v>0.18179642414093886</v>
      </c>
      <c r="Y29" s="25" t="s">
        <v>130</v>
      </c>
      <c r="Z29" s="12">
        <f t="shared" si="18"/>
        <v>1.9121100165010799E-2</v>
      </c>
      <c r="AA29" s="12">
        <f t="shared" si="19"/>
        <v>2.1418203296244553E-3</v>
      </c>
      <c r="AB29" s="12">
        <f t="shared" si="20"/>
        <v>2.3486831161750488E-2</v>
      </c>
      <c r="AC29" s="12">
        <f t="shared" si="21"/>
        <v>3.7668226322998377E-2</v>
      </c>
      <c r="AD29" s="12">
        <f t="shared" si="22"/>
        <v>-5.352357660641166E-2</v>
      </c>
      <c r="AE29" s="12">
        <f t="shared" si="23"/>
        <v>1.4537653488687352E-2</v>
      </c>
      <c r="AF29" s="12"/>
      <c r="AG29" s="12">
        <f t="shared" si="24"/>
        <v>-3.4759644299512338E-2</v>
      </c>
      <c r="AH29" s="12">
        <f t="shared" si="25"/>
        <v>-7.9464950225722808E-2</v>
      </c>
      <c r="AI29" s="12">
        <f t="shared" si="26"/>
        <v>-1.1175741525971145E-2</v>
      </c>
    </row>
    <row r="30" spans="1:35" x14ac:dyDescent="0.2">
      <c r="A30" s="25" t="s">
        <v>247</v>
      </c>
      <c r="B30" s="13">
        <f t="shared" si="37"/>
        <v>7.0498525869229431E-2</v>
      </c>
      <c r="C30" s="13">
        <f t="shared" si="37"/>
        <v>1.080448561888417E-2</v>
      </c>
      <c r="D30" s="13">
        <f t="shared" si="37"/>
        <v>0</v>
      </c>
      <c r="E30" s="13">
        <f t="shared" si="37"/>
        <v>0</v>
      </c>
      <c r="F30" s="13">
        <f t="shared" si="37"/>
        <v>2.9474250154063457E-2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2.7152035786405369E-2</v>
      </c>
      <c r="L30"/>
      <c r="M30" s="25" t="s">
        <v>247</v>
      </c>
      <c r="N30" s="43">
        <f t="shared" ref="N30:W30" si="39">N12/N$13</f>
        <v>4.4202408671392864E-2</v>
      </c>
      <c r="O30" s="43">
        <f t="shared" si="39"/>
        <v>8.8074355325627102E-2</v>
      </c>
      <c r="P30" s="43">
        <f t="shared" si="39"/>
        <v>0</v>
      </c>
      <c r="Q30" s="43">
        <f t="shared" si="39"/>
        <v>0</v>
      </c>
      <c r="R30" s="43">
        <f t="shared" si="39"/>
        <v>7.4738650097510018E-2</v>
      </c>
      <c r="S30" s="43">
        <f t="shared" si="39"/>
        <v>3.3852895882726325E-3</v>
      </c>
      <c r="T30" s="43"/>
      <c r="U30" s="43">
        <f t="shared" si="39"/>
        <v>0</v>
      </c>
      <c r="V30" s="43">
        <f t="shared" si="39"/>
        <v>0</v>
      </c>
      <c r="W30" s="43">
        <f t="shared" si="39"/>
        <v>2.9266860216844215E-2</v>
      </c>
      <c r="Y30" s="25" t="s">
        <v>247</v>
      </c>
      <c r="Z30" s="12">
        <f t="shared" si="18"/>
        <v>-2.6296117197836567E-2</v>
      </c>
      <c r="AA30" s="12">
        <f t="shared" si="19"/>
        <v>7.7269869706742933E-2</v>
      </c>
      <c r="AB30" s="12">
        <f t="shared" si="20"/>
        <v>0</v>
      </c>
      <c r="AC30" s="12">
        <f t="shared" si="21"/>
        <v>0</v>
      </c>
      <c r="AD30" s="12">
        <f t="shared" si="22"/>
        <v>4.5264399943446561E-2</v>
      </c>
      <c r="AE30" s="12">
        <f t="shared" si="23"/>
        <v>3.3852895882726325E-3</v>
      </c>
      <c r="AF30" s="12"/>
      <c r="AG30" s="12">
        <f t="shared" si="24"/>
        <v>0</v>
      </c>
      <c r="AH30" s="12">
        <f t="shared" si="25"/>
        <v>0</v>
      </c>
      <c r="AI30" s="12">
        <f t="shared" si="26"/>
        <v>2.1148244304388455E-3</v>
      </c>
    </row>
    <row r="31" spans="1:35" ht="13.5" thickBot="1" x14ac:dyDescent="0.25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36786.263451653045</v>
      </c>
      <c r="O40" s="53">
        <f>output!C189</f>
        <v>304065.99436566682</v>
      </c>
      <c r="P40" s="53">
        <f>output!D189</f>
        <v>291167.8466661165</v>
      </c>
      <c r="Q40" s="53">
        <f>output!E189</f>
        <v>1039670.6171124212</v>
      </c>
      <c r="R40" s="53"/>
      <c r="S40" s="53">
        <f>SUM(N40:Q40)</f>
        <v>1671690.7215958575</v>
      </c>
      <c r="T40" s="53"/>
      <c r="W40" s="57"/>
      <c r="Y40" s="3" t="s">
        <v>210</v>
      </c>
      <c r="Z40" s="7">
        <f t="shared" ref="Z40:Z48" si="42">N40-B40</f>
        <v>12813.159571006345</v>
      </c>
      <c r="AA40" s="7">
        <f t="shared" ref="AA40:AA48" si="43">O40-C40</f>
        <v>-53801.516967623378</v>
      </c>
      <c r="AB40" s="7">
        <f t="shared" ref="AB40:AB48" si="44">P40-D40</f>
        <v>297.87185927201062</v>
      </c>
      <c r="AC40" s="7">
        <f t="shared" ref="AC40:AC48" si="45">Q40-E40</f>
        <v>96904.403387506842</v>
      </c>
      <c r="AD40" s="7">
        <f t="shared" ref="AD40:AD48" si="46">R40-F40</f>
        <v>0</v>
      </c>
      <c r="AE40" s="7">
        <f t="shared" ref="AE40:AE48" si="47">S40-G40</f>
        <v>56213.91785016167</v>
      </c>
      <c r="AF40" s="7"/>
      <c r="AG40"/>
    </row>
    <row r="41" spans="1:35" x14ac:dyDescent="0.2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t="shared" ref="G41:G47" si="48">SUM(B41:E41)</f>
        <v>729776.66995612998</v>
      </c>
      <c r="H41" s="53"/>
      <c r="I41"/>
      <c r="K41"/>
      <c r="L41"/>
      <c r="M41" s="3" t="s">
        <v>211</v>
      </c>
      <c r="N41" s="53">
        <f>output!B190</f>
        <v>62945.296254707588</v>
      </c>
      <c r="O41" s="53">
        <f>output!C190</f>
        <v>172724.80708933886</v>
      </c>
      <c r="P41" s="53">
        <f>output!D190</f>
        <v>120324.86603803064</v>
      </c>
      <c r="Q41" s="53">
        <f>output!E190</f>
        <v>414470.62282342842</v>
      </c>
      <c r="R41" s="53"/>
      <c r="S41" s="53">
        <f t="shared" ref="S41:S50" si="49">SUM(N41:Q41)</f>
        <v>770465.59220550559</v>
      </c>
      <c r="T41" s="53"/>
      <c r="W41" s="57"/>
      <c r="Y41" s="3" t="s">
        <v>211</v>
      </c>
      <c r="Z41" s="7">
        <f t="shared" si="42"/>
        <v>30612.600852536587</v>
      </c>
      <c r="AA41" s="7">
        <f t="shared" si="43"/>
        <v>47567.621375823772</v>
      </c>
      <c r="AB41" s="7">
        <f t="shared" si="44"/>
        <v>17692.225398065144</v>
      </c>
      <c r="AC41" s="7">
        <f t="shared" si="45"/>
        <v>-55183.525377049984</v>
      </c>
      <c r="AD41" s="7">
        <f t="shared" si="46"/>
        <v>0</v>
      </c>
      <c r="AE41" s="7">
        <f t="shared" si="47"/>
        <v>40688.92224937561</v>
      </c>
      <c r="AF41" s="7"/>
      <c r="AG41"/>
    </row>
    <row r="42" spans="1:35" x14ac:dyDescent="0.2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t="shared" si="48"/>
        <v>607323.7092246305</v>
      </c>
      <c r="H42" s="53"/>
      <c r="I42"/>
      <c r="K42"/>
      <c r="L42"/>
      <c r="M42" s="3" t="s">
        <v>212</v>
      </c>
      <c r="N42" s="53">
        <f>output!B191</f>
        <v>43230.974677627106</v>
      </c>
      <c r="O42" s="53">
        <f>output!C191</f>
        <v>148454.14187183545</v>
      </c>
      <c r="P42" s="53">
        <f>output!D191</f>
        <v>119608.61081558553</v>
      </c>
      <c r="Q42" s="53">
        <f>output!E191</f>
        <v>342935.09216524247</v>
      </c>
      <c r="R42" s="53"/>
      <c r="S42" s="53">
        <f t="shared" si="49"/>
        <v>654228.81953029055</v>
      </c>
      <c r="T42" s="53"/>
      <c r="W42" s="57"/>
      <c r="Y42" s="3" t="s">
        <v>212</v>
      </c>
      <c r="Z42" s="7">
        <f t="shared" si="42"/>
        <v>30835.615485299106</v>
      </c>
      <c r="AA42" s="7">
        <f t="shared" si="43"/>
        <v>33317.110845434261</v>
      </c>
      <c r="AB42" s="7">
        <f t="shared" si="44"/>
        <v>26732.962525818133</v>
      </c>
      <c r="AC42" s="7">
        <f t="shared" si="45"/>
        <v>-43980.578550891427</v>
      </c>
      <c r="AD42" s="7">
        <f t="shared" si="46"/>
        <v>0</v>
      </c>
      <c r="AE42" s="7">
        <f t="shared" si="47"/>
        <v>46905.110305660055</v>
      </c>
      <c r="AF42" s="7"/>
      <c r="AG42"/>
    </row>
    <row r="43" spans="1:35" x14ac:dyDescent="0.2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t="shared" si="48"/>
        <v>644537.84340840066</v>
      </c>
      <c r="H43" s="53"/>
      <c r="I43"/>
      <c r="K43"/>
      <c r="L43"/>
      <c r="M43" s="3" t="s">
        <v>213</v>
      </c>
      <c r="N43" s="53">
        <f>output!B192</f>
        <v>68340.773417903707</v>
      </c>
      <c r="O43" s="53">
        <f>output!C192</f>
        <v>215315.77644902194</v>
      </c>
      <c r="P43" s="53">
        <f>output!D192</f>
        <v>125594.99492974562</v>
      </c>
      <c r="Q43" s="53">
        <f>output!E192</f>
        <v>314862.64142090728</v>
      </c>
      <c r="R43" s="53"/>
      <c r="S43" s="53">
        <f t="shared" si="49"/>
        <v>724114.18621757859</v>
      </c>
      <c r="T43" s="53"/>
      <c r="W43" s="57"/>
      <c r="Y43" s="3" t="s">
        <v>213</v>
      </c>
      <c r="Z43" s="7">
        <f t="shared" si="42"/>
        <v>38901.098929025007</v>
      </c>
      <c r="AA43" s="7">
        <f t="shared" si="43"/>
        <v>-8073.491529276449</v>
      </c>
      <c r="AB43" s="7">
        <f t="shared" si="44"/>
        <v>14786.790401413615</v>
      </c>
      <c r="AC43" s="7">
        <f t="shared" si="45"/>
        <v>33961.945008015784</v>
      </c>
      <c r="AD43" s="7">
        <f t="shared" si="46"/>
        <v>0</v>
      </c>
      <c r="AE43" s="7">
        <f t="shared" si="47"/>
        <v>79576.342809177935</v>
      </c>
      <c r="AF43" s="7"/>
      <c r="AG43"/>
    </row>
    <row r="44" spans="1:35" x14ac:dyDescent="0.2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t="shared" si="48"/>
        <v>631931.64038711018</v>
      </c>
      <c r="H44" s="53"/>
      <c r="I44"/>
      <c r="K44"/>
      <c r="L44"/>
      <c r="M44" s="3" t="s">
        <v>214</v>
      </c>
      <c r="N44" s="53">
        <f>output!B193</f>
        <v>68697.576944050248</v>
      </c>
      <c r="O44" s="53">
        <f>output!C193</f>
        <v>202974.85846393625</v>
      </c>
      <c r="P44" s="53">
        <f>output!D193</f>
        <v>126130.34869385991</v>
      </c>
      <c r="Q44" s="53">
        <f>output!E193</f>
        <v>313880.9627999473</v>
      </c>
      <c r="R44" s="53"/>
      <c r="S44" s="53">
        <f t="shared" si="49"/>
        <v>711683.74690179364</v>
      </c>
      <c r="T44" s="53"/>
      <c r="W44" s="57"/>
      <c r="Y44" s="3" t="s">
        <v>214</v>
      </c>
      <c r="Z44" s="7">
        <f t="shared" si="42"/>
        <v>23764.489536435649</v>
      </c>
      <c r="AA44" s="7">
        <f t="shared" si="43"/>
        <v>-14971.20488674214</v>
      </c>
      <c r="AB44" s="7">
        <f t="shared" si="44"/>
        <v>16680.011420727809</v>
      </c>
      <c r="AC44" s="7">
        <f t="shared" si="45"/>
        <v>54278.810444262199</v>
      </c>
      <c r="AD44" s="7">
        <f t="shared" si="46"/>
        <v>0</v>
      </c>
      <c r="AE44" s="7">
        <f t="shared" si="47"/>
        <v>79752.106514683459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t="shared" si="48"/>
        <v>207533.8970321269</v>
      </c>
      <c r="H45" s="53"/>
      <c r="I45"/>
      <c r="K45"/>
      <c r="L45"/>
      <c r="M45" s="3" t="s">
        <v>129</v>
      </c>
      <c r="N45" s="53">
        <f>output!B194</f>
        <v>19099.511920600784</v>
      </c>
      <c r="O45" s="53">
        <f>output!C194</f>
        <v>60627.532636718097</v>
      </c>
      <c r="P45" s="53">
        <f>output!D194</f>
        <v>38168.682010705765</v>
      </c>
      <c r="Q45" s="53">
        <f>output!E194</f>
        <v>93953.602198018605</v>
      </c>
      <c r="R45" s="53"/>
      <c r="S45" s="53">
        <f t="shared" si="49"/>
        <v>211849.32876604324</v>
      </c>
      <c r="T45" s="53"/>
      <c r="W45" s="57"/>
      <c r="Y45" s="3" t="s">
        <v>129</v>
      </c>
      <c r="Z45" s="7">
        <f t="shared" si="42"/>
        <v>5955.7779414416837</v>
      </c>
      <c r="AA45" s="7">
        <f t="shared" si="43"/>
        <v>10813.468269090095</v>
      </c>
      <c r="AB45" s="7">
        <f t="shared" si="44"/>
        <v>-4269.0187618145355</v>
      </c>
      <c r="AC45" s="7">
        <f t="shared" si="45"/>
        <v>-8184.7957148009009</v>
      </c>
      <c r="AD45" s="7">
        <f t="shared" si="46"/>
        <v>0</v>
      </c>
      <c r="AE45" s="7">
        <f t="shared" si="47"/>
        <v>4315.431733916339</v>
      </c>
      <c r="AF45" s="7"/>
      <c r="AG45"/>
    </row>
    <row r="46" spans="1:35" x14ac:dyDescent="0.2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t="shared" si="48"/>
        <v>1018316.8801320216</v>
      </c>
      <c r="H46" s="54"/>
      <c r="I46"/>
      <c r="K46"/>
      <c r="L46"/>
      <c r="M46" s="25" t="s">
        <v>130</v>
      </c>
      <c r="N46" s="54">
        <f>output!B195</f>
        <v>61430.283652139602</v>
      </c>
      <c r="O46" s="54">
        <f>output!C195</f>
        <v>257677.89094140931</v>
      </c>
      <c r="P46" s="54">
        <f>output!D195</f>
        <v>191306.99013468868</v>
      </c>
      <c r="Q46" s="54">
        <f>output!E195</f>
        <v>582762.66355571931</v>
      </c>
      <c r="R46" s="54"/>
      <c r="S46" s="54">
        <f t="shared" si="49"/>
        <v>1093177.828283957</v>
      </c>
      <c r="T46" s="54"/>
      <c r="W46" s="57"/>
      <c r="Y46" s="25" t="s">
        <v>130</v>
      </c>
      <c r="Z46" s="33">
        <f t="shared" si="42"/>
        <v>30246.019397921602</v>
      </c>
      <c r="AA46" s="33">
        <f t="shared" si="43"/>
        <v>38367.036415062699</v>
      </c>
      <c r="AB46" s="33">
        <f t="shared" si="44"/>
        <v>-27169.800702631212</v>
      </c>
      <c r="AC46" s="33">
        <f t="shared" si="45"/>
        <v>33417.693041582126</v>
      </c>
      <c r="AD46" s="33">
        <f t="shared" si="46"/>
        <v>0</v>
      </c>
      <c r="AE46" s="33">
        <f t="shared" si="47"/>
        <v>74860.948151935358</v>
      </c>
      <c r="AF46" s="33"/>
      <c r="AG46"/>
    </row>
    <row r="47" spans="1:35" x14ac:dyDescent="0.2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t="shared" si="48"/>
        <v>171478.47223517619</v>
      </c>
      <c r="H47" s="54"/>
      <c r="I47"/>
      <c r="K47"/>
      <c r="L47"/>
      <c r="M47" s="25" t="s">
        <v>247</v>
      </c>
      <c r="N47" s="59">
        <f>output!B196</f>
        <v>6142.1165304573196</v>
      </c>
      <c r="O47" s="59">
        <f>output!C196</f>
        <v>36804.825146906871</v>
      </c>
      <c r="P47" s="59">
        <f>output!D196</f>
        <v>29633.526425262145</v>
      </c>
      <c r="Q47" s="59">
        <f>output!E196</f>
        <v>103406.94663187049</v>
      </c>
      <c r="R47" s="59"/>
      <c r="S47" s="59">
        <f t="shared" si="49"/>
        <v>175987.41473449685</v>
      </c>
      <c r="T47" s="54"/>
      <c r="W47" s="57"/>
      <c r="Y47" s="25" t="s">
        <v>247</v>
      </c>
      <c r="Z47" s="9">
        <f t="shared" si="42"/>
        <v>4924.0482139533196</v>
      </c>
      <c r="AA47" s="9">
        <f t="shared" si="43"/>
        <v>3079.0386243666726</v>
      </c>
      <c r="AB47" s="9">
        <f t="shared" si="44"/>
        <v>3455.0583283405467</v>
      </c>
      <c r="AC47" s="9">
        <f t="shared" si="45"/>
        <v>-6949.2026673399087</v>
      </c>
      <c r="AD47" s="9">
        <f t="shared" si="46"/>
        <v>0</v>
      </c>
      <c r="AE47" s="9">
        <f t="shared" si="47"/>
        <v>4508.942499320663</v>
      </c>
      <c r="AF47" s="33"/>
      <c r="AG47"/>
    </row>
    <row r="48" spans="1:35" ht="13.5" thickBot="1" x14ac:dyDescent="0.25">
      <c r="A48" s="10" t="s">
        <v>221</v>
      </c>
      <c r="B48" s="60">
        <f t="shared" ref="B48:G48" si="50">SUM(B40:B47)</f>
        <v>188619.98692152009</v>
      </c>
      <c r="C48" s="60">
        <f t="shared" si="50"/>
        <v>1342347.7648186982</v>
      </c>
      <c r="D48" s="60">
        <f t="shared" si="50"/>
        <v>993729.76524480316</v>
      </c>
      <c r="E48" s="60">
        <f t="shared" si="50"/>
        <v>3101678.3991362704</v>
      </c>
      <c r="F48" s="60">
        <f t="shared" si="50"/>
        <v>0</v>
      </c>
      <c r="G48" s="60">
        <f t="shared" si="50"/>
        <v>5626375.916121291</v>
      </c>
      <c r="H48" s="54"/>
      <c r="I48"/>
      <c r="K48"/>
      <c r="L48"/>
      <c r="M48" s="10" t="s">
        <v>221</v>
      </c>
      <c r="N48" s="60">
        <f>SUM(N40:N47)</f>
        <v>366672.79684913938</v>
      </c>
      <c r="O48" s="60">
        <f>SUM(O40:O47)</f>
        <v>1398645.8269648335</v>
      </c>
      <c r="P48" s="60">
        <f>SUM(P40:P47)</f>
        <v>1041935.8657139948</v>
      </c>
      <c r="Q48" s="60">
        <f>SUM(Q40:Q47)</f>
        <v>3205943.1487075551</v>
      </c>
      <c r="R48" s="60"/>
      <c r="S48" s="60">
        <f>SUM(S40:S47)</f>
        <v>6013197.6382355234</v>
      </c>
      <c r="T48" s="54"/>
      <c r="W48" s="57"/>
      <c r="Y48" s="10" t="s">
        <v>221</v>
      </c>
      <c r="Z48" s="22">
        <f t="shared" si="42"/>
        <v>178052.8099276193</v>
      </c>
      <c r="AA48" s="22">
        <f t="shared" si="43"/>
        <v>56298.062146135373</v>
      </c>
      <c r="AB48" s="22">
        <f t="shared" si="44"/>
        <v>48206.100469191675</v>
      </c>
      <c r="AC48" s="22">
        <f t="shared" si="45"/>
        <v>104264.74957128474</v>
      </c>
      <c r="AD48" s="22">
        <f t="shared" si="46"/>
        <v>0</v>
      </c>
      <c r="AE48" s="22">
        <f t="shared" si="47"/>
        <v>386821.72211423237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229472.39050954158</v>
      </c>
      <c r="O50" s="53">
        <f>output!B318</f>
        <v>870027.32078039099</v>
      </c>
      <c r="P50" s="53">
        <f>output!B319</f>
        <v>650117.12699459423</v>
      </c>
      <c r="Q50" s="53">
        <f>output!B320</f>
        <v>1992857.9801793641</v>
      </c>
      <c r="R50" s="53"/>
      <c r="S50" s="54">
        <f t="shared" si="49"/>
        <v>3742474.8184638908</v>
      </c>
      <c r="T50" s="54"/>
      <c r="W50" s="57"/>
      <c r="Y50" s="25" t="s">
        <v>88</v>
      </c>
      <c r="Z50" s="7">
        <f t="shared" ref="Z50:AE51" si="51">N50-B50</f>
        <v>109900.06650954159</v>
      </c>
      <c r="AA50" s="7">
        <f t="shared" si="51"/>
        <v>35217.288180390955</v>
      </c>
      <c r="AB50" s="7">
        <f t="shared" si="51"/>
        <v>59969.796694594203</v>
      </c>
      <c r="AC50" s="7">
        <f t="shared" si="51"/>
        <v>139982.61827936419</v>
      </c>
      <c r="AD50" s="7">
        <f t="shared" si="51"/>
        <v>0</v>
      </c>
      <c r="AE50" s="7">
        <f t="shared" si="51"/>
        <v>345069.76966389082</v>
      </c>
      <c r="AF50" s="7"/>
      <c r="AG50"/>
    </row>
    <row r="51" spans="1:35" x14ac:dyDescent="0.2">
      <c r="A51" s="25" t="s">
        <v>89</v>
      </c>
      <c r="B51" s="37">
        <f t="shared" ref="B51:G51" si="52">B48/B50</f>
        <v>1.5774552221759954</v>
      </c>
      <c r="C51" s="37">
        <f t="shared" si="52"/>
        <v>1.6079679356966776</v>
      </c>
      <c r="D51" s="37">
        <f t="shared" si="52"/>
        <v>1.683867255215139</v>
      </c>
      <c r="E51" s="37">
        <f t="shared" si="52"/>
        <v>1.6739811338177149</v>
      </c>
      <c r="F51" s="37" t="e">
        <f t="shared" si="52"/>
        <v>#DIV/0!</v>
      </c>
      <c r="G51" s="37">
        <f t="shared" si="52"/>
        <v>1.6560804011604644</v>
      </c>
      <c r="H51" s="37"/>
      <c r="I51"/>
      <c r="K51"/>
      <c r="L51"/>
      <c r="M51" s="25" t="s">
        <v>89</v>
      </c>
      <c r="N51" s="37">
        <f t="shared" ref="N51:S51" si="53">N48/N50</f>
        <v>1.5978950497484488</v>
      </c>
      <c r="O51" s="37">
        <f t="shared" si="53"/>
        <v>1.607588398155458</v>
      </c>
      <c r="P51" s="37">
        <f t="shared" si="53"/>
        <v>1.6026894577146844</v>
      </c>
      <c r="Q51" s="37">
        <f t="shared" si="53"/>
        <v>1.6087163162620395</v>
      </c>
      <c r="R51" s="37"/>
      <c r="S51" s="37">
        <f t="shared" si="53"/>
        <v>1.6067436468961085</v>
      </c>
      <c r="T51" s="37"/>
      <c r="W51" s="57"/>
      <c r="Y51" s="25" t="s">
        <v>89</v>
      </c>
      <c r="Z51" s="38">
        <f t="shared" si="51"/>
        <v>2.0439827572453328E-2</v>
      </c>
      <c r="AA51" s="38">
        <f t="shared" si="51"/>
        <v>-3.7953754121966554E-4</v>
      </c>
      <c r="AB51" s="38">
        <f t="shared" si="51"/>
        <v>-8.1177797500454618E-2</v>
      </c>
      <c r="AC51" s="38">
        <f t="shared" si="51"/>
        <v>-6.526481755567537E-2</v>
      </c>
      <c r="AD51" s="38" t="e">
        <f t="shared" si="51"/>
        <v>#DIV/0!</v>
      </c>
      <c r="AE51" s="38">
        <f t="shared" si="51"/>
        <v>-4.9336754264355909E-2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t="shared" ref="B57:F64" si="54">B40/B$48</f>
        <v>0.12709736795083806</v>
      </c>
      <c r="C57" s="42">
        <f t="shared" si="54"/>
        <v>0.26659821002616629</v>
      </c>
      <c r="D57" s="42">
        <f t="shared" si="54"/>
        <v>0.29270530578822834</v>
      </c>
      <c r="E57" s="42">
        <f t="shared" si="54"/>
        <v>0.30395356720008371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0.1003244957568752</v>
      </c>
      <c r="O57" s="42">
        <f t="shared" si="55"/>
        <v>0.21740027997331737</v>
      </c>
      <c r="P57" s="42">
        <f t="shared" si="55"/>
        <v>0.27944891451317055</v>
      </c>
      <c r="Q57" s="42">
        <f t="shared" si="55"/>
        <v>0.3242947765719284</v>
      </c>
      <c r="R57" s="42" t="e">
        <f t="shared" si="55"/>
        <v>#DIV/0!</v>
      </c>
      <c r="S57" s="42">
        <f t="shared" ref="S57:S65" si="56">S40/S$48</f>
        <v>0.27800362172802096</v>
      </c>
      <c r="T57" s="42"/>
      <c r="Y57" s="3" t="s">
        <v>210</v>
      </c>
      <c r="Z57" s="12">
        <f t="shared" ref="Z57:Z65" si="57">N57-B57</f>
        <v>-2.6772872193962863E-2</v>
      </c>
      <c r="AA57" s="12">
        <f t="shared" ref="AA57:AA65" si="58">O57-C57</f>
        <v>-4.9197930052848921E-2</v>
      </c>
      <c r="AB57" s="12">
        <f t="shared" ref="AB57:AB65" si="59">P57-D57</f>
        <v>-1.3256391275057788E-2</v>
      </c>
      <c r="AC57" s="12">
        <f t="shared" ref="AC57:AC65" si="60">Q57-E57</f>
        <v>2.0341209371844693E-2</v>
      </c>
      <c r="AD57" s="12" t="e">
        <f t="shared" ref="AD57:AD65" si="61">R57-F57</f>
        <v>#DIV/0!</v>
      </c>
      <c r="AE57" s="12">
        <f t="shared" ref="AE57:AE65" si="62">S57-G57</f>
        <v>-3.1520365190674193E-2</v>
      </c>
      <c r="AF57" s="12"/>
      <c r="AG57"/>
    </row>
    <row r="58" spans="1:35" x14ac:dyDescent="0.2">
      <c r="A58" s="3" t="s">
        <v>211</v>
      </c>
      <c r="B58" s="42">
        <f t="shared" si="54"/>
        <v>0.17141712248990773</v>
      </c>
      <c r="C58" s="42">
        <f t="shared" si="54"/>
        <v>9.3237526812151569E-2</v>
      </c>
      <c r="D58" s="42">
        <f t="shared" si="54"/>
        <v>0.10328023193979921</v>
      </c>
      <c r="E58" s="42">
        <f t="shared" si="54"/>
        <v>0.15141935680090618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0.17166611975473392</v>
      </c>
      <c r="O58" s="42">
        <f t="shared" si="55"/>
        <v>0.12349431411393452</v>
      </c>
      <c r="P58" s="42">
        <f t="shared" si="55"/>
        <v>0.11548202725085874</v>
      </c>
      <c r="Q58" s="42">
        <f t="shared" si="55"/>
        <v>0.12928196277919596</v>
      </c>
      <c r="R58" s="42" t="e">
        <f t="shared" si="55"/>
        <v>#DIV/0!</v>
      </c>
      <c r="S58" s="42">
        <f t="shared" si="56"/>
        <v>0.12812909845278034</v>
      </c>
      <c r="T58" s="42"/>
      <c r="Y58" s="3" t="s">
        <v>211</v>
      </c>
      <c r="Z58" s="12">
        <f t="shared" si="57"/>
        <v>2.4899726482618956E-4</v>
      </c>
      <c r="AA58" s="12">
        <f t="shared" si="58"/>
        <v>3.0256787301782953E-2</v>
      </c>
      <c r="AB58" s="12">
        <f t="shared" si="59"/>
        <v>1.2201795311059527E-2</v>
      </c>
      <c r="AC58" s="12">
        <f t="shared" si="60"/>
        <v>-2.2137394021710222E-2</v>
      </c>
      <c r="AD58" s="12" t="e">
        <f t="shared" si="61"/>
        <v>#DIV/0!</v>
      </c>
      <c r="AE58" s="12">
        <f t="shared" si="62"/>
        <v>-2.789168339240275E-2</v>
      </c>
      <c r="AF58" s="12"/>
      <c r="AG58"/>
    </row>
    <row r="59" spans="1:35" x14ac:dyDescent="0.2">
      <c r="A59" s="3" t="s">
        <v>212</v>
      </c>
      <c r="B59" s="42">
        <f t="shared" si="54"/>
        <v>6.5716043112045111E-2</v>
      </c>
      <c r="C59" s="42">
        <f t="shared" si="54"/>
        <v>8.5772877970971981E-2</v>
      </c>
      <c r="D59" s="42">
        <f t="shared" si="54"/>
        <v>9.3461674932206223E-2</v>
      </c>
      <c r="E59" s="42">
        <f t="shared" si="54"/>
        <v>0.12474396791874971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0.11790068706791379</v>
      </c>
      <c r="O59" s="42">
        <f t="shared" si="55"/>
        <v>0.10614133972286043</v>
      </c>
      <c r="P59" s="42">
        <f t="shared" si="55"/>
        <v>0.11479459988991048</v>
      </c>
      <c r="Q59" s="42">
        <f t="shared" si="55"/>
        <v>0.10696855067548326</v>
      </c>
      <c r="R59" s="42" t="e">
        <f t="shared" si="55"/>
        <v>#DIV/0!</v>
      </c>
      <c r="S59" s="42">
        <f t="shared" si="56"/>
        <v>0.10879882200616701</v>
      </c>
      <c r="T59" s="42"/>
      <c r="Y59" s="3" t="s">
        <v>212</v>
      </c>
      <c r="Z59" s="12">
        <f t="shared" si="57"/>
        <v>5.2184643955868679E-2</v>
      </c>
      <c r="AA59" s="12">
        <f t="shared" si="58"/>
        <v>2.0368461751888445E-2</v>
      </c>
      <c r="AB59" s="12">
        <f t="shared" si="59"/>
        <v>2.1332924957704252E-2</v>
      </c>
      <c r="AC59" s="12">
        <f t="shared" si="60"/>
        <v>-1.777541724326645E-2</v>
      </c>
      <c r="AD59" s="12" t="e">
        <f t="shared" si="61"/>
        <v>#DIV/0!</v>
      </c>
      <c r="AE59" s="12">
        <f t="shared" si="62"/>
        <v>-6.5374709813960472E-2</v>
      </c>
      <c r="AF59" s="12"/>
      <c r="AG59"/>
    </row>
    <row r="60" spans="1:35" x14ac:dyDescent="0.2">
      <c r="A60" s="3" t="s">
        <v>213</v>
      </c>
      <c r="B60" s="42">
        <f t="shared" si="54"/>
        <v>0.15607929450831629</v>
      </c>
      <c r="C60" s="42">
        <f t="shared" si="54"/>
        <v>0.16641683610839109</v>
      </c>
      <c r="D60" s="42">
        <f t="shared" si="54"/>
        <v>0.1115073819903489</v>
      </c>
      <c r="E60" s="42">
        <f t="shared" si="54"/>
        <v>9.0564094746610216E-2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0.18638081146232735</v>
      </c>
      <c r="O60" s="42">
        <f t="shared" si="55"/>
        <v>0.15394588987283031</v>
      </c>
      <c r="P60" s="42">
        <f t="shared" si="55"/>
        <v>0.12054004383818831</v>
      </c>
      <c r="Q60" s="42">
        <f t="shared" si="55"/>
        <v>9.8212172460962421E-2</v>
      </c>
      <c r="R60" s="42" t="e">
        <f t="shared" si="55"/>
        <v>#DIV/0!</v>
      </c>
      <c r="S60" s="42">
        <f t="shared" si="56"/>
        <v>0.12042081930140222</v>
      </c>
      <c r="T60" s="42"/>
      <c r="Y60" s="3" t="s">
        <v>213</v>
      </c>
      <c r="Z60" s="12">
        <f t="shared" si="57"/>
        <v>3.0301516954011065E-2</v>
      </c>
      <c r="AA60" s="12">
        <f t="shared" si="58"/>
        <v>-1.2470946235560776E-2</v>
      </c>
      <c r="AB60" s="12">
        <f t="shared" si="59"/>
        <v>9.0326618478394072E-3</v>
      </c>
      <c r="AC60" s="12">
        <f t="shared" si="60"/>
        <v>7.6480777143522055E-3</v>
      </c>
      <c r="AD60" s="12" t="e">
        <f t="shared" si="61"/>
        <v>#DIV/0!</v>
      </c>
      <c r="AE60" s="12">
        <f t="shared" si="62"/>
        <v>1.4186530122079377E-2</v>
      </c>
      <c r="AF60" s="12"/>
      <c r="AG60"/>
    </row>
    <row r="61" spans="1:35" x14ac:dyDescent="0.2">
      <c r="A61" s="3" t="s">
        <v>214</v>
      </c>
      <c r="B61" s="42">
        <f t="shared" si="54"/>
        <v>0.23822018090961961</v>
      </c>
      <c r="C61" s="42">
        <f t="shared" si="54"/>
        <v>0.16236184769906842</v>
      </c>
      <c r="D61" s="42">
        <f t="shared" si="54"/>
        <v>0.11014094686614248</v>
      </c>
      <c r="E61" s="42">
        <f t="shared" si="54"/>
        <v>8.3697314469474635E-2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0.18735389571949776</v>
      </c>
      <c r="O61" s="42">
        <f t="shared" si="55"/>
        <v>0.14512241380250421</v>
      </c>
      <c r="P61" s="42">
        <f t="shared" si="55"/>
        <v>0.12105385066808128</v>
      </c>
      <c r="Q61" s="42">
        <f t="shared" si="55"/>
        <v>9.7905966587862103E-2</v>
      </c>
      <c r="R61" s="42" t="e">
        <f t="shared" si="55"/>
        <v>#DIV/0!</v>
      </c>
      <c r="S61" s="42">
        <f t="shared" si="56"/>
        <v>0.11835362642606004</v>
      </c>
      <c r="T61" s="42"/>
      <c r="Y61" s="3" t="s">
        <v>214</v>
      </c>
      <c r="Z61" s="12">
        <f t="shared" si="57"/>
        <v>-5.0866285190121846E-2</v>
      </c>
      <c r="AA61" s="12">
        <f t="shared" si="58"/>
        <v>-1.723943389656421E-2</v>
      </c>
      <c r="AB61" s="12">
        <f t="shared" si="59"/>
        <v>1.0912903801938795E-2</v>
      </c>
      <c r="AC61" s="12">
        <f t="shared" si="60"/>
        <v>1.4208652118387469E-2</v>
      </c>
      <c r="AD61" s="12" t="e">
        <f t="shared" si="61"/>
        <v>#DIV/0!</v>
      </c>
      <c r="AE61" s="12">
        <f t="shared" si="62"/>
        <v>4.1385716577179543E-2</v>
      </c>
      <c r="AF61" s="12"/>
      <c r="AG61"/>
    </row>
    <row r="62" spans="1:35" x14ac:dyDescent="0.2">
      <c r="A62" s="3" t="s">
        <v>129</v>
      </c>
      <c r="B62" s="42">
        <f t="shared" si="54"/>
        <v>6.9683675593869426E-2</v>
      </c>
      <c r="C62" s="42">
        <f t="shared" si="54"/>
        <v>3.7109656434192409E-2</v>
      </c>
      <c r="D62" s="42">
        <f t="shared" si="54"/>
        <v>4.2705474120588373E-2</v>
      </c>
      <c r="E62" s="42">
        <f t="shared" si="54"/>
        <v>3.2930041341894811E-2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5.2088707110876618E-2</v>
      </c>
      <c r="O62" s="42">
        <f t="shared" si="55"/>
        <v>4.3347308852509425E-2</v>
      </c>
      <c r="P62" s="42">
        <f t="shared" si="55"/>
        <v>3.6632467761871672E-2</v>
      </c>
      <c r="Q62" s="42">
        <f t="shared" si="55"/>
        <v>2.9306072453560223E-2</v>
      </c>
      <c r="R62" s="42" t="e">
        <f t="shared" si="55"/>
        <v>#DIV/0!</v>
      </c>
      <c r="S62" s="42">
        <f t="shared" si="56"/>
        <v>3.5230727727786279E-2</v>
      </c>
      <c r="T62" s="42"/>
      <c r="Y62" s="3" t="s">
        <v>129</v>
      </c>
      <c r="Z62" s="12">
        <f t="shared" si="57"/>
        <v>-1.7594968482992808E-2</v>
      </c>
      <c r="AA62" s="12">
        <f t="shared" si="58"/>
        <v>6.2376524183170162E-3</v>
      </c>
      <c r="AB62" s="12">
        <f t="shared" si="59"/>
        <v>-6.073006358716701E-3</v>
      </c>
      <c r="AC62" s="12">
        <f t="shared" si="60"/>
        <v>-3.6239688883345882E-3</v>
      </c>
      <c r="AD62" s="12" t="e">
        <f t="shared" si="61"/>
        <v>#DIV/0!</v>
      </c>
      <c r="AE62" s="12">
        <f t="shared" si="62"/>
        <v>-1.5708369912413381E-3</v>
      </c>
      <c r="AF62" s="12"/>
      <c r="AG62"/>
    </row>
    <row r="63" spans="1:35" x14ac:dyDescent="0.2">
      <c r="A63" s="25" t="s">
        <v>130</v>
      </c>
      <c r="B63" s="42">
        <f t="shared" si="54"/>
        <v>0.16532852516415966</v>
      </c>
      <c r="C63" s="42">
        <f t="shared" si="54"/>
        <v>0.16337856721947716</v>
      </c>
      <c r="D63" s="42">
        <f t="shared" si="54"/>
        <v>0.21985533540247595</v>
      </c>
      <c r="E63" s="42">
        <f t="shared" si="54"/>
        <v>0.17711216310082767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0.16753433628023934</v>
      </c>
      <c r="O63" s="56">
        <f t="shared" si="55"/>
        <v>0.18423383959939998</v>
      </c>
      <c r="P63" s="56">
        <f t="shared" si="55"/>
        <v>0.18360726070562322</v>
      </c>
      <c r="Q63" s="56">
        <f t="shared" si="55"/>
        <v>0.18177573229601854</v>
      </c>
      <c r="R63" s="56" t="e">
        <f t="shared" si="55"/>
        <v>#DIV/0!</v>
      </c>
      <c r="S63" s="56">
        <f t="shared" si="56"/>
        <v>0.18179642414093886</v>
      </c>
      <c r="T63" s="56"/>
      <c r="Y63" s="25" t="s">
        <v>130</v>
      </c>
      <c r="Z63" s="12">
        <f t="shared" si="57"/>
        <v>2.2058111160796756E-3</v>
      </c>
      <c r="AA63" s="12">
        <f t="shared" si="58"/>
        <v>2.0855272379922823E-2</v>
      </c>
      <c r="AB63" s="12">
        <f t="shared" si="59"/>
        <v>-3.6248074696852733E-2</v>
      </c>
      <c r="AC63" s="12">
        <f t="shared" si="60"/>
        <v>4.6635691951908698E-3</v>
      </c>
      <c r="AD63" s="12" t="e">
        <f t="shared" si="61"/>
        <v>#DIV/0!</v>
      </c>
      <c r="AE63" s="12">
        <f t="shared" si="62"/>
        <v>6.583551615975182E-2</v>
      </c>
      <c r="AF63" s="12"/>
      <c r="AG63"/>
    </row>
    <row r="64" spans="1:35" x14ac:dyDescent="0.2">
      <c r="A64" s="25" t="s">
        <v>247</v>
      </c>
      <c r="B64" s="42">
        <f t="shared" si="54"/>
        <v>6.4577902712441961E-3</v>
      </c>
      <c r="C64" s="42">
        <f t="shared" si="54"/>
        <v>2.5124477729580989E-2</v>
      </c>
      <c r="D64" s="42">
        <f t="shared" si="54"/>
        <v>2.6343648960210617E-2</v>
      </c>
      <c r="E64" s="42">
        <f t="shared" si="54"/>
        <v>3.5579494421453063E-2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1.6750946847536054E-2</v>
      </c>
      <c r="O64" s="56">
        <f t="shared" si="55"/>
        <v>2.6314614062643796E-2</v>
      </c>
      <c r="P64" s="56">
        <f t="shared" si="55"/>
        <v>2.844083537229572E-2</v>
      </c>
      <c r="Q64" s="56">
        <f t="shared" si="55"/>
        <v>3.2254766174989097E-2</v>
      </c>
      <c r="R64" s="56" t="e">
        <f t="shared" si="55"/>
        <v>#DIV/0!</v>
      </c>
      <c r="S64" s="56">
        <f t="shared" si="56"/>
        <v>2.9266860216844218E-2</v>
      </c>
      <c r="T64" s="56"/>
      <c r="Y64" s="25" t="s">
        <v>247</v>
      </c>
      <c r="Z64" s="12">
        <f t="shared" si="57"/>
        <v>1.0293156576291859E-2</v>
      </c>
      <c r="AA64" s="12">
        <f t="shared" si="58"/>
        <v>1.1901363330628079E-3</v>
      </c>
      <c r="AB64" s="12">
        <f t="shared" si="59"/>
        <v>2.097186412085103E-3</v>
      </c>
      <c r="AC64" s="12">
        <f t="shared" si="60"/>
        <v>-3.3247282464639663E-3</v>
      </c>
      <c r="AD64" s="12" t="e">
        <f t="shared" si="61"/>
        <v>#DIV/0!</v>
      </c>
      <c r="AE64" s="12">
        <f t="shared" si="62"/>
        <v>4.9498325292679259E-3</v>
      </c>
      <c r="AF64" s="12"/>
      <c r="AG64"/>
    </row>
    <row r="65" spans="1:41" ht="13.5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48429.275915222192</v>
      </c>
      <c r="O74" s="53">
        <f>output!C200</f>
        <v>407534.1141528858</v>
      </c>
      <c r="P74" s="53">
        <f>output!D200</f>
        <v>935652.01114999899</v>
      </c>
      <c r="Q74" s="53">
        <f>output!E200</f>
        <v>280075.32037775085</v>
      </c>
      <c r="R74" s="53">
        <f>output!F200</f>
        <v>1671690.7215958578</v>
      </c>
      <c r="Y74" s="3" t="s">
        <v>210</v>
      </c>
      <c r="Z74" s="7">
        <f t="shared" ref="Z74:Z82" si="63">N74-B74</f>
        <v>-11851.238285415209</v>
      </c>
      <c r="AA74" s="7">
        <f t="shared" ref="AA74:AA82" si="64">O74-C74</f>
        <v>16184.211592709878</v>
      </c>
      <c r="AB74" s="7">
        <f t="shared" ref="AB74:AB82" si="65">P74-D74</f>
        <v>9837.82596233394</v>
      </c>
      <c r="AC74" s="7">
        <f t="shared" ref="AC74:AC82" si="66">Q74-E74</f>
        <v>-70039.030928917171</v>
      </c>
      <c r="AD74" s="7">
        <f t="shared" ref="AD74:AD82" si="67">R74-F74</f>
        <v>-55868.231659288518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33747.66968444801</v>
      </c>
      <c r="O75" s="53">
        <f>output!C201</f>
        <v>258347.98725635122</v>
      </c>
      <c r="P75" s="53">
        <f>output!D201</f>
        <v>379104.32558782125</v>
      </c>
      <c r="Q75" s="53">
        <f>output!E201</f>
        <v>99265.609676884982</v>
      </c>
      <c r="R75" s="53">
        <f>output!F201</f>
        <v>770465.59220550535</v>
      </c>
      <c r="Y75" s="3" t="s">
        <v>211</v>
      </c>
      <c r="Z75" s="7">
        <f t="shared" si="63"/>
        <v>3003.7724857803114</v>
      </c>
      <c r="AA75" s="7">
        <f t="shared" si="64"/>
        <v>65565.504266837728</v>
      </c>
      <c r="AB75" s="7">
        <f t="shared" si="65"/>
        <v>-46714.50504297443</v>
      </c>
      <c r="AC75" s="7">
        <f t="shared" si="66"/>
        <v>-56465.704552961019</v>
      </c>
      <c r="AD75" s="7">
        <f t="shared" si="67"/>
        <v>-34610.932843317511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22835.716641284551</v>
      </c>
      <c r="O76" s="53">
        <f>output!C202</f>
        <v>198547.64536768076</v>
      </c>
      <c r="P76" s="53">
        <f>output!D202</f>
        <v>341122.84868675127</v>
      </c>
      <c r="Q76" s="53">
        <f>output!E202</f>
        <v>91722.608834573984</v>
      </c>
      <c r="R76" s="53">
        <f>output!F202</f>
        <v>654228.81953029055</v>
      </c>
      <c r="Y76" s="3" t="s">
        <v>212</v>
      </c>
      <c r="Z76" s="7">
        <f t="shared" si="63"/>
        <v>20714.19652105555</v>
      </c>
      <c r="AA76" s="7">
        <f t="shared" si="64"/>
        <v>25951.072923758155</v>
      </c>
      <c r="AB76" s="7">
        <f t="shared" si="65"/>
        <v>-37982.368430205213</v>
      </c>
      <c r="AC76" s="7">
        <f t="shared" si="66"/>
        <v>-3251.0945818870096</v>
      </c>
      <c r="AD76" s="7">
        <f t="shared" si="67"/>
        <v>5431.8064327214379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46694.252107522167</v>
      </c>
      <c r="O77" s="53">
        <f>output!C203</f>
        <v>178237.98554734146</v>
      </c>
      <c r="P77" s="53">
        <f>output!D203</f>
        <v>392362.41445080651</v>
      </c>
      <c r="Q77" s="53">
        <f>output!E203</f>
        <v>106819.53411190838</v>
      </c>
      <c r="R77" s="53">
        <f>output!F203</f>
        <v>724114.18621757859</v>
      </c>
      <c r="Y77" s="3" t="s">
        <v>213</v>
      </c>
      <c r="Z77" s="7">
        <f t="shared" si="63"/>
        <v>2640.6819506157699</v>
      </c>
      <c r="AA77" s="7">
        <f t="shared" si="64"/>
        <v>19530.072874441365</v>
      </c>
      <c r="AB77" s="7">
        <f t="shared" si="65"/>
        <v>22000.861220193619</v>
      </c>
      <c r="AC77" s="7">
        <f t="shared" si="66"/>
        <v>-38200.535056054039</v>
      </c>
      <c r="AD77" s="7">
        <f t="shared" si="67"/>
        <v>5971.0809891967801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53772.03924962326</v>
      </c>
      <c r="O78" s="53">
        <f>output!C204</f>
        <v>174704.60884023597</v>
      </c>
      <c r="P78" s="53">
        <f>output!D204</f>
        <v>379069.97836885194</v>
      </c>
      <c r="Q78" s="53">
        <f>output!E204</f>
        <v>104137.12044308252</v>
      </c>
      <c r="R78" s="53">
        <f>output!F204</f>
        <v>711683.74690179375</v>
      </c>
      <c r="Y78" s="3" t="s">
        <v>214</v>
      </c>
      <c r="Z78" s="7">
        <f t="shared" si="63"/>
        <v>-16618.769869915435</v>
      </c>
      <c r="AA78" s="7">
        <f t="shared" si="64"/>
        <v>3153.9299450402614</v>
      </c>
      <c r="AB78" s="7">
        <f t="shared" si="65"/>
        <v>41039.945250536024</v>
      </c>
      <c r="AC78" s="7">
        <f t="shared" si="66"/>
        <v>-18329.173731255491</v>
      </c>
      <c r="AD78" s="7">
        <f t="shared" si="67"/>
        <v>9245.9315944054397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12213.220699154934</v>
      </c>
      <c r="O79" s="53">
        <f>output!C205</f>
        <v>64709.011965890859</v>
      </c>
      <c r="P79" s="53">
        <f>output!D205</f>
        <v>106314.23346957793</v>
      </c>
      <c r="Q79" s="53">
        <f>output!E205</f>
        <v>28612.862631419528</v>
      </c>
      <c r="R79" s="53">
        <f>output!F205</f>
        <v>211849.32876604327</v>
      </c>
      <c r="Y79" s="3" t="s">
        <v>129</v>
      </c>
      <c r="Z79" s="7">
        <f t="shared" si="63"/>
        <v>-11914.542039471065</v>
      </c>
      <c r="AA79" s="7">
        <f t="shared" si="64"/>
        <v>25220.002750509659</v>
      </c>
      <c r="AB79" s="7">
        <f t="shared" si="65"/>
        <v>-13394.045566835179</v>
      </c>
      <c r="AC79" s="7">
        <f t="shared" si="66"/>
        <v>-13312.630105011172</v>
      </c>
      <c r="AD79" s="7">
        <f t="shared" si="67"/>
        <v>-13401.214960807731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40270.767576867343</v>
      </c>
      <c r="O80" s="54">
        <f>output!C206</f>
        <v>261708.3429164798</v>
      </c>
      <c r="P80" s="54">
        <f>output!D206</f>
        <v>612521.74945788586</v>
      </c>
      <c r="Q80" s="54">
        <f>output!E206</f>
        <v>178676.96833272383</v>
      </c>
      <c r="R80" s="54">
        <f>output!F206</f>
        <v>1093177.8282839567</v>
      </c>
      <c r="Y80" s="25" t="s">
        <v>130</v>
      </c>
      <c r="Z80" s="33">
        <f t="shared" si="63"/>
        <v>5389.5008328519398</v>
      </c>
      <c r="AA80" s="33">
        <f t="shared" si="64"/>
        <v>33377.315763435705</v>
      </c>
      <c r="AB80" s="33">
        <f t="shared" si="65"/>
        <v>-45461.842310680775</v>
      </c>
      <c r="AC80" s="33">
        <f t="shared" si="66"/>
        <v>9862.2533716067264</v>
      </c>
      <c r="AD80" s="33">
        <f t="shared" si="67"/>
        <v>3167.2276572135743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5879.6861926937454</v>
      </c>
      <c r="O81" s="59">
        <f>output!C207</f>
        <v>51099.397775456797</v>
      </c>
      <c r="P81" s="59">
        <f>output!D207</f>
        <v>92785.628846250067</v>
      </c>
      <c r="Q81" s="59">
        <f>output!E207</f>
        <v>26222.701920096213</v>
      </c>
      <c r="R81" s="59">
        <f>output!F207</f>
        <v>175987.41473449682</v>
      </c>
      <c r="Y81" s="25" t="s">
        <v>247</v>
      </c>
      <c r="Z81" s="9">
        <f t="shared" si="63"/>
        <v>-3829.6740776514544</v>
      </c>
      <c r="AA81" s="9">
        <f t="shared" si="64"/>
        <v>4436.0428255980951</v>
      </c>
      <c r="AB81" s="9">
        <f t="shared" si="65"/>
        <v>-6258.189638233438</v>
      </c>
      <c r="AC81" s="9">
        <f t="shared" si="66"/>
        <v>-2403.9297726405857</v>
      </c>
      <c r="AD81" s="9">
        <f t="shared" si="67"/>
        <v>-8055.7506629273703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263842.62806681619</v>
      </c>
      <c r="O82" s="60">
        <f>SUM(O74:O81)</f>
        <v>1594889.0938223226</v>
      </c>
      <c r="P82" s="60">
        <f>SUM(P74:P81)</f>
        <v>3238933.1900179437</v>
      </c>
      <c r="Q82" s="60">
        <f>SUM(Q74:Q81)</f>
        <v>915532.72632844036</v>
      </c>
      <c r="R82" s="60">
        <f>SUM(R74:R81)</f>
        <v>6013197.6382355234</v>
      </c>
      <c r="Y82" s="10" t="s">
        <v>221</v>
      </c>
      <c r="Z82" s="22">
        <f t="shared" si="63"/>
        <v>-12466.072482149582</v>
      </c>
      <c r="AA82" s="22">
        <f t="shared" si="64"/>
        <v>193418.15294233081</v>
      </c>
      <c r="AB82" s="22">
        <f t="shared" si="65"/>
        <v>-76932.318555865437</v>
      </c>
      <c r="AC82" s="22">
        <f t="shared" si="66"/>
        <v>-192139.84535711969</v>
      </c>
      <c r="AD82" s="22">
        <f t="shared" si="67"/>
        <v>-88120.083452804014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166519.15446434621</v>
      </c>
      <c r="O84" s="53">
        <f>output!B325</f>
        <v>1016199.0154796486</v>
      </c>
      <c r="P84" s="53">
        <f>output!B326</f>
        <v>1994914.1750800051</v>
      </c>
      <c r="Q84" s="53">
        <f>output!B327</f>
        <v>564842.47343989101</v>
      </c>
      <c r="R84" s="53">
        <f>SUM(N84:Q84)</f>
        <v>3742474.8184638908</v>
      </c>
      <c r="Y84" s="25" t="s">
        <v>88</v>
      </c>
      <c r="Z84" s="7">
        <f t="shared" ref="Z84:AD85" si="68">N84-B84</f>
        <v>-10870.689335653791</v>
      </c>
      <c r="AA84" s="7">
        <f t="shared" si="68"/>
        <v>117905.56277964858</v>
      </c>
      <c r="AB84" s="7">
        <f t="shared" si="68"/>
        <v>67343.336380005116</v>
      </c>
      <c r="AC84" s="7">
        <f t="shared" si="68"/>
        <v>-140421.35796010902</v>
      </c>
      <c r="AD84" s="7">
        <f t="shared" si="68"/>
        <v>33956.851863890886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1.5844581298502096</v>
      </c>
      <c r="O85" s="37">
        <f>O82/O84</f>
        <v>1.5694653011147928</v>
      </c>
      <c r="P85" s="37">
        <f>P82/P84</f>
        <v>1.6235952556144666</v>
      </c>
      <c r="Q85" s="37">
        <f>Q82/Q84</f>
        <v>1.6208638149196632</v>
      </c>
      <c r="R85" s="37">
        <f>R82/R84</f>
        <v>1.6067436468961085</v>
      </c>
      <c r="Y85" s="25" t="s">
        <v>89</v>
      </c>
      <c r="Z85" s="38">
        <f t="shared" si="68"/>
        <v>2.6822728465602408E-2</v>
      </c>
      <c r="AA85" s="38">
        <f t="shared" si="68"/>
        <v>9.3170704140217442E-3</v>
      </c>
      <c r="AB85" s="38">
        <f t="shared" si="68"/>
        <v>-9.6634912844664189E-2</v>
      </c>
      <c r="AC85" s="38">
        <f t="shared" si="68"/>
        <v>5.0284802684271268E-2</v>
      </c>
      <c r="AD85" s="38">
        <f t="shared" si="68"/>
        <v>-3.8473600704842514E-2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t="shared" ref="B91:F96" si="69">B74/B$82</f>
        <v>0.21816364841524361</v>
      </c>
      <c r="C91" s="12">
        <f t="shared" si="69"/>
        <v>0.27924225265380459</v>
      </c>
      <c r="D91" s="12">
        <f t="shared" si="69"/>
        <v>0.27920739933323413</v>
      </c>
      <c r="E91" s="12">
        <f t="shared" si="69"/>
        <v>0.31608108772964771</v>
      </c>
      <c r="F91" s="12">
        <f t="shared" si="69"/>
        <v>0.28314522076340987</v>
      </c>
      <c r="L91"/>
      <c r="M91" s="3" t="s">
        <v>210</v>
      </c>
      <c r="N91" s="42">
        <f t="shared" ref="N91:R99" si="70">N74/N$82</f>
        <v>0.1835536443449837</v>
      </c>
      <c r="O91" s="42">
        <f t="shared" si="70"/>
        <v>0.25552504919084162</v>
      </c>
      <c r="P91" s="42">
        <f t="shared" si="70"/>
        <v>0.28887660110853214</v>
      </c>
      <c r="Q91" s="42">
        <f t="shared" si="70"/>
        <v>0.30591513806495646</v>
      </c>
      <c r="R91" s="42">
        <f t="shared" si="70"/>
        <v>0.27800362172802101</v>
      </c>
      <c r="Y91" s="3" t="s">
        <v>210</v>
      </c>
      <c r="Z91" s="12">
        <f t="shared" ref="Z91:Z99" si="71">N91-B91</f>
        <v>-3.4610004070259909E-2</v>
      </c>
      <c r="AA91" s="12">
        <f t="shared" ref="AA91:AA99" si="72">O91-C91</f>
        <v>-2.3717203462962966E-2</v>
      </c>
      <c r="AB91" s="12">
        <f t="shared" ref="AB91:AB99" si="73">P91-D91</f>
        <v>9.6692017752980086E-3</v>
      </c>
      <c r="AC91" s="12">
        <f t="shared" ref="AC91:AC99" si="74">Q91-E91</f>
        <v>-1.0165949664691254E-2</v>
      </c>
      <c r="AD91" s="12">
        <f t="shared" ref="AD91:AD99" si="75">R91-F91</f>
        <v>-5.1415990353888552E-3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t="shared" si="69"/>
        <v>0.1112664825160634</v>
      </c>
      <c r="C92" s="12">
        <f t="shared" si="69"/>
        <v>0.13755724600929953</v>
      </c>
      <c r="D92" s="12">
        <f t="shared" si="69"/>
        <v>0.1284186073077328</v>
      </c>
      <c r="E92" s="12">
        <f t="shared" si="69"/>
        <v>0.14059327477330921</v>
      </c>
      <c r="F92" s="12">
        <f t="shared" si="69"/>
        <v>0.13195125410155595</v>
      </c>
      <c r="L92"/>
      <c r="M92" s="3" t="s">
        <v>211</v>
      </c>
      <c r="N92" s="42">
        <f t="shared" si="70"/>
        <v>0.12790832903582836</v>
      </c>
      <c r="O92" s="42">
        <f t="shared" si="70"/>
        <v>0.16198492312540216</v>
      </c>
      <c r="P92" s="42">
        <f t="shared" si="70"/>
        <v>0.11704604675273374</v>
      </c>
      <c r="Q92" s="42">
        <f t="shared" si="70"/>
        <v>0.10842387914954141</v>
      </c>
      <c r="R92" s="42">
        <f t="shared" si="70"/>
        <v>0.12812909845278031</v>
      </c>
      <c r="Y92" s="3" t="s">
        <v>211</v>
      </c>
      <c r="Z92" s="12">
        <f t="shared" si="71"/>
        <v>1.6641846519764955E-2</v>
      </c>
      <c r="AA92" s="12">
        <f t="shared" si="72"/>
        <v>2.4427677116102636E-2</v>
      </c>
      <c r="AB92" s="12">
        <f t="shared" si="73"/>
        <v>-1.1372560554999064E-2</v>
      </c>
      <c r="AC92" s="12">
        <f t="shared" si="74"/>
        <v>-3.2169395623767805E-2</v>
      </c>
      <c r="AD92" s="12">
        <f t="shared" si="75"/>
        <v>-3.8221556487756381E-3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t="shared" si="69"/>
        <v>7.6780793222001233E-3</v>
      </c>
      <c r="C93" s="12">
        <f t="shared" si="69"/>
        <v>0.12315387169965024</v>
      </c>
      <c r="D93" s="12">
        <f t="shared" si="69"/>
        <v>0.11433069771277118</v>
      </c>
      <c r="E93" s="12">
        <f t="shared" si="69"/>
        <v>8.574167659666633E-2</v>
      </c>
      <c r="F93" s="12">
        <f t="shared" si="69"/>
        <v>0.10633719512611074</v>
      </c>
      <c r="L93"/>
      <c r="M93" s="3" t="s">
        <v>212</v>
      </c>
      <c r="N93" s="42">
        <f t="shared" si="70"/>
        <v>8.6550519939111489E-2</v>
      </c>
      <c r="O93" s="42">
        <f t="shared" si="70"/>
        <v>0.12448993860246424</v>
      </c>
      <c r="P93" s="42">
        <f t="shared" si="70"/>
        <v>0.10531950758912118</v>
      </c>
      <c r="Q93" s="42">
        <f t="shared" si="70"/>
        <v>0.1001849592011954</v>
      </c>
      <c r="R93" s="42">
        <f t="shared" si="70"/>
        <v>0.10879882200616701</v>
      </c>
      <c r="Y93" s="3" t="s">
        <v>212</v>
      </c>
      <c r="Z93" s="12">
        <f t="shared" si="71"/>
        <v>7.8872440616911371E-2</v>
      </c>
      <c r="AA93" s="12">
        <f t="shared" si="72"/>
        <v>1.336066902814001E-3</v>
      </c>
      <c r="AB93" s="12">
        <f t="shared" si="73"/>
        <v>-9.0111901236500092E-3</v>
      </c>
      <c r="AC93" s="12">
        <f t="shared" si="74"/>
        <v>1.4443282604529067E-2</v>
      </c>
      <c r="AD93" s="12">
        <f t="shared" si="75"/>
        <v>2.4616268800562724E-3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t="shared" si="69"/>
        <v>0.15943605854387305</v>
      </c>
      <c r="C94" s="12">
        <f t="shared" si="69"/>
        <v>0.11324381265675511</v>
      </c>
      <c r="D94" s="12">
        <f t="shared" si="69"/>
        <v>0.11169378018287283</v>
      </c>
      <c r="E94" s="12">
        <f t="shared" si="69"/>
        <v>0.13092322846568588</v>
      </c>
      <c r="F94" s="12">
        <f t="shared" si="69"/>
        <v>0.1177029517206753</v>
      </c>
      <c r="L94"/>
      <c r="M94" s="3" t="s">
        <v>213</v>
      </c>
      <c r="N94" s="42">
        <f t="shared" si="70"/>
        <v>0.17697766448754898</v>
      </c>
      <c r="O94" s="42">
        <f t="shared" si="70"/>
        <v>0.11175572410503795</v>
      </c>
      <c r="P94" s="42">
        <f t="shared" si="70"/>
        <v>0.12113939727439478</v>
      </c>
      <c r="Q94" s="42">
        <f t="shared" si="70"/>
        <v>0.11667473050394016</v>
      </c>
      <c r="R94" s="42">
        <f t="shared" si="70"/>
        <v>0.12042081930140222</v>
      </c>
      <c r="Y94" s="3" t="s">
        <v>213</v>
      </c>
      <c r="Z94" s="12">
        <f t="shared" si="71"/>
        <v>1.7541605943675931E-2</v>
      </c>
      <c r="AA94" s="12">
        <f t="shared" si="72"/>
        <v>-1.4880885517171566E-3</v>
      </c>
      <c r="AB94" s="12">
        <f t="shared" si="73"/>
        <v>9.4456170915219462E-3</v>
      </c>
      <c r="AC94" s="12">
        <f t="shared" si="74"/>
        <v>-1.4248497961745724E-2</v>
      </c>
      <c r="AD94" s="12">
        <f t="shared" si="75"/>
        <v>2.7178675807269237E-3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t="shared" si="69"/>
        <v>0.25475422590634078</v>
      </c>
      <c r="C95" s="12">
        <f t="shared" si="69"/>
        <v>0.12240758897753388</v>
      </c>
      <c r="D95" s="12">
        <f t="shared" si="69"/>
        <v>0.10194322786743737</v>
      </c>
      <c r="E95" s="12">
        <f t="shared" si="69"/>
        <v>0.11056181881255706</v>
      </c>
      <c r="F95" s="12">
        <f t="shared" si="69"/>
        <v>0.11512887008169329</v>
      </c>
      <c r="L95"/>
      <c r="M95" s="3" t="s">
        <v>214</v>
      </c>
      <c r="N95" s="42">
        <f t="shared" si="70"/>
        <v>0.20380345527791624</v>
      </c>
      <c r="O95" s="42">
        <f t="shared" si="70"/>
        <v>0.1095402868556444</v>
      </c>
      <c r="P95" s="42">
        <f t="shared" si="70"/>
        <v>0.11703544226756708</v>
      </c>
      <c r="Q95" s="42">
        <f t="shared" si="70"/>
        <v>0.11374483669273459</v>
      </c>
      <c r="R95" s="42">
        <f t="shared" si="70"/>
        <v>0.11835362642606005</v>
      </c>
      <c r="Y95" s="3" t="s">
        <v>214</v>
      </c>
      <c r="Z95" s="12">
        <f t="shared" si="71"/>
        <v>-5.0950770628424541E-2</v>
      </c>
      <c r="AA95" s="12">
        <f t="shared" si="72"/>
        <v>-1.2867302121889482E-2</v>
      </c>
      <c r="AB95" s="12">
        <f t="shared" si="73"/>
        <v>1.5092214400129714E-2</v>
      </c>
      <c r="AC95" s="12">
        <f t="shared" si="74"/>
        <v>3.1830178801775383E-3</v>
      </c>
      <c r="AD95" s="12">
        <f t="shared" si="75"/>
        <v>3.2247563443667665E-3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8.7321762545621406E-2</v>
      </c>
      <c r="C96" s="12">
        <f t="shared" si="69"/>
        <v>2.8176830545331051E-2</v>
      </c>
      <c r="D96" s="12">
        <f t="shared" si="69"/>
        <v>3.6101668999205271E-2</v>
      </c>
      <c r="E96" s="12">
        <f t="shared" si="69"/>
        <v>3.7850077548306646E-2</v>
      </c>
      <c r="F96" s="12">
        <f t="shared" si="69"/>
        <v>3.6918343545059761E-2</v>
      </c>
      <c r="L96"/>
      <c r="M96" s="3" t="s">
        <v>129</v>
      </c>
      <c r="N96" s="42">
        <f t="shared" si="70"/>
        <v>4.6289793232585696E-2</v>
      </c>
      <c r="O96" s="42">
        <f t="shared" si="70"/>
        <v>4.0572734628718778E-2</v>
      </c>
      <c r="P96" s="42">
        <f t="shared" si="70"/>
        <v>3.2823842676726819E-2</v>
      </c>
      <c r="Q96" s="42">
        <f t="shared" si="70"/>
        <v>3.1252692349038852E-2</v>
      </c>
      <c r="R96" s="42">
        <f t="shared" si="70"/>
        <v>3.5230727727786286E-2</v>
      </c>
      <c r="Y96" s="3" t="s">
        <v>129</v>
      </c>
      <c r="Z96" s="12">
        <f t="shared" si="71"/>
        <v>-4.103196931303571E-2</v>
      </c>
      <c r="AA96" s="12">
        <f t="shared" si="72"/>
        <v>1.2395904083387727E-2</v>
      </c>
      <c r="AB96" s="12">
        <f t="shared" si="73"/>
        <v>-3.2778263224784512E-3</v>
      </c>
      <c r="AC96" s="12">
        <f t="shared" si="74"/>
        <v>-6.597385199267794E-3</v>
      </c>
      <c r="AD96" s="12">
        <f t="shared" si="75"/>
        <v>-1.6876158172734745E-3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0.12624020407143841</v>
      </c>
      <c r="C97" s="34">
        <f t="shared" si="76"/>
        <v>0.16292241279699579</v>
      </c>
      <c r="D97" s="34">
        <f t="shared" si="76"/>
        <v>0.19843494558727526</v>
      </c>
      <c r="E97" s="34">
        <f t="shared" si="76"/>
        <v>0.15240488866148369</v>
      </c>
      <c r="F97" s="34">
        <f t="shared" si="76"/>
        <v>0.17865167007318555</v>
      </c>
      <c r="L97"/>
      <c r="M97" s="25" t="s">
        <v>130</v>
      </c>
      <c r="N97" s="56">
        <f t="shared" si="70"/>
        <v>0.15263177096109379</v>
      </c>
      <c r="O97" s="56">
        <f t="shared" si="70"/>
        <v>0.16409187568601885</v>
      </c>
      <c r="P97" s="56">
        <f t="shared" si="70"/>
        <v>0.18911219019447958</v>
      </c>
      <c r="Q97" s="56">
        <f t="shared" si="70"/>
        <v>0.1951617492137849</v>
      </c>
      <c r="R97" s="56">
        <f t="shared" si="70"/>
        <v>0.1817964241409388</v>
      </c>
      <c r="Y97" s="25" t="s">
        <v>130</v>
      </c>
      <c r="Z97" s="12">
        <f t="shared" si="71"/>
        <v>2.6391566889655382E-2</v>
      </c>
      <c r="AA97" s="12">
        <f t="shared" si="72"/>
        <v>1.1694628890230596E-3</v>
      </c>
      <c r="AB97" s="12">
        <f t="shared" si="73"/>
        <v>-9.322755392795673E-3</v>
      </c>
      <c r="AC97" s="12">
        <f t="shared" si="74"/>
        <v>4.2756860552301212E-2</v>
      </c>
      <c r="AD97" s="12">
        <f t="shared" si="75"/>
        <v>3.1447540677532471E-3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t="shared" si="76"/>
        <v>3.5139538679219276E-2</v>
      </c>
      <c r="C98" s="34">
        <f t="shared" si="76"/>
        <v>3.3295984660629857E-2</v>
      </c>
      <c r="D98" s="34">
        <f t="shared" si="76"/>
        <v>2.986967300947117E-2</v>
      </c>
      <c r="E98" s="34">
        <f t="shared" si="76"/>
        <v>2.5843947412343408E-2</v>
      </c>
      <c r="F98" s="34">
        <f t="shared" si="76"/>
        <v>3.0164494588309467E-2</v>
      </c>
      <c r="L98"/>
      <c r="M98" s="25" t="s">
        <v>247</v>
      </c>
      <c r="N98" s="56">
        <f t="shared" si="70"/>
        <v>2.2284822720931807E-2</v>
      </c>
      <c r="O98" s="56">
        <f t="shared" si="70"/>
        <v>3.2039467805872079E-2</v>
      </c>
      <c r="P98" s="56">
        <f t="shared" si="70"/>
        <v>2.8646972136444727E-2</v>
      </c>
      <c r="Q98" s="56">
        <f t="shared" si="70"/>
        <v>2.8642014824808153E-2</v>
      </c>
      <c r="R98" s="56">
        <f t="shared" si="70"/>
        <v>2.9266860216844215E-2</v>
      </c>
      <c r="Y98" s="25" t="s">
        <v>247</v>
      </c>
      <c r="Z98" s="12">
        <f t="shared" si="71"/>
        <v>-1.2854715958287469E-2</v>
      </c>
      <c r="AA98" s="12">
        <f t="shared" si="72"/>
        <v>-1.2565168547577776E-3</v>
      </c>
      <c r="AB98" s="12">
        <f t="shared" si="73"/>
        <v>-1.222700873026443E-3</v>
      </c>
      <c r="AC98" s="12">
        <f t="shared" si="74"/>
        <v>2.7980674124647442E-3</v>
      </c>
      <c r="AD98" s="12">
        <f t="shared" si="75"/>
        <v>-8.9763437146525224E-4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61" t="s">
        <v>10861</v>
      </c>
      <c r="C107" s="161" t="s">
        <v>10862</v>
      </c>
      <c r="D107" s="161" t="s">
        <v>10863</v>
      </c>
      <c r="E107" s="161" t="s">
        <v>10864</v>
      </c>
      <c r="F107" s="161" t="s">
        <v>1688</v>
      </c>
      <c r="G107" s="161" t="s">
        <v>10865</v>
      </c>
      <c r="H107" s="6" t="s">
        <v>10866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70371</v>
      </c>
      <c r="O108" s="53">
        <f>output!C211</f>
        <v>5600.25</v>
      </c>
      <c r="P108" s="53">
        <f>output!D211</f>
        <v>66439</v>
      </c>
      <c r="Q108" s="53">
        <f>output!E211</f>
        <v>51131.5</v>
      </c>
      <c r="R108" s="53">
        <f>output!F211</f>
        <v>331455.19247983274</v>
      </c>
      <c r="S108" s="53">
        <f>output!G211</f>
        <v>36744.854768194222</v>
      </c>
      <c r="T108" s="53">
        <f>output!H211</f>
        <v>1109948.9243478309</v>
      </c>
      <c r="U108" s="53">
        <f>SUM(N108:T108)</f>
        <v>1671690.721595858</v>
      </c>
      <c r="V108" s="54"/>
      <c r="X108"/>
      <c r="Y108" s="3" t="s">
        <v>210</v>
      </c>
      <c r="Z108" s="7">
        <f t="shared" ref="Z108:Z116" si="79">N108-B108</f>
        <v>-8666.6401089188003</v>
      </c>
      <c r="AA108" s="7">
        <f t="shared" ref="AA108:AA116" si="80">O108-C108</f>
        <v>-427.55996731730011</v>
      </c>
      <c r="AB108" s="7">
        <f t="shared" ref="AB108:AB116" si="81">P108-D108</f>
        <v>-4461.6555164143938</v>
      </c>
      <c r="AC108" s="7">
        <f t="shared" ref="AC108:AC116" si="82">Q108-E108</f>
        <v>760.13746615139826</v>
      </c>
      <c r="AD108" s="7">
        <f t="shared" ref="AD108:AD116" si="83">R108-F108</f>
        <v>-35409.92621310387</v>
      </c>
      <c r="AE108" s="7">
        <f t="shared" ref="AE108:AF116" si="84">S108-G108</f>
        <v>-3644.452600908975</v>
      </c>
      <c r="AF108" s="7">
        <f t="shared" si="84"/>
        <v>-4018.1347187764477</v>
      </c>
      <c r="AG108" s="7">
        <f t="shared" ref="AG108:AG116" si="85">U108-I108</f>
        <v>-55868.231659288285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805076.52504882298</v>
      </c>
      <c r="J109" s="33"/>
      <c r="L109"/>
      <c r="M109" s="3" t="s">
        <v>211</v>
      </c>
      <c r="N109" s="53">
        <f>output!B212</f>
        <v>35520.25</v>
      </c>
      <c r="O109" s="53">
        <f>output!C212</f>
        <v>1097.25</v>
      </c>
      <c r="P109" s="53">
        <f>output!D212</f>
        <v>28928.5</v>
      </c>
      <c r="Q109" s="53">
        <f>output!E212</f>
        <v>24284</v>
      </c>
      <c r="R109" s="53">
        <f>output!F212</f>
        <v>126833.03644523142</v>
      </c>
      <c r="S109" s="53">
        <f>output!G212</f>
        <v>6032.2485428712216</v>
      </c>
      <c r="T109" s="53">
        <f>output!H212</f>
        <v>547770.30721740285</v>
      </c>
      <c r="U109" s="53">
        <f t="shared" ref="U109:U115" si="87">SUM(N109:T109)</f>
        <v>770465.59220550547</v>
      </c>
      <c r="V109" s="54"/>
      <c r="X109"/>
      <c r="Y109" s="3" t="s">
        <v>211</v>
      </c>
      <c r="Z109" s="7">
        <f t="shared" si="79"/>
        <v>907.24883963989851</v>
      </c>
      <c r="AA109" s="7">
        <f t="shared" si="80"/>
        <v>307.79401679429998</v>
      </c>
      <c r="AB109" s="7">
        <f t="shared" si="81"/>
        <v>768.27162894199864</v>
      </c>
      <c r="AC109" s="7">
        <f t="shared" si="82"/>
        <v>-11059.089765855999</v>
      </c>
      <c r="AD109" s="7">
        <f t="shared" si="83"/>
        <v>-1216.8214381904836</v>
      </c>
      <c r="AE109" s="7">
        <f t="shared" si="84"/>
        <v>2352.6577652604215</v>
      </c>
      <c r="AF109" s="7">
        <f t="shared" si="84"/>
        <v>-26670.993889907608</v>
      </c>
      <c r="AG109" s="7">
        <f t="shared" si="85"/>
        <v>-34610.932843317511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648797.01309756911</v>
      </c>
      <c r="J110" s="33"/>
      <c r="L110"/>
      <c r="M110" s="3" t="s">
        <v>212</v>
      </c>
      <c r="N110" s="53">
        <f>output!B213</f>
        <v>27175</v>
      </c>
      <c r="O110" s="53">
        <f>output!C213</f>
        <v>1398.5</v>
      </c>
      <c r="P110" s="53">
        <f>output!D213</f>
        <v>22592.75</v>
      </c>
      <c r="Q110" s="53">
        <f>output!E213</f>
        <v>19196.5</v>
      </c>
      <c r="R110" s="53">
        <f>output!F213</f>
        <v>92433.513029034366</v>
      </c>
      <c r="S110" s="53">
        <f>output!G213</f>
        <v>5301.3504054009782</v>
      </c>
      <c r="T110" s="53">
        <f>output!H213</f>
        <v>486131.20609585522</v>
      </c>
      <c r="U110" s="53">
        <f t="shared" si="87"/>
        <v>654228.81953029055</v>
      </c>
      <c r="V110" s="54"/>
      <c r="X110"/>
      <c r="Y110" s="3" t="s">
        <v>212</v>
      </c>
      <c r="Z110" s="7">
        <f t="shared" si="79"/>
        <v>-6886.9777066292008</v>
      </c>
      <c r="AA110" s="7">
        <f t="shared" si="80"/>
        <v>935.82904779070009</v>
      </c>
      <c r="AB110" s="7">
        <f t="shared" si="81"/>
        <v>-9283.2789466778995</v>
      </c>
      <c r="AC110" s="7">
        <f t="shared" si="82"/>
        <v>-15375.219632258399</v>
      </c>
      <c r="AD110" s="7">
        <f t="shared" si="83"/>
        <v>-146.36733452153567</v>
      </c>
      <c r="AE110" s="7">
        <f t="shared" si="84"/>
        <v>2690.1692401534783</v>
      </c>
      <c r="AF110" s="7">
        <f t="shared" si="84"/>
        <v>33497.651764864335</v>
      </c>
      <c r="AG110" s="7">
        <f t="shared" si="85"/>
        <v>5431.8064327214379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718143.10522838181</v>
      </c>
      <c r="J111" s="33"/>
      <c r="L111"/>
      <c r="M111" s="3" t="s">
        <v>213</v>
      </c>
      <c r="N111" s="53">
        <f>output!B214</f>
        <v>27918.75</v>
      </c>
      <c r="O111" s="53">
        <f>output!C214</f>
        <v>2027.75</v>
      </c>
      <c r="P111" s="53">
        <f>output!D214</f>
        <v>24845.5</v>
      </c>
      <c r="Q111" s="53">
        <f>output!E214</f>
        <v>19703.75</v>
      </c>
      <c r="R111" s="53">
        <f>output!F214</f>
        <v>113943.4321177317</v>
      </c>
      <c r="S111" s="53">
        <f>output!G214</f>
        <v>11672.778072284136</v>
      </c>
      <c r="T111" s="53">
        <f>output!H214</f>
        <v>524002.22602756275</v>
      </c>
      <c r="U111" s="53">
        <f t="shared" si="87"/>
        <v>724114.18621757859</v>
      </c>
      <c r="V111" s="54"/>
      <c r="X111"/>
      <c r="Y111" s="3" t="s">
        <v>213</v>
      </c>
      <c r="Z111" s="7">
        <f t="shared" si="79"/>
        <v>2985.6730619334012</v>
      </c>
      <c r="AA111" s="7">
        <f t="shared" si="80"/>
        <v>1541.9811587975</v>
      </c>
      <c r="AB111" s="7">
        <f t="shared" si="81"/>
        <v>-5524.2408488779984</v>
      </c>
      <c r="AC111" s="7">
        <f t="shared" si="82"/>
        <v>-4855.8028696610018</v>
      </c>
      <c r="AD111" s="7">
        <f t="shared" si="83"/>
        <v>3757.3518232357019</v>
      </c>
      <c r="AE111" s="7">
        <f t="shared" si="84"/>
        <v>985.18798632163634</v>
      </c>
      <c r="AF111" s="7">
        <f t="shared" si="84"/>
        <v>7080.9306774475263</v>
      </c>
      <c r="AG111" s="7">
        <f t="shared" si="85"/>
        <v>5971.0809891967801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702437.81530738831</v>
      </c>
      <c r="J112" s="33"/>
      <c r="L112"/>
      <c r="M112" s="3" t="s">
        <v>214</v>
      </c>
      <c r="N112" s="53">
        <f>output!B215</f>
        <v>23058.25</v>
      </c>
      <c r="O112" s="53">
        <f>output!C215</f>
        <v>1732.5</v>
      </c>
      <c r="P112" s="53">
        <f>output!D215</f>
        <v>20065</v>
      </c>
      <c r="Q112" s="53">
        <f>output!E215</f>
        <v>15924.5</v>
      </c>
      <c r="R112" s="53">
        <f>output!F215</f>
        <v>96036.620005871853</v>
      </c>
      <c r="S112" s="53">
        <f>output!G215</f>
        <v>9931.4107737627673</v>
      </c>
      <c r="T112" s="53">
        <f>output!H215</f>
        <v>544935.46612215904</v>
      </c>
      <c r="U112" s="53">
        <f t="shared" si="87"/>
        <v>711683.74690179364</v>
      </c>
      <c r="V112" s="54"/>
      <c r="X112"/>
      <c r="Y112" s="3" t="s">
        <v>214</v>
      </c>
      <c r="Z112" s="7">
        <f t="shared" si="79"/>
        <v>5089.2660459779981</v>
      </c>
      <c r="AA112" s="7">
        <f t="shared" si="80"/>
        <v>125.42900703500004</v>
      </c>
      <c r="AB112" s="7">
        <f t="shared" si="81"/>
        <v>-867.73886646949904</v>
      </c>
      <c r="AC112" s="7">
        <f t="shared" si="82"/>
        <v>-3772.094297641499</v>
      </c>
      <c r="AD112" s="7">
        <f t="shared" si="83"/>
        <v>-9077.8481503875519</v>
      </c>
      <c r="AE112" s="7">
        <f t="shared" si="84"/>
        <v>-2873.1001668167319</v>
      </c>
      <c r="AF112" s="7">
        <f t="shared" si="84"/>
        <v>20622.018022707663</v>
      </c>
      <c r="AG112" s="7">
        <f t="shared" si="85"/>
        <v>9245.9315944053233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225250.543726851</v>
      </c>
      <c r="J113" s="33"/>
      <c r="L113"/>
      <c r="M113" s="3" t="s">
        <v>129</v>
      </c>
      <c r="N113" s="53">
        <f>output!B216</f>
        <v>10019.75</v>
      </c>
      <c r="O113" s="53">
        <f>output!C216</f>
        <v>691</v>
      </c>
      <c r="P113" s="53">
        <f>output!D216</f>
        <v>8188.75</v>
      </c>
      <c r="Q113" s="53">
        <f>output!E216</f>
        <v>6576.75</v>
      </c>
      <c r="R113" s="53">
        <f>output!F216</f>
        <v>37769.297108048122</v>
      </c>
      <c r="S113" s="53">
        <f>output!G216</f>
        <v>3653.9022450459274</v>
      </c>
      <c r="T113" s="53">
        <f>output!H216</f>
        <v>144949.8794129492</v>
      </c>
      <c r="U113" s="53">
        <f t="shared" si="87"/>
        <v>211849.32876604324</v>
      </c>
      <c r="V113" s="54"/>
      <c r="X113"/>
      <c r="Y113" s="3" t="s">
        <v>129</v>
      </c>
      <c r="Z113" s="7">
        <f t="shared" si="79"/>
        <v>-1920.2221338588006</v>
      </c>
      <c r="AA113" s="7">
        <f t="shared" si="80"/>
        <v>202.92437073299999</v>
      </c>
      <c r="AB113" s="7">
        <f t="shared" si="81"/>
        <v>3901.617393343</v>
      </c>
      <c r="AC113" s="7">
        <f t="shared" si="82"/>
        <v>-5369.5109953940009</v>
      </c>
      <c r="AD113" s="7">
        <f t="shared" si="83"/>
        <v>-13547.443028314679</v>
      </c>
      <c r="AE113" s="7">
        <f t="shared" si="84"/>
        <v>-2920.5408507302723</v>
      </c>
      <c r="AF113" s="7">
        <f t="shared" si="84"/>
        <v>6251.9602834139951</v>
      </c>
      <c r="AG113" s="7">
        <f t="shared" si="85"/>
        <v>-13401.21496080776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1090010.6006267432</v>
      </c>
      <c r="J114" s="33"/>
      <c r="L114"/>
      <c r="M114" s="25" t="s">
        <v>130</v>
      </c>
      <c r="N114" s="54">
        <f>output!B217</f>
        <v>51514.5</v>
      </c>
      <c r="O114" s="54">
        <f>output!C217</f>
        <v>3723</v>
      </c>
      <c r="P114" s="54">
        <f>output!D217</f>
        <v>43502</v>
      </c>
      <c r="Q114" s="54">
        <f>output!E217</f>
        <v>35367.5</v>
      </c>
      <c r="R114" s="54">
        <f>output!F217</f>
        <v>197080.18536852815</v>
      </c>
      <c r="S114" s="54">
        <f>output!G217</f>
        <v>19536.833811892633</v>
      </c>
      <c r="T114" s="54">
        <f>output!H217</f>
        <v>742453.80910353607</v>
      </c>
      <c r="U114" s="53">
        <f t="shared" si="87"/>
        <v>1093177.8282839567</v>
      </c>
      <c r="V114" s="54"/>
      <c r="X114"/>
      <c r="Y114" s="25" t="s">
        <v>130</v>
      </c>
      <c r="Z114" s="33">
        <f t="shared" si="79"/>
        <v>6156.9675684562972</v>
      </c>
      <c r="AA114" s="33">
        <f t="shared" si="80"/>
        <v>1170.0338268123</v>
      </c>
      <c r="AB114" s="33">
        <f t="shared" si="81"/>
        <v>11090.289440292399</v>
      </c>
      <c r="AC114" s="33">
        <f t="shared" si="82"/>
        <v>-4319.852662972</v>
      </c>
      <c r="AD114" s="33">
        <f t="shared" si="83"/>
        <v>-21869.28312225925</v>
      </c>
      <c r="AE114" s="33">
        <f t="shared" si="84"/>
        <v>-743.74953100296625</v>
      </c>
      <c r="AF114" s="7">
        <f t="shared" si="84"/>
        <v>11682.822137886891</v>
      </c>
      <c r="AG114" s="33">
        <f t="shared" si="85"/>
        <v>3167.2276572135743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184043.16539742419</v>
      </c>
      <c r="J115" s="33"/>
      <c r="L115"/>
      <c r="M115" s="25" t="s">
        <v>247</v>
      </c>
      <c r="N115" s="59">
        <f>output!B218</f>
        <v>8040</v>
      </c>
      <c r="O115" s="59">
        <f>output!C218</f>
        <v>606.25</v>
      </c>
      <c r="P115" s="59">
        <f>output!D218</f>
        <v>7580.5</v>
      </c>
      <c r="Q115" s="59">
        <f>output!E218</f>
        <v>5399</v>
      </c>
      <c r="R115" s="59">
        <f>output!F218</f>
        <v>42848.64782894816</v>
      </c>
      <c r="S115" s="59">
        <f>output!G218</f>
        <v>4568.1743716445581</v>
      </c>
      <c r="T115" s="59">
        <f>output!H218</f>
        <v>106944.8425339041</v>
      </c>
      <c r="U115" s="53">
        <f t="shared" si="87"/>
        <v>175987.41473449682</v>
      </c>
      <c r="V115" s="54"/>
      <c r="X115"/>
      <c r="Y115" s="25" t="s">
        <v>247</v>
      </c>
      <c r="Z115" s="9">
        <f t="shared" si="79"/>
        <v>2926.0040439934</v>
      </c>
      <c r="AA115" s="9">
        <f t="shared" si="80"/>
        <v>-205.74076192229995</v>
      </c>
      <c r="AB115" s="9">
        <f t="shared" si="81"/>
        <v>-420.2828230945006</v>
      </c>
      <c r="AC115" s="9">
        <f t="shared" si="82"/>
        <v>-3036.7198634551005</v>
      </c>
      <c r="AD115" s="9">
        <f t="shared" si="83"/>
        <v>-6716.5608756892398</v>
      </c>
      <c r="AE115" s="9">
        <f t="shared" si="84"/>
        <v>-3994.4065338100427</v>
      </c>
      <c r="AF115" s="7">
        <f t="shared" si="84"/>
        <v>3391.9561510503991</v>
      </c>
      <c r="AG115" s="9">
        <f t="shared" si="85"/>
        <v>-8055.7506629273703</v>
      </c>
      <c r="AH115" s="33"/>
    </row>
    <row r="116" spans="1:34" ht="13.5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253617.5</v>
      </c>
      <c r="O116" s="60">
        <f>SUM(O108:O115)</f>
        <v>16876.5</v>
      </c>
      <c r="P116" s="60">
        <f>SUM(P108:P115)</f>
        <v>222142</v>
      </c>
      <c r="Q116" s="60">
        <f>SUM(Q108:Q115)</f>
        <v>177583.5</v>
      </c>
      <c r="R116" s="60">
        <f t="shared" ref="R116:S116" si="89">SUM(R108:R115)</f>
        <v>1038399.9243832263</v>
      </c>
      <c r="S116" s="60">
        <f t="shared" si="89"/>
        <v>97441.552991096454</v>
      </c>
      <c r="T116" s="60">
        <f t="shared" ref="T116" si="90">SUM(T108:T115)</f>
        <v>4207136.6608611997</v>
      </c>
      <c r="U116" s="60">
        <f>SUM(U108:U115)</f>
        <v>6013197.6382355234</v>
      </c>
      <c r="V116" s="54"/>
      <c r="X116"/>
      <c r="Y116" s="10" t="s">
        <v>221</v>
      </c>
      <c r="Z116" s="22">
        <f t="shared" si="79"/>
        <v>591.31961059421883</v>
      </c>
      <c r="AA116" s="22">
        <f t="shared" si="80"/>
        <v>3650.6906987232014</v>
      </c>
      <c r="AB116" s="22">
        <f t="shared" si="81"/>
        <v>-4797.0185389568505</v>
      </c>
      <c r="AC116" s="22">
        <f t="shared" si="82"/>
        <v>-47028.152621086629</v>
      </c>
      <c r="AD116" s="22">
        <f t="shared" si="83"/>
        <v>-84226.898339231033</v>
      </c>
      <c r="AE116" s="22">
        <f t="shared" si="84"/>
        <v>-8148.2346915334201</v>
      </c>
      <c r="AF116" s="22">
        <f t="shared" si="84"/>
        <v>51838.210428685881</v>
      </c>
      <c r="AG116" s="22">
        <f t="shared" si="85"/>
        <v>-88120.083452804014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152941.5</v>
      </c>
      <c r="O118" s="7">
        <f>output!B332</f>
        <v>9701</v>
      </c>
      <c r="P118" s="7">
        <f>output!B333</f>
        <v>135841.5</v>
      </c>
      <c r="Q118" s="7">
        <f>output!B334</f>
        <v>108932</v>
      </c>
      <c r="R118" s="7">
        <f>output!B335</f>
        <v>623275.53186630248</v>
      </c>
      <c r="S118" s="7">
        <f>output!B336</f>
        <v>54870.858576608582</v>
      </c>
      <c r="T118" s="7">
        <f>output!B337</f>
        <v>2656912.4280209807</v>
      </c>
      <c r="U118" s="7">
        <f>SUM(N118:T118)</f>
        <v>3742474.8184638917</v>
      </c>
      <c r="V118" s="54"/>
      <c r="Y118" s="25" t="s">
        <v>88</v>
      </c>
      <c r="Z118" s="7">
        <f t="shared" ref="Z118:AB119" si="91">N118-B118</f>
        <v>1544.8520999999892</v>
      </c>
      <c r="AA118" s="7">
        <f t="shared" si="91"/>
        <v>855.14749999999913</v>
      </c>
      <c r="AB118" s="7">
        <f t="shared" si="91"/>
        <v>4311.5849999999919</v>
      </c>
      <c r="AC118" s="7">
        <f t="shared" ref="AC118:AC119" si="92">Q118-E118</f>
        <v>-14900.130399999995</v>
      </c>
      <c r="AD118" s="7">
        <f t="shared" ref="AD118:AD119" si="93">R118-F118</f>
        <v>-13552.141433697543</v>
      </c>
      <c r="AE118" s="7">
        <f t="shared" ref="AE118:AF119" si="94">S118-G118</f>
        <v>336.1963766085828</v>
      </c>
      <c r="AF118" s="7">
        <f t="shared" si="94"/>
        <v>55361.342720980756</v>
      </c>
      <c r="AG118" s="7">
        <f t="shared" ref="AG118:AG119" si="95">U118-I118</f>
        <v>33956.851863891818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1.645217247600951</v>
      </c>
      <c r="J119" s="37"/>
      <c r="L119"/>
      <c r="M119" s="25" t="s">
        <v>89</v>
      </c>
      <c r="N119" s="37">
        <f>N116/N118</f>
        <v>1.6582647613630048</v>
      </c>
      <c r="O119" s="37">
        <f>O116/O118</f>
        <v>1.7396660138130089</v>
      </c>
      <c r="P119" s="37">
        <f>P116/P118</f>
        <v>1.6353029081687114</v>
      </c>
      <c r="Q119" s="37">
        <f>Q116/Q118</f>
        <v>1.6302234421473947</v>
      </c>
      <c r="R119" s="37">
        <f t="shared" ref="R119:U119" si="97">R116/R118</f>
        <v>1.6660367225934538</v>
      </c>
      <c r="S119" s="37">
        <f t="shared" si="97"/>
        <v>1.7758343047439709</v>
      </c>
      <c r="T119" s="37">
        <f t="shared" si="97"/>
        <v>1.5834683207812439</v>
      </c>
      <c r="U119" s="37">
        <f t="shared" si="97"/>
        <v>1.606743646896108</v>
      </c>
      <c r="V119" s="37"/>
      <c r="Y119" s="25" t="s">
        <v>89</v>
      </c>
      <c r="Z119" s="38">
        <f t="shared" si="91"/>
        <v>-1.3015177123703037E-2</v>
      </c>
      <c r="AA119" s="38">
        <f t="shared" si="91"/>
        <v>0.24452359523019873</v>
      </c>
      <c r="AB119" s="38">
        <f t="shared" si="91"/>
        <v>-9.0076588495274335E-2</v>
      </c>
      <c r="AC119" s="38">
        <f t="shared" si="92"/>
        <v>-0.18361640616621111</v>
      </c>
      <c r="AD119" s="38">
        <f t="shared" si="93"/>
        <v>-9.6805675421502757E-2</v>
      </c>
      <c r="AE119" s="38">
        <f t="shared" si="94"/>
        <v>-0.16036156450686812</v>
      </c>
      <c r="AF119" s="38">
        <f t="shared" si="94"/>
        <v>-1.3770524118602578E-2</v>
      </c>
      <c r="AG119" s="38">
        <f t="shared" si="95"/>
        <v>-3.8473600704842958E-2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0.28314522076340987</v>
      </c>
      <c r="J125" s="34"/>
      <c r="L125"/>
      <c r="M125" s="3" t="s">
        <v>210</v>
      </c>
      <c r="N125" s="42">
        <f t="shared" ref="N125:Q133" si="104">N108/N$116</f>
        <v>0.27746902323380679</v>
      </c>
      <c r="O125" s="42">
        <f t="shared" si="104"/>
        <v>0.33183717002933072</v>
      </c>
      <c r="P125" s="42">
        <f t="shared" si="104"/>
        <v>0.29908346913235678</v>
      </c>
      <c r="Q125" s="42">
        <f t="shared" si="104"/>
        <v>0.28792934028217709</v>
      </c>
      <c r="R125" s="42">
        <f t="shared" ref="R125:T125" si="105">R108/R$116</f>
        <v>0.31919801292041278</v>
      </c>
      <c r="S125" s="42">
        <f t="shared" si="105"/>
        <v>0.37709635817844278</v>
      </c>
      <c r="T125" s="42">
        <f t="shared" si="105"/>
        <v>0.26382526022357083</v>
      </c>
      <c r="U125" s="42">
        <f>U108/U$116</f>
        <v>0.27800362172802107</v>
      </c>
      <c r="V125" s="56"/>
      <c r="Y125" s="3" t="s">
        <v>210</v>
      </c>
      <c r="Z125" s="12">
        <f t="shared" ref="Z125:Z133" si="106">N125-B125</f>
        <v>-3.4900392402473779E-2</v>
      </c>
      <c r="AA125" s="12">
        <f t="shared" ref="AA125:AA133" si="107">O125-C125</f>
        <v>-0.12392397320259119</v>
      </c>
      <c r="AB125" s="12">
        <f t="shared" ref="AB125:AB133" si="108">P125-D125</f>
        <v>-1.3338149560082557E-2</v>
      </c>
      <c r="AC125" s="12">
        <f t="shared" ref="AC125:AC133" si="109">Q125-E125</f>
        <v>6.3669548120709685E-2</v>
      </c>
      <c r="AD125" s="12">
        <f t="shared" ref="AD125:AD133" si="110">R125-F125</f>
        <v>-7.593678911125834E-3</v>
      </c>
      <c r="AE125" s="12">
        <f t="shared" ref="AE125:AF133" si="111">S125-G125</f>
        <v>-5.4151351726085539E-3</v>
      </c>
      <c r="AF125" s="12">
        <f t="shared" si="111"/>
        <v>-4.2582655098593603E-3</v>
      </c>
      <c r="AG125" s="12">
        <f t="shared" ref="AG125:AG133" si="112">U125-I125</f>
        <v>-5.1415990353887997E-3</v>
      </c>
      <c r="AH125" s="34"/>
    </row>
    <row r="126" spans="1:34" x14ac:dyDescent="0.2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0.13195125410155595</v>
      </c>
      <c r="J126" s="34"/>
      <c r="M126" s="3" t="s">
        <v>211</v>
      </c>
      <c r="N126" s="42">
        <f t="shared" si="104"/>
        <v>0.14005441264896942</v>
      </c>
      <c r="O126" s="42">
        <f t="shared" si="104"/>
        <v>6.5016442982845965E-2</v>
      </c>
      <c r="P126" s="42">
        <f t="shared" si="104"/>
        <v>0.13022526131933629</v>
      </c>
      <c r="Q126" s="42">
        <f t="shared" si="104"/>
        <v>0.13674693876401806</v>
      </c>
      <c r="R126" s="42">
        <f t="shared" ref="R126:T126" si="114">R109/R$116</f>
        <v>0.12214276356054808</v>
      </c>
      <c r="S126" s="42">
        <f t="shared" si="114"/>
        <v>6.1906325973913892E-2</v>
      </c>
      <c r="T126" s="42">
        <f t="shared" si="114"/>
        <v>0.13020026478181349</v>
      </c>
      <c r="U126" s="42">
        <f t="shared" ref="U126:U133" si="115">U109/U$116</f>
        <v>0.12812909845278031</v>
      </c>
      <c r="V126" s="56"/>
      <c r="Y126" s="3" t="s">
        <v>211</v>
      </c>
      <c r="Z126" s="12">
        <f t="shared" si="106"/>
        <v>3.2582870184481028E-3</v>
      </c>
      <c r="AA126" s="12">
        <f t="shared" si="107"/>
        <v>5.3258815039739504E-3</v>
      </c>
      <c r="AB126" s="12">
        <f t="shared" si="108"/>
        <v>6.138056957764787E-3</v>
      </c>
      <c r="AC126" s="12">
        <f t="shared" si="109"/>
        <v>-2.0605047891272571E-2</v>
      </c>
      <c r="AD126" s="12">
        <f t="shared" si="110"/>
        <v>8.0800534135634927E-3</v>
      </c>
      <c r="AE126" s="12">
        <f t="shared" si="111"/>
        <v>2.7058346274679075E-2</v>
      </c>
      <c r="AF126" s="12">
        <f t="shared" si="111"/>
        <v>-8.0428260478039304E-3</v>
      </c>
      <c r="AG126" s="12">
        <f t="shared" si="112"/>
        <v>-3.8221556487756381E-3</v>
      </c>
      <c r="AH126" s="34"/>
    </row>
    <row r="127" spans="1:34" x14ac:dyDescent="0.2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0.10633719512611074</v>
      </c>
      <c r="J127" s="34"/>
      <c r="M127" s="3" t="s">
        <v>212</v>
      </c>
      <c r="N127" s="42">
        <f t="shared" si="104"/>
        <v>0.10714954606839039</v>
      </c>
      <c r="O127" s="42">
        <f t="shared" si="104"/>
        <v>8.2866708144461232E-2</v>
      </c>
      <c r="P127" s="42">
        <f t="shared" si="104"/>
        <v>0.10170409017655374</v>
      </c>
      <c r="Q127" s="42">
        <f t="shared" si="104"/>
        <v>0.10809844383064868</v>
      </c>
      <c r="R127" s="42">
        <f t="shared" ref="R127:T127" si="117">R110/R$116</f>
        <v>8.9015331047849103E-2</v>
      </c>
      <c r="S127" s="42">
        <f t="shared" si="117"/>
        <v>5.4405438364527908E-2</v>
      </c>
      <c r="T127" s="42">
        <f t="shared" si="117"/>
        <v>0.11554918351436302</v>
      </c>
      <c r="U127" s="42">
        <f t="shared" si="115"/>
        <v>0.10879882200616701</v>
      </c>
      <c r="V127" s="56"/>
      <c r="Y127" s="3" t="s">
        <v>212</v>
      </c>
      <c r="Z127" s="12">
        <f t="shared" si="106"/>
        <v>-2.746884659836063E-2</v>
      </c>
      <c r="AA127" s="12">
        <f t="shared" si="107"/>
        <v>4.7884277831887888E-2</v>
      </c>
      <c r="AB127" s="12">
        <f t="shared" si="108"/>
        <v>-3.8756678323711852E-2</v>
      </c>
      <c r="AC127" s="12">
        <f t="shared" si="109"/>
        <v>-4.5819303662977096E-2</v>
      </c>
      <c r="AD127" s="12">
        <f t="shared" si="110"/>
        <v>6.548140268421182E-3</v>
      </c>
      <c r="AE127" s="12">
        <f t="shared" si="111"/>
        <v>2.9675952468639001E-2</v>
      </c>
      <c r="AF127" s="12">
        <f t="shared" si="111"/>
        <v>6.6199309635919801E-3</v>
      </c>
      <c r="AG127" s="12">
        <f t="shared" si="112"/>
        <v>2.4616268800562724E-3</v>
      </c>
      <c r="AH127" s="34"/>
    </row>
    <row r="128" spans="1:34" x14ac:dyDescent="0.2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0.10934229183154739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0.1177029517206753</v>
      </c>
      <c r="J128" s="34"/>
      <c r="M128" s="3" t="s">
        <v>213</v>
      </c>
      <c r="N128" s="42">
        <f t="shared" si="104"/>
        <v>0.1100821118416513</v>
      </c>
      <c r="O128" s="42">
        <f t="shared" si="104"/>
        <v>0.12015228276005095</v>
      </c>
      <c r="P128" s="42">
        <f t="shared" si="104"/>
        <v>0.11184512609051868</v>
      </c>
      <c r="Q128" s="42">
        <f t="shared" si="104"/>
        <v>0.11095484659329273</v>
      </c>
      <c r="R128" s="42">
        <f t="shared" ref="R128:T128" si="119">R111/R$116</f>
        <v>0.10972981549994831</v>
      </c>
      <c r="S128" s="42">
        <f t="shared" si="119"/>
        <v>0.11979261120100082</v>
      </c>
      <c r="T128" s="42">
        <f t="shared" si="119"/>
        <v>0.12455079743482819</v>
      </c>
      <c r="U128" s="42">
        <f t="shared" si="115"/>
        <v>0.12042081930140222</v>
      </c>
      <c r="V128" s="56"/>
      <c r="Y128" s="3" t="s">
        <v>213</v>
      </c>
      <c r="Z128" s="12">
        <f t="shared" si="106"/>
        <v>1.154259747323795E-2</v>
      </c>
      <c r="AA128" s="12">
        <f t="shared" si="107"/>
        <v>8.3423427070622197E-2</v>
      </c>
      <c r="AB128" s="12">
        <f t="shared" si="108"/>
        <v>-2.1978228942915831E-2</v>
      </c>
      <c r="AC128" s="12">
        <f t="shared" si="109"/>
        <v>1.6125547617453356E-3</v>
      </c>
      <c r="AD128" s="12">
        <f t="shared" si="110"/>
        <v>1.1579585998673619E-2</v>
      </c>
      <c r="AE128" s="12">
        <f t="shared" si="111"/>
        <v>1.8574583203008463E-2</v>
      </c>
      <c r="AF128" s="12">
        <f t="shared" si="111"/>
        <v>1.5027566332696807E-4</v>
      </c>
      <c r="AG128" s="12">
        <f t="shared" si="112"/>
        <v>2.7178675807269237E-3</v>
      </c>
      <c r="AH128" s="34"/>
    </row>
    <row r="129" spans="1:34" x14ac:dyDescent="0.2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0.11512887008169329</v>
      </c>
      <c r="J129" s="34"/>
      <c r="M129" s="3" t="s">
        <v>214</v>
      </c>
      <c r="N129" s="42">
        <f t="shared" si="104"/>
        <v>9.0917424862243343E-2</v>
      </c>
      <c r="O129" s="42">
        <f t="shared" si="104"/>
        <v>0.10265754155186206</v>
      </c>
      <c r="P129" s="42">
        <f t="shared" si="104"/>
        <v>9.0325107363758317E-2</v>
      </c>
      <c r="Q129" s="42">
        <f t="shared" si="104"/>
        <v>8.967330861256817E-2</v>
      </c>
      <c r="R129" s="42">
        <f t="shared" ref="R129:T129" si="121">R112/R$116</f>
        <v>9.248519549239595E-2</v>
      </c>
      <c r="S129" s="42">
        <f t="shared" si="121"/>
        <v>0.10192172095892429</v>
      </c>
      <c r="T129" s="42">
        <f t="shared" si="121"/>
        <v>0.12952644756983267</v>
      </c>
      <c r="U129" s="42">
        <f t="shared" si="115"/>
        <v>0.11835362642606004</v>
      </c>
      <c r="V129" s="56"/>
      <c r="Y129" s="3" t="s">
        <v>214</v>
      </c>
      <c r="Z129" s="12">
        <f t="shared" si="106"/>
        <v>1.9901121622919085E-2</v>
      </c>
      <c r="AA129" s="12">
        <f t="shared" si="107"/>
        <v>-1.885267807680413E-2</v>
      </c>
      <c r="AB129" s="12">
        <f t="shared" si="108"/>
        <v>-1.914380588711781E-3</v>
      </c>
      <c r="AC129" s="12">
        <f t="shared" si="109"/>
        <v>1.98153453142072E-3</v>
      </c>
      <c r="AD129" s="12">
        <f t="shared" si="110"/>
        <v>-1.1474044319036009E-3</v>
      </c>
      <c r="AE129" s="12">
        <f t="shared" si="111"/>
        <v>-1.9344844886116375E-2</v>
      </c>
      <c r="AF129" s="12">
        <f t="shared" si="111"/>
        <v>3.3469554457767059E-3</v>
      </c>
      <c r="AG129" s="12">
        <f t="shared" si="112"/>
        <v>3.2247563443667526E-3</v>
      </c>
      <c r="AH129" s="34"/>
    </row>
    <row r="130" spans="1:34" x14ac:dyDescent="0.2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3.6918343545059761E-2</v>
      </c>
      <c r="J130" s="34"/>
      <c r="M130" s="3" t="s">
        <v>129</v>
      </c>
      <c r="N130" s="42">
        <f t="shared" si="104"/>
        <v>3.9507328950092166E-2</v>
      </c>
      <c r="O130" s="42">
        <f t="shared" si="104"/>
        <v>4.0944508636269368E-2</v>
      </c>
      <c r="P130" s="42">
        <f t="shared" si="104"/>
        <v>3.6862682428356636E-2</v>
      </c>
      <c r="Q130" s="42">
        <f t="shared" si="104"/>
        <v>3.7034690722955677E-2</v>
      </c>
      <c r="R130" s="42">
        <f t="shared" ref="R130:T130" si="123">R113/R$116</f>
        <v>3.6372592313584556E-2</v>
      </c>
      <c r="S130" s="42">
        <f t="shared" si="123"/>
        <v>3.749839912116134E-2</v>
      </c>
      <c r="T130" s="42">
        <f t="shared" si="123"/>
        <v>3.4453332776520268E-2</v>
      </c>
      <c r="U130" s="42">
        <f t="shared" si="115"/>
        <v>3.5230727727786279E-2</v>
      </c>
      <c r="V130" s="56"/>
      <c r="Y130" s="3" t="s">
        <v>129</v>
      </c>
      <c r="Z130" s="12">
        <f t="shared" si="106"/>
        <v>-7.6813537209391644E-3</v>
      </c>
      <c r="AA130" s="12">
        <f t="shared" si="107"/>
        <v>4.0412373014950195E-3</v>
      </c>
      <c r="AB130" s="12">
        <f t="shared" si="108"/>
        <v>1.7971560777008427E-2</v>
      </c>
      <c r="AC130" s="12">
        <f t="shared" si="109"/>
        <v>-1.615160151072019E-2</v>
      </c>
      <c r="AD130" s="12">
        <f t="shared" si="110"/>
        <v>-9.3387153958782512E-3</v>
      </c>
      <c r="AE130" s="12">
        <f t="shared" si="111"/>
        <v>-2.4765606139810818E-2</v>
      </c>
      <c r="AF130" s="12">
        <f t="shared" si="111"/>
        <v>1.0747630338105718E-3</v>
      </c>
      <c r="AG130" s="12">
        <f t="shared" si="112"/>
        <v>-1.6876158172734815E-3</v>
      </c>
      <c r="AH130" s="34"/>
    </row>
    <row r="131" spans="1:34" x14ac:dyDescent="0.2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0.17865167007318555</v>
      </c>
      <c r="J131" s="34"/>
      <c r="M131" s="25" t="s">
        <v>130</v>
      </c>
      <c r="N131" s="56">
        <f t="shared" si="104"/>
        <v>0.20311886995179748</v>
      </c>
      <c r="O131" s="56">
        <f t="shared" si="104"/>
        <v>0.22060261310105769</v>
      </c>
      <c r="P131" s="56">
        <f t="shared" si="104"/>
        <v>0.19582969451972163</v>
      </c>
      <c r="Q131" s="56">
        <f t="shared" si="104"/>
        <v>0.19915983185374767</v>
      </c>
      <c r="R131" s="56">
        <f t="shared" ref="R131:T131" si="126">R114/R$116</f>
        <v>0.18979218000770462</v>
      </c>
      <c r="S131" s="56">
        <f t="shared" si="126"/>
        <v>0.20049797249924553</v>
      </c>
      <c r="T131" s="42">
        <f t="shared" si="126"/>
        <v>0.17647484951238926</v>
      </c>
      <c r="U131" s="56">
        <f t="shared" si="115"/>
        <v>0.1817964241409388</v>
      </c>
      <c r="V131" s="56"/>
      <c r="Y131" s="25" t="s">
        <v>130</v>
      </c>
      <c r="Z131" s="12">
        <f t="shared" si="106"/>
        <v>2.385863545061373E-2</v>
      </c>
      <c r="AA131" s="12">
        <f t="shared" si="107"/>
        <v>2.7573505011525445E-2</v>
      </c>
      <c r="AB131" s="12">
        <f t="shared" si="108"/>
        <v>5.3008461007848756E-2</v>
      </c>
      <c r="AC131" s="12">
        <f t="shared" si="109"/>
        <v>2.2466627383526255E-2</v>
      </c>
      <c r="AD131" s="12">
        <f t="shared" si="110"/>
        <v>-5.24099046279769E-3</v>
      </c>
      <c r="AE131" s="12">
        <f t="shared" si="111"/>
        <v>8.4284192972565453E-3</v>
      </c>
      <c r="AF131" s="12">
        <f t="shared" si="111"/>
        <v>6.099878946671522E-4</v>
      </c>
      <c r="AG131" s="12">
        <f t="shared" si="112"/>
        <v>3.1447540677532471E-3</v>
      </c>
      <c r="AH131" s="34"/>
    </row>
    <row r="132" spans="1:34" x14ac:dyDescent="0.2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3.0164494588309467E-2</v>
      </c>
      <c r="J132" s="34"/>
      <c r="M132" s="25" t="s">
        <v>247</v>
      </c>
      <c r="N132" s="43">
        <f t="shared" si="104"/>
        <v>3.1701282443049081E-2</v>
      </c>
      <c r="O132" s="43">
        <f t="shared" si="104"/>
        <v>3.5922732794122003E-2</v>
      </c>
      <c r="P132" s="43">
        <f t="shared" si="104"/>
        <v>3.4124568969397952E-2</v>
      </c>
      <c r="Q132" s="43">
        <f t="shared" si="104"/>
        <v>3.040259934059189E-2</v>
      </c>
      <c r="R132" s="43">
        <f t="shared" ref="R132:T132" si="128">R115/R$116</f>
        <v>4.126410915755678E-2</v>
      </c>
      <c r="S132" s="43">
        <f t="shared" si="128"/>
        <v>4.6881173702783316E-2</v>
      </c>
      <c r="T132" s="42">
        <f t="shared" si="128"/>
        <v>2.5419864186682378E-2</v>
      </c>
      <c r="U132" s="43">
        <f t="shared" si="115"/>
        <v>2.9266860216844215E-2</v>
      </c>
      <c r="V132" s="56"/>
      <c r="Y132" s="25" t="s">
        <v>247</v>
      </c>
      <c r="Z132" s="12">
        <f t="shared" si="106"/>
        <v>1.1489951156554573E-2</v>
      </c>
      <c r="AA132" s="12">
        <f t="shared" si="107"/>
        <v>-2.5471677440109308E-2</v>
      </c>
      <c r="AB132" s="12">
        <f t="shared" si="108"/>
        <v>-1.1306413272001575E-3</v>
      </c>
      <c r="AC132" s="12">
        <f t="shared" si="109"/>
        <v>-7.1543117324320768E-3</v>
      </c>
      <c r="AD132" s="12">
        <f t="shared" si="110"/>
        <v>-2.886990478952807E-3</v>
      </c>
      <c r="AE132" s="12">
        <f t="shared" si="111"/>
        <v>-3.4211715045047691E-2</v>
      </c>
      <c r="AF132" s="12">
        <f t="shared" si="111"/>
        <v>4.9917855649012077E-4</v>
      </c>
      <c r="AG132" s="12">
        <f t="shared" si="112"/>
        <v>-8.9763437146525224E-4</v>
      </c>
      <c r="AH132" s="34"/>
    </row>
    <row r="133" spans="1:34" ht="13.5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width="10.75" style="3" collapsed="1"/>
    <col min="14" max="14" width="11.75" style="3" bestFit="1" customWidth="1" collapsed="1"/>
    <col min="15" max="15" width="12.125" style="3" bestFit="1" customWidth="1" collapsed="1"/>
    <col min="16" max="16" width="11.75" style="3" bestFit="1" customWidth="1" collapsed="1"/>
    <col min="17" max="35" width="10.75" style="3" collapsed="1"/>
    <col min="36" max="36" width="3.875" style="3" customWidth="1" collapsed="1"/>
    <col min="37" max="16384" width="10.75" style="3" collapsed="1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219300.87164029496</v>
      </c>
      <c r="O5" s="7">
        <f>output!C222</f>
        <v>36144.474334022438</v>
      </c>
      <c r="P5" s="7">
        <f>output!D222</f>
        <v>0</v>
      </c>
      <c r="Q5" s="7">
        <f>output!E222</f>
        <v>0</v>
      </c>
      <c r="R5" s="7">
        <f>output!F222</f>
        <v>12282.735354008571</v>
      </c>
      <c r="S5" s="7">
        <f>output!G222</f>
        <v>244.43333362815812</v>
      </c>
      <c r="T5" s="7"/>
      <c r="U5" s="7">
        <f>output!H222</f>
        <v>0</v>
      </c>
      <c r="V5" s="7">
        <f>output!I222</f>
        <v>0</v>
      </c>
      <c r="W5" s="7">
        <f>output!J222</f>
        <v>267972.51466195413</v>
      </c>
      <c r="X5"/>
      <c r="Y5" s="3" t="s">
        <v>210</v>
      </c>
      <c r="Z5" s="7">
        <f t="shared" ref="Z5:AE12" si="0">N5-B5</f>
        <v>-30774.969659705035</v>
      </c>
      <c r="AA5" s="7">
        <f t="shared" si="0"/>
        <v>10098.050734022436</v>
      </c>
      <c r="AB5" s="7">
        <f t="shared" si="0"/>
        <v>-3695.3521000000001</v>
      </c>
      <c r="AC5" s="7">
        <f t="shared" si="0"/>
        <v>-9623.4645999999993</v>
      </c>
      <c r="AD5" s="7">
        <f t="shared" si="0"/>
        <v>-13833.136045991429</v>
      </c>
      <c r="AE5" s="7">
        <f t="shared" si="0"/>
        <v>-875.82626637184171</v>
      </c>
      <c r="AF5" s="7"/>
      <c r="AG5" s="7">
        <f t="shared" ref="AG5:AG12" si="1">U5-I5</f>
        <v>-309.71820000000002</v>
      </c>
      <c r="AH5" s="7">
        <f t="shared" ref="AH5:AH12" si="2">V5-J5</f>
        <v>-191.50479999999999</v>
      </c>
      <c r="AI5" s="7">
        <f t="shared" ref="AI5:AI12" si="3">W5-K5</f>
        <v>-49205.920938045892</v>
      </c>
      <c r="AK5" s="3">
        <v>318360</v>
      </c>
      <c r="AL5" s="7">
        <f>W5-AK5</f>
        <v>-50387.485338045866</v>
      </c>
    </row>
    <row r="6" spans="1:38" x14ac:dyDescent="0.2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2486.321771880569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23093.186993213374</v>
      </c>
      <c r="S6" s="7">
        <f>output!G223</f>
        <v>14878.161317410633</v>
      </c>
      <c r="T6" s="7"/>
      <c r="U6" s="7">
        <f>output!H223</f>
        <v>56920.225716129324</v>
      </c>
      <c r="V6" s="7">
        <f>output!I223</f>
        <v>5564.4198619680119</v>
      </c>
      <c r="W6" s="7">
        <f>output!J223</f>
        <v>102942.3156606019</v>
      </c>
      <c r="X6"/>
      <c r="Y6" s="3" t="s">
        <v>211</v>
      </c>
      <c r="Z6" s="7">
        <f t="shared" si="0"/>
        <v>-2037.2201281194311</v>
      </c>
      <c r="AA6" s="7">
        <f t="shared" si="0"/>
        <v>-6911.4877999999999</v>
      </c>
      <c r="AB6" s="7">
        <f t="shared" si="0"/>
        <v>0</v>
      </c>
      <c r="AC6" s="7">
        <f t="shared" si="0"/>
        <v>-3468.9843000000001</v>
      </c>
      <c r="AD6" s="7">
        <f t="shared" si="0"/>
        <v>10174.835393213374</v>
      </c>
      <c r="AE6" s="7">
        <f t="shared" si="0"/>
        <v>12232.351417410633</v>
      </c>
      <c r="AF6" s="7"/>
      <c r="AG6" s="7">
        <f t="shared" si="1"/>
        <v>36188.699316129321</v>
      </c>
      <c r="AH6" s="7">
        <f t="shared" si="2"/>
        <v>5564.4198619680119</v>
      </c>
      <c r="AI6" s="7">
        <f t="shared" si="3"/>
        <v>51742.613760601904</v>
      </c>
      <c r="AK6" s="3">
        <v>19520</v>
      </c>
      <c r="AL6" s="7">
        <f t="shared" ref="AL6:AL12" si="4">W6-AK6</f>
        <v>83422.315660601904</v>
      </c>
    </row>
    <row r="7" spans="1:38" x14ac:dyDescent="0.2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277405.75002839387</v>
      </c>
      <c r="O7" s="7">
        <f>output!C224</f>
        <v>42136.819464582353</v>
      </c>
      <c r="P7" s="7">
        <f>output!D224</f>
        <v>23270.017864398316</v>
      </c>
      <c r="Q7" s="7">
        <f>output!E224</f>
        <v>55468.623809241733</v>
      </c>
      <c r="R7" s="7">
        <f>output!F224</f>
        <v>27363.959996371068</v>
      </c>
      <c r="S7" s="7">
        <f>output!G224</f>
        <v>7882.5869793362808</v>
      </c>
      <c r="T7" s="7"/>
      <c r="U7" s="7">
        <f>output!H224</f>
        <v>46433.748326785135</v>
      </c>
      <c r="V7" s="7">
        <f>output!I224</f>
        <v>25493.142143090394</v>
      </c>
      <c r="W7" s="7">
        <f>output!J224</f>
        <v>505454.64861219912</v>
      </c>
      <c r="X7"/>
      <c r="Y7" s="3" t="s">
        <v>212</v>
      </c>
      <c r="Z7" s="7">
        <f t="shared" si="0"/>
        <v>18452.488128393859</v>
      </c>
      <c r="AA7" s="7">
        <f t="shared" si="0"/>
        <v>-8228.2585354176481</v>
      </c>
      <c r="AB7" s="7">
        <f t="shared" si="0"/>
        <v>8694.2714643983163</v>
      </c>
      <c r="AC7" s="7">
        <f t="shared" si="0"/>
        <v>-856.870990758267</v>
      </c>
      <c r="AD7" s="7">
        <f t="shared" si="0"/>
        <v>14500.153396371068</v>
      </c>
      <c r="AE7" s="7">
        <f t="shared" si="0"/>
        <v>4898.2131793362805</v>
      </c>
      <c r="AF7" s="7"/>
      <c r="AG7" s="7">
        <f t="shared" si="1"/>
        <v>-2589.5458732148691</v>
      </c>
      <c r="AH7" s="7">
        <f t="shared" si="2"/>
        <v>-9390.678756909605</v>
      </c>
      <c r="AI7" s="7">
        <f t="shared" si="3"/>
        <v>25479.772012199101</v>
      </c>
      <c r="AK7" s="3">
        <v>946110</v>
      </c>
      <c r="AL7" s="7">
        <f t="shared" si="4"/>
        <v>-440655.35138780088</v>
      </c>
    </row>
    <row r="8" spans="1:38" x14ac:dyDescent="0.2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460904.96572814684</v>
      </c>
      <c r="O8" s="7">
        <f>output!C225</f>
        <v>108197.81513767806</v>
      </c>
      <c r="P8" s="7">
        <f>output!D225</f>
        <v>154581.74022864219</v>
      </c>
      <c r="Q8" s="7">
        <f>output!E225</f>
        <v>195782.16171251336</v>
      </c>
      <c r="R8" s="7">
        <f>output!F225</f>
        <v>38990.741663145905</v>
      </c>
      <c r="S8" s="7">
        <f>output!G225</f>
        <v>19154.743154494008</v>
      </c>
      <c r="T8" s="7"/>
      <c r="U8" s="7">
        <f>output!H225</f>
        <v>88393.79917568159</v>
      </c>
      <c r="V8" s="7">
        <f>output!I225</f>
        <v>91017.171533372355</v>
      </c>
      <c r="W8" s="7">
        <f>output!J225</f>
        <v>1157023.1383336741</v>
      </c>
      <c r="X8"/>
      <c r="Y8" s="3" t="s">
        <v>213</v>
      </c>
      <c r="Z8" s="7">
        <f t="shared" si="0"/>
        <v>164780.68422814686</v>
      </c>
      <c r="AA8" s="7">
        <f t="shared" si="0"/>
        <v>7387.4632376780646</v>
      </c>
      <c r="AB8" s="7">
        <f t="shared" si="0"/>
        <v>12237.983728642197</v>
      </c>
      <c r="AC8" s="7">
        <f t="shared" si="0"/>
        <v>18309.956212513353</v>
      </c>
      <c r="AD8" s="7">
        <f t="shared" si="0"/>
        <v>6355.2442631459053</v>
      </c>
      <c r="AE8" s="7">
        <f t="shared" si="0"/>
        <v>10410.969654494009</v>
      </c>
      <c r="AF8" s="7"/>
      <c r="AG8" s="7">
        <f t="shared" si="1"/>
        <v>11316.208975681584</v>
      </c>
      <c r="AH8" s="7">
        <f t="shared" si="2"/>
        <v>24489.04663337236</v>
      </c>
      <c r="AI8" s="7">
        <f t="shared" si="3"/>
        <v>255287.55693367403</v>
      </c>
      <c r="AK8" s="3">
        <v>895490</v>
      </c>
      <c r="AL8" s="7">
        <f t="shared" si="4"/>
        <v>261533.13833367405</v>
      </c>
    </row>
    <row r="9" spans="1:38" x14ac:dyDescent="0.2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617405.32684259501</v>
      </c>
      <c r="O9" s="7">
        <f>output!C226</f>
        <v>140079.3038003901</v>
      </c>
      <c r="P9" s="7">
        <f>output!D226</f>
        <v>206995.51540078773</v>
      </c>
      <c r="Q9" s="7">
        <f>output!E226</f>
        <v>254589.60074487404</v>
      </c>
      <c r="R9" s="7">
        <f>output!F226</f>
        <v>70076.339918009558</v>
      </c>
      <c r="S9" s="7">
        <f>output!G226</f>
        <v>27558.064874040014</v>
      </c>
      <c r="T9" s="7"/>
      <c r="U9" s="7">
        <f>output!H226</f>
        <v>96199.905856314595</v>
      </c>
      <c r="V9" s="7">
        <f>output!I226</f>
        <v>109305.05250780501</v>
      </c>
      <c r="W9" s="7">
        <f>output!J226</f>
        <v>1522209.1099448157</v>
      </c>
      <c r="X9"/>
      <c r="Y9" s="3" t="s">
        <v>214</v>
      </c>
      <c r="Z9" s="7">
        <f t="shared" si="0"/>
        <v>226431.147742595</v>
      </c>
      <c r="AA9" s="7">
        <f t="shared" si="0"/>
        <v>4224.7576003900904</v>
      </c>
      <c r="AB9" s="7">
        <f t="shared" si="0"/>
        <v>43675.273300787725</v>
      </c>
      <c r="AC9" s="7">
        <f t="shared" si="0"/>
        <v>45537.005244874046</v>
      </c>
      <c r="AD9" s="7">
        <f t="shared" si="0"/>
        <v>28532.775418009558</v>
      </c>
      <c r="AE9" s="7">
        <f t="shared" si="0"/>
        <v>22985.798874040014</v>
      </c>
      <c r="AF9" s="7"/>
      <c r="AG9" s="7">
        <f t="shared" si="1"/>
        <v>36594.417756314593</v>
      </c>
      <c r="AH9" s="7">
        <f t="shared" si="2"/>
        <v>39672.495107805007</v>
      </c>
      <c r="AI9" s="7">
        <f t="shared" si="3"/>
        <v>447653.6710448158</v>
      </c>
      <c r="AK9" s="3">
        <v>935110</v>
      </c>
      <c r="AL9" s="7">
        <f t="shared" si="4"/>
        <v>587099.10994481575</v>
      </c>
    </row>
    <row r="10" spans="1:38" x14ac:dyDescent="0.2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13011.657013382248</v>
      </c>
      <c r="O10" s="7">
        <f>output!C227</f>
        <v>96106.262155673132</v>
      </c>
      <c r="P10" s="7">
        <f>output!D227</f>
        <v>106590.01540106481</v>
      </c>
      <c r="Q10" s="7">
        <f>output!E227</f>
        <v>159339.79393817898</v>
      </c>
      <c r="R10" s="7">
        <f>output!F227</f>
        <v>71095.843324951507</v>
      </c>
      <c r="S10" s="7">
        <f>output!G227</f>
        <v>42116.061620550659</v>
      </c>
      <c r="T10" s="7"/>
      <c r="U10" s="7">
        <f>output!H227</f>
        <v>133555.4553194413</v>
      </c>
      <c r="V10" s="7">
        <f>output!I227</f>
        <v>53455.973337366995</v>
      </c>
      <c r="W10" s="7">
        <f>output!J227</f>
        <v>675271.06211060961</v>
      </c>
      <c r="X10"/>
      <c r="Y10" s="3" t="s">
        <v>129</v>
      </c>
      <c r="Z10" s="7">
        <f t="shared" si="0"/>
        <v>-222795.27558661776</v>
      </c>
      <c r="AA10" s="7">
        <f t="shared" si="0"/>
        <v>46816.031755673132</v>
      </c>
      <c r="AB10" s="7">
        <f t="shared" si="0"/>
        <v>59875.77350106481</v>
      </c>
      <c r="AC10" s="7">
        <f t="shared" si="0"/>
        <v>83246.861338178976</v>
      </c>
      <c r="AD10" s="7">
        <f t="shared" si="0"/>
        <v>50680.333024951513</v>
      </c>
      <c r="AE10" s="7">
        <f t="shared" si="0"/>
        <v>36614.429020550662</v>
      </c>
      <c r="AF10" s="7"/>
      <c r="AG10" s="7">
        <f t="shared" si="1"/>
        <v>110228.1979194413</v>
      </c>
      <c r="AH10" s="7">
        <f t="shared" si="2"/>
        <v>33320.057837367</v>
      </c>
      <c r="AI10" s="7">
        <f t="shared" si="3"/>
        <v>197986.40881060954</v>
      </c>
      <c r="AK10" s="3">
        <v>426400</v>
      </c>
      <c r="AL10" s="7">
        <f t="shared" si="4"/>
        <v>248871.06211060961</v>
      </c>
    </row>
    <row r="11" spans="1:38" x14ac:dyDescent="0.2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326651.82025562815</v>
      </c>
      <c r="O11" s="7">
        <f>output!C228</f>
        <v>71005.290990960741</v>
      </c>
      <c r="P11" s="7">
        <f>output!D228</f>
        <v>74026.362880427929</v>
      </c>
      <c r="Q11" s="7">
        <f>output!E228</f>
        <v>108650.65275020065</v>
      </c>
      <c r="R11" s="7">
        <f>output!F228</f>
        <v>37917.399082670017</v>
      </c>
      <c r="S11" s="7">
        <f>output!G228</f>
        <v>24469.337726108715</v>
      </c>
      <c r="T11" s="7"/>
      <c r="U11" s="7">
        <f>output!H228</f>
        <v>111483.11302373855</v>
      </c>
      <c r="V11" s="7">
        <f>output!I228</f>
        <v>52505.400990264556</v>
      </c>
      <c r="W11" s="7">
        <f>output!J228</f>
        <v>806709.37769999926</v>
      </c>
      <c r="X11"/>
      <c r="Y11" s="3" t="s">
        <v>130</v>
      </c>
      <c r="Z11" s="7">
        <f t="shared" si="0"/>
        <v>134257.43335562813</v>
      </c>
      <c r="AA11" s="7">
        <f t="shared" si="0"/>
        <v>22484.676590960742</v>
      </c>
      <c r="AB11" s="7">
        <f t="shared" si="0"/>
        <v>22773.072080427926</v>
      </c>
      <c r="AC11" s="7">
        <f t="shared" si="0"/>
        <v>7801.5893502006511</v>
      </c>
      <c r="AD11" s="7">
        <f t="shared" si="0"/>
        <v>21519.336782670016</v>
      </c>
      <c r="AE11" s="7">
        <f t="shared" si="0"/>
        <v>19165.075426108717</v>
      </c>
      <c r="AF11" s="7"/>
      <c r="AG11" s="7">
        <f t="shared" si="1"/>
        <v>54861.834523738551</v>
      </c>
      <c r="AH11" s="7">
        <f t="shared" si="2"/>
        <v>28568.985690264555</v>
      </c>
      <c r="AI11" s="7">
        <f t="shared" si="3"/>
        <v>311432.00379999925</v>
      </c>
      <c r="AK11" s="3">
        <v>481730</v>
      </c>
      <c r="AL11" s="7">
        <f t="shared" si="4"/>
        <v>324979.37769999926</v>
      </c>
    </row>
    <row r="12" spans="1:38" ht="13.5" thickBot="1" x14ac:dyDescent="0.25">
      <c r="A12" s="10" t="s">
        <v>221</v>
      </c>
      <c r="B12" s="11">
        <f>SUM(B5:B11)</f>
        <v>1628852.4251999999</v>
      </c>
      <c r="C12" s="11">
        <f t="shared" ref="C12:K12" si="5">SUM(C5:C11)</f>
        <v>417798.73230000003</v>
      </c>
      <c r="D12" s="11">
        <f t="shared" si="5"/>
        <v>421902.62980000005</v>
      </c>
      <c r="E12" s="11">
        <f t="shared" si="5"/>
        <v>632884.74070000008</v>
      </c>
      <c r="F12" s="11">
        <f t="shared" si="5"/>
        <v>162890.66409999999</v>
      </c>
      <c r="G12" s="11">
        <f t="shared" si="5"/>
        <v>30872.377700000001</v>
      </c>
      <c r="H12" s="11"/>
      <c r="I12" s="11">
        <f t="shared" si="5"/>
        <v>286696.15300000005</v>
      </c>
      <c r="J12" s="11">
        <f t="shared" si="5"/>
        <v>215308.3388</v>
      </c>
      <c r="K12" s="11">
        <f t="shared" si="5"/>
        <v>3797206.0616000001</v>
      </c>
      <c r="L12"/>
      <c r="M12" s="10" t="s">
        <v>221</v>
      </c>
      <c r="N12" s="11">
        <f>SUM(N5:N11)</f>
        <v>1917166.7132803218</v>
      </c>
      <c r="O12" s="11">
        <f t="shared" ref="O12:W12" si="6">SUM(O5:O11)</f>
        <v>493669.96588330681</v>
      </c>
      <c r="P12" s="11">
        <f t="shared" si="6"/>
        <v>565463.65177532099</v>
      </c>
      <c r="Q12" s="11">
        <f t="shared" si="6"/>
        <v>773830.83295500884</v>
      </c>
      <c r="R12" s="11">
        <f t="shared" si="6"/>
        <v>280820.20633237</v>
      </c>
      <c r="S12" s="11">
        <f t="shared" si="6"/>
        <v>136303.38900556846</v>
      </c>
      <c r="T12" s="11"/>
      <c r="U12" s="11">
        <f t="shared" si="6"/>
        <v>532986.24741809047</v>
      </c>
      <c r="V12" s="11">
        <f t="shared" si="6"/>
        <v>337341.16037386731</v>
      </c>
      <c r="W12" s="11">
        <f t="shared" si="6"/>
        <v>5037582.1670238534</v>
      </c>
      <c r="X12"/>
      <c r="Y12" s="10" t="s">
        <v>221</v>
      </c>
      <c r="Z12" s="11">
        <f t="shared" si="0"/>
        <v>288314.28808032186</v>
      </c>
      <c r="AA12" s="11">
        <f t="shared" si="0"/>
        <v>75871.233583306777</v>
      </c>
      <c r="AB12" s="11">
        <f t="shared" si="0"/>
        <v>143561.02197532094</v>
      </c>
      <c r="AC12" s="11">
        <f t="shared" si="0"/>
        <v>140946.09225500876</v>
      </c>
      <c r="AD12" s="11">
        <f t="shared" si="0"/>
        <v>117929.54223237</v>
      </c>
      <c r="AE12" s="11">
        <f t="shared" si="0"/>
        <v>105431.01130556846</v>
      </c>
      <c r="AF12" s="11"/>
      <c r="AG12" s="11">
        <f t="shared" si="1"/>
        <v>246290.09441809042</v>
      </c>
      <c r="AH12" s="11">
        <f t="shared" si="2"/>
        <v>122032.82157386732</v>
      </c>
      <c r="AI12" s="11">
        <f t="shared" si="3"/>
        <v>1240376.1054238533</v>
      </c>
      <c r="AK12" s="3">
        <v>4022720</v>
      </c>
      <c r="AL12" s="7">
        <f t="shared" si="4"/>
        <v>1014862.1670238534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1410222.3792541239</v>
      </c>
      <c r="O14" s="33">
        <f>ToursByTourPurpose!O15</f>
        <v>330587.79410013492</v>
      </c>
      <c r="P14" s="33">
        <f>ToursByTourPurpose!P15</f>
        <v>393707.17935026012</v>
      </c>
      <c r="Q14" s="33">
        <f>ToursByTourPurpose!Q15</f>
        <v>573902.57800400315</v>
      </c>
      <c r="R14" s="33">
        <f>ToursByTourPurpose!R15</f>
        <v>175566.13317979188</v>
      </c>
      <c r="S14" s="33">
        <f>ToursByTourPurpose!S15</f>
        <v>119540.37697423306</v>
      </c>
      <c r="T14" s="33"/>
      <c r="U14" s="33">
        <f>ToursByTourPurpose!U15</f>
        <v>503887.95581699541</v>
      </c>
      <c r="V14" s="33">
        <f>ToursByTourPurpose!V15</f>
        <v>235060.42178434858</v>
      </c>
      <c r="W14" s="33">
        <f>ToursByTourPurpose!W15</f>
        <v>3742474.8184638908</v>
      </c>
      <c r="X14"/>
      <c r="Y14" s="25" t="s">
        <v>88</v>
      </c>
      <c r="Z14" s="33">
        <f t="shared" ref="Z14:AE15" si="7">N14-B14</f>
        <v>-2367.3631458762102</v>
      </c>
      <c r="AA14" s="33">
        <f t="shared" si="7"/>
        <v>-10367.887999865052</v>
      </c>
      <c r="AB14" s="33">
        <f t="shared" si="7"/>
        <v>8615.2009502600995</v>
      </c>
      <c r="AC14" s="33">
        <f t="shared" si="7"/>
        <v>-18386.090395996813</v>
      </c>
      <c r="AD14" s="33">
        <f t="shared" si="7"/>
        <v>64087.197579791886</v>
      </c>
      <c r="AE14" s="33">
        <f t="shared" si="7"/>
        <v>41040.832774233058</v>
      </c>
      <c r="AF14" s="33"/>
      <c r="AG14" s="33">
        <f t="shared" ref="AG14:AI15" si="8">U14-I14</f>
        <v>-12027.970083004562</v>
      </c>
      <c r="AH14" s="33">
        <f t="shared" si="8"/>
        <v>-36637.067815651448</v>
      </c>
      <c r="AI14" s="33">
        <f t="shared" si="8"/>
        <v>33956.851863890886</v>
      </c>
    </row>
    <row r="15" spans="1:38" x14ac:dyDescent="0.2">
      <c r="A15" s="25" t="s">
        <v>90</v>
      </c>
      <c r="B15" s="38">
        <f>B12/B14</f>
        <v>1.1530965971992462</v>
      </c>
      <c r="C15" s="38">
        <f t="shared" ref="C15:K15" si="9">C12/C14</f>
        <v>1.2253754790848814</v>
      </c>
      <c r="D15" s="38">
        <f t="shared" si="9"/>
        <v>1.095589244816116</v>
      </c>
      <c r="E15" s="38">
        <f t="shared" si="9"/>
        <v>1.0685410247838538</v>
      </c>
      <c r="F15" s="38">
        <f t="shared" si="9"/>
        <v>1.4611788605918479</v>
      </c>
      <c r="G15" s="38">
        <f t="shared" si="9"/>
        <v>0.39328098034994702</v>
      </c>
      <c r="H15" s="38"/>
      <c r="I15" s="38">
        <f t="shared" si="9"/>
        <v>0.55570324273255789</v>
      </c>
      <c r="J15" s="38">
        <f t="shared" si="9"/>
        <v>0.79245612139067767</v>
      </c>
      <c r="K15" s="38">
        <f t="shared" si="9"/>
        <v>1.0239147001035862</v>
      </c>
      <c r="L15"/>
      <c r="M15" s="25" t="s">
        <v>90</v>
      </c>
      <c r="N15" s="38">
        <f t="shared" ref="N15:W15" si="10">N12/N14</f>
        <v>1.3594782932705438</v>
      </c>
      <c r="O15" s="38">
        <f t="shared" si="10"/>
        <v>1.493309718911686</v>
      </c>
      <c r="P15" s="38">
        <f t="shared" si="10"/>
        <v>1.4362543571303747</v>
      </c>
      <c r="Q15" s="38">
        <f t="shared" si="10"/>
        <v>1.3483661907328304</v>
      </c>
      <c r="R15" s="38">
        <f t="shared" si="10"/>
        <v>1.5995123959630111</v>
      </c>
      <c r="S15" s="38">
        <f t="shared" si="10"/>
        <v>1.1402288704087713</v>
      </c>
      <c r="T15" s="38"/>
      <c r="U15" s="38">
        <f t="shared" si="10"/>
        <v>1.0577475434075727</v>
      </c>
      <c r="V15" s="38">
        <f t="shared" si="10"/>
        <v>1.4351253086891596</v>
      </c>
      <c r="W15" s="38">
        <f t="shared" si="10"/>
        <v>1.3460563962035001</v>
      </c>
      <c r="X15"/>
      <c r="Y15" s="25" t="s">
        <v>90</v>
      </c>
      <c r="Z15" s="38">
        <f t="shared" si="7"/>
        <v>0.20638169607129764</v>
      </c>
      <c r="AA15" s="38">
        <f t="shared" si="7"/>
        <v>0.26793423982680453</v>
      </c>
      <c r="AB15" s="38">
        <f t="shared" si="7"/>
        <v>0.34066511231425878</v>
      </c>
      <c r="AC15" s="38">
        <f t="shared" si="7"/>
        <v>0.27982516594897655</v>
      </c>
      <c r="AD15" s="38">
        <f t="shared" si="7"/>
        <v>0.13833353537116322</v>
      </c>
      <c r="AE15" s="38">
        <f t="shared" si="7"/>
        <v>0.74694789005882423</v>
      </c>
      <c r="AF15" s="38"/>
      <c r="AG15" s="38">
        <f t="shared" si="8"/>
        <v>0.50204430067501482</v>
      </c>
      <c r="AH15" s="38">
        <f t="shared" si="8"/>
        <v>0.64266918729848188</v>
      </c>
      <c r="AI15" s="38">
        <f t="shared" si="8"/>
        <v>0.32214169609991394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t="shared" ref="B21:K21" si="11">B5/B$12</f>
        <v>0.15352885100643432</v>
      </c>
      <c r="C21" s="12">
        <f t="shared" si="11"/>
        <v>6.2342035976541428E-2</v>
      </c>
      <c r="D21" s="12">
        <f t="shared" si="11"/>
        <v>8.7587794884136077E-3</v>
      </c>
      <c r="E21" s="12">
        <f t="shared" si="11"/>
        <v>1.5205714375979422E-2</v>
      </c>
      <c r="F21" s="12">
        <f t="shared" si="11"/>
        <v>0.16032761327541301</v>
      </c>
      <c r="G21" s="12">
        <f t="shared" si="11"/>
        <v>3.6286793679645858E-2</v>
      </c>
      <c r="H21" s="12"/>
      <c r="I21" s="12">
        <f t="shared" si="11"/>
        <v>1.0803012065529877E-3</v>
      </c>
      <c r="J21" s="12">
        <f t="shared" si="11"/>
        <v>8.8944441756103499E-4</v>
      </c>
      <c r="K21" s="12">
        <f t="shared" si="11"/>
        <v>8.352942412252258E-2</v>
      </c>
      <c r="L21"/>
      <c r="M21" s="3" t="s">
        <v>210</v>
      </c>
      <c r="N21" s="12">
        <f t="shared" ref="N21:W21" si="12">N5/N$12</f>
        <v>0.1143880029426682</v>
      </c>
      <c r="O21" s="12">
        <f t="shared" si="12"/>
        <v>7.321586653413352E-2</v>
      </c>
      <c r="P21" s="12">
        <f t="shared" si="12"/>
        <v>0</v>
      </c>
      <c r="Q21" s="12">
        <f t="shared" si="12"/>
        <v>0</v>
      </c>
      <c r="R21" s="12">
        <f t="shared" si="12"/>
        <v>4.3738787583793418E-2</v>
      </c>
      <c r="S21" s="12">
        <f t="shared" si="12"/>
        <v>1.7933034197570258E-3</v>
      </c>
      <c r="T21" s="12"/>
      <c r="U21" s="12">
        <f t="shared" si="12"/>
        <v>0</v>
      </c>
      <c r="V21" s="12">
        <f t="shared" si="12"/>
        <v>0</v>
      </c>
      <c r="W21" s="12">
        <f t="shared" si="12"/>
        <v>5.3194668747263189E-2</v>
      </c>
      <c r="X21"/>
      <c r="Y21" s="3" t="s">
        <v>210</v>
      </c>
      <c r="Z21" s="12">
        <f t="shared" ref="Z21:AE28" si="13">N21-B21</f>
        <v>-3.9140848063766123E-2</v>
      </c>
      <c r="AA21" s="12">
        <f t="shared" si="13"/>
        <v>1.0873830557592092E-2</v>
      </c>
      <c r="AB21" s="12">
        <f t="shared" si="13"/>
        <v>-8.7587794884136077E-3</v>
      </c>
      <c r="AC21" s="12">
        <f t="shared" si="13"/>
        <v>-1.5205714375979422E-2</v>
      </c>
      <c r="AD21" s="12">
        <f t="shared" si="13"/>
        <v>-0.11658882569161959</v>
      </c>
      <c r="AE21" s="12">
        <f t="shared" si="13"/>
        <v>-3.4493490259888834E-2</v>
      </c>
      <c r="AF21" s="12"/>
      <c r="AG21" s="12">
        <f t="shared" ref="AG21:AG28" si="14">U21-I21</f>
        <v>-1.0803012065529877E-3</v>
      </c>
      <c r="AH21" s="12">
        <f t="shared" ref="AH21:AH28" si="15">V21-J21</f>
        <v>-8.8944441756103499E-4</v>
      </c>
      <c r="AI21" s="12">
        <f t="shared" ref="AI21:AI28" si="16">W21-K21</f>
        <v>-3.0334755375259391E-2</v>
      </c>
    </row>
    <row r="22" spans="1:35" x14ac:dyDescent="0.2">
      <c r="A22" s="3" t="s">
        <v>211</v>
      </c>
      <c r="B22" s="12">
        <f t="shared" ref="B22:K22" si="17">B6/B$12</f>
        <v>2.7771342756508915E-3</v>
      </c>
      <c r="C22" s="12">
        <f t="shared" si="17"/>
        <v>1.6542625110306013E-2</v>
      </c>
      <c r="D22" s="12">
        <f t="shared" si="17"/>
        <v>0</v>
      </c>
      <c r="E22" s="12">
        <f t="shared" si="17"/>
        <v>5.4812260067498885E-3</v>
      </c>
      <c r="F22" s="12">
        <f t="shared" si="17"/>
        <v>7.9306887668339987E-2</v>
      </c>
      <c r="G22" s="12">
        <f t="shared" si="17"/>
        <v>8.5701526643346293E-2</v>
      </c>
      <c r="H22" s="12"/>
      <c r="I22" s="12">
        <f t="shared" si="17"/>
        <v>7.2311840194102625E-2</v>
      </c>
      <c r="J22" s="12">
        <f t="shared" si="17"/>
        <v>0</v>
      </c>
      <c r="K22" s="12">
        <f t="shared" si="17"/>
        <v>1.3483519479695123E-2</v>
      </c>
      <c r="L22"/>
      <c r="M22" s="3" t="s">
        <v>211</v>
      </c>
      <c r="N22" s="12">
        <f t="shared" ref="N22:W22" si="18">N6/N$12</f>
        <v>1.2968730130028224E-3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8.2234776816170418E-2</v>
      </c>
      <c r="S22" s="12">
        <f t="shared" si="18"/>
        <v>0.10915474241658664</v>
      </c>
      <c r="T22" s="12"/>
      <c r="U22" s="12">
        <f t="shared" si="18"/>
        <v>0.10679492386879429</v>
      </c>
      <c r="V22" s="12">
        <f t="shared" si="18"/>
        <v>1.6494933069540332E-2</v>
      </c>
      <c r="W22" s="12">
        <f t="shared" si="18"/>
        <v>2.0434865824018721E-2</v>
      </c>
      <c r="X22"/>
      <c r="Y22" s="3" t="s">
        <v>211</v>
      </c>
      <c r="Z22" s="12">
        <f t="shared" si="13"/>
        <v>-1.4802612626480692E-3</v>
      </c>
      <c r="AA22" s="12">
        <f t="shared" si="13"/>
        <v>-1.6542625110306013E-2</v>
      </c>
      <c r="AB22" s="12">
        <f t="shared" si="13"/>
        <v>0</v>
      </c>
      <c r="AC22" s="12">
        <f t="shared" si="13"/>
        <v>-5.4812260067498885E-3</v>
      </c>
      <c r="AD22" s="12">
        <f t="shared" si="13"/>
        <v>2.9278891478304314E-3</v>
      </c>
      <c r="AE22" s="12">
        <f t="shared" si="13"/>
        <v>2.3453215773240346E-2</v>
      </c>
      <c r="AF22" s="12"/>
      <c r="AG22" s="12">
        <f t="shared" si="14"/>
        <v>3.4483083674691661E-2</v>
      </c>
      <c r="AH22" s="12">
        <f t="shared" si="15"/>
        <v>1.6494933069540332E-2</v>
      </c>
      <c r="AI22" s="12">
        <f t="shared" si="16"/>
        <v>6.951346344323598E-3</v>
      </c>
    </row>
    <row r="23" spans="1:35" x14ac:dyDescent="0.2">
      <c r="A23" s="3" t="s">
        <v>212</v>
      </c>
      <c r="B23" s="12">
        <f t="shared" ref="B23:K23" si="19">B7/B$12</f>
        <v>0.15897895837199877</v>
      </c>
      <c r="C23" s="12">
        <f t="shared" si="19"/>
        <v>0.12054866160732006</v>
      </c>
      <c r="D23" s="12">
        <f t="shared" si="19"/>
        <v>3.4547654767901136E-2</v>
      </c>
      <c r="E23" s="12">
        <f t="shared" si="19"/>
        <v>8.8998029463787307E-2</v>
      </c>
      <c r="F23" s="12">
        <f t="shared" si="19"/>
        <v>7.8972031153994177E-2</v>
      </c>
      <c r="G23" s="12">
        <f t="shared" si="19"/>
        <v>9.6668090452909958E-2</v>
      </c>
      <c r="H23" s="12"/>
      <c r="I23" s="12">
        <f t="shared" si="19"/>
        <v>0.17099390308177589</v>
      </c>
      <c r="J23" s="12">
        <f t="shared" si="19"/>
        <v>0.16201797428943795</v>
      </c>
      <c r="K23" s="12">
        <f t="shared" si="19"/>
        <v>0.12640211482169514</v>
      </c>
      <c r="L23"/>
      <c r="M23" s="3" t="s">
        <v>212</v>
      </c>
      <c r="N23" s="12">
        <f t="shared" ref="N23:W23" si="20">N7/N$12</f>
        <v>0.14469568457807483</v>
      </c>
      <c r="O23" s="12">
        <f t="shared" si="20"/>
        <v>8.5354229296060943E-2</v>
      </c>
      <c r="P23" s="12">
        <f t="shared" si="20"/>
        <v>4.1152101980985206E-2</v>
      </c>
      <c r="Q23" s="12">
        <f t="shared" si="20"/>
        <v>7.1680555293235165E-2</v>
      </c>
      <c r="R23" s="12">
        <f t="shared" si="20"/>
        <v>9.7442988002024125E-2</v>
      </c>
      <c r="S23" s="12">
        <f t="shared" si="20"/>
        <v>5.7831188474809309E-2</v>
      </c>
      <c r="T23" s="12"/>
      <c r="U23" s="12">
        <f t="shared" si="20"/>
        <v>8.7119974580434356E-2</v>
      </c>
      <c r="V23" s="12">
        <f t="shared" si="20"/>
        <v>7.5570802314300869E-2</v>
      </c>
      <c r="W23" s="12">
        <f t="shared" si="20"/>
        <v>0.10033675518404815</v>
      </c>
      <c r="X23"/>
      <c r="Y23" s="3" t="s">
        <v>212</v>
      </c>
      <c r="Z23" s="12">
        <f t="shared" si="13"/>
        <v>-1.428327379392394E-2</v>
      </c>
      <c r="AA23" s="12">
        <f t="shared" si="13"/>
        <v>-3.5194432311259113E-2</v>
      </c>
      <c r="AB23" s="12">
        <f t="shared" si="13"/>
        <v>6.6044472130840706E-3</v>
      </c>
      <c r="AC23" s="12">
        <f t="shared" si="13"/>
        <v>-1.7317474170552141E-2</v>
      </c>
      <c r="AD23" s="12">
        <f t="shared" si="13"/>
        <v>1.8470956848029949E-2</v>
      </c>
      <c r="AE23" s="12">
        <f t="shared" si="13"/>
        <v>-3.8836901978100649E-2</v>
      </c>
      <c r="AF23" s="12"/>
      <c r="AG23" s="12">
        <f t="shared" si="14"/>
        <v>-8.3873928501341538E-2</v>
      </c>
      <c r="AH23" s="12">
        <f t="shared" si="15"/>
        <v>-8.6447171975137085E-2</v>
      </c>
      <c r="AI23" s="12">
        <f t="shared" si="16"/>
        <v>-2.6065359637646987E-2</v>
      </c>
    </row>
    <row r="24" spans="1:35" x14ac:dyDescent="0.2">
      <c r="A24" s="3" t="s">
        <v>213</v>
      </c>
      <c r="B24" s="12">
        <f t="shared" ref="B24:K24" si="21">B8/B$12</f>
        <v>0.18179933118473893</v>
      </c>
      <c r="C24" s="12">
        <f t="shared" si="21"/>
        <v>0.24128927185832916</v>
      </c>
      <c r="D24" s="12">
        <f t="shared" si="21"/>
        <v>0.3373853264851111</v>
      </c>
      <c r="E24" s="12">
        <f t="shared" si="21"/>
        <v>0.28041789300166642</v>
      </c>
      <c r="F24" s="12">
        <f t="shared" si="21"/>
        <v>0.20035216616198939</v>
      </c>
      <c r="G24" s="12">
        <f t="shared" si="21"/>
        <v>0.28322319663768558</v>
      </c>
      <c r="H24" s="12"/>
      <c r="I24" s="12">
        <f t="shared" si="21"/>
        <v>0.26884766116830311</v>
      </c>
      <c r="J24" s="12">
        <f t="shared" si="21"/>
        <v>0.30899000601085869</v>
      </c>
      <c r="K24" s="12">
        <f t="shared" si="21"/>
        <v>0.23747343883150826</v>
      </c>
      <c r="L24"/>
      <c r="M24" s="3" t="s">
        <v>213</v>
      </c>
      <c r="N24" s="12">
        <f t="shared" ref="N24:W24" si="22">N8/N$12</f>
        <v>0.24040943468057951</v>
      </c>
      <c r="O24" s="12">
        <f t="shared" si="22"/>
        <v>0.21917034175673095</v>
      </c>
      <c r="P24" s="12">
        <f t="shared" si="22"/>
        <v>0.27337166543476266</v>
      </c>
      <c r="Q24" s="12">
        <f t="shared" si="22"/>
        <v>0.25300382638526409</v>
      </c>
      <c r="R24" s="12">
        <f t="shared" si="22"/>
        <v>0.13884592626855949</v>
      </c>
      <c r="S24" s="12">
        <f t="shared" si="22"/>
        <v>0.14053020467239791</v>
      </c>
      <c r="T24" s="12"/>
      <c r="U24" s="12">
        <f t="shared" si="22"/>
        <v>0.16584630392225266</v>
      </c>
      <c r="V24" s="12">
        <f t="shared" si="22"/>
        <v>0.26980748934550458</v>
      </c>
      <c r="W24" s="12">
        <f t="shared" si="22"/>
        <v>0.22967826627376486</v>
      </c>
      <c r="X24"/>
      <c r="Y24" s="3" t="s">
        <v>213</v>
      </c>
      <c r="Z24" s="12">
        <f t="shared" si="13"/>
        <v>5.8610103495840588E-2</v>
      </c>
      <c r="AA24" s="12">
        <f t="shared" si="13"/>
        <v>-2.2118930101598211E-2</v>
      </c>
      <c r="AB24" s="12">
        <f t="shared" si="13"/>
        <v>-6.4013661050348447E-2</v>
      </c>
      <c r="AC24" s="12">
        <f t="shared" si="13"/>
        <v>-2.7414066616402333E-2</v>
      </c>
      <c r="AD24" s="12">
        <f t="shared" si="13"/>
        <v>-6.1506239893429904E-2</v>
      </c>
      <c r="AE24" s="12">
        <f t="shared" si="13"/>
        <v>-0.14269299196528767</v>
      </c>
      <c r="AF24" s="12"/>
      <c r="AG24" s="12">
        <f t="shared" si="14"/>
        <v>-0.10300135724605045</v>
      </c>
      <c r="AH24" s="12">
        <f t="shared" si="15"/>
        <v>-3.9182516665354106E-2</v>
      </c>
      <c r="AI24" s="12">
        <f t="shared" si="16"/>
        <v>-7.7951725577433961E-3</v>
      </c>
    </row>
    <row r="25" spans="1:35" x14ac:dyDescent="0.2">
      <c r="A25" s="3" t="s">
        <v>214</v>
      </c>
      <c r="B25" s="12">
        <f t="shared" ref="B25:K25" si="23">B9/B$12</f>
        <v>0.24003044907643731</v>
      </c>
      <c r="C25" s="12">
        <f t="shared" si="23"/>
        <v>0.32516744474573889</v>
      </c>
      <c r="D25" s="12">
        <f t="shared" si="23"/>
        <v>0.38710411020054747</v>
      </c>
      <c r="E25" s="12">
        <f t="shared" si="23"/>
        <v>0.33031701043823247</v>
      </c>
      <c r="F25" s="12">
        <f t="shared" si="23"/>
        <v>0.25503956736585004</v>
      </c>
      <c r="G25" s="12">
        <f t="shared" si="23"/>
        <v>0.14810216577520041</v>
      </c>
      <c r="H25" s="12"/>
      <c r="I25" s="12">
        <f t="shared" si="23"/>
        <v>0.20790473634293932</v>
      </c>
      <c r="J25" s="12">
        <f t="shared" si="23"/>
        <v>0.32340854881928988</v>
      </c>
      <c r="K25" s="12">
        <f t="shared" si="23"/>
        <v>0.2829858115330256</v>
      </c>
      <c r="L25"/>
      <c r="M25" s="3" t="s">
        <v>214</v>
      </c>
      <c r="N25" s="12">
        <f t="shared" ref="N25:W25" si="24">N9/N$12</f>
        <v>0.32204049995537348</v>
      </c>
      <c r="O25" s="12">
        <f t="shared" si="24"/>
        <v>0.28375091352732179</v>
      </c>
      <c r="P25" s="12">
        <f t="shared" si="24"/>
        <v>0.36606334421480108</v>
      </c>
      <c r="Q25" s="12">
        <f t="shared" si="24"/>
        <v>0.32899903945760206</v>
      </c>
      <c r="R25" s="12">
        <f t="shared" si="24"/>
        <v>0.249541658106573</v>
      </c>
      <c r="S25" s="12">
        <f t="shared" si="24"/>
        <v>0.20218180248558729</v>
      </c>
      <c r="T25" s="12"/>
      <c r="U25" s="12">
        <f t="shared" si="24"/>
        <v>0.18049228534944259</v>
      </c>
      <c r="V25" s="12">
        <f t="shared" si="24"/>
        <v>0.32401931737788764</v>
      </c>
      <c r="W25" s="12">
        <f t="shared" si="24"/>
        <v>0.30217057697028488</v>
      </c>
      <c r="X25"/>
      <c r="Y25" s="3" t="s">
        <v>214</v>
      </c>
      <c r="Z25" s="12">
        <f t="shared" si="13"/>
        <v>8.2010050878936175E-2</v>
      </c>
      <c r="AA25" s="12">
        <f t="shared" si="13"/>
        <v>-4.1416531218417096E-2</v>
      </c>
      <c r="AB25" s="12">
        <f t="shared" si="13"/>
        <v>-2.104076598574639E-2</v>
      </c>
      <c r="AC25" s="12">
        <f t="shared" si="13"/>
        <v>-1.3179709806304118E-3</v>
      </c>
      <c r="AD25" s="12">
        <f t="shared" si="13"/>
        <v>-5.4979092592770396E-3</v>
      </c>
      <c r="AE25" s="12">
        <f t="shared" si="13"/>
        <v>5.4079636710386875E-2</v>
      </c>
      <c r="AF25" s="12"/>
      <c r="AG25" s="12">
        <f t="shared" si="14"/>
        <v>-2.7412450993496734E-2</v>
      </c>
      <c r="AH25" s="12">
        <f t="shared" si="15"/>
        <v>6.1076855859776291E-4</v>
      </c>
      <c r="AI25" s="12">
        <f t="shared" si="16"/>
        <v>1.9184765437259277E-2</v>
      </c>
    </row>
    <row r="26" spans="1:35" x14ac:dyDescent="0.2">
      <c r="A26" s="3" t="s">
        <v>129</v>
      </c>
      <c r="B26" s="12">
        <f t="shared" ref="B26:K26" si="25">B10/B$12</f>
        <v>0.14476875188434965</v>
      </c>
      <c r="C26" s="12">
        <f t="shared" si="25"/>
        <v>0.11797601713307064</v>
      </c>
      <c r="D26" s="12">
        <f t="shared" si="25"/>
        <v>0.11072280332109936</v>
      </c>
      <c r="E26" s="12">
        <f t="shared" si="25"/>
        <v>0.12023189643636796</v>
      </c>
      <c r="F26" s="12">
        <f t="shared" si="25"/>
        <v>0.1253325990952234</v>
      </c>
      <c r="G26" s="12">
        <f t="shared" si="25"/>
        <v>0.17820566505961086</v>
      </c>
      <c r="H26" s="12"/>
      <c r="I26" s="12">
        <f t="shared" si="25"/>
        <v>8.1365784493104082E-2</v>
      </c>
      <c r="J26" s="12">
        <f t="shared" si="25"/>
        <v>9.352129886016286E-2</v>
      </c>
      <c r="K26" s="12">
        <f t="shared" si="25"/>
        <v>0.12569364041805259</v>
      </c>
      <c r="L26"/>
      <c r="M26" s="3" t="s">
        <v>129</v>
      </c>
      <c r="N26" s="12">
        <f t="shared" ref="N26:W26" si="26">N10/N$12</f>
        <v>6.7869199497622018E-3</v>
      </c>
      <c r="O26" s="12">
        <f t="shared" si="26"/>
        <v>0.19467715031785149</v>
      </c>
      <c r="P26" s="12">
        <f t="shared" si="26"/>
        <v>0.18850020698309508</v>
      </c>
      <c r="Q26" s="12">
        <f t="shared" si="26"/>
        <v>0.20591037104286994</v>
      </c>
      <c r="R26" s="12">
        <f t="shared" si="26"/>
        <v>0.25317210699861353</v>
      </c>
      <c r="S26" s="12">
        <f t="shared" si="26"/>
        <v>0.30898763360043874</v>
      </c>
      <c r="T26" s="12"/>
      <c r="U26" s="12">
        <f t="shared" si="26"/>
        <v>0.25057955241137092</v>
      </c>
      <c r="V26" s="12">
        <f t="shared" si="26"/>
        <v>0.15846264736305227</v>
      </c>
      <c r="W26" s="12">
        <f t="shared" si="26"/>
        <v>0.13404665963186704</v>
      </c>
      <c r="X26"/>
      <c r="Y26" s="3" t="s">
        <v>129</v>
      </c>
      <c r="Z26" s="12">
        <f t="shared" si="13"/>
        <v>-0.13798183193458746</v>
      </c>
      <c r="AA26" s="12">
        <f t="shared" si="13"/>
        <v>7.6701133184780848E-2</v>
      </c>
      <c r="AB26" s="12">
        <f t="shared" si="13"/>
        <v>7.7777403661995717E-2</v>
      </c>
      <c r="AC26" s="12">
        <f t="shared" si="13"/>
        <v>8.5678474606501978E-2</v>
      </c>
      <c r="AD26" s="12">
        <f t="shared" si="13"/>
        <v>0.12783950790339013</v>
      </c>
      <c r="AE26" s="12">
        <f t="shared" si="13"/>
        <v>0.13078196854082788</v>
      </c>
      <c r="AF26" s="12"/>
      <c r="AG26" s="12">
        <f t="shared" si="14"/>
        <v>0.16921376791826684</v>
      </c>
      <c r="AH26" s="12">
        <f t="shared" si="15"/>
        <v>6.4941348502889407E-2</v>
      </c>
      <c r="AI26" s="12">
        <f t="shared" si="16"/>
        <v>8.3530192138144554E-3</v>
      </c>
    </row>
    <row r="27" spans="1:35" x14ac:dyDescent="0.2">
      <c r="A27" s="3" t="s">
        <v>130</v>
      </c>
      <c r="B27" s="12">
        <f t="shared" ref="B27:K27" si="27">B11/B$12</f>
        <v>0.11811652420039016</v>
      </c>
      <c r="C27" s="12">
        <f t="shared" si="27"/>
        <v>0.11613394356869378</v>
      </c>
      <c r="D27" s="12">
        <f t="shared" si="27"/>
        <v>0.12148132573692717</v>
      </c>
      <c r="E27" s="12">
        <f t="shared" si="27"/>
        <v>0.1593482302772164</v>
      </c>
      <c r="F27" s="12">
        <f t="shared" si="27"/>
        <v>0.10066913527919003</v>
      </c>
      <c r="G27" s="12">
        <f t="shared" si="27"/>
        <v>0.17181256175160098</v>
      </c>
      <c r="H27" s="12"/>
      <c r="I27" s="12">
        <f t="shared" si="27"/>
        <v>0.19749577351322181</v>
      </c>
      <c r="J27" s="12">
        <f t="shared" si="27"/>
        <v>0.11117272760268958</v>
      </c>
      <c r="K27" s="12">
        <f t="shared" si="27"/>
        <v>0.1304320507935007</v>
      </c>
      <c r="L27"/>
      <c r="M27" s="3" t="s">
        <v>130</v>
      </c>
      <c r="N27" s="12">
        <f t="shared" ref="N27:W27" si="28">N11/N$12</f>
        <v>0.17038258488053887</v>
      </c>
      <c r="O27" s="12">
        <f t="shared" si="28"/>
        <v>0.14383149856790134</v>
      </c>
      <c r="P27" s="12">
        <f t="shared" si="28"/>
        <v>0.13091268138635595</v>
      </c>
      <c r="Q27" s="12">
        <f t="shared" si="28"/>
        <v>0.14040620782102861</v>
      </c>
      <c r="R27" s="12">
        <f t="shared" si="28"/>
        <v>0.13502375622426604</v>
      </c>
      <c r="S27" s="12">
        <f t="shared" si="28"/>
        <v>0.1795211249304231</v>
      </c>
      <c r="T27" s="12"/>
      <c r="U27" s="12">
        <f t="shared" si="28"/>
        <v>0.20916695986770525</v>
      </c>
      <c r="V27" s="12">
        <f t="shared" si="28"/>
        <v>0.15564481052971432</v>
      </c>
      <c r="W27" s="12">
        <f t="shared" si="28"/>
        <v>0.16013820736875325</v>
      </c>
      <c r="X27"/>
      <c r="Y27" s="3" t="s">
        <v>130</v>
      </c>
      <c r="Z27" s="12">
        <f t="shared" si="13"/>
        <v>5.2266060680148704E-2</v>
      </c>
      <c r="AA27" s="12">
        <f t="shared" si="13"/>
        <v>2.7697554999207563E-2</v>
      </c>
      <c r="AB27" s="12">
        <f t="shared" si="13"/>
        <v>9.431355649428777E-3</v>
      </c>
      <c r="AC27" s="12">
        <f t="shared" si="13"/>
        <v>-1.8942022456187785E-2</v>
      </c>
      <c r="AD27" s="12">
        <f t="shared" si="13"/>
        <v>3.435462094507602E-2</v>
      </c>
      <c r="AE27" s="12">
        <f t="shared" si="13"/>
        <v>7.7085631788221254E-3</v>
      </c>
      <c r="AF27" s="12"/>
      <c r="AG27" s="12">
        <f t="shared" si="14"/>
        <v>1.1671186354483443E-2</v>
      </c>
      <c r="AH27" s="12">
        <f t="shared" si="15"/>
        <v>4.4472082927024745E-2</v>
      </c>
      <c r="AI27" s="12">
        <f t="shared" si="16"/>
        <v>2.9706156575252551E-2</v>
      </c>
    </row>
    <row r="28" spans="1:35" ht="13.5" thickBot="1" x14ac:dyDescent="0.25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6310.6728405271078</v>
      </c>
      <c r="O37" s="7">
        <f>output!C232</f>
        <v>48716.785922968898</v>
      </c>
      <c r="P37" s="7">
        <f>output!D232</f>
        <v>45448.464775090528</v>
      </c>
      <c r="Q37" s="7">
        <f>output!E232</f>
        <v>167496.5911233676</v>
      </c>
      <c r="R37" s="7"/>
      <c r="S37" s="7">
        <f>SUM(N37:Q37)</f>
        <v>267972.51466195413</v>
      </c>
      <c r="T37" s="7"/>
      <c r="X37"/>
      <c r="Y37" s="3" t="s">
        <v>210</v>
      </c>
      <c r="Z37" s="7">
        <f t="shared" ref="Z37:AD44" si="31">N37-B37</f>
        <v>3825.4441405271077</v>
      </c>
      <c r="AA37" s="7">
        <f t="shared" si="31"/>
        <v>-37822.146977031101</v>
      </c>
      <c r="AB37" s="7">
        <f t="shared" si="31"/>
        <v>1420.9178750905266</v>
      </c>
      <c r="AC37" s="7">
        <f t="shared" si="31"/>
        <v>2763.210723367607</v>
      </c>
      <c r="AD37" s="7">
        <f t="shared" si="31"/>
        <v>0</v>
      </c>
      <c r="AE37" s="7">
        <f t="shared" ref="AE37:AE44" si="32">S37-G37</f>
        <v>-29812.57423804584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t="shared" ref="G38:G43" si="33">SUM(B38:E38)</f>
        <v>39226.603900000002</v>
      </c>
      <c r="H38" s="7"/>
      <c r="I38"/>
      <c r="L38"/>
      <c r="M38" s="3" t="s">
        <v>211</v>
      </c>
      <c r="N38" s="7">
        <f>output!B233</f>
        <v>8117.1426763396685</v>
      </c>
      <c r="O38" s="7">
        <f>output!C233</f>
        <v>22595.202036422452</v>
      </c>
      <c r="P38" s="7">
        <f>output!D233</f>
        <v>15452.872968111578</v>
      </c>
      <c r="Q38" s="7">
        <f>output!E233</f>
        <v>56777.097979728213</v>
      </c>
      <c r="R38" s="7"/>
      <c r="S38" s="7">
        <f t="shared" ref="S38:S43" si="34">SUM(N38:Q38)</f>
        <v>102942.31566060192</v>
      </c>
      <c r="T38" s="7"/>
      <c r="X38"/>
      <c r="Y38" s="3" t="s">
        <v>211</v>
      </c>
      <c r="Z38" s="7">
        <f t="shared" si="31"/>
        <v>5817.9906763396684</v>
      </c>
      <c r="AA38" s="7">
        <f t="shared" si="31"/>
        <v>14076.052536422452</v>
      </c>
      <c r="AB38" s="7">
        <f t="shared" si="31"/>
        <v>11511.577168111578</v>
      </c>
      <c r="AC38" s="7">
        <f t="shared" si="31"/>
        <v>32310.091379728212</v>
      </c>
      <c r="AD38" s="7">
        <f t="shared" si="31"/>
        <v>0</v>
      </c>
      <c r="AE38" s="7">
        <f t="shared" si="32"/>
        <v>63715.711760601916</v>
      </c>
      <c r="AF38" s="7"/>
      <c r="AG38"/>
    </row>
    <row r="39" spans="1:33" x14ac:dyDescent="0.2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t="shared" si="33"/>
        <v>444779.4252</v>
      </c>
      <c r="H39" s="7"/>
      <c r="I39"/>
      <c r="L39"/>
      <c r="M39" s="3" t="s">
        <v>212</v>
      </c>
      <c r="N39" s="7">
        <f>output!B234</f>
        <v>17073.265430877538</v>
      </c>
      <c r="O39" s="7">
        <f>output!C234</f>
        <v>84134.719831105147</v>
      </c>
      <c r="P39" s="7">
        <f>output!D234</f>
        <v>86067.228151057876</v>
      </c>
      <c r="Q39" s="7">
        <f>output!E234</f>
        <v>318179.43519915856</v>
      </c>
      <c r="R39" s="7"/>
      <c r="S39" s="7">
        <f t="shared" si="34"/>
        <v>505454.64861219912</v>
      </c>
      <c r="T39" s="7"/>
      <c r="X39"/>
      <c r="Y39" s="3" t="s">
        <v>212</v>
      </c>
      <c r="Z39" s="7">
        <f t="shared" si="31"/>
        <v>7871.6915308775388</v>
      </c>
      <c r="AA39" s="7">
        <f t="shared" si="31"/>
        <v>9594.772631105152</v>
      </c>
      <c r="AB39" s="7">
        <f t="shared" si="31"/>
        <v>19273.739151057875</v>
      </c>
      <c r="AC39" s="7">
        <f t="shared" si="31"/>
        <v>23935.020099158573</v>
      </c>
      <c r="AD39" s="7">
        <f t="shared" si="31"/>
        <v>0</v>
      </c>
      <c r="AE39" s="7">
        <f t="shared" si="32"/>
        <v>60675.223412199121</v>
      </c>
      <c r="AF39" s="7"/>
      <c r="AG39"/>
    </row>
    <row r="40" spans="1:33" x14ac:dyDescent="0.2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t="shared" si="33"/>
        <v>802297.6222000001</v>
      </c>
      <c r="H40" s="7"/>
      <c r="I40"/>
      <c r="L40"/>
      <c r="M40" s="3" t="s">
        <v>213</v>
      </c>
      <c r="N40" s="7">
        <f>output!B235</f>
        <v>76703.480208576046</v>
      </c>
      <c r="O40" s="7">
        <f>output!C235</f>
        <v>291065.91469137999</v>
      </c>
      <c r="P40" s="7">
        <f>output!D235</f>
        <v>195652.65774013527</v>
      </c>
      <c r="Q40" s="7">
        <f>output!E235</f>
        <v>593601.08569358301</v>
      </c>
      <c r="R40" s="7"/>
      <c r="S40" s="7">
        <f t="shared" si="34"/>
        <v>1157023.1383336745</v>
      </c>
      <c r="T40" s="7"/>
      <c r="X40"/>
      <c r="Y40" s="3" t="s">
        <v>213</v>
      </c>
      <c r="Z40" s="7">
        <f t="shared" si="31"/>
        <v>35827.753608576044</v>
      </c>
      <c r="AA40" s="7">
        <f t="shared" si="31"/>
        <v>24207.950491380005</v>
      </c>
      <c r="AB40" s="7">
        <f t="shared" si="31"/>
        <v>57767.941340135265</v>
      </c>
      <c r="AC40" s="7">
        <f t="shared" si="31"/>
        <v>236921.87069358298</v>
      </c>
      <c r="AD40" s="7">
        <f t="shared" si="31"/>
        <v>0</v>
      </c>
      <c r="AE40" s="7">
        <f t="shared" si="32"/>
        <v>354725.51613367442</v>
      </c>
      <c r="AF40" s="7"/>
      <c r="AG40"/>
    </row>
    <row r="41" spans="1:33" x14ac:dyDescent="0.2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t="shared" si="33"/>
        <v>984396.47429999989</v>
      </c>
      <c r="H41" s="7"/>
      <c r="I41"/>
      <c r="L41"/>
      <c r="M41" s="3" t="s">
        <v>214</v>
      </c>
      <c r="N41" s="7">
        <f>output!B236</f>
        <v>100201.92167389551</v>
      </c>
      <c r="O41" s="7">
        <f>output!C236</f>
        <v>361783.08012733946</v>
      </c>
      <c r="P41" s="7">
        <f>output!D236</f>
        <v>259391.8743154585</v>
      </c>
      <c r="Q41" s="7">
        <f>output!E236</f>
        <v>800832.23382812261</v>
      </c>
      <c r="R41" s="7"/>
      <c r="S41" s="7">
        <f t="shared" si="34"/>
        <v>1522209.1099448162</v>
      </c>
      <c r="T41" s="7"/>
      <c r="X41"/>
      <c r="Y41" s="3" t="s">
        <v>214</v>
      </c>
      <c r="Z41" s="7">
        <f t="shared" si="31"/>
        <v>61475.851073895516</v>
      </c>
      <c r="AA41" s="7">
        <f t="shared" si="31"/>
        <v>40862.877127339481</v>
      </c>
      <c r="AB41" s="7">
        <f t="shared" si="31"/>
        <v>96648.527315458487</v>
      </c>
      <c r="AC41" s="7">
        <f t="shared" si="31"/>
        <v>338825.38012812263</v>
      </c>
      <c r="AD41" s="7">
        <f t="shared" si="31"/>
        <v>0</v>
      </c>
      <c r="AE41" s="7">
        <f t="shared" si="32"/>
        <v>537812.63564481633</v>
      </c>
      <c r="AF41" s="7"/>
      <c r="AG41"/>
    </row>
    <row r="42" spans="1:33" x14ac:dyDescent="0.2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t="shared" si="33"/>
        <v>443529.16039999999</v>
      </c>
      <c r="H42" s="7"/>
      <c r="I42"/>
      <c r="L42"/>
      <c r="M42" s="3" t="s">
        <v>129</v>
      </c>
      <c r="N42" s="7">
        <f>output!B237</f>
        <v>52692.100265297595</v>
      </c>
      <c r="O42" s="7">
        <f>output!C237</f>
        <v>177926.13433700602</v>
      </c>
      <c r="P42" s="7">
        <f>output!D237</f>
        <v>116131.55924816604</v>
      </c>
      <c r="Q42" s="7">
        <f>output!E237</f>
        <v>328521.26826013997</v>
      </c>
      <c r="R42" s="7"/>
      <c r="S42" s="7">
        <f t="shared" si="34"/>
        <v>675271.06211060961</v>
      </c>
      <c r="T42" s="7"/>
      <c r="X42"/>
      <c r="Y42" s="3" t="s">
        <v>129</v>
      </c>
      <c r="Z42" s="7">
        <f t="shared" si="31"/>
        <v>37890.828665297595</v>
      </c>
      <c r="AA42" s="7">
        <f t="shared" si="31"/>
        <v>61946.795937006013</v>
      </c>
      <c r="AB42" s="7">
        <f t="shared" si="31"/>
        <v>36599.438748166038</v>
      </c>
      <c r="AC42" s="7">
        <f t="shared" si="31"/>
        <v>95304.838360139984</v>
      </c>
      <c r="AD42" s="7">
        <f t="shared" si="31"/>
        <v>0</v>
      </c>
      <c r="AE42" s="7">
        <f t="shared" si="32"/>
        <v>231741.90171060961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t="shared" si="33"/>
        <v>437974.15460000001</v>
      </c>
      <c r="H43" s="7"/>
      <c r="I43"/>
      <c r="L43"/>
      <c r="M43" s="3" t="s">
        <v>130</v>
      </c>
      <c r="N43" s="9">
        <f>output!B238</f>
        <v>34848.869219545762</v>
      </c>
      <c r="O43" s="9">
        <f>output!C238</f>
        <v>165928.89119740884</v>
      </c>
      <c r="P43" s="9">
        <f>output!D238</f>
        <v>135445.89585597345</v>
      </c>
      <c r="Q43" s="9">
        <f>output!E238</f>
        <v>470485.72142707132</v>
      </c>
      <c r="R43" s="9"/>
      <c r="S43" s="9">
        <f t="shared" si="34"/>
        <v>806709.37769999937</v>
      </c>
      <c r="T43" s="33"/>
      <c r="X43"/>
      <c r="Y43" s="3" t="s">
        <v>130</v>
      </c>
      <c r="Z43" s="9">
        <f t="shared" si="31"/>
        <v>22921.907019545761</v>
      </c>
      <c r="AA43" s="9">
        <f t="shared" si="31"/>
        <v>74251.687697408837</v>
      </c>
      <c r="AB43" s="9">
        <f t="shared" si="31"/>
        <v>57237.654955973441</v>
      </c>
      <c r="AC43" s="9">
        <f t="shared" si="31"/>
        <v>214323.97342707132</v>
      </c>
      <c r="AD43" s="9">
        <f t="shared" si="31"/>
        <v>0</v>
      </c>
      <c r="AE43" s="9">
        <f t="shared" si="32"/>
        <v>368735.22309999936</v>
      </c>
      <c r="AF43" s="33"/>
      <c r="AG43"/>
    </row>
    <row r="44" spans="1:33" ht="13.5" thickBot="1" x14ac:dyDescent="0.25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295947.45231505926</v>
      </c>
      <c r="O44" s="11">
        <f>SUM(O37:O43)</f>
        <v>1152150.7281436308</v>
      </c>
      <c r="P44" s="11">
        <f>SUM(P37:P43)</f>
        <v>853590.55305399327</v>
      </c>
      <c r="Q44" s="11">
        <f>SUM(Q37:Q43)</f>
        <v>2735893.4335111715</v>
      </c>
      <c r="R44" s="11"/>
      <c r="S44" s="11">
        <f>SUM(S37:S43)</f>
        <v>5037582.1670238543</v>
      </c>
      <c r="T44" s="33"/>
      <c r="X44"/>
      <c r="Y44" s="10" t="s">
        <v>221</v>
      </c>
      <c r="Z44" s="11">
        <f t="shared" si="31"/>
        <v>175631.46671505924</v>
      </c>
      <c r="AA44" s="11">
        <f t="shared" si="31"/>
        <v>187117.98944363068</v>
      </c>
      <c r="AB44" s="11">
        <f t="shared" si="31"/>
        <v>280459.79655399325</v>
      </c>
      <c r="AC44" s="11">
        <f t="shared" si="31"/>
        <v>944384.38481117156</v>
      </c>
      <c r="AD44" s="11">
        <f t="shared" si="31"/>
        <v>0</v>
      </c>
      <c r="AE44" s="11">
        <f t="shared" si="32"/>
        <v>1587593.6375238546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229472.39050954158</v>
      </c>
      <c r="O46" s="33">
        <f>ToursByTourPurpose!O50</f>
        <v>870027.32078039099</v>
      </c>
      <c r="P46" s="33">
        <f>ToursByTourPurpose!P50</f>
        <v>650117.12699459423</v>
      </c>
      <c r="Q46" s="33">
        <f>ToursByTourPurpose!Q50</f>
        <v>1992857.9801793641</v>
      </c>
      <c r="R46" s="33" t="e">
        <f>ToursByTourPurpose!#REF!</f>
        <v>#REF!</v>
      </c>
      <c r="S46" s="33">
        <f>ToursByTourPurpose!S50</f>
        <v>3742474.8184638908</v>
      </c>
      <c r="T46" s="33"/>
      <c r="X46"/>
      <c r="Y46" s="25" t="s">
        <v>88</v>
      </c>
      <c r="Z46" s="7">
        <f t="shared" ref="Z46:AC47" si="35">N46-B46</f>
        <v>109900.06650954159</v>
      </c>
      <c r="AA46" s="7">
        <f t="shared" si="35"/>
        <v>35217.288180390955</v>
      </c>
      <c r="AB46" s="7">
        <f t="shared" si="35"/>
        <v>59969.796694594203</v>
      </c>
      <c r="AC46" s="7">
        <f t="shared" si="35"/>
        <v>139982.61827936419</v>
      </c>
      <c r="AD46" s="7"/>
      <c r="AE46" s="7">
        <f>S46-G46</f>
        <v>345069.76966389082</v>
      </c>
      <c r="AF46" s="7"/>
      <c r="AG46"/>
    </row>
    <row r="47" spans="1:33" x14ac:dyDescent="0.2">
      <c r="A47" s="25" t="s">
        <v>90</v>
      </c>
      <c r="B47" s="38">
        <f t="shared" ref="B47:G47" si="36">B44/B46</f>
        <v>1.0062193455401938</v>
      </c>
      <c r="C47" s="38">
        <f t="shared" si="36"/>
        <v>1.1559908254748974</v>
      </c>
      <c r="D47" s="38">
        <f t="shared" si="36"/>
        <v>0.97116554981050296</v>
      </c>
      <c r="E47" s="38">
        <f t="shared" si="36"/>
        <v>0.96688049587044378</v>
      </c>
      <c r="F47" s="38" t="e">
        <f t="shared" si="36"/>
        <v>#DIV/0!</v>
      </c>
      <c r="G47" s="38">
        <f t="shared" si="36"/>
        <v>1.0154775424021263</v>
      </c>
      <c r="H47" s="38"/>
      <c r="I47"/>
      <c r="L47"/>
      <c r="M47" s="25" t="s">
        <v>90</v>
      </c>
      <c r="N47" s="38">
        <f t="shared" ref="N47:S47" si="37">N44/N46</f>
        <v>1.2896865355257352</v>
      </c>
      <c r="O47" s="38">
        <f t="shared" si="37"/>
        <v>1.3242695954768211</v>
      </c>
      <c r="P47" s="38">
        <f t="shared" si="37"/>
        <v>1.3129796426069098</v>
      </c>
      <c r="Q47" s="38">
        <f t="shared" si="37"/>
        <v>1.3728491747640399</v>
      </c>
      <c r="R47" s="38" t="e">
        <f t="shared" si="37"/>
        <v>#REF!</v>
      </c>
      <c r="S47" s="38">
        <f t="shared" si="37"/>
        <v>1.3460563962035004</v>
      </c>
      <c r="T47" s="38"/>
      <c r="X47"/>
      <c r="Y47" s="25" t="s">
        <v>90</v>
      </c>
      <c r="Z47" s="38">
        <f t="shared" si="35"/>
        <v>0.28346718998554143</v>
      </c>
      <c r="AA47" s="38">
        <f t="shared" si="35"/>
        <v>0.16827877000192371</v>
      </c>
      <c r="AB47" s="38">
        <f t="shared" si="35"/>
        <v>0.34181409279640684</v>
      </c>
      <c r="AC47" s="38">
        <f t="shared" si="35"/>
        <v>0.40596867889359611</v>
      </c>
      <c r="AD47" s="38"/>
      <c r="AE47" s="38">
        <f>S47-G47</f>
        <v>0.33057885380137408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t="shared" ref="B53:G60" si="38">B37/B$44</f>
        <v>2.0655847912532083E-2</v>
      </c>
      <c r="C53" s="12">
        <f t="shared" si="38"/>
        <v>8.9674608362589836E-2</v>
      </c>
      <c r="D53" s="12">
        <f t="shared" si="38"/>
        <v>7.6819375684647973E-2</v>
      </c>
      <c r="E53" s="12">
        <f t="shared" si="38"/>
        <v>9.1952301619429716E-2</v>
      </c>
      <c r="F53" s="12" t="e">
        <f t="shared" si="38"/>
        <v>#DIV/0!</v>
      </c>
      <c r="G53" s="12">
        <f t="shared" si="38"/>
        <v>8.6314805499703329E-2</v>
      </c>
      <c r="H53" s="12"/>
      <c r="I53"/>
      <c r="L53"/>
      <c r="M53" s="3" t="s">
        <v>210</v>
      </c>
      <c r="N53" s="12">
        <f t="shared" ref="N53:Q60" si="39">N37/N$44</f>
        <v>2.1323626174720039E-2</v>
      </c>
      <c r="O53" s="12">
        <f t="shared" si="39"/>
        <v>4.2283344299458452E-2</v>
      </c>
      <c r="P53" s="12">
        <f t="shared" si="39"/>
        <v>5.324387039252497E-2</v>
      </c>
      <c r="Q53" s="12">
        <f t="shared" si="39"/>
        <v>6.1221898876524225E-2</v>
      </c>
      <c r="R53" s="12" t="e">
        <f t="shared" ref="R53:S60" si="40">R37/R$44</f>
        <v>#DIV/0!</v>
      </c>
      <c r="S53" s="12">
        <f t="shared" si="40"/>
        <v>5.3194668747263175E-2</v>
      </c>
      <c r="T53" s="12"/>
      <c r="X53"/>
      <c r="Y53" s="3" t="s">
        <v>210</v>
      </c>
      <c r="Z53" s="12">
        <f t="shared" ref="Z53:AC60" si="41">N53-B53</f>
        <v>6.6777826218795619E-4</v>
      </c>
      <c r="AA53" s="12">
        <f t="shared" si="41"/>
        <v>-4.7391264063131384E-2</v>
      </c>
      <c r="AB53" s="12">
        <f t="shared" si="41"/>
        <v>-2.3575505292123003E-2</v>
      </c>
      <c r="AC53" s="12">
        <f t="shared" si="41"/>
        <v>-3.0730402742905491E-2</v>
      </c>
      <c r="AD53" s="12"/>
      <c r="AE53" s="12">
        <f t="shared" ref="AE53:AE60" si="42">S53-G53</f>
        <v>-3.3120136752440153E-2</v>
      </c>
      <c r="AF53" s="12"/>
      <c r="AG53"/>
    </row>
    <row r="54" spans="1:41" x14ac:dyDescent="0.2">
      <c r="A54" s="3" t="s">
        <v>211</v>
      </c>
      <c r="B54" s="12">
        <f t="shared" si="38"/>
        <v>1.9109281185990635E-2</v>
      </c>
      <c r="C54" s="12">
        <f t="shared" si="38"/>
        <v>8.8278347027647818E-3</v>
      </c>
      <c r="D54" s="12">
        <f t="shared" si="38"/>
        <v>6.8767829248402926E-3</v>
      </c>
      <c r="E54" s="12">
        <f t="shared" si="38"/>
        <v>1.3657205146551936E-2</v>
      </c>
      <c r="F54" s="12" t="e">
        <f t="shared" si="38"/>
        <v>#DIV/0!</v>
      </c>
      <c r="G54" s="12">
        <f t="shared" si="38"/>
        <v>1.1370067918946108E-2</v>
      </c>
      <c r="H54" s="12"/>
      <c r="I54"/>
      <c r="L54"/>
      <c r="M54" s="3" t="s">
        <v>211</v>
      </c>
      <c r="N54" s="12">
        <f t="shared" si="39"/>
        <v>2.7427648431649056E-2</v>
      </c>
      <c r="O54" s="12">
        <f t="shared" si="39"/>
        <v>1.9611324702999852E-2</v>
      </c>
      <c r="P54" s="12">
        <f t="shared" si="39"/>
        <v>1.8103378619671904E-2</v>
      </c>
      <c r="Q54" s="12">
        <f t="shared" si="39"/>
        <v>2.075267160784915E-2</v>
      </c>
      <c r="R54" s="12" t="e">
        <f t="shared" si="40"/>
        <v>#DIV/0!</v>
      </c>
      <c r="S54" s="12">
        <f t="shared" si="40"/>
        <v>2.0434865824018718E-2</v>
      </c>
      <c r="T54" s="12"/>
      <c r="X54"/>
      <c r="Y54" s="3" t="s">
        <v>211</v>
      </c>
      <c r="Z54" s="12">
        <f t="shared" si="41"/>
        <v>8.3183672456584208E-3</v>
      </c>
      <c r="AA54" s="12">
        <f t="shared" si="41"/>
        <v>1.078349000023507E-2</v>
      </c>
      <c r="AB54" s="12">
        <f t="shared" si="41"/>
        <v>1.1226595694831611E-2</v>
      </c>
      <c r="AC54" s="12">
        <f t="shared" si="41"/>
        <v>7.0954664612972139E-3</v>
      </c>
      <c r="AD54" s="12"/>
      <c r="AE54" s="12">
        <f t="shared" si="42"/>
        <v>9.06479790507261E-3</v>
      </c>
      <c r="AF54" s="12"/>
      <c r="AG54"/>
    </row>
    <row r="55" spans="1:41" x14ac:dyDescent="0.2">
      <c r="A55" s="3" t="s">
        <v>212</v>
      </c>
      <c r="B55" s="12">
        <f t="shared" si="38"/>
        <v>7.6478398561196675E-2</v>
      </c>
      <c r="C55" s="12">
        <f t="shared" si="38"/>
        <v>7.7240848119218303E-2</v>
      </c>
      <c r="D55" s="12">
        <f t="shared" si="38"/>
        <v>0.11654144929840281</v>
      </c>
      <c r="E55" s="12">
        <f t="shared" si="38"/>
        <v>0.16424388998398698</v>
      </c>
      <c r="F55" s="12" t="e">
        <f t="shared" si="38"/>
        <v>#DIV/0!</v>
      </c>
      <c r="G55" s="12">
        <f t="shared" si="38"/>
        <v>0.12892200115936647</v>
      </c>
      <c r="H55" s="12"/>
      <c r="I55"/>
      <c r="L55"/>
      <c r="M55" s="3" t="s">
        <v>212</v>
      </c>
      <c r="N55" s="12">
        <f t="shared" si="39"/>
        <v>5.7690192286912169E-2</v>
      </c>
      <c r="O55" s="12">
        <f t="shared" si="39"/>
        <v>7.3024056467563714E-2</v>
      </c>
      <c r="P55" s="12">
        <f t="shared" si="39"/>
        <v>0.10082963997565909</v>
      </c>
      <c r="Q55" s="12">
        <f t="shared" si="39"/>
        <v>0.11629818300006506</v>
      </c>
      <c r="R55" s="12" t="e">
        <f t="shared" si="40"/>
        <v>#DIV/0!</v>
      </c>
      <c r="S55" s="12">
        <f t="shared" si="40"/>
        <v>0.10033675518404812</v>
      </c>
      <c r="T55" s="12"/>
      <c r="X55"/>
      <c r="Y55" s="3" t="s">
        <v>212</v>
      </c>
      <c r="Z55" s="12">
        <f t="shared" si="41"/>
        <v>-1.8788206274284507E-2</v>
      </c>
      <c r="AA55" s="12">
        <f t="shared" si="41"/>
        <v>-4.2167916516545889E-3</v>
      </c>
      <c r="AB55" s="12">
        <f t="shared" si="41"/>
        <v>-1.5711809322743714E-2</v>
      </c>
      <c r="AC55" s="12">
        <f t="shared" si="41"/>
        <v>-4.7945706983921921E-2</v>
      </c>
      <c r="AD55" s="12"/>
      <c r="AE55" s="12">
        <f t="shared" si="42"/>
        <v>-2.8585245975318349E-2</v>
      </c>
      <c r="AF55" s="12"/>
      <c r="AG55"/>
    </row>
    <row r="56" spans="1:41" x14ac:dyDescent="0.2">
      <c r="A56" s="3" t="s">
        <v>213</v>
      </c>
      <c r="B56" s="12">
        <f t="shared" si="38"/>
        <v>0.33973645643310096</v>
      </c>
      <c r="C56" s="12">
        <f t="shared" si="38"/>
        <v>0.27652736896728036</v>
      </c>
      <c r="D56" s="12">
        <f t="shared" si="38"/>
        <v>0.24058160347568086</v>
      </c>
      <c r="E56" s="12">
        <f t="shared" si="38"/>
        <v>0.19909428604830248</v>
      </c>
      <c r="F56" s="12" t="e">
        <f t="shared" si="38"/>
        <v>#DIV/0!</v>
      </c>
      <c r="G56" s="12">
        <f t="shared" si="38"/>
        <v>0.23255080860117397</v>
      </c>
      <c r="H56" s="12"/>
      <c r="I56"/>
      <c r="L56"/>
      <c r="M56" s="3" t="s">
        <v>213</v>
      </c>
      <c r="N56" s="12">
        <f t="shared" si="39"/>
        <v>0.25917939015376007</v>
      </c>
      <c r="O56" s="12">
        <f t="shared" si="39"/>
        <v>0.25262833028830478</v>
      </c>
      <c r="P56" s="12">
        <f t="shared" si="39"/>
        <v>0.22921136725345109</v>
      </c>
      <c r="Q56" s="12">
        <f t="shared" si="39"/>
        <v>0.21696791198909068</v>
      </c>
      <c r="R56" s="12" t="e">
        <f t="shared" si="40"/>
        <v>#DIV/0!</v>
      </c>
      <c r="S56" s="12">
        <f t="shared" si="40"/>
        <v>0.22967826627376492</v>
      </c>
      <c r="T56" s="12"/>
      <c r="X56"/>
      <c r="Y56" s="3" t="s">
        <v>213</v>
      </c>
      <c r="Z56" s="12">
        <f t="shared" si="41"/>
        <v>-8.0557066279340894E-2</v>
      </c>
      <c r="AA56" s="12">
        <f t="shared" si="41"/>
        <v>-2.3899038678975582E-2</v>
      </c>
      <c r="AB56" s="12">
        <f t="shared" si="41"/>
        <v>-1.1370236222229768E-2</v>
      </c>
      <c r="AC56" s="12">
        <f t="shared" si="41"/>
        <v>1.7873625940788201E-2</v>
      </c>
      <c r="AD56" s="12"/>
      <c r="AE56" s="12">
        <f t="shared" si="42"/>
        <v>-2.87254232740905E-3</v>
      </c>
      <c r="AF56" s="12"/>
      <c r="AG56"/>
    </row>
    <row r="57" spans="1:41" x14ac:dyDescent="0.2">
      <c r="A57" s="3" t="s">
        <v>214</v>
      </c>
      <c r="B57" s="12">
        <f t="shared" si="38"/>
        <v>0.32186970340539683</v>
      </c>
      <c r="C57" s="12">
        <f t="shared" si="38"/>
        <v>0.33254851377613676</v>
      </c>
      <c r="D57" s="12">
        <f t="shared" si="38"/>
        <v>0.28395500530078427</v>
      </c>
      <c r="E57" s="12">
        <f t="shared" si="38"/>
        <v>0.2578869774814998</v>
      </c>
      <c r="F57" s="12" t="e">
        <f t="shared" si="38"/>
        <v>#DIV/0!</v>
      </c>
      <c r="G57" s="12">
        <f t="shared" si="38"/>
        <v>0.28533326006236509</v>
      </c>
      <c r="H57" s="12"/>
      <c r="I57"/>
      <c r="L57"/>
      <c r="M57" s="3" t="s">
        <v>214</v>
      </c>
      <c r="N57" s="12">
        <f t="shared" si="39"/>
        <v>0.33858011241543895</v>
      </c>
      <c r="O57" s="12">
        <f t="shared" si="39"/>
        <v>0.31400672784389233</v>
      </c>
      <c r="P57" s="12">
        <f t="shared" si="39"/>
        <v>0.30388325337880218</v>
      </c>
      <c r="Q57" s="12">
        <f t="shared" si="39"/>
        <v>0.29271324095410989</v>
      </c>
      <c r="R57" s="12" t="e">
        <f t="shared" si="40"/>
        <v>#DIV/0!</v>
      </c>
      <c r="S57" s="12">
        <f t="shared" si="40"/>
        <v>0.30217057697028493</v>
      </c>
      <c r="T57" s="12"/>
      <c r="X57"/>
      <c r="Y57" s="3" t="s">
        <v>214</v>
      </c>
      <c r="Z57" s="12">
        <f t="shared" si="41"/>
        <v>1.6710409010042115E-2</v>
      </c>
      <c r="AA57" s="12">
        <f t="shared" si="41"/>
        <v>-1.8541785932244426E-2</v>
      </c>
      <c r="AB57" s="12">
        <f t="shared" si="41"/>
        <v>1.9928248078017907E-2</v>
      </c>
      <c r="AC57" s="12">
        <f t="shared" si="41"/>
        <v>3.4826263472610086E-2</v>
      </c>
      <c r="AD57" s="12"/>
      <c r="AE57" s="12">
        <f t="shared" si="42"/>
        <v>1.6837316907919841E-2</v>
      </c>
      <c r="AF57" s="12"/>
      <c r="AG57"/>
    </row>
    <row r="58" spans="1:41" x14ac:dyDescent="0.2">
      <c r="A58" s="3" t="s">
        <v>129</v>
      </c>
      <c r="B58" s="12">
        <f t="shared" si="38"/>
        <v>0.1230199921164923</v>
      </c>
      <c r="C58" s="12">
        <f t="shared" si="38"/>
        <v>0.12018176560127514</v>
      </c>
      <c r="D58" s="12">
        <f t="shared" si="38"/>
        <v>0.13876784590254318</v>
      </c>
      <c r="E58" s="12">
        <f t="shared" si="38"/>
        <v>0.13017876190423508</v>
      </c>
      <c r="F58" s="12" t="e">
        <f t="shared" si="38"/>
        <v>#DIV/0!</v>
      </c>
      <c r="G58" s="12">
        <f t="shared" si="38"/>
        <v>0.128559604360273</v>
      </c>
      <c r="H58" s="12"/>
      <c r="I58"/>
      <c r="L58"/>
      <c r="M58" s="3" t="s">
        <v>129</v>
      </c>
      <c r="N58" s="12">
        <f t="shared" si="39"/>
        <v>0.17804545993929599</v>
      </c>
      <c r="O58" s="12">
        <f t="shared" si="39"/>
        <v>0.15442956376348804</v>
      </c>
      <c r="P58" s="12">
        <f t="shared" si="39"/>
        <v>0.13605066133015206</v>
      </c>
      <c r="Q58" s="12">
        <f t="shared" si="39"/>
        <v>0.12007823997681251</v>
      </c>
      <c r="R58" s="12" t="e">
        <f t="shared" si="40"/>
        <v>#DIV/0!</v>
      </c>
      <c r="S58" s="12">
        <f t="shared" si="40"/>
        <v>0.13404665963186702</v>
      </c>
      <c r="T58" s="12"/>
      <c r="X58"/>
      <c r="Y58" s="3" t="s">
        <v>129</v>
      </c>
      <c r="Z58" s="12">
        <f t="shared" si="41"/>
        <v>5.5025467822803695E-2</v>
      </c>
      <c r="AA58" s="12">
        <f t="shared" si="41"/>
        <v>3.4247798162212906E-2</v>
      </c>
      <c r="AB58" s="12">
        <f t="shared" si="41"/>
        <v>-2.7171845723911181E-3</v>
      </c>
      <c r="AC58" s="12">
        <f t="shared" si="41"/>
        <v>-1.010052192742257E-2</v>
      </c>
      <c r="AD58" s="12"/>
      <c r="AE58" s="12">
        <f t="shared" si="42"/>
        <v>5.4870552715940157E-3</v>
      </c>
      <c r="AF58" s="12"/>
      <c r="AG58"/>
    </row>
    <row r="59" spans="1:41" x14ac:dyDescent="0.2">
      <c r="A59" s="3" t="s">
        <v>130</v>
      </c>
      <c r="B59" s="13">
        <f t="shared" si="38"/>
        <v>9.9130320385290516E-2</v>
      </c>
      <c r="C59" s="13">
        <f t="shared" si="38"/>
        <v>9.499906047073467E-2</v>
      </c>
      <c r="D59" s="13">
        <f t="shared" si="38"/>
        <v>0.13645793741310061</v>
      </c>
      <c r="E59" s="13">
        <f t="shared" si="38"/>
        <v>0.14298657781599403</v>
      </c>
      <c r="F59" s="13" t="e">
        <f t="shared" si="38"/>
        <v>#DIV/0!</v>
      </c>
      <c r="G59" s="13">
        <f t="shared" si="38"/>
        <v>0.1269494523981721</v>
      </c>
      <c r="H59" s="34"/>
      <c r="I59"/>
      <c r="L59"/>
      <c r="M59" s="3" t="s">
        <v>130</v>
      </c>
      <c r="N59" s="13">
        <f t="shared" si="39"/>
        <v>0.11775357059822367</v>
      </c>
      <c r="O59" s="13">
        <f t="shared" si="39"/>
        <v>0.14401665263429284</v>
      </c>
      <c r="P59" s="13">
        <f t="shared" si="39"/>
        <v>0.15867782904973868</v>
      </c>
      <c r="Q59" s="13">
        <f t="shared" si="39"/>
        <v>0.17196785359554839</v>
      </c>
      <c r="R59" s="13" t="e">
        <f t="shared" si="40"/>
        <v>#DIV/0!</v>
      </c>
      <c r="S59" s="13">
        <f t="shared" si="40"/>
        <v>0.16013820736875325</v>
      </c>
      <c r="T59" s="34"/>
      <c r="X59"/>
      <c r="Y59" s="3" t="s">
        <v>130</v>
      </c>
      <c r="Z59" s="12">
        <f t="shared" si="41"/>
        <v>1.8623250212933151E-2</v>
      </c>
      <c r="AA59" s="12">
        <f t="shared" si="41"/>
        <v>4.9017592163558166E-2</v>
      </c>
      <c r="AB59" s="12">
        <f t="shared" si="41"/>
        <v>2.2219891636638067E-2</v>
      </c>
      <c r="AC59" s="12">
        <f t="shared" si="41"/>
        <v>2.8981275779554366E-2</v>
      </c>
      <c r="AD59" s="12"/>
      <c r="AE59" s="12">
        <f t="shared" si="42"/>
        <v>3.3188754970581158E-2</v>
      </c>
      <c r="AF59" s="12"/>
      <c r="AG59"/>
    </row>
    <row r="60" spans="1:41" ht="13.5" thickBot="1" x14ac:dyDescent="0.25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8478.4635537988415</v>
      </c>
      <c r="O69" s="7">
        <f>output!C242</f>
        <v>65087.130220379157</v>
      </c>
      <c r="P69" s="7">
        <f>output!D242</f>
        <v>149629.3524394189</v>
      </c>
      <c r="Q69" s="7">
        <f>output!E242</f>
        <v>44777.56844835724</v>
      </c>
      <c r="R69" s="7">
        <f>output!F242</f>
        <v>267972.51466195413</v>
      </c>
      <c r="X69"/>
      <c r="Y69" s="3" t="s">
        <v>210</v>
      </c>
      <c r="Z69" s="7">
        <f t="shared" ref="Z69:AB76" si="43">N69-B69</f>
        <v>377.74675379884138</v>
      </c>
      <c r="AA69" s="7">
        <f t="shared" si="43"/>
        <v>13435.996620379156</v>
      </c>
      <c r="AB69" s="7">
        <f t="shared" si="43"/>
        <v>-34366.272960581089</v>
      </c>
      <c r="AC69" s="7">
        <f t="shared" ref="AC69:AC76" si="44">Q69-E69</f>
        <v>-28653.391351642756</v>
      </c>
      <c r="AD69" s="7">
        <f t="shared" ref="AD69:AD76" si="45">R69-F69</f>
        <v>-49205.920938045834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4539.7029983875063</v>
      </c>
      <c r="O70" s="7">
        <f>output!C243</f>
        <v>35373.341837323358</v>
      </c>
      <c r="P70" s="7">
        <f>output!D243</f>
        <v>49955.141326502744</v>
      </c>
      <c r="Q70" s="7">
        <f>output!E243</f>
        <v>13074.129498388304</v>
      </c>
      <c r="R70" s="7">
        <f>output!F243</f>
        <v>102942.3156606019</v>
      </c>
      <c r="X70"/>
      <c r="Y70" s="3" t="s">
        <v>211</v>
      </c>
      <c r="Z70" s="7">
        <f t="shared" si="43"/>
        <v>-5564.161801612493</v>
      </c>
      <c r="AA70" s="7">
        <f t="shared" si="43"/>
        <v>25435.665137323358</v>
      </c>
      <c r="AB70" s="7">
        <f t="shared" si="43"/>
        <v>24211.898026502746</v>
      </c>
      <c r="AC70" s="7">
        <f t="shared" si="44"/>
        <v>7659.2123983883039</v>
      </c>
      <c r="AD70" s="7">
        <f t="shared" si="45"/>
        <v>51742.613760601911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10383.639907470948</v>
      </c>
      <c r="O71" s="7">
        <f>output!C244</f>
        <v>139040.2876198552</v>
      </c>
      <c r="P71" s="7">
        <f>output!D244</f>
        <v>277145.64927370241</v>
      </c>
      <c r="Q71" s="7">
        <f>output!E244</f>
        <v>78885.071811170536</v>
      </c>
      <c r="R71" s="7">
        <f>output!F244</f>
        <v>505454.64861219912</v>
      </c>
      <c r="X71"/>
      <c r="Y71" s="3" t="s">
        <v>212</v>
      </c>
      <c r="Z71" s="7">
        <f t="shared" si="43"/>
        <v>8655.1070074709478</v>
      </c>
      <c r="AA71" s="7">
        <f t="shared" si="43"/>
        <v>41555.884119855196</v>
      </c>
      <c r="AB71" s="7">
        <f t="shared" si="43"/>
        <v>-29070.672226297611</v>
      </c>
      <c r="AC71" s="7">
        <f t="shared" si="44"/>
        <v>4339.4531111705292</v>
      </c>
      <c r="AD71" s="7">
        <f t="shared" si="45"/>
        <v>25479.772012199101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48489.249123861235</v>
      </c>
      <c r="O72" s="7">
        <f>output!C245</f>
        <v>292033.08141005569</v>
      </c>
      <c r="P72" s="7">
        <f>output!D245</f>
        <v>636850.71412995958</v>
      </c>
      <c r="Q72" s="7">
        <f>output!E245</f>
        <v>179650.09366979785</v>
      </c>
      <c r="R72" s="7">
        <f>output!F245</f>
        <v>1157023.1383336743</v>
      </c>
      <c r="X72"/>
      <c r="Y72" s="3" t="s">
        <v>213</v>
      </c>
      <c r="Z72" s="7">
        <f t="shared" si="43"/>
        <v>6885.1908238612377</v>
      </c>
      <c r="AA72" s="7">
        <f t="shared" si="43"/>
        <v>114908.09431005569</v>
      </c>
      <c r="AB72" s="7">
        <f t="shared" si="43"/>
        <v>120378.68472995958</v>
      </c>
      <c r="AC72" s="7">
        <f t="shared" si="44"/>
        <v>13115.587069797853</v>
      </c>
      <c r="AD72" s="7">
        <f t="shared" si="45"/>
        <v>255287.55693367426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64638.72795369391</v>
      </c>
      <c r="O73" s="7">
        <f>output!C246</f>
        <v>392340.55261358747</v>
      </c>
      <c r="P73" s="7">
        <f>output!D246</f>
        <v>829748.9030046023</v>
      </c>
      <c r="Q73" s="7">
        <f>output!E246</f>
        <v>235480.92637293239</v>
      </c>
      <c r="R73" s="7">
        <f>output!F246</f>
        <v>1522209.1099448162</v>
      </c>
      <c r="X73"/>
      <c r="Y73" s="3" t="s">
        <v>214</v>
      </c>
      <c r="Z73" s="7">
        <f t="shared" si="43"/>
        <v>11989.275353693913</v>
      </c>
      <c r="AA73" s="7">
        <f t="shared" si="43"/>
        <v>175897.55671358746</v>
      </c>
      <c r="AB73" s="7">
        <f t="shared" si="43"/>
        <v>214539.51960460225</v>
      </c>
      <c r="AC73" s="7">
        <f t="shared" si="44"/>
        <v>45227.319372932398</v>
      </c>
      <c r="AD73" s="7">
        <f t="shared" si="45"/>
        <v>447653.67104481603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32107.790485353242</v>
      </c>
      <c r="O74" s="7">
        <f>output!C247</f>
        <v>216652.87019943772</v>
      </c>
      <c r="P74" s="7">
        <f>output!D247</f>
        <v>335419.58472387341</v>
      </c>
      <c r="Q74" s="7">
        <f>output!E247</f>
        <v>91090.816701945238</v>
      </c>
      <c r="R74" s="7">
        <f>output!F247</f>
        <v>675271.06211060961</v>
      </c>
      <c r="X74"/>
      <c r="Y74" s="3" t="s">
        <v>129</v>
      </c>
      <c r="Z74" s="7">
        <f t="shared" si="43"/>
        <v>3691.874185353241</v>
      </c>
      <c r="AA74" s="7">
        <f t="shared" si="43"/>
        <v>87461.624899437724</v>
      </c>
      <c r="AB74" s="7">
        <f t="shared" si="43"/>
        <v>88308.719623873418</v>
      </c>
      <c r="AC74" s="7">
        <f t="shared" si="44"/>
        <v>18524.190101945234</v>
      </c>
      <c r="AD74" s="7">
        <f t="shared" si="45"/>
        <v>197986.4088106096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23132.674923936891</v>
      </c>
      <c r="O75" s="9">
        <f>output!C248</f>
        <v>199262.11207321039</v>
      </c>
      <c r="P75" s="9">
        <f>output!D248</f>
        <v>452102.1387344519</v>
      </c>
      <c r="Q75" s="9">
        <f>output!E248</f>
        <v>132212.45196840013</v>
      </c>
      <c r="R75" s="9">
        <f>output!F248</f>
        <v>806709.37769999937</v>
      </c>
      <c r="X75"/>
      <c r="Y75" s="3" t="s">
        <v>130</v>
      </c>
      <c r="Z75" s="9">
        <f t="shared" si="43"/>
        <v>7132.7310239368908</v>
      </c>
      <c r="AA75" s="9">
        <f t="shared" si="43"/>
        <v>117201.81207321039</v>
      </c>
      <c r="AB75" s="9">
        <f t="shared" si="43"/>
        <v>129499.78473445191</v>
      </c>
      <c r="AC75" s="9">
        <f t="shared" si="44"/>
        <v>57597.67596840013</v>
      </c>
      <c r="AD75" s="9">
        <f t="shared" si="45"/>
        <v>311432.00379999937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191770.24894650257</v>
      </c>
      <c r="O76" s="11">
        <f>SUM(O69:O75)</f>
        <v>1339789.3759738489</v>
      </c>
      <c r="P76" s="11">
        <f>SUM(P69:P75)</f>
        <v>2730851.4836325115</v>
      </c>
      <c r="Q76" s="11">
        <f>SUM(Q69:Q75)</f>
        <v>775171.05847099167</v>
      </c>
      <c r="R76" s="11">
        <f>SUM(R69:R75)</f>
        <v>5037582.1670238543</v>
      </c>
      <c r="X76"/>
      <c r="Y76" s="10" t="s">
        <v>221</v>
      </c>
      <c r="Z76" s="11">
        <f t="shared" si="43"/>
        <v>33167.763346502557</v>
      </c>
      <c r="AA76" s="11">
        <f t="shared" si="43"/>
        <v>575896.63387384883</v>
      </c>
      <c r="AB76" s="11">
        <f t="shared" si="43"/>
        <v>513501.66153251147</v>
      </c>
      <c r="AC76" s="11">
        <f t="shared" si="44"/>
        <v>117810.04667099181</v>
      </c>
      <c r="AD76" s="11">
        <f t="shared" si="45"/>
        <v>1240376.1054238542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166519.15446434621</v>
      </c>
      <c r="O78" s="53">
        <f>ToursByTourPurpose!O84</f>
        <v>1016199.0154796486</v>
      </c>
      <c r="P78" s="53">
        <f>ToursByTourPurpose!P84</f>
        <v>1994914.1750800051</v>
      </c>
      <c r="Q78" s="53">
        <f>ToursByTourPurpose!Q84</f>
        <v>564842.47343989101</v>
      </c>
      <c r="R78" s="53">
        <f>ToursByTourPurpose!R84</f>
        <v>3742474.8184638908</v>
      </c>
      <c r="X78"/>
      <c r="Y78" s="25" t="s">
        <v>88</v>
      </c>
      <c r="Z78" s="7">
        <f t="shared" ref="Z78:AD79" si="46">N78-B78</f>
        <v>-10870.689335653791</v>
      </c>
      <c r="AA78" s="7">
        <f t="shared" si="46"/>
        <v>117905.56277964858</v>
      </c>
      <c r="AB78" s="7">
        <f t="shared" si="46"/>
        <v>67343.336380005116</v>
      </c>
      <c r="AC78" s="7">
        <f t="shared" si="46"/>
        <v>-140421.35796010902</v>
      </c>
      <c r="AD78" s="7">
        <f t="shared" si="46"/>
        <v>33956.851863890886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1.1516407800855302</v>
      </c>
      <c r="O79" s="38">
        <f>O76/O78</f>
        <v>1.3184320743919091</v>
      </c>
      <c r="P79" s="38">
        <f>P76/P78</f>
        <v>1.3689067518521152</v>
      </c>
      <c r="Q79" s="38">
        <f>Q76/Q78</f>
        <v>1.3723668012254806</v>
      </c>
      <c r="R79" s="38">
        <f>R76/R78</f>
        <v>1.3460563962035004</v>
      </c>
      <c r="X79"/>
      <c r="Y79" s="25" t="s">
        <v>90</v>
      </c>
      <c r="Z79" s="38">
        <f t="shared" si="46"/>
        <v>0.25755077920127434</v>
      </c>
      <c r="AA79" s="38">
        <f t="shared" si="46"/>
        <v>0.46804989716021705</v>
      </c>
      <c r="AB79" s="38">
        <f t="shared" si="46"/>
        <v>0.21857298585914453</v>
      </c>
      <c r="AC79" s="38">
        <f t="shared" si="46"/>
        <v>0.44028864475020746</v>
      </c>
      <c r="AD79" s="38">
        <f t="shared" si="46"/>
        <v>0.32214169609991417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t="shared" ref="B85:F90" si="47">B69/B$76</f>
        <v>5.1075598023288482E-2</v>
      </c>
      <c r="C85" s="12">
        <f t="shared" si="47"/>
        <v>6.7615688372698837E-2</v>
      </c>
      <c r="D85" s="12">
        <f t="shared" si="47"/>
        <v>8.2979971660827989E-2</v>
      </c>
      <c r="E85" s="12">
        <f t="shared" si="47"/>
        <v>0.11170568147771616</v>
      </c>
      <c r="F85" s="12">
        <f t="shared" si="47"/>
        <v>8.3529424122522566E-2</v>
      </c>
      <c r="L85"/>
      <c r="M85" s="3" t="s">
        <v>210</v>
      </c>
      <c r="N85" s="12">
        <f t="shared" ref="N85:R92" si="48">N69/N$76</f>
        <v>4.4211568793259721E-2</v>
      </c>
      <c r="O85" s="12">
        <f t="shared" si="48"/>
        <v>4.8580121164992419E-2</v>
      </c>
      <c r="P85" s="12">
        <f t="shared" si="48"/>
        <v>5.4792196989191667E-2</v>
      </c>
      <c r="Q85" s="12">
        <f t="shared" si="48"/>
        <v>5.7764757802851972E-2</v>
      </c>
      <c r="R85" s="12">
        <f t="shared" si="48"/>
        <v>5.3194668747263175E-2</v>
      </c>
      <c r="X85"/>
      <c r="Y85" s="3" t="s">
        <v>210</v>
      </c>
      <c r="Z85" s="12">
        <f t="shared" ref="Z85:AB92" si="49">N85-B85</f>
        <v>-6.8640292300287606E-3</v>
      </c>
      <c r="AA85" s="12">
        <f t="shared" si="49"/>
        <v>-1.9035567207706418E-2</v>
      </c>
      <c r="AB85" s="12">
        <f t="shared" si="49"/>
        <v>-2.8187774671636322E-2</v>
      </c>
      <c r="AC85" s="12">
        <f t="shared" ref="AC85:AC92" si="50">Q85-E85</f>
        <v>-5.3940923674864187E-2</v>
      </c>
      <c r="AD85" s="12">
        <f t="shared" ref="AD85:AD92" si="51">R85-F85</f>
        <v>-3.0334755375259391E-2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t="shared" si="47"/>
        <v>6.3705589239516927E-2</v>
      </c>
      <c r="C86" s="12">
        <f t="shared" si="47"/>
        <v>1.3009256604115076E-2</v>
      </c>
      <c r="D86" s="12">
        <f t="shared" si="47"/>
        <v>1.1609915153405599E-2</v>
      </c>
      <c r="E86" s="12">
        <f t="shared" si="47"/>
        <v>8.2373566469553135E-3</v>
      </c>
      <c r="F86" s="12">
        <f t="shared" si="47"/>
        <v>1.3483519479695122E-2</v>
      </c>
      <c r="L86"/>
      <c r="M86" s="3" t="s">
        <v>211</v>
      </c>
      <c r="N86" s="12">
        <f t="shared" si="48"/>
        <v>2.3672613574454555E-2</v>
      </c>
      <c r="O86" s="12">
        <f t="shared" si="48"/>
        <v>2.6402166244684274E-2</v>
      </c>
      <c r="P86" s="12">
        <f t="shared" si="48"/>
        <v>1.8292881039452809E-2</v>
      </c>
      <c r="Q86" s="12">
        <f t="shared" si="48"/>
        <v>1.6866121813392705E-2</v>
      </c>
      <c r="R86" s="12">
        <f t="shared" si="48"/>
        <v>2.0434865824018714E-2</v>
      </c>
      <c r="X86"/>
      <c r="Y86" s="3" t="s">
        <v>211</v>
      </c>
      <c r="Z86" s="12">
        <f t="shared" si="49"/>
        <v>-4.0032975665062372E-2</v>
      </c>
      <c r="AA86" s="12">
        <f t="shared" si="49"/>
        <v>1.3392909640569198E-2</v>
      </c>
      <c r="AB86" s="12">
        <f t="shared" si="49"/>
        <v>6.6829658860472103E-3</v>
      </c>
      <c r="AC86" s="12">
        <f t="shared" si="50"/>
        <v>8.6287651664373917E-3</v>
      </c>
      <c r="AD86" s="12">
        <f t="shared" si="51"/>
        <v>6.9513463443235928E-3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t="shared" si="47"/>
        <v>1.08985233961554E-2</v>
      </c>
      <c r="C87" s="12">
        <f t="shared" si="47"/>
        <v>0.12761530268242616</v>
      </c>
      <c r="D87" s="12">
        <f t="shared" si="47"/>
        <v>0.13810014028818859</v>
      </c>
      <c r="E87" s="12">
        <f t="shared" si="47"/>
        <v>0.11340133862803578</v>
      </c>
      <c r="F87" s="12">
        <f t="shared" si="47"/>
        <v>0.12640211482169514</v>
      </c>
      <c r="L87"/>
      <c r="M87" s="3" t="s">
        <v>212</v>
      </c>
      <c r="N87" s="12">
        <f t="shared" si="48"/>
        <v>5.4146250341301029E-2</v>
      </c>
      <c r="O87" s="12">
        <f t="shared" si="48"/>
        <v>0.10377772067254332</v>
      </c>
      <c r="P87" s="12">
        <f t="shared" si="48"/>
        <v>0.10148689920883214</v>
      </c>
      <c r="Q87" s="12">
        <f t="shared" si="48"/>
        <v>0.10176472786118931</v>
      </c>
      <c r="R87" s="12">
        <f t="shared" si="48"/>
        <v>0.10033675518404812</v>
      </c>
      <c r="X87"/>
      <c r="Y87" s="3" t="s">
        <v>212</v>
      </c>
      <c r="Z87" s="12">
        <f t="shared" si="49"/>
        <v>4.3247726945145629E-2</v>
      </c>
      <c r="AA87" s="12">
        <f t="shared" si="49"/>
        <v>-2.3837582009882841E-2</v>
      </c>
      <c r="AB87" s="12">
        <f t="shared" si="49"/>
        <v>-3.6613241079356457E-2</v>
      </c>
      <c r="AC87" s="12">
        <f t="shared" si="50"/>
        <v>-1.1636610766846467E-2</v>
      </c>
      <c r="AD87" s="12">
        <f t="shared" si="51"/>
        <v>-2.6065359637647015E-2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t="shared" si="47"/>
        <v>0.26231655918007879</v>
      </c>
      <c r="C88" s="12">
        <f t="shared" si="47"/>
        <v>0.23187154077818536</v>
      </c>
      <c r="D88" s="12">
        <f t="shared" si="47"/>
        <v>0.23292311580806924</v>
      </c>
      <c r="E88" s="12">
        <f t="shared" si="47"/>
        <v>0.25333797351928689</v>
      </c>
      <c r="F88" s="12">
        <f t="shared" si="47"/>
        <v>0.23747343883150826</v>
      </c>
      <c r="L88"/>
      <c r="M88" s="3" t="s">
        <v>213</v>
      </c>
      <c r="N88" s="12">
        <f t="shared" si="48"/>
        <v>0.25285073878893538</v>
      </c>
      <c r="O88" s="12">
        <f t="shared" si="48"/>
        <v>0.21796939627005657</v>
      </c>
      <c r="P88" s="12">
        <f t="shared" si="48"/>
        <v>0.23320591322778067</v>
      </c>
      <c r="Q88" s="12">
        <f t="shared" si="48"/>
        <v>0.23175541928016999</v>
      </c>
      <c r="R88" s="12">
        <f t="shared" si="48"/>
        <v>0.22967826627376486</v>
      </c>
      <c r="X88"/>
      <c r="Y88" s="3" t="s">
        <v>213</v>
      </c>
      <c r="Z88" s="12">
        <f t="shared" si="49"/>
        <v>-9.4658203911434091E-3</v>
      </c>
      <c r="AA88" s="12">
        <f t="shared" si="49"/>
        <v>-1.3902144508128794E-2</v>
      </c>
      <c r="AB88" s="12">
        <f t="shared" si="49"/>
        <v>2.8279741971143357E-4</v>
      </c>
      <c r="AC88" s="12">
        <f t="shared" si="50"/>
        <v>-2.1582554239116897E-2</v>
      </c>
      <c r="AD88" s="12">
        <f t="shared" si="51"/>
        <v>-7.7951725577433961E-3</v>
      </c>
    </row>
    <row r="89" spans="1:41" x14ac:dyDescent="0.2">
      <c r="A89" s="3" t="s">
        <v>214</v>
      </c>
      <c r="B89" s="12">
        <f t="shared" si="47"/>
        <v>0.33195855916649009</v>
      </c>
      <c r="C89" s="12">
        <f t="shared" si="47"/>
        <v>0.28334212903369332</v>
      </c>
      <c r="D89" s="12">
        <f t="shared" si="47"/>
        <v>0.27745255947812048</v>
      </c>
      <c r="E89" s="12">
        <f t="shared" si="47"/>
        <v>0.28942027833236339</v>
      </c>
      <c r="F89" s="12">
        <f t="shared" si="47"/>
        <v>0.28298581153302566</v>
      </c>
      <c r="L89"/>
      <c r="M89" s="3" t="s">
        <v>214</v>
      </c>
      <c r="N89" s="12">
        <f t="shared" si="48"/>
        <v>0.33706337822884058</v>
      </c>
      <c r="O89" s="12">
        <f t="shared" si="48"/>
        <v>0.29283748598798076</v>
      </c>
      <c r="P89" s="12">
        <f t="shared" si="48"/>
        <v>0.30384255898855794</v>
      </c>
      <c r="Q89" s="12">
        <f t="shared" si="48"/>
        <v>0.30377930625714211</v>
      </c>
      <c r="R89" s="12">
        <f t="shared" si="48"/>
        <v>0.30217057697028493</v>
      </c>
      <c r="X89"/>
      <c r="Y89" s="3" t="s">
        <v>214</v>
      </c>
      <c r="Z89" s="12">
        <f t="shared" si="49"/>
        <v>5.1048190623504963E-3</v>
      </c>
      <c r="AA89" s="12">
        <f t="shared" si="49"/>
        <v>9.4953569542874372E-3</v>
      </c>
      <c r="AB89" s="12">
        <f t="shared" si="49"/>
        <v>2.6389999510437467E-2</v>
      </c>
      <c r="AC89" s="12">
        <f t="shared" si="50"/>
        <v>1.4359027924778722E-2</v>
      </c>
      <c r="AD89" s="12">
        <f t="shared" si="51"/>
        <v>1.9184765437259277E-2</v>
      </c>
    </row>
    <row r="90" spans="1:41" x14ac:dyDescent="0.2">
      <c r="A90" s="3" t="s">
        <v>129</v>
      </c>
      <c r="B90" s="12">
        <f t="shared" si="47"/>
        <v>0.17916438189793413</v>
      </c>
      <c r="C90" s="12">
        <f t="shared" si="47"/>
        <v>0.16912223166938764</v>
      </c>
      <c r="D90" s="12">
        <f t="shared" si="47"/>
        <v>0.11144423971223769</v>
      </c>
      <c r="E90" s="12">
        <f t="shared" si="47"/>
        <v>0.1103908283232322</v>
      </c>
      <c r="F90" s="12">
        <f t="shared" si="47"/>
        <v>0.12569364041805256</v>
      </c>
      <c r="L90"/>
      <c r="M90" s="3" t="s">
        <v>129</v>
      </c>
      <c r="N90" s="12">
        <f t="shared" si="48"/>
        <v>0.16742842365663421</v>
      </c>
      <c r="O90" s="12">
        <f t="shared" si="48"/>
        <v>0.16170666381195914</v>
      </c>
      <c r="P90" s="12">
        <f t="shared" si="48"/>
        <v>0.12282600746844956</v>
      </c>
      <c r="Q90" s="12">
        <f t="shared" si="48"/>
        <v>0.11751060066873488</v>
      </c>
      <c r="R90" s="12">
        <f t="shared" si="48"/>
        <v>0.13404665963186702</v>
      </c>
      <c r="X90"/>
      <c r="Y90" s="3" t="s">
        <v>129</v>
      </c>
      <c r="Z90" s="12">
        <f t="shared" si="49"/>
        <v>-1.1735958241299915E-2</v>
      </c>
      <c r="AA90" s="12">
        <f t="shared" si="49"/>
        <v>-7.4155678574285011E-3</v>
      </c>
      <c r="AB90" s="12">
        <f t="shared" si="49"/>
        <v>1.1381767756211872E-2</v>
      </c>
      <c r="AC90" s="12">
        <f t="shared" si="50"/>
        <v>7.1197723455026785E-3</v>
      </c>
      <c r="AD90" s="12">
        <f t="shared" si="51"/>
        <v>8.3530192138144554E-3</v>
      </c>
    </row>
    <row r="91" spans="1:41" x14ac:dyDescent="0.2">
      <c r="A91" s="3" t="s">
        <v>130</v>
      </c>
      <c r="B91" s="13">
        <f t="shared" ref="B91:F92" si="52">B75/B$76</f>
        <v>0.10088078909653607</v>
      </c>
      <c r="C91" s="13">
        <f t="shared" si="52"/>
        <v>0.10742385085949359</v>
      </c>
      <c r="D91" s="13">
        <f t="shared" si="52"/>
        <v>0.14549005789915048</v>
      </c>
      <c r="E91" s="13">
        <f t="shared" si="52"/>
        <v>0.11350654307241045</v>
      </c>
      <c r="F91" s="13">
        <f t="shared" si="52"/>
        <v>0.1304320507935007</v>
      </c>
      <c r="L91"/>
      <c r="M91" s="3" t="s">
        <v>130</v>
      </c>
      <c r="N91" s="13">
        <f t="shared" si="48"/>
        <v>0.12062702661657454</v>
      </c>
      <c r="O91" s="13">
        <f t="shared" si="48"/>
        <v>0.14872644584778358</v>
      </c>
      <c r="P91" s="13">
        <f t="shared" si="48"/>
        <v>0.16555354307773515</v>
      </c>
      <c r="Q91" s="13">
        <f t="shared" si="48"/>
        <v>0.17055906631651904</v>
      </c>
      <c r="R91" s="13">
        <f t="shared" si="48"/>
        <v>0.16013820736875325</v>
      </c>
      <c r="X91"/>
      <c r="Y91" s="3" t="s">
        <v>130</v>
      </c>
      <c r="Z91" s="12">
        <f t="shared" si="49"/>
        <v>1.974623752003847E-2</v>
      </c>
      <c r="AA91" s="12">
        <f t="shared" si="49"/>
        <v>4.130259498828999E-2</v>
      </c>
      <c r="AB91" s="12">
        <f t="shared" si="49"/>
        <v>2.0063485178584667E-2</v>
      </c>
      <c r="AC91" s="12">
        <f t="shared" si="50"/>
        <v>5.7052523244108588E-2</v>
      </c>
      <c r="AD91" s="12">
        <f t="shared" si="51"/>
        <v>2.9706156575252551E-2</v>
      </c>
    </row>
    <row r="92" spans="1:41" ht="13.5" thickBot="1" x14ac:dyDescent="0.25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61" t="s">
        <v>10861</v>
      </c>
      <c r="C100" s="161" t="s">
        <v>10862</v>
      </c>
      <c r="D100" s="161" t="s">
        <v>10863</v>
      </c>
      <c r="E100" s="161" t="s">
        <v>10864</v>
      </c>
      <c r="F100" s="161" t="s">
        <v>1688</v>
      </c>
      <c r="G100" s="161" t="s">
        <v>10865</v>
      </c>
      <c r="H100" s="6" t="s">
        <v>10866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11462.5</v>
      </c>
      <c r="O101" s="7">
        <f>output!C252</f>
        <v>886.5</v>
      </c>
      <c r="P101" s="7">
        <f>output!D252</f>
        <v>10801.25</v>
      </c>
      <c r="Q101" s="7">
        <f>output!E252</f>
        <v>8330.75</v>
      </c>
      <c r="R101" s="7">
        <f>output!F252</f>
        <v>54500.316307860019</v>
      </c>
      <c r="S101" s="7">
        <f>output!G252</f>
        <v>5886.8401226915412</v>
      </c>
      <c r="T101" s="7">
        <f>output!H252</f>
        <v>176104.35823140258</v>
      </c>
      <c r="U101" s="7">
        <f>SUM(N101:T101)</f>
        <v>267972.51466195413</v>
      </c>
      <c r="V101" s="33"/>
      <c r="W101" s="25"/>
      <c r="X101"/>
      <c r="Y101" s="3" t="s">
        <v>210</v>
      </c>
      <c r="Z101" s="7">
        <f t="shared" ref="Z101:AC108" si="55">N101-B101</f>
        <v>4538.6868000000004</v>
      </c>
      <c r="AA101" s="7">
        <f t="shared" si="55"/>
        <v>-193.71710000000007</v>
      </c>
      <c r="AB101" s="7">
        <f t="shared" si="55"/>
        <v>-1580.4364000000005</v>
      </c>
      <c r="AC101" s="7">
        <f t="shared" si="55"/>
        <v>2682.5232999999998</v>
      </c>
      <c r="AD101" s="7">
        <f t="shared" ref="AD101:AD108" si="56">R101-F101</f>
        <v>-23657.42539213998</v>
      </c>
      <c r="AE101" s="7">
        <f t="shared" ref="AE101:AF108" si="57">S101-G101</f>
        <v>-397.06507730845897</v>
      </c>
      <c r="AF101" s="7">
        <f t="shared" si="57"/>
        <v>-30598.487068597402</v>
      </c>
      <c r="AG101" s="7">
        <f t="shared" ref="AG101:AG108" si="58">U101-I101</f>
        <v>-49205.920938045834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51199.7019</v>
      </c>
      <c r="J102" s="33"/>
      <c r="K102" s="25"/>
      <c r="L102"/>
      <c r="M102" s="3" t="s">
        <v>211</v>
      </c>
      <c r="N102" s="7">
        <f>output!B253</f>
        <v>5259.25</v>
      </c>
      <c r="O102" s="7">
        <f>output!C253</f>
        <v>171.25</v>
      </c>
      <c r="P102" s="7">
        <f>output!D253</f>
        <v>4170</v>
      </c>
      <c r="Q102" s="7">
        <f>output!E253</f>
        <v>3472.5</v>
      </c>
      <c r="R102" s="7">
        <f>output!F253</f>
        <v>18456.167609592147</v>
      </c>
      <c r="S102" s="7">
        <f>output!G253</f>
        <v>913.31136127264722</v>
      </c>
      <c r="T102" s="7">
        <f>output!H253</f>
        <v>70499.836689737116</v>
      </c>
      <c r="U102" s="7">
        <f t="shared" ref="U102:U107" si="60">SUM(N102:T102)</f>
        <v>102942.31566060192</v>
      </c>
      <c r="V102" s="33"/>
      <c r="W102" s="25"/>
      <c r="X102"/>
      <c r="Y102" s="3" t="s">
        <v>211</v>
      </c>
      <c r="Z102" s="7">
        <f t="shared" si="55"/>
        <v>3612.6594999999998</v>
      </c>
      <c r="AA102" s="7">
        <f t="shared" si="55"/>
        <v>139.048</v>
      </c>
      <c r="AB102" s="7">
        <f t="shared" si="55"/>
        <v>1978.9521</v>
      </c>
      <c r="AC102" s="7">
        <f t="shared" si="55"/>
        <v>2975.6619000000001</v>
      </c>
      <c r="AD102" s="7">
        <f t="shared" si="56"/>
        <v>-3562.6419904078539</v>
      </c>
      <c r="AE102" s="7">
        <f t="shared" si="57"/>
        <v>388.90536127264727</v>
      </c>
      <c r="AF102" s="7">
        <f t="shared" si="57"/>
        <v>46210.028889737121</v>
      </c>
      <c r="AG102" s="7">
        <f t="shared" si="58"/>
        <v>51742.613760601918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479974.87660000002</v>
      </c>
      <c r="J103" s="33"/>
      <c r="K103" s="25"/>
      <c r="L103"/>
      <c r="M103" s="3" t="s">
        <v>212</v>
      </c>
      <c r="N103" s="7">
        <f>output!B254</f>
        <v>22959</v>
      </c>
      <c r="O103" s="7">
        <f>output!C254</f>
        <v>1031</v>
      </c>
      <c r="P103" s="7">
        <f>output!D254</f>
        <v>19773</v>
      </c>
      <c r="Q103" s="7">
        <f>output!E254</f>
        <v>16159.5</v>
      </c>
      <c r="R103" s="7">
        <f>output!F254</f>
        <v>84561.834494391864</v>
      </c>
      <c r="S103" s="7">
        <f>output!G254</f>
        <v>5233.4471904798047</v>
      </c>
      <c r="T103" s="7">
        <f>output!H254</f>
        <v>355736.86692732741</v>
      </c>
      <c r="U103" s="7">
        <f t="shared" si="60"/>
        <v>505454.64861219912</v>
      </c>
      <c r="V103" s="33"/>
      <c r="W103" s="25"/>
      <c r="X103"/>
      <c r="Y103" s="3" t="s">
        <v>212</v>
      </c>
      <c r="Z103" s="7">
        <f t="shared" si="55"/>
        <v>-7503.9069999999992</v>
      </c>
      <c r="AA103" s="7">
        <f t="shared" si="55"/>
        <v>599.67970000000003</v>
      </c>
      <c r="AB103" s="7">
        <f t="shared" si="55"/>
        <v>-253.81760000000213</v>
      </c>
      <c r="AC103" s="7">
        <f t="shared" si="55"/>
        <v>-1534.094000000001</v>
      </c>
      <c r="AD103" s="7">
        <f t="shared" si="56"/>
        <v>2310.0131943918677</v>
      </c>
      <c r="AE103" s="7">
        <f t="shared" si="57"/>
        <v>3432.3364904798045</v>
      </c>
      <c r="AF103" s="7">
        <f t="shared" si="57"/>
        <v>28429.561227327387</v>
      </c>
      <c r="AG103" s="7">
        <f t="shared" si="58"/>
        <v>25479.772012199101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901735.58140000002</v>
      </c>
      <c r="J104" s="33"/>
      <c r="K104" s="25"/>
      <c r="L104"/>
      <c r="M104" s="3" t="s">
        <v>213</v>
      </c>
      <c r="N104" s="7">
        <f>output!B255</f>
        <v>50277.75</v>
      </c>
      <c r="O104" s="7">
        <f>output!C255</f>
        <v>3535</v>
      </c>
      <c r="P104" s="7">
        <f>output!D255</f>
        <v>44748.25</v>
      </c>
      <c r="Q104" s="7">
        <f>output!E255</f>
        <v>35024.75</v>
      </c>
      <c r="R104" s="7">
        <f>output!F255</f>
        <v>206198.08545134496</v>
      </c>
      <c r="S104" s="7">
        <f>output!G255</f>
        <v>20415.374974346621</v>
      </c>
      <c r="T104" s="7">
        <f>output!H255</f>
        <v>796823.92790798272</v>
      </c>
      <c r="U104" s="7">
        <f t="shared" si="60"/>
        <v>1157023.1383336743</v>
      </c>
      <c r="V104" s="33"/>
      <c r="W104" s="25"/>
      <c r="X104"/>
      <c r="Y104" s="3" t="s">
        <v>213</v>
      </c>
      <c r="Z104" s="7">
        <f t="shared" si="55"/>
        <v>23967.292600000001</v>
      </c>
      <c r="AA104" s="7">
        <f t="shared" si="55"/>
        <v>1886.8475000000001</v>
      </c>
      <c r="AB104" s="7">
        <f t="shared" si="55"/>
        <v>20607.121200000001</v>
      </c>
      <c r="AC104" s="7">
        <f t="shared" si="55"/>
        <v>13135.186900000001</v>
      </c>
      <c r="AD104" s="7">
        <f t="shared" si="56"/>
        <v>48249.846451344958</v>
      </c>
      <c r="AE104" s="7">
        <f t="shared" si="57"/>
        <v>7958.2822743466222</v>
      </c>
      <c r="AF104" s="7">
        <f t="shared" si="57"/>
        <v>139482.9800079827</v>
      </c>
      <c r="AG104" s="7">
        <f t="shared" si="58"/>
        <v>255287.55693367426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1074555.4389</v>
      </c>
      <c r="J105" s="33"/>
      <c r="K105" s="25"/>
      <c r="L105"/>
      <c r="M105" s="3" t="s">
        <v>214</v>
      </c>
      <c r="N105" s="7">
        <f>output!B256</f>
        <v>66192</v>
      </c>
      <c r="O105" s="7">
        <f>output!C256</f>
        <v>4783.25</v>
      </c>
      <c r="P105" s="7">
        <f>output!D256</f>
        <v>58573.75</v>
      </c>
      <c r="Q105" s="7">
        <f>output!E256</f>
        <v>45981.75</v>
      </c>
      <c r="R105" s="7">
        <f>output!F256</f>
        <v>274832.36491567775</v>
      </c>
      <c r="S105" s="7">
        <f>output!G256</f>
        <v>27324.66947600873</v>
      </c>
      <c r="T105" s="7">
        <f>output!H256</f>
        <v>1044521.3255531297</v>
      </c>
      <c r="U105" s="7">
        <f t="shared" si="60"/>
        <v>1522209.1099448162</v>
      </c>
      <c r="V105" s="33"/>
      <c r="W105" s="25"/>
      <c r="X105"/>
      <c r="Y105" s="3" t="s">
        <v>214</v>
      </c>
      <c r="Z105" s="7">
        <f t="shared" si="55"/>
        <v>27614.645100000002</v>
      </c>
      <c r="AA105" s="7">
        <f t="shared" si="55"/>
        <v>3059.7282999999998</v>
      </c>
      <c r="AB105" s="7">
        <f t="shared" si="55"/>
        <v>19833.289499999999</v>
      </c>
      <c r="AC105" s="7">
        <f t="shared" si="55"/>
        <v>16939.5101</v>
      </c>
      <c r="AD105" s="7">
        <f t="shared" si="56"/>
        <v>88511.421115677746</v>
      </c>
      <c r="AE105" s="7">
        <f t="shared" si="57"/>
        <v>10552.558276008731</v>
      </c>
      <c r="AF105" s="7">
        <f t="shared" si="57"/>
        <v>281142.51865312969</v>
      </c>
      <c r="AG105" s="7">
        <f t="shared" si="58"/>
        <v>447653.67104481626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477284.65329999995</v>
      </c>
      <c r="J106" s="33"/>
      <c r="K106" s="25"/>
      <c r="L106"/>
      <c r="M106" s="3" t="s">
        <v>129</v>
      </c>
      <c r="N106" s="7">
        <f>output!B257</f>
        <v>34750.75</v>
      </c>
      <c r="O106" s="7">
        <f>output!C257</f>
        <v>2094.5</v>
      </c>
      <c r="P106" s="7">
        <f>output!D257</f>
        <v>28334.5</v>
      </c>
      <c r="Q106" s="7">
        <f>output!E257</f>
        <v>21912</v>
      </c>
      <c r="R106" s="7">
        <f>output!F257</f>
        <v>129673.74353289096</v>
      </c>
      <c r="S106" s="7">
        <f>output!G257</f>
        <v>10317.366088362032</v>
      </c>
      <c r="T106" s="7">
        <f>output!H257</f>
        <v>448188.20248935663</v>
      </c>
      <c r="U106" s="7">
        <f t="shared" si="60"/>
        <v>675271.06211060961</v>
      </c>
      <c r="V106" s="33"/>
      <c r="W106" s="25"/>
      <c r="X106"/>
      <c r="Y106" s="3" t="s">
        <v>129</v>
      </c>
      <c r="Z106" s="7">
        <f t="shared" si="55"/>
        <v>18952.180099999998</v>
      </c>
      <c r="AA106" s="7">
        <f t="shared" si="55"/>
        <v>1163.4246000000001</v>
      </c>
      <c r="AB106" s="7">
        <f t="shared" si="55"/>
        <v>19042.841099999998</v>
      </c>
      <c r="AC106" s="7">
        <f t="shared" si="55"/>
        <v>-3916.3235999999997</v>
      </c>
      <c r="AD106" s="7">
        <f t="shared" si="56"/>
        <v>29876.115532890966</v>
      </c>
      <c r="AE106" s="7">
        <f t="shared" si="57"/>
        <v>-5115.7917116379685</v>
      </c>
      <c r="AF106" s="7">
        <f t="shared" si="57"/>
        <v>137983.96278935665</v>
      </c>
      <c r="AG106" s="7">
        <f t="shared" si="58"/>
        <v>197986.40881060966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495277.37390000001</v>
      </c>
      <c r="J107" s="33"/>
      <c r="K107" s="25"/>
      <c r="L107"/>
      <c r="M107" s="3" t="s">
        <v>130</v>
      </c>
      <c r="N107" s="9">
        <f>output!B258</f>
        <v>36933.75</v>
      </c>
      <c r="O107" s="9">
        <f>output!C258</f>
        <v>2323.25</v>
      </c>
      <c r="P107" s="9">
        <f>output!D258</f>
        <v>32337.75</v>
      </c>
      <c r="Q107" s="7">
        <f>output!E258</f>
        <v>26140.75</v>
      </c>
      <c r="R107" s="7">
        <f>output!F258</f>
        <v>143963.48213334623</v>
      </c>
      <c r="S107" s="7">
        <f>output!G258</f>
        <v>12359.302210496899</v>
      </c>
      <c r="T107" s="7">
        <f>output!H258</f>
        <v>552651.09335615614</v>
      </c>
      <c r="U107" s="7">
        <f t="shared" si="60"/>
        <v>806709.37769999926</v>
      </c>
      <c r="V107" s="33"/>
      <c r="W107" s="25"/>
      <c r="X107"/>
      <c r="Y107" s="3" t="s">
        <v>130</v>
      </c>
      <c r="Z107" s="9">
        <f t="shared" si="55"/>
        <v>15059.612499999999</v>
      </c>
      <c r="AA107" s="9">
        <f t="shared" si="55"/>
        <v>1928.7982</v>
      </c>
      <c r="AB107" s="9">
        <f t="shared" si="55"/>
        <v>19478.4401</v>
      </c>
      <c r="AC107" s="9">
        <f t="shared" si="55"/>
        <v>-532.1221000000005</v>
      </c>
      <c r="AD107" s="9">
        <f t="shared" si="56"/>
        <v>29851.950433346225</v>
      </c>
      <c r="AE107" s="9">
        <f t="shared" si="57"/>
        <v>4023.2294104968987</v>
      </c>
      <c r="AF107" s="7">
        <f t="shared" si="57"/>
        <v>241622.09525615611</v>
      </c>
      <c r="AG107" s="9">
        <f t="shared" si="58"/>
        <v>311432.00379999925</v>
      </c>
      <c r="AH107" s="33"/>
    </row>
    <row r="108" spans="1:34" ht="13.5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227835</v>
      </c>
      <c r="O108" s="11">
        <f>SUM(O101:O107)</f>
        <v>14824.75</v>
      </c>
      <c r="P108" s="11">
        <f>SUM(P101:P107)</f>
        <v>198738.5</v>
      </c>
      <c r="Q108" s="11">
        <f>SUM(Q101:Q107)</f>
        <v>157022</v>
      </c>
      <c r="R108" s="11">
        <f t="shared" ref="R108:S108" si="63">SUM(R101:R107)</f>
        <v>912185.99444510392</v>
      </c>
      <c r="S108" s="11">
        <f t="shared" si="63"/>
        <v>82450.311423658277</v>
      </c>
      <c r="T108" s="11">
        <f t="shared" ref="T108" si="64">SUM(T101:T107)</f>
        <v>3444525.6111550923</v>
      </c>
      <c r="U108" s="11">
        <f>SUM(U101:U107)</f>
        <v>5037582.1670238543</v>
      </c>
      <c r="V108" s="33"/>
      <c r="W108" s="25"/>
      <c r="X108"/>
      <c r="Y108" s="10" t="s">
        <v>221</v>
      </c>
      <c r="Z108" s="11">
        <f t="shared" si="55"/>
        <v>86241.169599999994</v>
      </c>
      <c r="AA108" s="11">
        <f t="shared" si="55"/>
        <v>8583.8091999999997</v>
      </c>
      <c r="AB108" s="11">
        <f t="shared" si="55"/>
        <v>79106.389999999985</v>
      </c>
      <c r="AC108" s="11">
        <f t="shared" si="55"/>
        <v>29750.342499999999</v>
      </c>
      <c r="AD108" s="11">
        <f t="shared" si="56"/>
        <v>171579.27934510389</v>
      </c>
      <c r="AE108" s="11">
        <f t="shared" si="57"/>
        <v>20842.45502365828</v>
      </c>
      <c r="AF108" s="11">
        <f t="shared" si="57"/>
        <v>844272.65975509211</v>
      </c>
      <c r="AG108" s="11">
        <f t="shared" si="58"/>
        <v>1240376.1054238542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152941.5</v>
      </c>
      <c r="O110" s="53">
        <f>ToursByTourPurpose!O118</f>
        <v>9701</v>
      </c>
      <c r="P110" s="53">
        <f>ToursByTourPurpose!P118</f>
        <v>135841.5</v>
      </c>
      <c r="Q110" s="53">
        <f>ToursByTourPurpose!Q118</f>
        <v>108932</v>
      </c>
      <c r="R110" s="53">
        <f>ToursByTourPurpose!R118</f>
        <v>623275.53186630248</v>
      </c>
      <c r="S110" s="53">
        <f>ToursByTourPurpose!S118</f>
        <v>54870.858576608582</v>
      </c>
      <c r="T110" s="53"/>
      <c r="U110" s="53">
        <f>ToursByTourPurpose!U118</f>
        <v>3742474.8184638917</v>
      </c>
      <c r="V110" s="54"/>
      <c r="W110" s="25"/>
      <c r="X110"/>
      <c r="Y110" s="25" t="s">
        <v>88</v>
      </c>
      <c r="Z110" s="7">
        <f t="shared" ref="Z110:AB111" si="65">N110-B110</f>
        <v>1544.8520999999892</v>
      </c>
      <c r="AA110" s="7">
        <f t="shared" si="65"/>
        <v>855.14749999999913</v>
      </c>
      <c r="AB110" s="7">
        <f t="shared" si="65"/>
        <v>4311.5849999999919</v>
      </c>
      <c r="AC110" s="7">
        <f t="shared" ref="AC110:AC111" si="66">Q110-E110</f>
        <v>-14900.130399999995</v>
      </c>
      <c r="AD110" s="7">
        <f t="shared" ref="AD110:AD111" si="67">R110-F110</f>
        <v>-13552.141433697543</v>
      </c>
      <c r="AE110" s="7">
        <f t="shared" ref="AE110:AE111" si="68">S110-G110</f>
        <v>336.1963766085828</v>
      </c>
      <c r="AF110" s="7"/>
      <c r="AG110" s="7">
        <f t="shared" ref="AG110:AG111" si="69">U110-I110</f>
        <v>33956.851863891818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1.0239147001035862</v>
      </c>
      <c r="J111" s="103"/>
      <c r="K111" s="25"/>
      <c r="L111"/>
      <c r="M111" s="25" t="s">
        <v>90</v>
      </c>
      <c r="N111" s="38">
        <f>N108/N110</f>
        <v>1.4896872333539295</v>
      </c>
      <c r="O111" s="38">
        <f>O108/O110</f>
        <v>1.5281671992578085</v>
      </c>
      <c r="P111" s="38">
        <f>P108/P110</f>
        <v>1.463017560907381</v>
      </c>
      <c r="Q111" s="38">
        <f>Q108/Q110</f>
        <v>1.4414680718246244</v>
      </c>
      <c r="R111" s="38">
        <f t="shared" ref="R111:U111" si="71">R108/R110</f>
        <v>1.4635357042072605</v>
      </c>
      <c r="S111" s="38">
        <f t="shared" si="71"/>
        <v>1.5026247731943965</v>
      </c>
      <c r="T111" s="38"/>
      <c r="U111" s="38">
        <f t="shared" si="71"/>
        <v>1.3460563962035001</v>
      </c>
      <c r="V111" s="103"/>
      <c r="W111" s="25"/>
      <c r="X111"/>
      <c r="Y111" s="25" t="s">
        <v>90</v>
      </c>
      <c r="Z111" s="38">
        <f t="shared" si="65"/>
        <v>0.5544364707774353</v>
      </c>
      <c r="AA111" s="38">
        <f t="shared" si="65"/>
        <v>0.82264550985591101</v>
      </c>
      <c r="AB111" s="38">
        <f t="shared" si="65"/>
        <v>0.55347458735645905</v>
      </c>
      <c r="AC111" s="38">
        <f t="shared" si="66"/>
        <v>0.41369234763341733</v>
      </c>
      <c r="AD111" s="38">
        <f t="shared" si="67"/>
        <v>0.30057318522277021</v>
      </c>
      <c r="AE111" s="38">
        <f t="shared" si="68"/>
        <v>0.37292388361961892</v>
      </c>
      <c r="AF111" s="38"/>
      <c r="AG111" s="38">
        <f t="shared" si="69"/>
        <v>0.32214169609991394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8.3529424122522566E-2</v>
      </c>
      <c r="J117" s="34"/>
      <c r="K117" s="25"/>
      <c r="L117"/>
      <c r="M117" s="3" t="s">
        <v>210</v>
      </c>
      <c r="N117" s="12">
        <f t="shared" ref="N117:S124" si="77">N101/N$108</f>
        <v>5.0310531744464197E-2</v>
      </c>
      <c r="O117" s="12">
        <f t="shared" si="77"/>
        <v>5.9798647531998851E-2</v>
      </c>
      <c r="P117" s="12">
        <f t="shared" si="77"/>
        <v>5.4349056674977421E-2</v>
      </c>
      <c r="Q117" s="12">
        <f t="shared" si="77"/>
        <v>5.3054667498821824E-2</v>
      </c>
      <c r="R117" s="12">
        <f t="shared" si="77"/>
        <v>5.9746933892592113E-2</v>
      </c>
      <c r="S117" s="12">
        <f t="shared" si="77"/>
        <v>7.1398640236092215E-2</v>
      </c>
      <c r="T117" s="12"/>
      <c r="U117" s="12">
        <f t="shared" ref="U117:U124" si="78">U101/U$108</f>
        <v>5.3194668747263175E-2</v>
      </c>
      <c r="V117" s="34"/>
      <c r="W117" s="25"/>
      <c r="X117"/>
      <c r="Y117" s="3" t="s">
        <v>210</v>
      </c>
      <c r="Z117" s="12">
        <f t="shared" ref="Z117:AC124" si="79">N117-B117</f>
        <v>1.4114153038653904E-3</v>
      </c>
      <c r="AA117" s="12">
        <f t="shared" si="79"/>
        <v>-0.11328697122599357</v>
      </c>
      <c r="AB117" s="12">
        <f t="shared" si="79"/>
        <v>-4.9148962376930956E-2</v>
      </c>
      <c r="AC117" s="12">
        <f t="shared" si="79"/>
        <v>8.6753704035514162E-3</v>
      </c>
      <c r="AD117" s="12">
        <f t="shared" ref="AD117" si="80">R117-F117</f>
        <v>-4.5785111802465875E-2</v>
      </c>
      <c r="AE117" s="12">
        <f t="shared" ref="AE117:AF123" si="81">S117-G117</f>
        <v>-3.0599799040882864E-2</v>
      </c>
      <c r="AF117" s="12">
        <f t="shared" si="81"/>
        <v>0</v>
      </c>
      <c r="AG117" s="12">
        <f t="shared" ref="AG117:AG124" si="82">U117-I117</f>
        <v>-3.0334755375259391E-2</v>
      </c>
      <c r="AH117" s="34"/>
    </row>
    <row r="118" spans="1:34" x14ac:dyDescent="0.2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1.3483519479695123E-2</v>
      </c>
      <c r="J118" s="34"/>
      <c r="K118" s="25"/>
      <c r="L118"/>
      <c r="M118" s="3" t="s">
        <v>211</v>
      </c>
      <c r="N118" s="12">
        <f t="shared" si="77"/>
        <v>2.3083591195382624E-2</v>
      </c>
      <c r="O118" s="12">
        <f t="shared" si="77"/>
        <v>1.155162818934552E-2</v>
      </c>
      <c r="P118" s="12">
        <f t="shared" si="77"/>
        <v>2.0982346148330597E-2</v>
      </c>
      <c r="Q118" s="12">
        <f t="shared" ref="Q118:S118" si="84">Q102/Q$108</f>
        <v>2.211473551476863E-2</v>
      </c>
      <c r="R118" s="12">
        <f t="shared" si="84"/>
        <v>2.0232899564325477E-2</v>
      </c>
      <c r="S118" s="12">
        <f t="shared" si="84"/>
        <v>1.1077112329870253E-2</v>
      </c>
      <c r="T118" s="12"/>
      <c r="U118" s="12">
        <f t="shared" si="78"/>
        <v>2.0434865824018718E-2</v>
      </c>
      <c r="V118" s="34"/>
      <c r="W118" s="25"/>
      <c r="X118"/>
      <c r="Y118" s="3" t="s">
        <v>211</v>
      </c>
      <c r="Z118" s="12">
        <f t="shared" si="79"/>
        <v>1.1454620530852879E-2</v>
      </c>
      <c r="AA118" s="12">
        <f t="shared" si="79"/>
        <v>6.3918292051923613E-3</v>
      </c>
      <c r="AB118" s="12">
        <f t="shared" si="79"/>
        <v>2.667464800839528E-3</v>
      </c>
      <c r="AC118" s="12">
        <f t="shared" si="79"/>
        <v>1.8210974773693975E-2</v>
      </c>
      <c r="AD118" s="12">
        <f t="shared" ref="AD118:AD124" si="85">R118-F118</f>
        <v>-9.4978727215117124E-3</v>
      </c>
      <c r="AE118" s="12">
        <f t="shared" ref="AE118:AF124" si="86">S118-G118</f>
        <v>2.5651135257696769E-3</v>
      </c>
      <c r="AF118" s="12">
        <f t="shared" si="81"/>
        <v>0</v>
      </c>
      <c r="AG118" s="12">
        <f t="shared" si="82"/>
        <v>6.9513463443235946E-3</v>
      </c>
      <c r="AH118" s="34"/>
    </row>
    <row r="119" spans="1:34" x14ac:dyDescent="0.2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0.12640211482169514</v>
      </c>
      <c r="J119" s="34"/>
      <c r="K119" s="25"/>
      <c r="L119"/>
      <c r="M119" s="3" t="s">
        <v>212</v>
      </c>
      <c r="N119" s="12">
        <f t="shared" si="77"/>
        <v>0.10077029429192179</v>
      </c>
      <c r="O119" s="12">
        <f t="shared" si="77"/>
        <v>6.9545860807096238E-2</v>
      </c>
      <c r="P119" s="12">
        <f t="shared" si="77"/>
        <v>9.9492549254422274E-2</v>
      </c>
      <c r="Q119" s="12">
        <f t="shared" ref="Q119:S119" si="88">Q103/Q$108</f>
        <v>0.10291233075619977</v>
      </c>
      <c r="R119" s="12">
        <f t="shared" si="88"/>
        <v>9.2702403905940325E-2</v>
      </c>
      <c r="S119" s="12">
        <f t="shared" si="88"/>
        <v>6.3473952979856432E-2</v>
      </c>
      <c r="T119" s="12"/>
      <c r="U119" s="12">
        <f t="shared" si="78"/>
        <v>0.10033675518404812</v>
      </c>
      <c r="V119" s="34"/>
      <c r="W119" s="25"/>
      <c r="X119"/>
      <c r="Y119" s="3" t="s">
        <v>212</v>
      </c>
      <c r="Z119" s="12">
        <f t="shared" si="79"/>
        <v>-0.11437260362914468</v>
      </c>
      <c r="AA119" s="12">
        <f t="shared" si="79"/>
        <v>4.3443773447231215E-4</v>
      </c>
      <c r="AB119" s="12">
        <f t="shared" si="79"/>
        <v>-6.7910814273981601E-2</v>
      </c>
      <c r="AC119" s="12">
        <f t="shared" si="79"/>
        <v>-3.610993348986774E-2</v>
      </c>
      <c r="AD119" s="12">
        <f t="shared" si="85"/>
        <v>-1.8357649457056771E-2</v>
      </c>
      <c r="AE119" s="12">
        <f t="shared" si="86"/>
        <v>3.4238871526835774E-2</v>
      </c>
      <c r="AF119" s="12">
        <f t="shared" si="81"/>
        <v>0</v>
      </c>
      <c r="AG119" s="12">
        <f t="shared" si="82"/>
        <v>-2.6065359637647015E-2</v>
      </c>
      <c r="AH119" s="34"/>
    </row>
    <row r="120" spans="1:34" x14ac:dyDescent="0.2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0.23747343883150826</v>
      </c>
      <c r="J120" s="34"/>
      <c r="K120" s="25"/>
      <c r="L120"/>
      <c r="M120" s="3" t="s">
        <v>213</v>
      </c>
      <c r="N120" s="12">
        <f t="shared" si="77"/>
        <v>0.22067614721179801</v>
      </c>
      <c r="O120" s="12">
        <f t="shared" si="77"/>
        <v>0.23845258773335132</v>
      </c>
      <c r="P120" s="12">
        <f t="shared" si="77"/>
        <v>0.22516145588298192</v>
      </c>
      <c r="Q120" s="12">
        <f t="shared" ref="Q120:S120" si="90">Q104/Q$108</f>
        <v>0.22305632331775166</v>
      </c>
      <c r="R120" s="12">
        <f t="shared" si="90"/>
        <v>0.22604829136494062</v>
      </c>
      <c r="S120" s="12">
        <f t="shared" si="90"/>
        <v>0.24760822150744038</v>
      </c>
      <c r="T120" s="12"/>
      <c r="U120" s="12">
        <f t="shared" si="78"/>
        <v>0.22967826627376486</v>
      </c>
      <c r="V120" s="34"/>
      <c r="W120" s="25"/>
      <c r="X120"/>
      <c r="Y120" s="3" t="s">
        <v>213</v>
      </c>
      <c r="Z120" s="12">
        <f t="shared" si="79"/>
        <v>3.4859736103535488E-2</v>
      </c>
      <c r="AA120" s="12">
        <f t="shared" si="79"/>
        <v>-2.5634599249739431E-2</v>
      </c>
      <c r="AB120" s="12">
        <f t="shared" si="79"/>
        <v>2.3366730369906913E-2</v>
      </c>
      <c r="AC120" s="12">
        <f t="shared" si="79"/>
        <v>5.1065453315921133E-2</v>
      </c>
      <c r="AD120" s="12">
        <f t="shared" si="85"/>
        <v>1.2779581022943354E-2</v>
      </c>
      <c r="AE120" s="12">
        <f t="shared" si="86"/>
        <v>4.5408479008365227E-2</v>
      </c>
      <c r="AF120" s="12">
        <f t="shared" si="81"/>
        <v>0</v>
      </c>
      <c r="AG120" s="12">
        <f t="shared" si="82"/>
        <v>-7.7951725577433961E-3</v>
      </c>
      <c r="AH120" s="34"/>
    </row>
    <row r="121" spans="1:34" x14ac:dyDescent="0.2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0.2829858115330256</v>
      </c>
      <c r="J121" s="34"/>
      <c r="K121" s="25"/>
      <c r="L121"/>
      <c r="M121" s="3" t="s">
        <v>214</v>
      </c>
      <c r="N121" s="12">
        <f t="shared" si="77"/>
        <v>0.2905260385805517</v>
      </c>
      <c r="O121" s="12">
        <f t="shared" si="77"/>
        <v>0.32265299583466839</v>
      </c>
      <c r="P121" s="12">
        <f t="shared" si="77"/>
        <v>0.29472774525318446</v>
      </c>
      <c r="Q121" s="12">
        <f t="shared" ref="Q121:S121" si="92">Q105/Q$108</f>
        <v>0.29283635414145787</v>
      </c>
      <c r="R121" s="12">
        <f t="shared" si="92"/>
        <v>0.30128983188660147</v>
      </c>
      <c r="S121" s="12">
        <f t="shared" si="92"/>
        <v>0.33140771701400989</v>
      </c>
      <c r="T121" s="12"/>
      <c r="U121" s="12">
        <f t="shared" si="78"/>
        <v>0.30217057697028493</v>
      </c>
      <c r="V121" s="34"/>
      <c r="W121" s="25"/>
      <c r="X121"/>
      <c r="Y121" s="3" t="s">
        <v>214</v>
      </c>
      <c r="Z121" s="12">
        <f t="shared" si="79"/>
        <v>1.8075220695198457E-2</v>
      </c>
      <c r="AA121" s="12">
        <f t="shared" si="79"/>
        <v>4.6489232191853469E-2</v>
      </c>
      <c r="AB121" s="12">
        <f t="shared" si="79"/>
        <v>-2.9102207257057089E-2</v>
      </c>
      <c r="AC121" s="12">
        <f t="shared" si="79"/>
        <v>6.4645408329347259E-2</v>
      </c>
      <c r="AD121" s="12">
        <f t="shared" si="85"/>
        <v>4.9711038444467837E-2</v>
      </c>
      <c r="AE121" s="12">
        <f t="shared" si="86"/>
        <v>5.916790572916214E-2</v>
      </c>
      <c r="AF121" s="12">
        <f t="shared" si="81"/>
        <v>0</v>
      </c>
      <c r="AG121" s="12">
        <f t="shared" si="82"/>
        <v>1.9184765437259332E-2</v>
      </c>
      <c r="AH121" s="34"/>
    </row>
    <row r="122" spans="1:34" x14ac:dyDescent="0.2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0.12569364041805256</v>
      </c>
      <c r="J122" s="34"/>
      <c r="K122" s="25"/>
      <c r="L122"/>
      <c r="M122" s="3" t="s">
        <v>129</v>
      </c>
      <c r="N122" s="12">
        <f t="shared" si="77"/>
        <v>0.15252595079772643</v>
      </c>
      <c r="O122" s="12">
        <f t="shared" si="77"/>
        <v>0.14128400141655004</v>
      </c>
      <c r="P122" s="12">
        <f t="shared" si="77"/>
        <v>0.14257177144841085</v>
      </c>
      <c r="Q122" s="12">
        <f t="shared" ref="Q122:S122" si="94">Q106/Q$108</f>
        <v>0.13954732457872146</v>
      </c>
      <c r="R122" s="12">
        <f t="shared" si="94"/>
        <v>0.14215713058801499</v>
      </c>
      <c r="S122" s="12">
        <f t="shared" si="94"/>
        <v>0.12513434952777594</v>
      </c>
      <c r="T122" s="12"/>
      <c r="U122" s="12">
        <f t="shared" si="78"/>
        <v>0.13404665963186702</v>
      </c>
      <c r="V122" s="34"/>
      <c r="W122" s="25"/>
      <c r="X122"/>
      <c r="Y122" s="3" t="s">
        <v>129</v>
      </c>
      <c r="Z122" s="12">
        <f t="shared" si="79"/>
        <v>4.0949268004632083E-2</v>
      </c>
      <c r="AA122" s="12">
        <f t="shared" si="79"/>
        <v>-7.9043068590227694E-3</v>
      </c>
      <c r="AB122" s="12">
        <f t="shared" si="79"/>
        <v>6.4903168094344793E-2</v>
      </c>
      <c r="AC122" s="12">
        <f t="shared" si="79"/>
        <v>-6.3391209477849625E-2</v>
      </c>
      <c r="AD122" s="12">
        <f t="shared" si="85"/>
        <v>7.4059516353303934E-3</v>
      </c>
      <c r="AE122" s="12">
        <f t="shared" si="86"/>
        <v>-0.12537197712961448</v>
      </c>
      <c r="AF122" s="12">
        <f t="shared" si="81"/>
        <v>0</v>
      </c>
      <c r="AG122" s="12">
        <f t="shared" si="82"/>
        <v>8.3530192138144554E-3</v>
      </c>
      <c r="AH122" s="34"/>
    </row>
    <row r="123" spans="1:34" x14ac:dyDescent="0.2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0.1304320507935007</v>
      </c>
      <c r="J123" s="34"/>
      <c r="K123" s="25"/>
      <c r="L123"/>
      <c r="M123" s="3" t="s">
        <v>130</v>
      </c>
      <c r="N123" s="13">
        <f t="shared" si="77"/>
        <v>0.16210744617815526</v>
      </c>
      <c r="O123" s="13">
        <f t="shared" si="77"/>
        <v>0.15671427848698966</v>
      </c>
      <c r="P123" s="13">
        <f t="shared" si="77"/>
        <v>0.1627150753376925</v>
      </c>
      <c r="Q123" s="13">
        <f t="shared" ref="Q123:S123" si="96">Q107/Q$108</f>
        <v>0.16647826419227879</v>
      </c>
      <c r="R123" s="13">
        <f t="shared" si="96"/>
        <v>0.157822508797585</v>
      </c>
      <c r="S123" s="13">
        <f t="shared" si="96"/>
        <v>0.14990000640495485</v>
      </c>
      <c r="T123" s="12"/>
      <c r="U123" s="13">
        <f t="shared" si="78"/>
        <v>0.16013820736875323</v>
      </c>
      <c r="V123" s="34"/>
      <c r="W123" s="25"/>
      <c r="X123"/>
      <c r="Y123" s="3" t="s">
        <v>130</v>
      </c>
      <c r="Z123" s="12">
        <f t="shared" si="79"/>
        <v>7.6223429910604601E-3</v>
      </c>
      <c r="AA123" s="12">
        <f t="shared" si="79"/>
        <v>9.3510378203237557E-2</v>
      </c>
      <c r="AB123" s="12">
        <f t="shared" si="79"/>
        <v>5.5224620642878558E-2</v>
      </c>
      <c r="AC123" s="12">
        <f t="shared" si="79"/>
        <v>-4.3096063854796418E-2</v>
      </c>
      <c r="AD123" s="12">
        <f t="shared" si="85"/>
        <v>3.7440628782927921E-3</v>
      </c>
      <c r="AE123" s="12">
        <f t="shared" si="86"/>
        <v>1.4591406380364463E-2</v>
      </c>
      <c r="AF123" s="12">
        <f t="shared" si="81"/>
        <v>0</v>
      </c>
      <c r="AG123" s="12">
        <f t="shared" si="82"/>
        <v>2.9706156575252524E-2</v>
      </c>
      <c r="AH123" s="34"/>
    </row>
    <row r="124" spans="1:34" ht="13.5" thickBot="1" x14ac:dyDescent="0.25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38"/>
  <sheetViews>
    <sheetView workbookViewId="0">
      <selection activeCell="K13" sqref="K13"/>
    </sheetView>
  </sheetViews>
  <sheetFormatPr defaultColWidth="10.75" defaultRowHeight="12.75" x14ac:dyDescent="0.2"/>
  <cols>
    <col min="1" max="16384" width="10.75" style="3" collapsed="1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225" t="s">
        <v>78</v>
      </c>
      <c r="Z2" s="225"/>
      <c r="AA2" s="225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2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1793287.0869403062</v>
      </c>
      <c r="O5" s="7">
        <f>output!C262</f>
        <v>318787.25069839793</v>
      </c>
      <c r="P5" s="7">
        <f>output!D262</f>
        <v>0</v>
      </c>
      <c r="Q5" s="7">
        <f>output!E262</f>
        <v>0</v>
      </c>
      <c r="R5" s="7">
        <f>output!F262</f>
        <v>116082.05943507643</v>
      </c>
      <c r="S5" s="7">
        <f>output!G262</f>
        <v>2861.2096394430669</v>
      </c>
      <c r="T5" s="7"/>
      <c r="U5" s="7">
        <f>output!H262</f>
        <v>0</v>
      </c>
      <c r="V5" s="7">
        <f>output!I262</f>
        <v>0</v>
      </c>
      <c r="W5" s="7">
        <f>output!J262</f>
        <v>2231017.6067132237</v>
      </c>
      <c r="Y5" s="3" t="s">
        <v>210</v>
      </c>
      <c r="Z5" s="7">
        <f t="shared" ref="Z5:Z13" si="0">N5-B5</f>
        <v>-89350.017311257776</v>
      </c>
      <c r="AA5" s="7">
        <f t="shared" ref="AA5:AA13" si="1">O5-C5</f>
        <v>84292.480628437421</v>
      </c>
      <c r="AB5" s="7">
        <f t="shared" ref="AB5:AB13" si="2">P5-D5</f>
        <v>-21819.047668798099</v>
      </c>
      <c r="AC5" s="7">
        <f t="shared" ref="AC5:AC13" si="3">Q5-E5</f>
        <v>-49778.948362793402</v>
      </c>
      <c r="AD5" s="7">
        <f t="shared" ref="AD5:AD13" si="4">R5-F5</f>
        <v>12844.466715912422</v>
      </c>
      <c r="AE5" s="7">
        <f t="shared" ref="AE5:AE13" si="5">S5-G5</f>
        <v>-593.7857355569331</v>
      </c>
      <c r="AF5" s="7"/>
      <c r="AG5" s="7">
        <f t="shared" ref="AG5:AG13" si="6">U5-I5</f>
        <v>-1912.5762499999998</v>
      </c>
      <c r="AH5" s="7">
        <f t="shared" ref="AH5:AH13" si="7">V5-J5</f>
        <v>-916.36924999999997</v>
      </c>
      <c r="AI5" s="7">
        <f t="shared" ref="AI5:AI13" si="8">W5-K5</f>
        <v>-67233.797234056052</v>
      </c>
    </row>
    <row r="6" spans="1:35" ht="12.75" customHeight="1" x14ac:dyDescent="0.2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31849.916565230404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165487.82818203955</v>
      </c>
      <c r="S6" s="7">
        <f>output!G263</f>
        <v>117414.65293506917</v>
      </c>
      <c r="T6" s="7"/>
      <c r="U6" s="7">
        <f>output!H263</f>
        <v>481783.05012027553</v>
      </c>
      <c r="V6" s="7">
        <f>output!I263</f>
        <v>41152.653704413016</v>
      </c>
      <c r="W6" s="7">
        <f>output!J263</f>
        <v>837688.10150702763</v>
      </c>
      <c r="Y6" s="3" t="s">
        <v>211</v>
      </c>
      <c r="Z6" s="7">
        <f t="shared" si="0"/>
        <v>18633.564456875203</v>
      </c>
      <c r="AA6" s="7">
        <f t="shared" si="1"/>
        <v>-52646.016471054303</v>
      </c>
      <c r="AB6" s="7">
        <f t="shared" si="2"/>
        <v>-1402.1807139949999</v>
      </c>
      <c r="AC6" s="7">
        <f t="shared" si="3"/>
        <v>-77386.515796188294</v>
      </c>
      <c r="AD6" s="7">
        <f t="shared" si="4"/>
        <v>97299.799856272453</v>
      </c>
      <c r="AE6" s="7">
        <f t="shared" si="5"/>
        <v>37339.771810489168</v>
      </c>
      <c r="AF6" s="7"/>
      <c r="AG6" s="7">
        <f t="shared" si="6"/>
        <v>-36498.244004724489</v>
      </c>
      <c r="AH6" s="7">
        <f t="shared" si="7"/>
        <v>-22644.427420586981</v>
      </c>
      <c r="AI6" s="7">
        <f t="shared" si="8"/>
        <v>-37304.248282912304</v>
      </c>
    </row>
    <row r="7" spans="1:35" ht="12.75" customHeight="1" x14ac:dyDescent="0.2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479134.77952023136</v>
      </c>
      <c r="O7" s="7">
        <f>output!C264</f>
        <v>120014.79081511276</v>
      </c>
      <c r="P7" s="7">
        <f>output!D264</f>
        <v>102217.30322126037</v>
      </c>
      <c r="Q7" s="7">
        <f>output!E264</f>
        <v>283513.43740212987</v>
      </c>
      <c r="R7" s="7">
        <f>output!F264</f>
        <v>45612.975899797915</v>
      </c>
      <c r="S7" s="7">
        <f>output!G264</f>
        <v>14634.226436286985</v>
      </c>
      <c r="T7" s="7"/>
      <c r="U7" s="7">
        <f>output!H264</f>
        <v>102211.09888181309</v>
      </c>
      <c r="V7" s="7">
        <f>output!I264</f>
        <v>90157.441923434075</v>
      </c>
      <c r="W7" s="7">
        <f>output!J264</f>
        <v>1237496.0541000664</v>
      </c>
      <c r="Y7" s="3" t="s">
        <v>212</v>
      </c>
      <c r="Z7" s="7">
        <f t="shared" si="0"/>
        <v>-13013.459586611658</v>
      </c>
      <c r="AA7" s="7">
        <f t="shared" si="1"/>
        <v>-37779.188073650352</v>
      </c>
      <c r="AB7" s="7">
        <f t="shared" si="2"/>
        <v>27769.742438592279</v>
      </c>
      <c r="AC7" s="7">
        <f t="shared" si="3"/>
        <v>-17217.951690689602</v>
      </c>
      <c r="AD7" s="7">
        <f t="shared" si="4"/>
        <v>16637.875291177916</v>
      </c>
      <c r="AE7" s="7">
        <f t="shared" si="5"/>
        <v>2665.3803893269851</v>
      </c>
      <c r="AF7" s="7"/>
      <c r="AG7" s="7">
        <f t="shared" si="6"/>
        <v>9879.9931318130839</v>
      </c>
      <c r="AH7" s="7">
        <f t="shared" si="7"/>
        <v>2744.2489234340756</v>
      </c>
      <c r="AI7" s="7">
        <f t="shared" si="8"/>
        <v>-8313.3591766073368</v>
      </c>
    </row>
    <row r="8" spans="1:35" ht="12.75" customHeight="1" x14ac:dyDescent="0.2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575749.00413458969</v>
      </c>
      <c r="O8" s="7">
        <f>output!C265</f>
        <v>180107.43483033293</v>
      </c>
      <c r="P8" s="7">
        <f>output!D265</f>
        <v>312471.95621100464</v>
      </c>
      <c r="Q8" s="7">
        <f>output!E265</f>
        <v>388436.47596055066</v>
      </c>
      <c r="R8" s="7">
        <f>output!F265</f>
        <v>48705.588666791271</v>
      </c>
      <c r="S8" s="7">
        <f>output!G265</f>
        <v>26874.052033076121</v>
      </c>
      <c r="T8" s="7"/>
      <c r="U8" s="7">
        <f>output!H265</f>
        <v>149085.59182772756</v>
      </c>
      <c r="V8" s="7">
        <f>output!I265</f>
        <v>168922.3697264423</v>
      </c>
      <c r="W8" s="7">
        <f>output!J265</f>
        <v>1850352.4733905152</v>
      </c>
      <c r="Y8" s="3" t="s">
        <v>213</v>
      </c>
      <c r="Z8" s="7">
        <f t="shared" si="0"/>
        <v>72658.762478306715</v>
      </c>
      <c r="AA8" s="7">
        <f t="shared" si="1"/>
        <v>-23848.683302035264</v>
      </c>
      <c r="AB8" s="7">
        <f t="shared" si="2"/>
        <v>-24400.889197956538</v>
      </c>
      <c r="AC8" s="7">
        <f t="shared" si="3"/>
        <v>-29394.569535810442</v>
      </c>
      <c r="AD8" s="7">
        <f t="shared" si="4"/>
        <v>-8928.2661137129326</v>
      </c>
      <c r="AE8" s="7">
        <f t="shared" si="5"/>
        <v>10921.917658076121</v>
      </c>
      <c r="AF8" s="7"/>
      <c r="AG8" s="7">
        <f t="shared" si="6"/>
        <v>-12719.930547272437</v>
      </c>
      <c r="AH8" s="7">
        <f t="shared" si="7"/>
        <v>19837.917476442293</v>
      </c>
      <c r="AI8" s="7">
        <f t="shared" si="8"/>
        <v>4126.2589160376228</v>
      </c>
    </row>
    <row r="9" spans="1:35" ht="12.75" customHeight="1" x14ac:dyDescent="0.2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641999.21164250385</v>
      </c>
      <c r="O9" s="7">
        <f>output!C266</f>
        <v>183786.79232642861</v>
      </c>
      <c r="P9" s="7">
        <f>output!D266</f>
        <v>323825.31795544678</v>
      </c>
      <c r="Q9" s="7">
        <f>output!E266</f>
        <v>391061.27254064463</v>
      </c>
      <c r="R9" s="7">
        <f>output!F266</f>
        <v>72090.300895248787</v>
      </c>
      <c r="S9" s="7">
        <f>output!G266</f>
        <v>30596.022346381345</v>
      </c>
      <c r="T9" s="7"/>
      <c r="U9" s="7">
        <f>output!H266</f>
        <v>190153.35353670473</v>
      </c>
      <c r="V9" s="7">
        <f>output!I266</f>
        <v>198681.12188557838</v>
      </c>
      <c r="W9" s="7">
        <f>output!J266</f>
        <v>2032193.3931289371</v>
      </c>
      <c r="Y9" s="3" t="s">
        <v>214</v>
      </c>
      <c r="Z9" s="7">
        <f t="shared" si="0"/>
        <v>8691.7130187184084</v>
      </c>
      <c r="AA9" s="7">
        <f t="shared" si="1"/>
        <v>-52920.962325666595</v>
      </c>
      <c r="AB9" s="7">
        <f t="shared" si="2"/>
        <v>-12216.505193574296</v>
      </c>
      <c r="AC9" s="7">
        <f t="shared" si="3"/>
        <v>-99248.8737436136</v>
      </c>
      <c r="AD9" s="7">
        <f t="shared" si="4"/>
        <v>-783.80575649481034</v>
      </c>
      <c r="AE9" s="7">
        <f t="shared" si="5"/>
        <v>23837.069023987344</v>
      </c>
      <c r="AF9" s="7"/>
      <c r="AG9" s="7">
        <f t="shared" si="6"/>
        <v>82772.509661704724</v>
      </c>
      <c r="AH9" s="7">
        <f t="shared" si="7"/>
        <v>39917.873385578394</v>
      </c>
      <c r="AI9" s="7">
        <f t="shared" si="8"/>
        <v>-9950.9819293604232</v>
      </c>
    </row>
    <row r="10" spans="1:35" ht="12.75" customHeight="1" x14ac:dyDescent="0.2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19703.518511312905</v>
      </c>
      <c r="O10" s="7">
        <f>output!C267</f>
        <v>137408.25318362706</v>
      </c>
      <c r="P10" s="7">
        <f>output!D267</f>
        <v>131424.63969779748</v>
      </c>
      <c r="Q10" s="7">
        <f>output!E267</f>
        <v>194780.27554439264</v>
      </c>
      <c r="R10" s="7">
        <f>output!F267</f>
        <v>80869.245009067468</v>
      </c>
      <c r="S10" s="7">
        <f>output!G267</f>
        <v>43396.451368780698</v>
      </c>
      <c r="T10" s="7"/>
      <c r="U10" s="7">
        <f>output!H267</f>
        <v>143771.72740013196</v>
      </c>
      <c r="V10" s="7">
        <f>output!I267</f>
        <v>59434.489570281119</v>
      </c>
      <c r="W10" s="7">
        <f>output!J267</f>
        <v>810788.60028539132</v>
      </c>
      <c r="Y10" s="3" t="s">
        <v>129</v>
      </c>
      <c r="Z10" s="7">
        <f t="shared" si="0"/>
        <v>-347381.27149348432</v>
      </c>
      <c r="AA10" s="7">
        <f t="shared" si="1"/>
        <v>54226.82944334246</v>
      </c>
      <c r="AB10" s="7">
        <f t="shared" si="2"/>
        <v>32250.902398216684</v>
      </c>
      <c r="AC10" s="7">
        <f t="shared" si="3"/>
        <v>32636.449143125938</v>
      </c>
      <c r="AD10" s="7">
        <f t="shared" si="4"/>
        <v>46952.667305137671</v>
      </c>
      <c r="AE10" s="7">
        <f t="shared" si="5"/>
        <v>36519.410618780697</v>
      </c>
      <c r="AF10" s="7"/>
      <c r="AG10" s="7">
        <f t="shared" si="6"/>
        <v>100519.36015013195</v>
      </c>
      <c r="AH10" s="7">
        <f t="shared" si="7"/>
        <v>26959.237695281117</v>
      </c>
      <c r="AI10" s="7">
        <f t="shared" si="8"/>
        <v>-17316.414739467786</v>
      </c>
    </row>
    <row r="11" spans="1:35" ht="12.75" customHeight="1" x14ac:dyDescent="0.2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570049.03374715394</v>
      </c>
      <c r="O11" s="7">
        <f>output!C268</f>
        <v>169031.0603923426</v>
      </c>
      <c r="P11" s="7">
        <f>output!D268</f>
        <v>217946.43697198917</v>
      </c>
      <c r="Q11" s="7">
        <f>output!E268</f>
        <v>330308.75072034256</v>
      </c>
      <c r="R11" s="7">
        <f>output!F268</f>
        <v>50556.758899698725</v>
      </c>
      <c r="S11" s="7">
        <f>output!G268</f>
        <v>44306.535282233657</v>
      </c>
      <c r="T11" s="7"/>
      <c r="U11" s="7">
        <f>output!H268</f>
        <v>201656.4704322273</v>
      </c>
      <c r="V11" s="7">
        <f>output!I268</f>
        <v>127383.25692964537</v>
      </c>
      <c r="W11" s="7">
        <f>output!J268</f>
        <v>1711238.3033756334</v>
      </c>
      <c r="Y11" s="3" t="s">
        <v>130</v>
      </c>
      <c r="Z11" s="7">
        <f t="shared" si="0"/>
        <v>32755.723986574681</v>
      </c>
      <c r="AA11" s="7">
        <f t="shared" si="1"/>
        <v>-10373.307731284818</v>
      </c>
      <c r="AB11" s="7">
        <f t="shared" si="2"/>
        <v>15131.28892175178</v>
      </c>
      <c r="AC11" s="7">
        <f t="shared" si="3"/>
        <v>-48832.91904028831</v>
      </c>
      <c r="AD11" s="7">
        <f t="shared" si="4"/>
        <v>4236.2567290935258</v>
      </c>
      <c r="AE11" s="7">
        <f t="shared" si="5"/>
        <v>22689.691012575659</v>
      </c>
      <c r="AF11" s="7"/>
      <c r="AG11" s="7">
        <f t="shared" si="6"/>
        <v>-6406.1253177727049</v>
      </c>
      <c r="AH11" s="7">
        <f t="shared" si="7"/>
        <v>-14109.370945354633</v>
      </c>
      <c r="AI11" s="7">
        <f t="shared" si="8"/>
        <v>-4908.7623847047798</v>
      </c>
    </row>
    <row r="12" spans="1:35" ht="12.75" customHeight="1" x14ac:dyDescent="0.2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2135323.845427915</v>
      </c>
      <c r="O12" s="9">
        <f>output!C269</f>
        <v>546042.55100937479</v>
      </c>
      <c r="P12" s="9">
        <f>output!D269</f>
        <v>591332.33587738348</v>
      </c>
      <c r="Q12" s="9">
        <f>output!E269</f>
        <v>902755.1186707851</v>
      </c>
      <c r="R12" s="9">
        <f>output!F269</f>
        <v>282311.14451337693</v>
      </c>
      <c r="S12" s="9">
        <f>output!G269</f>
        <v>166018.01704295</v>
      </c>
      <c r="T12" s="9"/>
      <c r="U12" s="9">
        <f>output!H269</f>
        <v>798050.01182711055</v>
      </c>
      <c r="V12" s="9">
        <f>output!I269</f>
        <v>384587.217551585</v>
      </c>
      <c r="W12" s="9">
        <f>output!J269</f>
        <v>5806420.2419204805</v>
      </c>
      <c r="Y12" s="8" t="s">
        <v>145</v>
      </c>
      <c r="Z12" s="9">
        <f t="shared" si="0"/>
        <v>-116915.31651904574</v>
      </c>
      <c r="AA12" s="9">
        <f t="shared" si="1"/>
        <v>-69156.040900639375</v>
      </c>
      <c r="AB12" s="9">
        <f t="shared" si="2"/>
        <v>43689.034581255051</v>
      </c>
      <c r="AC12" s="9">
        <f t="shared" si="3"/>
        <v>-147302.84983877069</v>
      </c>
      <c r="AD12" s="9">
        <f t="shared" si="4"/>
        <v>91873.739727560227</v>
      </c>
      <c r="AE12" s="9">
        <f t="shared" si="5"/>
        <v>57904.793904357997</v>
      </c>
      <c r="AF12" s="9"/>
      <c r="AG12" s="9">
        <f t="shared" si="6"/>
        <v>27834.959452110576</v>
      </c>
      <c r="AH12" s="9">
        <f t="shared" si="7"/>
        <v>20723.725926584972</v>
      </c>
      <c r="AI12" s="9">
        <f t="shared" si="8"/>
        <v>-91347.953666586429</v>
      </c>
    </row>
    <row r="13" spans="1:35" ht="12.75" customHeight="1" thickBot="1" x14ac:dyDescent="0.25">
      <c r="A13" s="10" t="s">
        <v>221</v>
      </c>
      <c r="B13" s="11">
        <f t="shared" ref="B13:K13" si="9">SUM(B5:B12)</f>
        <v>6681016.6974591678</v>
      </c>
      <c r="C13" s="11">
        <f t="shared" si="9"/>
        <v>1763383.0219881674</v>
      </c>
      <c r="D13" s="11">
        <f t="shared" si="9"/>
        <v>1620215.6443693901</v>
      </c>
      <c r="E13" s="11">
        <f t="shared" si="9"/>
        <v>2927381.5097038737</v>
      </c>
      <c r="F13" s="11">
        <f t="shared" si="9"/>
        <v>601583.16774615063</v>
      </c>
      <c r="G13" s="11">
        <f t="shared" si="9"/>
        <v>254816.91840218398</v>
      </c>
      <c r="H13" s="11"/>
      <c r="I13" s="11">
        <f t="shared" si="9"/>
        <v>1903241.35775</v>
      </c>
      <c r="J13" s="11">
        <f t="shared" si="9"/>
        <v>997805.71549999993</v>
      </c>
      <c r="K13" s="11">
        <f t="shared" si="9"/>
        <v>16749444.032918934</v>
      </c>
      <c r="L13" s="7"/>
      <c r="M13" s="10" t="s">
        <v>221</v>
      </c>
      <c r="N13" s="11">
        <f t="shared" ref="N13:W13" si="10">SUM(N5:N12)</f>
        <v>6247096.396489244</v>
      </c>
      <c r="O13" s="11">
        <f t="shared" si="10"/>
        <v>1655178.1332556168</v>
      </c>
      <c r="P13" s="11">
        <f t="shared" si="10"/>
        <v>1679217.9899348817</v>
      </c>
      <c r="Q13" s="11">
        <f t="shared" si="10"/>
        <v>2490855.3308388456</v>
      </c>
      <c r="R13" s="11">
        <f t="shared" si="10"/>
        <v>861715.90150109702</v>
      </c>
      <c r="S13" s="11">
        <f t="shared" si="10"/>
        <v>446101.16708422103</v>
      </c>
      <c r="T13" s="11"/>
      <c r="U13" s="11">
        <f t="shared" si="10"/>
        <v>2066711.3040259907</v>
      </c>
      <c r="V13" s="11">
        <f t="shared" si="10"/>
        <v>1070318.5512913794</v>
      </c>
      <c r="W13" s="11">
        <f t="shared" si="10"/>
        <v>16517194.774421275</v>
      </c>
      <c r="Y13" s="10" t="s">
        <v>221</v>
      </c>
      <c r="Z13" s="11">
        <f t="shared" si="0"/>
        <v>-433920.30096992385</v>
      </c>
      <c r="AA13" s="11">
        <f t="shared" si="1"/>
        <v>-108204.88873255067</v>
      </c>
      <c r="AB13" s="11">
        <f t="shared" si="2"/>
        <v>59002.345565491589</v>
      </c>
      <c r="AC13" s="11">
        <f t="shared" si="3"/>
        <v>-436526.17886502808</v>
      </c>
      <c r="AD13" s="11">
        <f t="shared" si="4"/>
        <v>260132.73375494638</v>
      </c>
      <c r="AE13" s="11">
        <f t="shared" si="5"/>
        <v>191284.24868203705</v>
      </c>
      <c r="AF13" s="11"/>
      <c r="AG13" s="11">
        <f t="shared" si="6"/>
        <v>163469.94627599069</v>
      </c>
      <c r="AH13" s="11">
        <f t="shared" si="7"/>
        <v>72512.835791379446</v>
      </c>
      <c r="AI13" s="11">
        <f t="shared" si="8"/>
        <v>-232249.25849765912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1410222.3792541239</v>
      </c>
      <c r="O15" s="33">
        <f>ToursByTourPurpose!O15</f>
        <v>330587.79410013492</v>
      </c>
      <c r="P15" s="33">
        <f>ToursByTourPurpose!P15</f>
        <v>393707.17935026012</v>
      </c>
      <c r="Q15" s="33">
        <f>ToursByTourPurpose!Q15</f>
        <v>573902.57800400315</v>
      </c>
      <c r="R15" s="33">
        <f>ToursByTourPurpose!R15</f>
        <v>175566.13317979188</v>
      </c>
      <c r="S15" s="33">
        <f>ToursByTourPurpose!S15</f>
        <v>119540.37697423306</v>
      </c>
      <c r="T15" s="33"/>
      <c r="U15" s="33">
        <f>ToursByTourPurpose!U15</f>
        <v>503887.95581699541</v>
      </c>
      <c r="V15" s="33">
        <f>ToursByTourPurpose!V15</f>
        <v>235060.42178434858</v>
      </c>
      <c r="W15" s="33">
        <f>ToursByTourPurpose!W15</f>
        <v>3742474.8184638908</v>
      </c>
      <c r="Y15" s="3" t="s">
        <v>88</v>
      </c>
      <c r="Z15" s="7">
        <f t="shared" ref="Z15:AE16" si="11">N15-B15</f>
        <v>-2367.3631458762102</v>
      </c>
      <c r="AA15" s="7">
        <f t="shared" si="11"/>
        <v>-10367.887999865052</v>
      </c>
      <c r="AB15" s="7">
        <f t="shared" si="11"/>
        <v>8615.2009502600995</v>
      </c>
      <c r="AC15" s="7">
        <f t="shared" si="11"/>
        <v>-18386.090395996813</v>
      </c>
      <c r="AD15" s="7">
        <f t="shared" si="11"/>
        <v>64087.197579791886</v>
      </c>
      <c r="AE15" s="7">
        <f t="shared" si="11"/>
        <v>41040.832774233058</v>
      </c>
      <c r="AF15" s="7"/>
      <c r="AG15" s="7">
        <f t="shared" ref="AG15:AI16" si="12">U15-I15</f>
        <v>-12027.970083004562</v>
      </c>
      <c r="AH15" s="7">
        <f t="shared" si="12"/>
        <v>-36637.067815651448</v>
      </c>
      <c r="AI15" s="7">
        <f t="shared" si="12"/>
        <v>33956.851863890886</v>
      </c>
    </row>
    <row r="16" spans="1:35" ht="12.75" customHeight="1" x14ac:dyDescent="0.2">
      <c r="A16" s="25" t="s">
        <v>91</v>
      </c>
      <c r="B16" s="38">
        <f t="shared" ref="B16:K16" si="13">B13/B15</f>
        <v>4.7296228316850666</v>
      </c>
      <c r="C16" s="38">
        <f t="shared" si="13"/>
        <v>5.1718833694960367</v>
      </c>
      <c r="D16" s="38">
        <f t="shared" si="13"/>
        <v>4.2073471670356399</v>
      </c>
      <c r="E16" s="38">
        <f t="shared" si="13"/>
        <v>4.9424911633238899</v>
      </c>
      <c r="F16" s="38">
        <f t="shared" si="13"/>
        <v>5.3963842093425107</v>
      </c>
      <c r="G16" s="38">
        <f t="shared" si="13"/>
        <v>3.2460942416807557</v>
      </c>
      <c r="H16" s="38"/>
      <c r="I16" s="38">
        <f t="shared" si="13"/>
        <v>3.6890533170300026</v>
      </c>
      <c r="J16" s="38">
        <f t="shared" si="13"/>
        <v>3.6724877987242168</v>
      </c>
      <c r="K16" s="38">
        <f t="shared" si="13"/>
        <v>4.5164791390440433</v>
      </c>
      <c r="M16" s="25" t="s">
        <v>91</v>
      </c>
      <c r="N16" s="38">
        <f t="shared" ref="N16:W16" si="14">N13/N15</f>
        <v>4.4298661603947709</v>
      </c>
      <c r="O16" s="38">
        <f t="shared" si="14"/>
        <v>5.0067732771593612</v>
      </c>
      <c r="P16" s="38">
        <f t="shared" si="14"/>
        <v>4.2651444474701128</v>
      </c>
      <c r="Q16" s="38">
        <f t="shared" si="14"/>
        <v>4.3402058577640181</v>
      </c>
      <c r="R16" s="38">
        <f t="shared" si="14"/>
        <v>4.908212568642953</v>
      </c>
      <c r="S16" s="38">
        <f t="shared" si="14"/>
        <v>3.7318032482060701</v>
      </c>
      <c r="T16" s="38"/>
      <c r="U16" s="38">
        <f t="shared" si="14"/>
        <v>4.1015294772725017</v>
      </c>
      <c r="V16" s="38">
        <f t="shared" si="14"/>
        <v>4.5533762900898793</v>
      </c>
      <c r="W16" s="38">
        <f t="shared" si="14"/>
        <v>4.4134417933641039</v>
      </c>
      <c r="Y16" s="3" t="s">
        <v>91</v>
      </c>
      <c r="Z16" s="38">
        <f t="shared" si="11"/>
        <v>-0.29975667129029571</v>
      </c>
      <c r="AA16" s="38">
        <f t="shared" si="11"/>
        <v>-0.16511009233667551</v>
      </c>
      <c r="AB16" s="38">
        <f t="shared" si="11"/>
        <v>5.7797280434472853E-2</v>
      </c>
      <c r="AC16" s="38">
        <f t="shared" si="11"/>
        <v>-0.60228530555987181</v>
      </c>
      <c r="AD16" s="38">
        <f t="shared" si="11"/>
        <v>-0.48817164069955776</v>
      </c>
      <c r="AE16" s="38">
        <f t="shared" si="11"/>
        <v>0.48570900652531446</v>
      </c>
      <c r="AF16" s="38"/>
      <c r="AG16" s="38">
        <f t="shared" si="12"/>
        <v>0.41247616024249911</v>
      </c>
      <c r="AH16" s="38">
        <f t="shared" si="12"/>
        <v>0.8808884913656625</v>
      </c>
      <c r="AI16" s="38">
        <f t="shared" si="12"/>
        <v>-0.10303734567993938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225" t="s">
        <v>79</v>
      </c>
      <c r="Z19" s="225"/>
      <c r="AA19" s="225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2">
      <c r="A22" s="3" t="s">
        <v>210</v>
      </c>
      <c r="B22" s="12">
        <f t="shared" ref="B22:K22" si="15">B5/B$13</f>
        <v>0.28178901348466057</v>
      </c>
      <c r="C22" s="12">
        <f t="shared" si="15"/>
        <v>0.13298005433077942</v>
      </c>
      <c r="D22" s="12">
        <f t="shared" si="15"/>
        <v>1.3466755332615226E-2</v>
      </c>
      <c r="E22" s="12">
        <f t="shared" si="15"/>
        <v>1.7004598887361597E-2</v>
      </c>
      <c r="F22" s="12">
        <f t="shared" si="15"/>
        <v>0.17160984258576706</v>
      </c>
      <c r="G22" s="12">
        <f t="shared" si="15"/>
        <v>1.3558736196420418E-2</v>
      </c>
      <c r="H22" s="12"/>
      <c r="I22" s="12">
        <f t="shared" si="15"/>
        <v>1.0049047338173839E-3</v>
      </c>
      <c r="J22" s="12">
        <f t="shared" si="15"/>
        <v>9.18384446756559E-4</v>
      </c>
      <c r="K22" s="12">
        <f t="shared" si="15"/>
        <v>0.13721359344407819</v>
      </c>
      <c r="M22" s="3" t="s">
        <v>210</v>
      </c>
      <c r="N22" s="12">
        <f t="shared" ref="N22:W22" si="16">N5/N$13</f>
        <v>0.28705929493069793</v>
      </c>
      <c r="O22" s="12">
        <f t="shared" si="16"/>
        <v>0.19259996509944596</v>
      </c>
      <c r="P22" s="12">
        <f t="shared" si="16"/>
        <v>0</v>
      </c>
      <c r="Q22" s="12">
        <f t="shared" si="16"/>
        <v>0</v>
      </c>
      <c r="R22" s="12">
        <f t="shared" si="16"/>
        <v>0.13471036014638132</v>
      </c>
      <c r="S22" s="12">
        <f t="shared" si="16"/>
        <v>6.4138133915773617E-3</v>
      </c>
      <c r="T22" s="12"/>
      <c r="U22" s="12">
        <f t="shared" si="16"/>
        <v>0</v>
      </c>
      <c r="V22" s="12">
        <f t="shared" si="16"/>
        <v>0</v>
      </c>
      <c r="W22" s="12">
        <f t="shared" si="16"/>
        <v>0.13507242828959093</v>
      </c>
      <c r="Y22" s="3" t="s">
        <v>210</v>
      </c>
      <c r="Z22" s="12">
        <f t="shared" ref="Z22:Z30" si="17">N22-B22</f>
        <v>5.2702814460373615E-3</v>
      </c>
      <c r="AA22" s="12">
        <f t="shared" ref="AA22:AA30" si="18">O22-C22</f>
        <v>5.9619910768666545E-2</v>
      </c>
      <c r="AB22" s="12">
        <f t="shared" ref="AB22:AB30" si="19">P22-D22</f>
        <v>-1.3466755332615226E-2</v>
      </c>
      <c r="AC22" s="12">
        <f t="shared" ref="AC22:AC30" si="20">Q22-E22</f>
        <v>-1.7004598887361597E-2</v>
      </c>
      <c r="AD22" s="12">
        <f t="shared" ref="AD22:AD30" si="21">R22-F22</f>
        <v>-3.6899482439385733E-2</v>
      </c>
      <c r="AE22" s="12">
        <f t="shared" ref="AE22:AE30" si="22">S22-G22</f>
        <v>-7.1449228048430565E-3</v>
      </c>
      <c r="AF22" s="12"/>
      <c r="AG22" s="12">
        <f t="shared" ref="AG22:AG30" si="23">U22-I22</f>
        <v>-1.0049047338173839E-3</v>
      </c>
      <c r="AH22" s="12">
        <f t="shared" ref="AH22:AH30" si="24">V22-J22</f>
        <v>-9.18384446756559E-4</v>
      </c>
      <c r="AI22" s="12">
        <f t="shared" ref="AI22:AI30" si="25">W22-K22</f>
        <v>-2.1411651544872567E-3</v>
      </c>
    </row>
    <row r="23" spans="1:35" ht="12.75" customHeight="1" x14ac:dyDescent="0.2">
      <c r="A23" s="3" t="s">
        <v>211</v>
      </c>
      <c r="B23" s="12">
        <f t="shared" ref="B23:K23" si="26">B6/B$13</f>
        <v>1.9781947429320843E-3</v>
      </c>
      <c r="C23" s="12">
        <f t="shared" si="26"/>
        <v>2.9855122690076327E-2</v>
      </c>
      <c r="D23" s="12">
        <f t="shared" si="26"/>
        <v>8.6542845013741834E-4</v>
      </c>
      <c r="E23" s="12">
        <f t="shared" si="26"/>
        <v>2.6435404999198931E-2</v>
      </c>
      <c r="F23" s="12">
        <f t="shared" si="26"/>
        <v>0.11334763334758116</v>
      </c>
      <c r="G23" s="12">
        <f t="shared" si="26"/>
        <v>0.31424475904773247</v>
      </c>
      <c r="H23" s="12"/>
      <c r="I23" s="12">
        <f t="shared" si="26"/>
        <v>0.27231506504130876</v>
      </c>
      <c r="J23" s="12">
        <f t="shared" si="26"/>
        <v>6.3937377922345648E-2</v>
      </c>
      <c r="K23" s="12">
        <f t="shared" si="26"/>
        <v>5.2240083197403572E-2</v>
      </c>
      <c r="M23" s="3" t="s">
        <v>211</v>
      </c>
      <c r="N23" s="12">
        <f t="shared" ref="N23:W23" si="27">N6/N$13</f>
        <v>5.0983552267785531E-3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0.19204453334766375</v>
      </c>
      <c r="S23" s="12">
        <f t="shared" si="27"/>
        <v>0.26320185105658339</v>
      </c>
      <c r="T23" s="12"/>
      <c r="U23" s="12">
        <f t="shared" si="27"/>
        <v>0.23311579570003488</v>
      </c>
      <c r="V23" s="12">
        <f t="shared" si="27"/>
        <v>3.8448977320593762E-2</v>
      </c>
      <c r="W23" s="12">
        <f t="shared" si="27"/>
        <v>5.0716124193454538E-2</v>
      </c>
      <c r="Y23" s="3" t="s">
        <v>211</v>
      </c>
      <c r="Z23" s="12">
        <f t="shared" si="17"/>
        <v>3.1201604838464688E-3</v>
      </c>
      <c r="AA23" s="12">
        <f t="shared" si="18"/>
        <v>-2.9855122690076327E-2</v>
      </c>
      <c r="AB23" s="12">
        <f t="shared" si="19"/>
        <v>-8.6542845013741834E-4</v>
      </c>
      <c r="AC23" s="12">
        <f t="shared" si="20"/>
        <v>-2.6435404999198931E-2</v>
      </c>
      <c r="AD23" s="12">
        <f t="shared" si="21"/>
        <v>7.8696900000082587E-2</v>
      </c>
      <c r="AE23" s="12">
        <f t="shared" si="22"/>
        <v>-5.1042907991149078E-2</v>
      </c>
      <c r="AF23" s="12"/>
      <c r="AG23" s="12">
        <f t="shared" si="23"/>
        <v>-3.9199269341273879E-2</v>
      </c>
      <c r="AH23" s="12">
        <f t="shared" si="24"/>
        <v>-2.5488400601751886E-2</v>
      </c>
      <c r="AI23" s="12">
        <f t="shared" si="25"/>
        <v>-1.5239590039490339E-3</v>
      </c>
    </row>
    <row r="24" spans="1:35" ht="12.75" customHeight="1" x14ac:dyDescent="0.2">
      <c r="A24" s="3" t="s">
        <v>212</v>
      </c>
      <c r="B24" s="12">
        <f t="shared" ref="B24:K24" si="28">B7/B$13</f>
        <v>7.3663674466494009E-2</v>
      </c>
      <c r="C24" s="12">
        <f t="shared" si="28"/>
        <v>8.9483666861470967E-2</v>
      </c>
      <c r="D24" s="12">
        <f t="shared" si="28"/>
        <v>4.5949167965011285E-2</v>
      </c>
      <c r="E24" s="12">
        <f t="shared" si="28"/>
        <v>0.10273050782617012</v>
      </c>
      <c r="F24" s="12">
        <f t="shared" si="28"/>
        <v>4.8164746226487823E-2</v>
      </c>
      <c r="G24" s="12">
        <f t="shared" si="28"/>
        <v>4.6970374345667532E-2</v>
      </c>
      <c r="H24" s="12"/>
      <c r="I24" s="12">
        <f t="shared" si="28"/>
        <v>4.8512557471509163E-2</v>
      </c>
      <c r="J24" s="12">
        <f t="shared" si="28"/>
        <v>8.7605424224491732E-2</v>
      </c>
      <c r="K24" s="12">
        <f t="shared" si="28"/>
        <v>7.43791501872057E-2</v>
      </c>
      <c r="M24" s="3" t="s">
        <v>212</v>
      </c>
      <c r="N24" s="12">
        <f t="shared" ref="N24:W24" si="29">N7/N$13</f>
        <v>7.6697196443054172E-2</v>
      </c>
      <c r="O24" s="12">
        <f t="shared" si="29"/>
        <v>7.2508685563077296E-2</v>
      </c>
      <c r="P24" s="12">
        <f t="shared" si="29"/>
        <v>6.0871967686115754E-2</v>
      </c>
      <c r="Q24" s="12">
        <f t="shared" si="29"/>
        <v>0.11382171974903538</v>
      </c>
      <c r="R24" s="12">
        <f t="shared" si="29"/>
        <v>5.29327308691191E-2</v>
      </c>
      <c r="S24" s="12">
        <f t="shared" si="29"/>
        <v>3.2804725735057619E-2</v>
      </c>
      <c r="T24" s="12"/>
      <c r="U24" s="12">
        <f t="shared" si="29"/>
        <v>4.9455915145334539E-2</v>
      </c>
      <c r="V24" s="12">
        <f t="shared" si="29"/>
        <v>8.4234214024091938E-2</v>
      </c>
      <c r="W24" s="12">
        <f t="shared" si="29"/>
        <v>7.4921684402273175E-2</v>
      </c>
      <c r="Y24" s="3" t="s">
        <v>212</v>
      </c>
      <c r="Z24" s="12">
        <f t="shared" si="17"/>
        <v>3.0335219765601634E-3</v>
      </c>
      <c r="AA24" s="12">
        <f t="shared" si="18"/>
        <v>-1.6974981298393671E-2</v>
      </c>
      <c r="AB24" s="12">
        <f t="shared" si="19"/>
        <v>1.4922799721104468E-2</v>
      </c>
      <c r="AC24" s="12">
        <f t="shared" si="20"/>
        <v>1.109121192286526E-2</v>
      </c>
      <c r="AD24" s="12">
        <f t="shared" si="21"/>
        <v>4.7679846426312775E-3</v>
      </c>
      <c r="AE24" s="12">
        <f t="shared" si="22"/>
        <v>-1.4165648610609913E-2</v>
      </c>
      <c r="AF24" s="12"/>
      <c r="AG24" s="12">
        <f t="shared" si="23"/>
        <v>9.4335767382537628E-4</v>
      </c>
      <c r="AH24" s="12">
        <f t="shared" si="24"/>
        <v>-3.3712102003997935E-3</v>
      </c>
      <c r="AI24" s="12">
        <f t="shared" si="25"/>
        <v>5.4253421506747501E-4</v>
      </c>
    </row>
    <row r="25" spans="1:35" ht="12.75" customHeight="1" x14ac:dyDescent="0.2">
      <c r="A25" s="3" t="s">
        <v>213</v>
      </c>
      <c r="B25" s="12">
        <f t="shared" ref="B25:K25" si="30">B8/B$13</f>
        <v>7.5301449530520009E-2</v>
      </c>
      <c r="C25" s="12">
        <f t="shared" si="30"/>
        <v>0.11566183613496125</v>
      </c>
      <c r="D25" s="12">
        <f t="shared" si="30"/>
        <v>0.20791852404318478</v>
      </c>
      <c r="E25" s="12">
        <f t="shared" si="30"/>
        <v>0.14273200951475157</v>
      </c>
      <c r="F25" s="12">
        <f t="shared" si="30"/>
        <v>9.5803635923576727E-2</v>
      </c>
      <c r="G25" s="12">
        <f t="shared" si="30"/>
        <v>6.2602336120486088E-2</v>
      </c>
      <c r="H25" s="12"/>
      <c r="I25" s="12">
        <f t="shared" si="30"/>
        <v>8.5015766243271146E-2</v>
      </c>
      <c r="J25" s="12">
        <f t="shared" si="30"/>
        <v>0.1494123053557514</v>
      </c>
      <c r="K25" s="12">
        <f t="shared" si="30"/>
        <v>0.110226119198103</v>
      </c>
      <c r="M25" s="3" t="s">
        <v>213</v>
      </c>
      <c r="N25" s="12">
        <f t="shared" ref="N25:W25" si="31">N8/N$13</f>
        <v>9.2162657271968831E-2</v>
      </c>
      <c r="O25" s="12">
        <f t="shared" si="31"/>
        <v>0.10881453253377298</v>
      </c>
      <c r="P25" s="12">
        <f t="shared" si="31"/>
        <v>0.18608182980645768</v>
      </c>
      <c r="Q25" s="12">
        <f t="shared" si="31"/>
        <v>0.15594501661794097</v>
      </c>
      <c r="R25" s="12">
        <f t="shared" si="31"/>
        <v>5.6521631528380543E-2</v>
      </c>
      <c r="S25" s="12">
        <f t="shared" si="31"/>
        <v>6.0242057219281997E-2</v>
      </c>
      <c r="T25" s="12"/>
      <c r="U25" s="12">
        <f t="shared" si="31"/>
        <v>7.213663153499289E-2</v>
      </c>
      <c r="V25" s="12">
        <f t="shared" si="31"/>
        <v>0.15782438744300109</v>
      </c>
      <c r="W25" s="12">
        <f t="shared" si="31"/>
        <v>0.11202583118145421</v>
      </c>
      <c r="Y25" s="3" t="s">
        <v>213</v>
      </c>
      <c r="Z25" s="12">
        <f t="shared" si="17"/>
        <v>1.6861207741448822E-2</v>
      </c>
      <c r="AA25" s="12">
        <f t="shared" si="18"/>
        <v>-6.8473036011882787E-3</v>
      </c>
      <c r="AB25" s="12">
        <f t="shared" si="19"/>
        <v>-2.18366942367271E-2</v>
      </c>
      <c r="AC25" s="12">
        <f t="shared" si="20"/>
        <v>1.32130071031894E-2</v>
      </c>
      <c r="AD25" s="12">
        <f t="shared" si="21"/>
        <v>-3.9282004395196184E-2</v>
      </c>
      <c r="AE25" s="12">
        <f t="shared" si="22"/>
        <v>-2.3602789012040909E-3</v>
      </c>
      <c r="AF25" s="12"/>
      <c r="AG25" s="12">
        <f t="shared" si="23"/>
        <v>-1.2879134708278256E-2</v>
      </c>
      <c r="AH25" s="12">
        <f t="shared" si="24"/>
        <v>8.4120820872496949E-3</v>
      </c>
      <c r="AI25" s="12">
        <f t="shared" si="25"/>
        <v>1.7997119833512015E-3</v>
      </c>
    </row>
    <row r="26" spans="1:35" ht="12.75" customHeight="1" x14ac:dyDescent="0.2">
      <c r="A26" s="3" t="s">
        <v>214</v>
      </c>
      <c r="B26" s="12">
        <f t="shared" ref="B26:K26" si="32">B9/B$13</f>
        <v>9.4792084394076756E-2</v>
      </c>
      <c r="C26" s="12">
        <f t="shared" si="32"/>
        <v>0.13423501967554022</v>
      </c>
      <c r="D26" s="12">
        <f t="shared" si="32"/>
        <v>0.20740561561471227</v>
      </c>
      <c r="E26" s="12">
        <f t="shared" si="32"/>
        <v>0.16749103069037857</v>
      </c>
      <c r="F26" s="12">
        <f t="shared" si="32"/>
        <v>0.12113721021279339</v>
      </c>
      <c r="G26" s="12">
        <f t="shared" si="32"/>
        <v>2.652474319513657E-2</v>
      </c>
      <c r="H26" s="12"/>
      <c r="I26" s="12">
        <f t="shared" si="32"/>
        <v>5.6419982383077764E-2</v>
      </c>
      <c r="J26" s="12">
        <f t="shared" si="32"/>
        <v>0.1591123863431107</v>
      </c>
      <c r="K26" s="12">
        <f t="shared" si="32"/>
        <v>0.12192311404753009</v>
      </c>
      <c r="M26" s="3" t="s">
        <v>214</v>
      </c>
      <c r="N26" s="12">
        <f t="shared" ref="N26:W26" si="33">N9/N$13</f>
        <v>0.10276761728909704</v>
      </c>
      <c r="O26" s="12">
        <f t="shared" si="33"/>
        <v>0.11103747000628456</v>
      </c>
      <c r="P26" s="12">
        <f t="shared" si="33"/>
        <v>0.19284293039762179</v>
      </c>
      <c r="Q26" s="12">
        <f t="shared" si="33"/>
        <v>0.15699878981287399</v>
      </c>
      <c r="R26" s="12">
        <f t="shared" si="33"/>
        <v>8.3659011943110831E-2</v>
      </c>
      <c r="S26" s="12">
        <f t="shared" si="33"/>
        <v>6.8585389602007052E-2</v>
      </c>
      <c r="T26" s="12"/>
      <c r="U26" s="12">
        <f t="shared" si="33"/>
        <v>9.2007699946423382E-2</v>
      </c>
      <c r="V26" s="12">
        <f t="shared" si="33"/>
        <v>0.18562802788558805</v>
      </c>
      <c r="W26" s="12">
        <f t="shared" si="33"/>
        <v>0.12303502022486386</v>
      </c>
      <c r="Y26" s="3" t="s">
        <v>214</v>
      </c>
      <c r="Z26" s="12">
        <f t="shared" si="17"/>
        <v>7.9755328950202875E-3</v>
      </c>
      <c r="AA26" s="12">
        <f t="shared" si="18"/>
        <v>-2.3197549669255663E-2</v>
      </c>
      <c r="AB26" s="12">
        <f t="shared" si="19"/>
        <v>-1.4562685217090476E-2</v>
      </c>
      <c r="AC26" s="12">
        <f t="shared" si="20"/>
        <v>-1.0492240877504583E-2</v>
      </c>
      <c r="AD26" s="12">
        <f t="shared" si="21"/>
        <v>-3.7478198269682558E-2</v>
      </c>
      <c r="AE26" s="12">
        <f t="shared" si="22"/>
        <v>4.2060646406870482E-2</v>
      </c>
      <c r="AF26" s="12"/>
      <c r="AG26" s="12">
        <f t="shared" si="23"/>
        <v>3.5587717563345618E-2</v>
      </c>
      <c r="AH26" s="12">
        <f t="shared" si="24"/>
        <v>2.6515641542477347E-2</v>
      </c>
      <c r="AI26" s="12">
        <f t="shared" si="25"/>
        <v>1.1119061773337685E-3</v>
      </c>
    </row>
    <row r="27" spans="1:35" ht="12.75" customHeight="1" x14ac:dyDescent="0.2">
      <c r="A27" s="3" t="s">
        <v>129</v>
      </c>
      <c r="B27" s="12">
        <f t="shared" ref="B27:K27" si="34">B10/B$13</f>
        <v>5.4944450317629331E-2</v>
      </c>
      <c r="C27" s="12">
        <f t="shared" si="34"/>
        <v>4.7171500861168419E-2</v>
      </c>
      <c r="D27" s="12">
        <f t="shared" si="34"/>
        <v>6.1210208433816575E-2</v>
      </c>
      <c r="E27" s="12">
        <f t="shared" si="34"/>
        <v>5.5388689811622385E-2</v>
      </c>
      <c r="F27" s="12">
        <f t="shared" si="34"/>
        <v>5.6378867498901725E-2</v>
      </c>
      <c r="G27" s="12">
        <f t="shared" si="34"/>
        <v>2.6988163867305674E-2</v>
      </c>
      <c r="H27" s="12"/>
      <c r="I27" s="12">
        <f t="shared" si="34"/>
        <v>2.2725634388868411E-2</v>
      </c>
      <c r="J27" s="12">
        <f t="shared" si="34"/>
        <v>3.2546668525271646E-2</v>
      </c>
      <c r="K27" s="12">
        <f t="shared" si="34"/>
        <v>4.9440746415064435E-2</v>
      </c>
      <c r="M27" s="3" t="s">
        <v>129</v>
      </c>
      <c r="N27" s="12">
        <f t="shared" ref="N27:W27" si="35">N10/N$13</f>
        <v>3.1540282494097465E-3</v>
      </c>
      <c r="O27" s="12">
        <f t="shared" si="35"/>
        <v>8.3017199431794614E-2</v>
      </c>
      <c r="P27" s="12">
        <f t="shared" si="35"/>
        <v>7.8265383342453351E-2</v>
      </c>
      <c r="Q27" s="12">
        <f t="shared" si="35"/>
        <v>7.8198148697297673E-2</v>
      </c>
      <c r="R27" s="12">
        <f t="shared" si="35"/>
        <v>9.3846759550559961E-2</v>
      </c>
      <c r="S27" s="12">
        <f t="shared" si="35"/>
        <v>9.7279394385865234E-2</v>
      </c>
      <c r="T27" s="12"/>
      <c r="U27" s="12">
        <f t="shared" si="35"/>
        <v>6.9565462345931944E-2</v>
      </c>
      <c r="V27" s="12">
        <f t="shared" si="35"/>
        <v>5.5529720099283697E-2</v>
      </c>
      <c r="W27" s="12">
        <f t="shared" si="35"/>
        <v>4.9087548543109039E-2</v>
      </c>
      <c r="Y27" s="3" t="s">
        <v>129</v>
      </c>
      <c r="Z27" s="12">
        <f t="shared" si="17"/>
        <v>-5.1790422068219585E-2</v>
      </c>
      <c r="AA27" s="12">
        <f t="shared" si="18"/>
        <v>3.5845698570626194E-2</v>
      </c>
      <c r="AB27" s="12">
        <f t="shared" si="19"/>
        <v>1.7055174908636776E-2</v>
      </c>
      <c r="AC27" s="12">
        <f t="shared" si="20"/>
        <v>2.2809458885675288E-2</v>
      </c>
      <c r="AD27" s="12">
        <f t="shared" si="21"/>
        <v>3.7467892051658236E-2</v>
      </c>
      <c r="AE27" s="12">
        <f t="shared" si="22"/>
        <v>7.0291230518559566E-2</v>
      </c>
      <c r="AF27" s="12"/>
      <c r="AG27" s="12">
        <f t="shared" si="23"/>
        <v>4.6839827957063533E-2</v>
      </c>
      <c r="AH27" s="12">
        <f t="shared" si="24"/>
        <v>2.2983051574012051E-2</v>
      </c>
      <c r="AI27" s="12">
        <f t="shared" si="25"/>
        <v>-3.5319787195539631E-4</v>
      </c>
    </row>
    <row r="28" spans="1:35" ht="12.75" customHeight="1" x14ac:dyDescent="0.2">
      <c r="A28" s="3" t="s">
        <v>130</v>
      </c>
      <c r="B28" s="12">
        <f t="shared" ref="B28:K28" si="36">B11/B$13</f>
        <v>8.0420890126635253E-2</v>
      </c>
      <c r="C28" s="12">
        <f t="shared" si="36"/>
        <v>0.10173874075375511</v>
      </c>
      <c r="D28" s="12">
        <f t="shared" si="36"/>
        <v>0.12517787293010357</v>
      </c>
      <c r="E28" s="12">
        <f t="shared" si="36"/>
        <v>0.12951563317040418</v>
      </c>
      <c r="F28" s="12">
        <f t="shared" si="36"/>
        <v>7.6997669905137719E-2</v>
      </c>
      <c r="G28" s="12">
        <f t="shared" si="36"/>
        <v>8.4832845500233178E-2</v>
      </c>
      <c r="H28" s="12"/>
      <c r="I28" s="12">
        <f t="shared" si="36"/>
        <v>0.10932013162848159</v>
      </c>
      <c r="J28" s="12">
        <f t="shared" si="36"/>
        <v>0.14180378572405564</v>
      </c>
      <c r="K28" s="12">
        <f t="shared" si="36"/>
        <v>0.10245994209643414</v>
      </c>
      <c r="M28" s="3" t="s">
        <v>130</v>
      </c>
      <c r="N28" s="12">
        <f t="shared" ref="N28:W28" si="37">N11/N$13</f>
        <v>9.1250238121427296E-2</v>
      </c>
      <c r="O28" s="12">
        <f t="shared" si="37"/>
        <v>0.10212257943492198</v>
      </c>
      <c r="P28" s="12">
        <f t="shared" si="37"/>
        <v>0.12979043714297089</v>
      </c>
      <c r="Q28" s="12">
        <f t="shared" si="37"/>
        <v>0.13260856486960423</v>
      </c>
      <c r="R28" s="12">
        <f t="shared" si="37"/>
        <v>5.8669868818284031E-2</v>
      </c>
      <c r="S28" s="12">
        <f t="shared" si="37"/>
        <v>9.9319478520595014E-2</v>
      </c>
      <c r="T28" s="12"/>
      <c r="U28" s="12">
        <f t="shared" si="37"/>
        <v>9.7573604034292008E-2</v>
      </c>
      <c r="V28" s="12">
        <f t="shared" si="37"/>
        <v>0.11901434089500991</v>
      </c>
      <c r="W28" s="12">
        <f t="shared" si="37"/>
        <v>0.10360344639306897</v>
      </c>
      <c r="Y28" s="3" t="s">
        <v>130</v>
      </c>
      <c r="Z28" s="12">
        <f t="shared" si="17"/>
        <v>1.0829347994792043E-2</v>
      </c>
      <c r="AA28" s="12">
        <f t="shared" si="18"/>
        <v>3.8383868116687037E-4</v>
      </c>
      <c r="AB28" s="12">
        <f t="shared" si="19"/>
        <v>4.6125642128673205E-3</v>
      </c>
      <c r="AC28" s="12">
        <f t="shared" si="20"/>
        <v>3.0929316992000522E-3</v>
      </c>
      <c r="AD28" s="12">
        <f t="shared" si="21"/>
        <v>-1.8327801086853689E-2</v>
      </c>
      <c r="AE28" s="12">
        <f t="shared" si="22"/>
        <v>1.4486633020361836E-2</v>
      </c>
      <c r="AF28" s="12"/>
      <c r="AG28" s="12">
        <f t="shared" si="23"/>
        <v>-1.1746527594189579E-2</v>
      </c>
      <c r="AH28" s="12">
        <f t="shared" si="24"/>
        <v>-2.2789444829045727E-2</v>
      </c>
      <c r="AI28" s="12">
        <f t="shared" si="25"/>
        <v>1.1435042966348313E-3</v>
      </c>
    </row>
    <row r="29" spans="1:35" ht="12.75" customHeight="1" x14ac:dyDescent="0.2">
      <c r="A29" s="8" t="s">
        <v>145</v>
      </c>
      <c r="B29" s="13">
        <f t="shared" ref="B29:K29" si="38">B12/B$13</f>
        <v>0.337110242937052</v>
      </c>
      <c r="C29" s="13">
        <f t="shared" si="38"/>
        <v>0.34887405869224836</v>
      </c>
      <c r="D29" s="13">
        <f t="shared" si="38"/>
        <v>0.33800642723041885</v>
      </c>
      <c r="E29" s="13">
        <f t="shared" si="38"/>
        <v>0.35870212510011273</v>
      </c>
      <c r="F29" s="13">
        <f t="shared" si="38"/>
        <v>0.31656039429975436</v>
      </c>
      <c r="G29" s="13">
        <f t="shared" si="38"/>
        <v>0.42427804172701822</v>
      </c>
      <c r="H29" s="13"/>
      <c r="I29" s="13">
        <f t="shared" si="38"/>
        <v>0.40468595810966579</v>
      </c>
      <c r="J29" s="13">
        <f t="shared" si="38"/>
        <v>0.36466366745821677</v>
      </c>
      <c r="K29" s="13">
        <f t="shared" si="38"/>
        <v>0.35211725141418082</v>
      </c>
      <c r="M29" s="8" t="s">
        <v>145</v>
      </c>
      <c r="N29" s="13">
        <f t="shared" ref="N29:W29" si="39">N12/N$13</f>
        <v>0.34181061246756633</v>
      </c>
      <c r="O29" s="13">
        <f t="shared" si="39"/>
        <v>0.32989956793070258</v>
      </c>
      <c r="P29" s="13">
        <f t="shared" si="39"/>
        <v>0.35214745162438066</v>
      </c>
      <c r="Q29" s="13">
        <f t="shared" si="39"/>
        <v>0.36242776025324769</v>
      </c>
      <c r="R29" s="13">
        <f t="shared" si="39"/>
        <v>0.32761510379650055</v>
      </c>
      <c r="S29" s="13">
        <f t="shared" si="39"/>
        <v>0.37215329008903236</v>
      </c>
      <c r="T29" s="13"/>
      <c r="U29" s="13">
        <f t="shared" si="39"/>
        <v>0.3861448912929904</v>
      </c>
      <c r="V29" s="13">
        <f t="shared" si="39"/>
        <v>0.35932033233243144</v>
      </c>
      <c r="W29" s="13">
        <f t="shared" si="39"/>
        <v>0.35153791677218532</v>
      </c>
      <c r="Y29" s="8" t="s">
        <v>145</v>
      </c>
      <c r="Z29" s="12">
        <f t="shared" si="17"/>
        <v>4.7003695305143367E-3</v>
      </c>
      <c r="AA29" s="12">
        <f t="shared" si="18"/>
        <v>-1.8974490761545781E-2</v>
      </c>
      <c r="AB29" s="12">
        <f t="shared" si="19"/>
        <v>1.414102439396181E-2</v>
      </c>
      <c r="AC29" s="12">
        <f t="shared" si="20"/>
        <v>3.7256351531349541E-3</v>
      </c>
      <c r="AD29" s="12">
        <f t="shared" si="21"/>
        <v>1.1054709496746196E-2</v>
      </c>
      <c r="AE29" s="12">
        <f t="shared" si="22"/>
        <v>-5.2124751637985856E-2</v>
      </c>
      <c r="AF29" s="12"/>
      <c r="AG29" s="12">
        <f t="shared" si="23"/>
        <v>-1.8541066816675389E-2</v>
      </c>
      <c r="AH29" s="12">
        <f t="shared" si="24"/>
        <v>-5.3433351257853312E-3</v>
      </c>
      <c r="AI29" s="12">
        <f t="shared" si="25"/>
        <v>-5.7933464199549922E-4</v>
      </c>
    </row>
    <row r="30" spans="1:35" ht="12.75" customHeight="1" thickBot="1" x14ac:dyDescent="0.25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276</v>
      </c>
      <c r="I36"/>
      <c r="M36" s="2" t="s">
        <v>127</v>
      </c>
      <c r="Y36" s="225" t="s">
        <v>80</v>
      </c>
      <c r="Z36" s="225"/>
      <c r="AA36" s="225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2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52770.162985076677</v>
      </c>
      <c r="O39" s="7">
        <f>output!C273</f>
        <v>413931.61423981469</v>
      </c>
      <c r="P39" s="7">
        <f>output!D273</f>
        <v>386221.79155538115</v>
      </c>
      <c r="Q39" s="7">
        <f>output!E273</f>
        <v>1378094.037932951</v>
      </c>
      <c r="R39" s="7"/>
      <c r="S39" s="7">
        <f>SUM(N39:Q39)</f>
        <v>2231017.6067132233</v>
      </c>
      <c r="T39" s="7"/>
      <c r="Y39" s="3" t="s">
        <v>210</v>
      </c>
      <c r="Z39" s="7">
        <f t="shared" ref="Z39:Z47" si="42">N39-B39</f>
        <v>24272.022085679178</v>
      </c>
      <c r="AA39" s="7">
        <f t="shared" ref="AA39:AA47" si="43">O39-C39</f>
        <v>-82892.796802962082</v>
      </c>
      <c r="AB39" s="7">
        <f t="shared" ref="AB39:AB47" si="44">P39-D39</f>
        <v>16168.903270930052</v>
      </c>
      <c r="AC39" s="7">
        <f t="shared" ref="AC39:AC47" si="45">Q39-E39</f>
        <v>124460.8036565939</v>
      </c>
      <c r="AD39" s="7">
        <f t="shared" ref="AD39:AD47" si="46">R39-F39</f>
        <v>0</v>
      </c>
      <c r="AE39" s="7">
        <f t="shared" ref="AE39:AE47" si="47">S39-G39</f>
        <v>82008.932210240513</v>
      </c>
      <c r="AF39" s="7"/>
    </row>
    <row r="40" spans="1:32" ht="12.75" customHeight="1" x14ac:dyDescent="0.2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t="shared" ref="G40:G47" si="48">SUM(B40:E40)</f>
        <v>784555.68084575702</v>
      </c>
      <c r="H40" s="7"/>
      <c r="I40"/>
      <c r="M40" s="3" t="s">
        <v>211</v>
      </c>
      <c r="N40" s="7">
        <f>output!B274</f>
        <v>68376.789269426052</v>
      </c>
      <c r="O40" s="7">
        <f>output!C274</f>
        <v>187608.54483721964</v>
      </c>
      <c r="P40" s="7">
        <f>output!D274</f>
        <v>130444.49561298297</v>
      </c>
      <c r="Q40" s="7">
        <f>output!E274</f>
        <v>451258.27178739902</v>
      </c>
      <c r="R40" s="7"/>
      <c r="S40" s="7">
        <f t="shared" ref="S40:S47" si="49">SUM(N40:Q40)</f>
        <v>837688.10150702763</v>
      </c>
      <c r="T40" s="7"/>
      <c r="Y40" s="3" t="s">
        <v>211</v>
      </c>
      <c r="Z40" s="7">
        <f t="shared" si="42"/>
        <v>32275.751719814049</v>
      </c>
      <c r="AA40" s="7">
        <f t="shared" si="43"/>
        <v>48424.612879380351</v>
      </c>
      <c r="AB40" s="7">
        <f t="shared" si="44"/>
        <v>22571.588164363362</v>
      </c>
      <c r="AC40" s="7">
        <f t="shared" si="45"/>
        <v>-50139.532102287107</v>
      </c>
      <c r="AD40" s="7">
        <f t="shared" si="46"/>
        <v>0</v>
      </c>
      <c r="AE40" s="7">
        <f t="shared" si="47"/>
        <v>53132.420661270618</v>
      </c>
      <c r="AF40" s="7"/>
    </row>
    <row r="41" spans="1:32" ht="12.75" customHeight="1" x14ac:dyDescent="0.2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t="shared" si="48"/>
        <v>1160784.1084506698</v>
      </c>
      <c r="H41" s="7"/>
      <c r="I41"/>
      <c r="M41" s="3" t="s">
        <v>212</v>
      </c>
      <c r="N41" s="7">
        <f>output!B275</f>
        <v>60699.161759527793</v>
      </c>
      <c r="O41" s="7">
        <f>output!C275</f>
        <v>240281.54709038165</v>
      </c>
      <c r="P41" s="7">
        <f>output!D275</f>
        <v>217587.08407529446</v>
      </c>
      <c r="Q41" s="7">
        <f>output!E275</f>
        <v>718928.26117486239</v>
      </c>
      <c r="R41" s="7"/>
      <c r="S41" s="7">
        <f t="shared" si="49"/>
        <v>1237496.0541000664</v>
      </c>
      <c r="T41" s="7"/>
      <c r="Y41" s="3" t="s">
        <v>212</v>
      </c>
      <c r="Z41" s="7">
        <f t="shared" si="42"/>
        <v>35974.91982575279</v>
      </c>
      <c r="AA41" s="7">
        <f t="shared" si="43"/>
        <v>29826.883578357141</v>
      </c>
      <c r="AB41" s="7">
        <f t="shared" si="44"/>
        <v>41168.613415305852</v>
      </c>
      <c r="AC41" s="7">
        <f t="shared" si="45"/>
        <v>-30258.471170019242</v>
      </c>
      <c r="AD41" s="7">
        <f t="shared" si="46"/>
        <v>0</v>
      </c>
      <c r="AE41" s="7">
        <f t="shared" si="47"/>
        <v>76711.945649396628</v>
      </c>
      <c r="AF41" s="7"/>
    </row>
    <row r="42" spans="1:32" ht="12.75" customHeight="1" x14ac:dyDescent="0.2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t="shared" si="48"/>
        <v>1648839.26126888</v>
      </c>
      <c r="H42" s="7"/>
      <c r="I42"/>
      <c r="M42" s="3" t="s">
        <v>213</v>
      </c>
      <c r="N42" s="7">
        <f>output!B276</f>
        <v>145619.96202557127</v>
      </c>
      <c r="O42" s="7">
        <f>output!C276</f>
        <v>505046.34021975542</v>
      </c>
      <c r="P42" s="7">
        <f>output!D276</f>
        <v>318494.21027882438</v>
      </c>
      <c r="Q42" s="7">
        <f>output!E276</f>
        <v>881191.96086636407</v>
      </c>
      <c r="R42" s="7"/>
      <c r="S42" s="7">
        <f t="shared" si="49"/>
        <v>1850352.473390515</v>
      </c>
      <c r="T42" s="7"/>
      <c r="Y42" s="3" t="s">
        <v>213</v>
      </c>
      <c r="Z42" s="7">
        <f t="shared" si="42"/>
        <v>63670.252533880266</v>
      </c>
      <c r="AA42" s="7">
        <f t="shared" si="43"/>
        <v>-53194.892133823247</v>
      </c>
      <c r="AB42" s="7">
        <f t="shared" si="44"/>
        <v>34905.984362058865</v>
      </c>
      <c r="AC42" s="7">
        <f t="shared" si="45"/>
        <v>156131.86735951924</v>
      </c>
      <c r="AD42" s="7">
        <f t="shared" si="46"/>
        <v>0</v>
      </c>
      <c r="AE42" s="7">
        <f t="shared" si="47"/>
        <v>201513.21212163498</v>
      </c>
      <c r="AF42" s="7"/>
    </row>
    <row r="43" spans="1:32" ht="12.75" customHeight="1" x14ac:dyDescent="0.2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t="shared" si="48"/>
        <v>1859841.335792399</v>
      </c>
      <c r="H43" s="7"/>
      <c r="I43"/>
      <c r="M43" s="3" t="s">
        <v>214</v>
      </c>
      <c r="N43" s="7">
        <f>output!B277</f>
        <v>156648.85978353713</v>
      </c>
      <c r="O43" s="7">
        <f>output!C277</f>
        <v>519691.69264186267</v>
      </c>
      <c r="P43" s="7">
        <f>output!D277</f>
        <v>351662.05149110645</v>
      </c>
      <c r="Q43" s="7">
        <f>output!E277</f>
        <v>1004190.7892124307</v>
      </c>
      <c r="R43" s="7"/>
      <c r="S43" s="7">
        <f t="shared" si="49"/>
        <v>2032193.3931289371</v>
      </c>
      <c r="T43" s="7"/>
      <c r="Y43" s="3" t="s">
        <v>214</v>
      </c>
      <c r="Z43" s="7">
        <f t="shared" si="42"/>
        <v>60640.030484691437</v>
      </c>
      <c r="AA43" s="7">
        <f t="shared" si="43"/>
        <v>-102105.21021564933</v>
      </c>
      <c r="AB43" s="7">
        <f t="shared" si="44"/>
        <v>40487.015887416725</v>
      </c>
      <c r="AC43" s="7">
        <f t="shared" si="45"/>
        <v>173330.22118007927</v>
      </c>
      <c r="AD43" s="7">
        <f t="shared" si="46"/>
        <v>0</v>
      </c>
      <c r="AE43" s="7">
        <f t="shared" si="47"/>
        <v>172352.0573365381</v>
      </c>
      <c r="AF43" s="7"/>
    </row>
    <row r="44" spans="1:32" ht="12.75" customHeight="1" x14ac:dyDescent="0.2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t="shared" si="48"/>
        <v>767548.06013957027</v>
      </c>
      <c r="H44" s="7"/>
      <c r="I44"/>
      <c r="M44" s="3" t="s">
        <v>129</v>
      </c>
      <c r="N44" s="7">
        <f>output!B278</f>
        <v>63236.159057995923</v>
      </c>
      <c r="O44" s="7">
        <f>output!C278</f>
        <v>217133.03714985921</v>
      </c>
      <c r="P44" s="7">
        <f>output!D278</f>
        <v>140727.76857006928</v>
      </c>
      <c r="Q44" s="7">
        <f>output!E278</f>
        <v>389691.63550746697</v>
      </c>
      <c r="R44" s="7"/>
      <c r="S44" s="7">
        <f t="shared" si="49"/>
        <v>810788.60028539132</v>
      </c>
      <c r="T44" s="7"/>
      <c r="Y44" s="3" t="s">
        <v>129</v>
      </c>
      <c r="Z44" s="7">
        <f t="shared" si="42"/>
        <v>29314.299907900226</v>
      </c>
      <c r="AA44" s="7">
        <f t="shared" si="43"/>
        <v>18291.584569264</v>
      </c>
      <c r="AB44" s="7">
        <f t="shared" si="44"/>
        <v>-1561.9641937643173</v>
      </c>
      <c r="AC44" s="7">
        <f t="shared" si="45"/>
        <v>-2803.3801375788171</v>
      </c>
      <c r="AD44" s="7">
        <f t="shared" si="46"/>
        <v>0</v>
      </c>
      <c r="AE44" s="7">
        <f t="shared" si="47"/>
        <v>43240.540145821054</v>
      </c>
      <c r="AF44" s="7"/>
    </row>
    <row r="45" spans="1:32" ht="12.75" customHeight="1" x14ac:dyDescent="0.2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t="shared" si="48"/>
        <v>1573086.5126197478</v>
      </c>
      <c r="H45" s="7"/>
      <c r="I45"/>
      <c r="M45" s="3" t="s">
        <v>130</v>
      </c>
      <c r="N45" s="7">
        <f>output!B279</f>
        <v>86914.561627212184</v>
      </c>
      <c r="O45" s="7">
        <f>output!C279</f>
        <v>382769.39698002732</v>
      </c>
      <c r="P45" s="7">
        <f>output!D279</f>
        <v>294538.70055611525</v>
      </c>
      <c r="Q45" s="7">
        <f>output!E279</f>
        <v>947015.64421227842</v>
      </c>
      <c r="R45" s="7"/>
      <c r="S45" s="7">
        <f t="shared" si="49"/>
        <v>1711238.3033756332</v>
      </c>
      <c r="T45" s="7"/>
      <c r="Y45" s="3" t="s">
        <v>130</v>
      </c>
      <c r="Z45" s="7">
        <f t="shared" si="42"/>
        <v>39051.474570525388</v>
      </c>
      <c r="AA45" s="7">
        <f t="shared" si="43"/>
        <v>44828.101442339539</v>
      </c>
      <c r="AB45" s="7">
        <f t="shared" si="44"/>
        <v>-21739.176945454034</v>
      </c>
      <c r="AC45" s="7">
        <f t="shared" si="45"/>
        <v>76011.39168847457</v>
      </c>
      <c r="AD45" s="7">
        <f t="shared" si="46"/>
        <v>0</v>
      </c>
      <c r="AE45" s="7">
        <f t="shared" si="47"/>
        <v>138151.79075588542</v>
      </c>
      <c r="AF45" s="7"/>
    </row>
    <row r="46" spans="1:32" ht="12.75" customHeight="1" x14ac:dyDescent="0.2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t="shared" si="48"/>
        <v>5437651.8008461725</v>
      </c>
      <c r="H46" s="33"/>
      <c r="I46"/>
      <c r="M46" s="8" t="s">
        <v>145</v>
      </c>
      <c r="N46" s="9">
        <f>output!B280</f>
        <v>359188.10332041467</v>
      </c>
      <c r="O46" s="9">
        <f>output!C280</f>
        <v>1355205.2294221853</v>
      </c>
      <c r="P46" s="9">
        <f>output!D280</f>
        <v>1006147.7762262744</v>
      </c>
      <c r="Q46" s="9">
        <f>output!E280</f>
        <v>3085879.1329516089</v>
      </c>
      <c r="R46" s="9"/>
      <c r="S46" s="9">
        <f t="shared" si="49"/>
        <v>5806420.2419204833</v>
      </c>
      <c r="T46" s="33"/>
      <c r="Y46" s="8" t="s">
        <v>145</v>
      </c>
      <c r="Z46" s="9">
        <f t="shared" si="42"/>
        <v>172919.26446107158</v>
      </c>
      <c r="AA46" s="9">
        <f t="shared" si="43"/>
        <v>55492.536298137158</v>
      </c>
      <c r="AB46" s="9">
        <f t="shared" si="44"/>
        <v>41168.537640342722</v>
      </c>
      <c r="AC46" s="9">
        <f t="shared" si="45"/>
        <v>99188.102674759924</v>
      </c>
      <c r="AD46" s="9">
        <f t="shared" si="46"/>
        <v>0</v>
      </c>
      <c r="AE46" s="9">
        <f t="shared" si="47"/>
        <v>368768.4410743108</v>
      </c>
      <c r="AF46" s="33"/>
    </row>
    <row r="47" spans="1:32" ht="13.5" thickBot="1" x14ac:dyDescent="0.25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t="shared" si="48"/>
        <v>15381315.434466178</v>
      </c>
      <c r="H47" s="33"/>
      <c r="I47"/>
      <c r="M47" s="10" t="s">
        <v>221</v>
      </c>
      <c r="N47" s="11">
        <f>SUM(N39:N46)</f>
        <v>993453.75982876169</v>
      </c>
      <c r="O47" s="11">
        <f>SUM(O39:O46)</f>
        <v>3821667.4025811059</v>
      </c>
      <c r="P47" s="11">
        <f>SUM(P39:P46)</f>
        <v>2845823.8783660484</v>
      </c>
      <c r="Q47" s="11">
        <f>SUM(Q39:Q46)</f>
        <v>8856249.7336453609</v>
      </c>
      <c r="R47" s="11"/>
      <c r="S47" s="11">
        <f t="shared" si="49"/>
        <v>16517194.774421278</v>
      </c>
      <c r="T47" s="33"/>
      <c r="Y47" s="10" t="s">
        <v>221</v>
      </c>
      <c r="Z47" s="11">
        <f t="shared" si="42"/>
        <v>458118.01558931498</v>
      </c>
      <c r="AA47" s="11">
        <f t="shared" si="43"/>
        <v>-41329.1803849563</v>
      </c>
      <c r="AB47" s="11">
        <f t="shared" si="44"/>
        <v>173169.50160119962</v>
      </c>
      <c r="AC47" s="11">
        <f t="shared" si="45"/>
        <v>545921.00314954109</v>
      </c>
      <c r="AD47" s="11">
        <f t="shared" si="46"/>
        <v>0</v>
      </c>
      <c r="AE47" s="11">
        <f t="shared" si="47"/>
        <v>1135879.3399551008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229472.39050954158</v>
      </c>
      <c r="O49" s="53">
        <f>ToursByTourPurpose!O50</f>
        <v>870027.32078039099</v>
      </c>
      <c r="P49" s="53">
        <f>ToursByTourPurpose!P50</f>
        <v>650117.12699459423</v>
      </c>
      <c r="Q49" s="53">
        <f>ToursByTourPurpose!Q50</f>
        <v>1992857.9801793641</v>
      </c>
      <c r="R49" s="53" t="e">
        <f>ToursByTourPurpose!#REF!</f>
        <v>#REF!</v>
      </c>
      <c r="S49" s="53">
        <f>ToursByTourPurpose!S50</f>
        <v>3742474.8184638908</v>
      </c>
      <c r="T49" s="53"/>
      <c r="Y49" s="3" t="s">
        <v>88</v>
      </c>
      <c r="Z49" s="7">
        <f t="shared" ref="Z49:AC50" si="50">N49-B49</f>
        <v>109900.06650954159</v>
      </c>
      <c r="AA49" s="7">
        <f t="shared" si="50"/>
        <v>35217.288180390955</v>
      </c>
      <c r="AB49" s="7">
        <f t="shared" si="50"/>
        <v>59969.796694594203</v>
      </c>
      <c r="AC49" s="7">
        <f t="shared" si="50"/>
        <v>139982.61827936419</v>
      </c>
      <c r="AD49" s="7"/>
      <c r="AE49" s="7">
        <f>S49-G49</f>
        <v>345069.76966389082</v>
      </c>
      <c r="AF49" s="7"/>
    </row>
    <row r="50" spans="1:32" x14ac:dyDescent="0.2">
      <c r="A50" s="25" t="s">
        <v>91</v>
      </c>
      <c r="B50" s="38">
        <f t="shared" ref="B50:G50" si="51">B47/B49</f>
        <v>4.4770873922250329</v>
      </c>
      <c r="C50" s="38">
        <f t="shared" si="51"/>
        <v>4.6273959728716152</v>
      </c>
      <c r="D50" s="38">
        <f t="shared" si="51"/>
        <v>4.5287917771418389</v>
      </c>
      <c r="E50" s="38">
        <f t="shared" si="51"/>
        <v>4.485098620974771</v>
      </c>
      <c r="F50" s="38" t="e">
        <f t="shared" si="51"/>
        <v>#DIV/0!</v>
      </c>
      <c r="G50" s="38">
        <f t="shared" si="51"/>
        <v>4.5273716891363964</v>
      </c>
      <c r="H50" s="38"/>
      <c r="I50"/>
      <c r="M50" s="25" t="s">
        <v>91</v>
      </c>
      <c r="N50" s="38">
        <f t="shared" ref="N50:S50" si="52">N47/N49</f>
        <v>4.329295378946485</v>
      </c>
      <c r="O50" s="38">
        <f t="shared" si="52"/>
        <v>4.392583211241198</v>
      </c>
      <c r="P50" s="38">
        <f t="shared" si="52"/>
        <v>4.3774017945380352</v>
      </c>
      <c r="Q50" s="38">
        <f t="shared" si="52"/>
        <v>4.4439944149197563</v>
      </c>
      <c r="R50" s="38" t="e">
        <f t="shared" si="52"/>
        <v>#REF!</v>
      </c>
      <c r="S50" s="38">
        <f t="shared" si="52"/>
        <v>4.4134417933641048</v>
      </c>
      <c r="T50" s="38"/>
      <c r="Y50" s="3" t="s">
        <v>91</v>
      </c>
      <c r="Z50" s="38">
        <f t="shared" si="50"/>
        <v>-0.14779201327854796</v>
      </c>
      <c r="AA50" s="38">
        <f t="shared" si="50"/>
        <v>-0.2348127616304172</v>
      </c>
      <c r="AB50" s="38">
        <f t="shared" si="50"/>
        <v>-0.15138998260380365</v>
      </c>
      <c r="AC50" s="38">
        <f t="shared" si="50"/>
        <v>-4.1104206055014636E-2</v>
      </c>
      <c r="AD50" s="38"/>
      <c r="AE50" s="38">
        <f>S50-G50</f>
        <v>-0.11392989577229162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25" t="s">
        <v>108</v>
      </c>
      <c r="Z53" s="225"/>
      <c r="AA53" s="225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t="shared" ref="B56:G56" si="53">B39/B$47</f>
        <v>5.3234145498513095E-2</v>
      </c>
      <c r="C56" s="12">
        <f t="shared" si="53"/>
        <v>0.12861114432084433</v>
      </c>
      <c r="D56" s="12">
        <f t="shared" si="53"/>
        <v>0.13845893861232694</v>
      </c>
      <c r="E56" s="12">
        <f t="shared" si="53"/>
        <v>0.15085242412565328</v>
      </c>
      <c r="F56" s="12" t="e">
        <f t="shared" si="53"/>
        <v>#DIV/0!</v>
      </c>
      <c r="G56" s="12">
        <f t="shared" si="53"/>
        <v>0.13971553237166714</v>
      </c>
      <c r="H56" s="12"/>
      <c r="I56"/>
      <c r="M56" s="3" t="s">
        <v>210</v>
      </c>
      <c r="N56" s="12">
        <f t="shared" ref="N56:Q64" si="54">N39/N$47</f>
        <v>5.3117885420427113E-2</v>
      </c>
      <c r="O56" s="12">
        <f t="shared" si="54"/>
        <v>0.10831178400303765</v>
      </c>
      <c r="P56" s="12">
        <f t="shared" si="54"/>
        <v>0.13571528248513162</v>
      </c>
      <c r="Q56" s="12">
        <f t="shared" si="54"/>
        <v>0.15560695321152687</v>
      </c>
      <c r="R56" s="12" t="e">
        <f t="shared" ref="R56:S64" si="55">R39/R$47</f>
        <v>#DIV/0!</v>
      </c>
      <c r="S56" s="12">
        <f t="shared" si="55"/>
        <v>0.13507242828959087</v>
      </c>
      <c r="T56" s="12"/>
      <c r="Y56" s="3" t="s">
        <v>210</v>
      </c>
      <c r="Z56" s="12">
        <f t="shared" ref="Z56:Z64" si="56">N56-B56</f>
        <v>-1.162600780859821E-4</v>
      </c>
      <c r="AA56" s="12">
        <f t="shared" ref="AA56:AA64" si="57">O56-C56</f>
        <v>-2.0299360317806686E-2</v>
      </c>
      <c r="AB56" s="12">
        <f t="shared" ref="AB56:AB64" si="58">P56-D56</f>
        <v>-2.7436561271953208E-3</v>
      </c>
      <c r="AC56" s="12">
        <f t="shared" ref="AC56:AC64" si="59">Q56-E56</f>
        <v>4.7545290858735934E-3</v>
      </c>
      <c r="AD56" s="12"/>
      <c r="AE56" s="12">
        <f t="shared" ref="AE56:AE64" si="60">S56-G56</f>
        <v>-4.6431040820762715E-3</v>
      </c>
      <c r="AF56" s="12"/>
    </row>
    <row r="57" spans="1:32" x14ac:dyDescent="0.2">
      <c r="A57" s="3" t="s">
        <v>211</v>
      </c>
      <c r="B57" s="12">
        <f t="shared" ref="B57:G57" si="61">B40/B$47</f>
        <v>6.7436254608593094E-2</v>
      </c>
      <c r="C57" s="12">
        <f t="shared" si="61"/>
        <v>3.6030042732000542E-2</v>
      </c>
      <c r="D57" s="12">
        <f t="shared" si="61"/>
        <v>4.0361712455763116E-2</v>
      </c>
      <c r="E57" s="12">
        <f t="shared" si="61"/>
        <v>6.0334292438967235E-2</v>
      </c>
      <c r="F57" s="12" t="e">
        <f t="shared" si="61"/>
        <v>#DIV/0!</v>
      </c>
      <c r="G57" s="12">
        <f t="shared" si="61"/>
        <v>5.100706010408828E-2</v>
      </c>
      <c r="H57" s="12"/>
      <c r="I57"/>
      <c r="M57" s="3" t="s">
        <v>211</v>
      </c>
      <c r="N57" s="12">
        <f t="shared" si="54"/>
        <v>6.8827349630456808E-2</v>
      </c>
      <c r="O57" s="12">
        <f t="shared" si="54"/>
        <v>4.9090756749399805E-2</v>
      </c>
      <c r="P57" s="12">
        <f t="shared" si="54"/>
        <v>4.5837163924521807E-2</v>
      </c>
      <c r="Q57" s="12">
        <f t="shared" si="54"/>
        <v>5.0953652545845107E-2</v>
      </c>
      <c r="R57" s="12" t="e">
        <f t="shared" si="55"/>
        <v>#DIV/0!</v>
      </c>
      <c r="S57" s="12">
        <f t="shared" si="55"/>
        <v>5.0716124193454525E-2</v>
      </c>
      <c r="T57" s="12"/>
      <c r="Y57" s="3" t="s">
        <v>211</v>
      </c>
      <c r="Z57" s="12">
        <f t="shared" si="56"/>
        <v>1.3910950218637141E-3</v>
      </c>
      <c r="AA57" s="12">
        <f t="shared" si="57"/>
        <v>1.3060714017399264E-2</v>
      </c>
      <c r="AB57" s="12">
        <f t="shared" si="58"/>
        <v>5.4754514687586908E-3</v>
      </c>
      <c r="AC57" s="12">
        <f t="shared" si="59"/>
        <v>-9.380639893122128E-3</v>
      </c>
      <c r="AD57" s="12"/>
      <c r="AE57" s="12">
        <f t="shared" si="60"/>
        <v>-2.9093591063375501E-4</v>
      </c>
      <c r="AF57" s="12"/>
    </row>
    <row r="58" spans="1:32" x14ac:dyDescent="0.2">
      <c r="A58" s="3" t="s">
        <v>212</v>
      </c>
      <c r="B58" s="12">
        <f t="shared" ref="B58:G58" si="62">B41/B$47</f>
        <v>4.6184552777996941E-2</v>
      </c>
      <c r="C58" s="12">
        <f t="shared" si="62"/>
        <v>5.4479640090811188E-2</v>
      </c>
      <c r="D58" s="12">
        <f t="shared" si="62"/>
        <v>6.6008711112709145E-2</v>
      </c>
      <c r="E58" s="12">
        <f t="shared" si="62"/>
        <v>9.0151275195124905E-2</v>
      </c>
      <c r="F58" s="12" t="e">
        <f t="shared" si="62"/>
        <v>#DIV/0!</v>
      </c>
      <c r="G58" s="12">
        <f t="shared" si="62"/>
        <v>7.5467154509399462E-2</v>
      </c>
      <c r="H58" s="12"/>
      <c r="I58"/>
      <c r="M58" s="3" t="s">
        <v>212</v>
      </c>
      <c r="N58" s="12">
        <f t="shared" si="54"/>
        <v>6.1099131347583109E-2</v>
      </c>
      <c r="O58" s="12">
        <f t="shared" si="54"/>
        <v>6.2873484732893947E-2</v>
      </c>
      <c r="P58" s="12">
        <f t="shared" si="54"/>
        <v>7.645838020033191E-2</v>
      </c>
      <c r="Q58" s="12">
        <f t="shared" si="54"/>
        <v>8.1177505467536215E-2</v>
      </c>
      <c r="R58" s="12" t="e">
        <f t="shared" si="55"/>
        <v>#DIV/0!</v>
      </c>
      <c r="S58" s="12">
        <f t="shared" si="55"/>
        <v>7.4921684402273162E-2</v>
      </c>
      <c r="T58" s="12"/>
      <c r="Y58" s="3" t="s">
        <v>212</v>
      </c>
      <c r="Z58" s="12">
        <f t="shared" si="56"/>
        <v>1.4914578569586168E-2</v>
      </c>
      <c r="AA58" s="12">
        <f t="shared" si="57"/>
        <v>8.3938446420827595E-3</v>
      </c>
      <c r="AB58" s="12">
        <f t="shared" si="58"/>
        <v>1.0449669087622765E-2</v>
      </c>
      <c r="AC58" s="12">
        <f t="shared" si="59"/>
        <v>-8.9737697275886902E-3</v>
      </c>
      <c r="AD58" s="12"/>
      <c r="AE58" s="12">
        <f t="shared" si="60"/>
        <v>-5.4547010712630017E-4</v>
      </c>
      <c r="AF58" s="12"/>
    </row>
    <row r="59" spans="1:32" x14ac:dyDescent="0.2">
      <c r="A59" s="3" t="s">
        <v>213</v>
      </c>
      <c r="B59" s="12">
        <f t="shared" ref="B59:G59" si="63">B42/B$47</f>
        <v>0.15308095970336752</v>
      </c>
      <c r="C59" s="12">
        <f t="shared" si="63"/>
        <v>0.14450989545658705</v>
      </c>
      <c r="D59" s="12">
        <f t="shared" si="63"/>
        <v>0.10610733223950894</v>
      </c>
      <c r="E59" s="12">
        <f t="shared" si="63"/>
        <v>8.7248064068289333E-2</v>
      </c>
      <c r="F59" s="12" t="e">
        <f t="shared" si="63"/>
        <v>#DIV/0!</v>
      </c>
      <c r="G59" s="12">
        <f t="shared" si="63"/>
        <v>0.10719754550863643</v>
      </c>
      <c r="H59" s="12"/>
      <c r="I59"/>
      <c r="M59" s="3" t="s">
        <v>213</v>
      </c>
      <c r="N59" s="12">
        <f t="shared" si="54"/>
        <v>0.14657950668048333</v>
      </c>
      <c r="O59" s="12">
        <f t="shared" si="54"/>
        <v>0.13215339981670135</v>
      </c>
      <c r="P59" s="12">
        <f t="shared" si="54"/>
        <v>0.11191634615902171</v>
      </c>
      <c r="Q59" s="12">
        <f t="shared" si="54"/>
        <v>9.9499448115003941E-2</v>
      </c>
      <c r="R59" s="12" t="e">
        <f t="shared" si="55"/>
        <v>#DIV/0!</v>
      </c>
      <c r="S59" s="12">
        <f t="shared" si="55"/>
        <v>0.11202583118145416</v>
      </c>
      <c r="T59" s="12"/>
      <c r="Y59" s="3" t="s">
        <v>213</v>
      </c>
      <c r="Z59" s="12">
        <f t="shared" si="56"/>
        <v>-6.5014530228841849E-3</v>
      </c>
      <c r="AA59" s="12">
        <f t="shared" si="57"/>
        <v>-1.2356495639885695E-2</v>
      </c>
      <c r="AB59" s="12">
        <f t="shared" si="58"/>
        <v>5.8090139195127732E-3</v>
      </c>
      <c r="AC59" s="12">
        <f t="shared" si="59"/>
        <v>1.2251384046714608E-2</v>
      </c>
      <c r="AD59" s="12"/>
      <c r="AE59" s="12">
        <f t="shared" si="60"/>
        <v>4.8282856728177337E-3</v>
      </c>
      <c r="AF59" s="12"/>
    </row>
    <row r="60" spans="1:32" x14ac:dyDescent="0.2">
      <c r="A60" s="3" t="s">
        <v>214</v>
      </c>
      <c r="B60" s="12">
        <f t="shared" ref="B60:G60" si="64">B43/B$47</f>
        <v>0.17934320719653377</v>
      </c>
      <c r="C60" s="12">
        <f t="shared" si="64"/>
        <v>0.16096232277277547</v>
      </c>
      <c r="D60" s="12">
        <f t="shared" si="64"/>
        <v>0.1164292092194711</v>
      </c>
      <c r="E60" s="12">
        <f t="shared" si="64"/>
        <v>9.9979266161084795E-2</v>
      </c>
      <c r="F60" s="12" t="e">
        <f t="shared" si="64"/>
        <v>#DIV/0!</v>
      </c>
      <c r="G60" s="12">
        <f t="shared" si="64"/>
        <v>0.12091562283580114</v>
      </c>
      <c r="H60" s="12"/>
      <c r="I60"/>
      <c r="M60" s="3" t="s">
        <v>214</v>
      </c>
      <c r="N60" s="12">
        <f t="shared" si="54"/>
        <v>0.15768107799052286</v>
      </c>
      <c r="O60" s="12">
        <f t="shared" si="54"/>
        <v>0.1359855889842401</v>
      </c>
      <c r="P60" s="12">
        <f t="shared" si="54"/>
        <v>0.12357126319883714</v>
      </c>
      <c r="Q60" s="12">
        <f t="shared" si="54"/>
        <v>0.11338781306013276</v>
      </c>
      <c r="R60" s="12" t="e">
        <f t="shared" si="55"/>
        <v>#DIV/0!</v>
      </c>
      <c r="S60" s="12">
        <f t="shared" si="55"/>
        <v>0.12303502022486383</v>
      </c>
      <c r="T60" s="12"/>
      <c r="Y60" s="3" t="s">
        <v>214</v>
      </c>
      <c r="Z60" s="12">
        <f t="shared" si="56"/>
        <v>-2.1662129206010905E-2</v>
      </c>
      <c r="AA60" s="12">
        <f t="shared" si="57"/>
        <v>-2.4976733788535377E-2</v>
      </c>
      <c r="AB60" s="12">
        <f t="shared" si="58"/>
        <v>7.142053979366042E-3</v>
      </c>
      <c r="AC60" s="12">
        <f t="shared" si="59"/>
        <v>1.3408546899047968E-2</v>
      </c>
      <c r="AD60" s="12"/>
      <c r="AE60" s="12">
        <f t="shared" si="60"/>
        <v>2.1193973890626938E-3</v>
      </c>
      <c r="AF60" s="12"/>
    </row>
    <row r="61" spans="1:32" x14ac:dyDescent="0.2">
      <c r="A61" s="3" t="s">
        <v>129</v>
      </c>
      <c r="B61" s="12">
        <f t="shared" ref="B61:G61" si="65">B44/B$47</f>
        <v>6.336557854601807E-2</v>
      </c>
      <c r="C61" s="12">
        <f t="shared" si="65"/>
        <v>5.1473370040602519E-2</v>
      </c>
      <c r="D61" s="12">
        <f t="shared" si="65"/>
        <v>5.3239107159104557E-2</v>
      </c>
      <c r="E61" s="12">
        <f t="shared" si="65"/>
        <v>4.7229782163097214E-2</v>
      </c>
      <c r="F61" s="12" t="e">
        <f t="shared" si="65"/>
        <v>#DIV/0!</v>
      </c>
      <c r="G61" s="12">
        <f t="shared" si="65"/>
        <v>4.9901327582143086E-2</v>
      </c>
      <c r="H61" s="12"/>
      <c r="I61"/>
      <c r="M61" s="3" t="s">
        <v>129</v>
      </c>
      <c r="N61" s="12">
        <f t="shared" si="54"/>
        <v>6.365284587467436E-2</v>
      </c>
      <c r="O61" s="12">
        <f t="shared" si="54"/>
        <v>5.6816309290340206E-2</v>
      </c>
      <c r="P61" s="12">
        <f t="shared" si="54"/>
        <v>4.945062469954016E-2</v>
      </c>
      <c r="Q61" s="12">
        <f t="shared" si="54"/>
        <v>4.4001879715181005E-2</v>
      </c>
      <c r="R61" s="12" t="e">
        <f t="shared" si="55"/>
        <v>#DIV/0!</v>
      </c>
      <c r="S61" s="12">
        <f t="shared" si="55"/>
        <v>4.9087548543109032E-2</v>
      </c>
      <c r="T61" s="12"/>
      <c r="Y61" s="3" t="s">
        <v>129</v>
      </c>
      <c r="Z61" s="12">
        <f t="shared" si="56"/>
        <v>2.8726732865629045E-4</v>
      </c>
      <c r="AA61" s="12">
        <f t="shared" si="57"/>
        <v>5.3429392497376868E-3</v>
      </c>
      <c r="AB61" s="12">
        <f t="shared" si="58"/>
        <v>-3.7884824595643962E-3</v>
      </c>
      <c r="AC61" s="12">
        <f t="shared" si="59"/>
        <v>-3.2279024479162088E-3</v>
      </c>
      <c r="AD61" s="12"/>
      <c r="AE61" s="12">
        <f t="shared" si="60"/>
        <v>-8.1377903903405435E-4</v>
      </c>
      <c r="AF61" s="12"/>
    </row>
    <row r="62" spans="1:32" x14ac:dyDescent="0.2">
      <c r="A62" s="3" t="s">
        <v>130</v>
      </c>
      <c r="B62" s="12">
        <f t="shared" ref="B62:G62" si="66">B45/B$47</f>
        <v>8.9407605547965133E-2</v>
      </c>
      <c r="C62" s="12">
        <f t="shared" si="66"/>
        <v>8.7481644956106011E-2</v>
      </c>
      <c r="D62" s="12">
        <f t="shared" si="66"/>
        <v>0.11833848785356682</v>
      </c>
      <c r="E62" s="12">
        <f t="shared" si="66"/>
        <v>0.10480984336125498</v>
      </c>
      <c r="F62" s="12" t="e">
        <f t="shared" si="66"/>
        <v>#DIV/0!</v>
      </c>
      <c r="G62" s="12">
        <f t="shared" si="66"/>
        <v>0.10227256045310686</v>
      </c>
      <c r="H62" s="12"/>
      <c r="I62"/>
      <c r="M62" s="3" t="s">
        <v>130</v>
      </c>
      <c r="N62" s="12">
        <f t="shared" si="54"/>
        <v>8.7487274336948861E-2</v>
      </c>
      <c r="O62" s="12">
        <f t="shared" si="54"/>
        <v>0.10015769470716099</v>
      </c>
      <c r="P62" s="12">
        <f t="shared" si="54"/>
        <v>0.10349856953383457</v>
      </c>
      <c r="Q62" s="12">
        <f t="shared" si="54"/>
        <v>0.10693190376221166</v>
      </c>
      <c r="R62" s="12" t="e">
        <f t="shared" si="55"/>
        <v>#DIV/0!</v>
      </c>
      <c r="S62" s="12">
        <f t="shared" si="55"/>
        <v>0.10360344639306893</v>
      </c>
      <c r="T62" s="12"/>
      <c r="Y62" s="3" t="s">
        <v>130</v>
      </c>
      <c r="Z62" s="12">
        <f t="shared" si="56"/>
        <v>-1.9203312110162712E-3</v>
      </c>
      <c r="AA62" s="12">
        <f t="shared" si="57"/>
        <v>1.2676049751054977E-2</v>
      </c>
      <c r="AB62" s="12">
        <f t="shared" si="58"/>
        <v>-1.4839918319732248E-2</v>
      </c>
      <c r="AC62" s="12">
        <f t="shared" si="59"/>
        <v>2.1220604009566796E-3</v>
      </c>
      <c r="AD62" s="12"/>
      <c r="AE62" s="12">
        <f t="shared" si="60"/>
        <v>1.3308859399620704E-3</v>
      </c>
      <c r="AF62" s="12"/>
    </row>
    <row r="63" spans="1:32" x14ac:dyDescent="0.2">
      <c r="A63" s="8" t="s">
        <v>145</v>
      </c>
      <c r="B63" s="13">
        <f t="shared" ref="B63:G63" si="67">B46/B$47</f>
        <v>0.34794769612101251</v>
      </c>
      <c r="C63" s="13">
        <f t="shared" si="67"/>
        <v>0.33645193963027292</v>
      </c>
      <c r="D63" s="13">
        <f t="shared" si="67"/>
        <v>0.36105650134754952</v>
      </c>
      <c r="E63" s="13">
        <f t="shared" si="67"/>
        <v>0.35939505248652825</v>
      </c>
      <c r="F63" s="13" t="e">
        <f t="shared" si="67"/>
        <v>#DIV/0!</v>
      </c>
      <c r="G63" s="13">
        <f t="shared" si="67"/>
        <v>0.35352319663515769</v>
      </c>
      <c r="H63" s="34"/>
      <c r="I63"/>
      <c r="M63" s="8" t="s">
        <v>145</v>
      </c>
      <c r="N63" s="13">
        <f t="shared" si="54"/>
        <v>0.36155492871890355</v>
      </c>
      <c r="O63" s="13">
        <f t="shared" si="54"/>
        <v>0.35461098171622596</v>
      </c>
      <c r="P63" s="13">
        <f t="shared" si="54"/>
        <v>0.35355236979878102</v>
      </c>
      <c r="Q63" s="13">
        <f t="shared" si="54"/>
        <v>0.34844084412256249</v>
      </c>
      <c r="R63" s="13" t="e">
        <f t="shared" si="55"/>
        <v>#DIV/0!</v>
      </c>
      <c r="S63" s="13">
        <f t="shared" si="55"/>
        <v>0.35153791677218543</v>
      </c>
      <c r="T63" s="34"/>
      <c r="Y63" s="8" t="s">
        <v>145</v>
      </c>
      <c r="Z63" s="12">
        <f t="shared" si="56"/>
        <v>1.3607232597891039E-2</v>
      </c>
      <c r="AA63" s="12">
        <f t="shared" si="57"/>
        <v>1.8159042085953037E-2</v>
      </c>
      <c r="AB63" s="12">
        <f t="shared" si="58"/>
        <v>-7.5041315487685001E-3</v>
      </c>
      <c r="AC63" s="12">
        <f t="shared" si="59"/>
        <v>-1.0954208363965767E-2</v>
      </c>
      <c r="AD63" s="12"/>
      <c r="AE63" s="12">
        <f t="shared" si="60"/>
        <v>-1.9852798629722557E-3</v>
      </c>
      <c r="AF63" s="12"/>
    </row>
    <row r="64" spans="1:32" ht="13.5" thickBot="1" x14ac:dyDescent="0.25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25" t="s">
        <v>251</v>
      </c>
      <c r="Z70" s="225"/>
      <c r="AA70" s="225"/>
      <c r="AB70" s="225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66505.784702896039</v>
      </c>
      <c r="O73" s="7">
        <f>output!C284</f>
        <v>556367.51515470888</v>
      </c>
      <c r="P73" s="7">
        <f>output!D284</f>
        <v>1239601.7830070104</v>
      </c>
      <c r="Q73" s="7">
        <f>output!E284</f>
        <v>368542.52384860866</v>
      </c>
      <c r="R73" s="7">
        <f>output!F284</f>
        <v>2231017.6067132237</v>
      </c>
      <c r="Y73" s="3" t="s">
        <v>210</v>
      </c>
      <c r="Z73" s="7">
        <f t="shared" ref="Z73:Z81" si="69">N73-B73</f>
        <v>-13758.648942612068</v>
      </c>
      <c r="AA73" s="7">
        <f t="shared" ref="AA73:AA81" si="70">O73-C73</f>
        <v>54771.305038057268</v>
      </c>
      <c r="AB73" s="7">
        <f t="shared" ref="AB73:AB81" si="71">P73-D73</f>
        <v>-8658.6259682741947</v>
      </c>
      <c r="AC73" s="7">
        <f t="shared" ref="AC73:AC81" si="72">Q73-E73</f>
        <v>-99587.827361226955</v>
      </c>
      <c r="AD73" s="7">
        <f t="shared" ref="AD73:AD81" si="73">R73-F73</f>
        <v>-67233.797234056052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36931.980226160609</v>
      </c>
      <c r="O74" s="7">
        <f>output!C285</f>
        <v>281699.01721959334</v>
      </c>
      <c r="P74" s="7">
        <f>output!D285</f>
        <v>411283.21019163565</v>
      </c>
      <c r="Q74" s="7">
        <f>output!E285</f>
        <v>107773.89386963804</v>
      </c>
      <c r="R74" s="7">
        <f>output!F285</f>
        <v>837688.10150702763</v>
      </c>
      <c r="Y74" s="3" t="s">
        <v>211</v>
      </c>
      <c r="Z74" s="7">
        <f t="shared" si="69"/>
        <v>-6886.8772510445924</v>
      </c>
      <c r="AA74" s="7">
        <f t="shared" si="70"/>
        <v>74285.430351677845</v>
      </c>
      <c r="AB74" s="7">
        <f t="shared" si="71"/>
        <v>-49815.157669622567</v>
      </c>
      <c r="AC74" s="7">
        <f t="shared" si="72"/>
        <v>-54887.643713922967</v>
      </c>
      <c r="AD74" s="7">
        <f t="shared" si="73"/>
        <v>-37304.248282912304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31810.476798591579</v>
      </c>
      <c r="O75" s="7">
        <f>output!C286</f>
        <v>364882.07501971384</v>
      </c>
      <c r="P75" s="7">
        <f>output!D286</f>
        <v>658523.48767264117</v>
      </c>
      <c r="Q75" s="7">
        <f>output!E286</f>
        <v>182280.01460911971</v>
      </c>
      <c r="R75" s="7">
        <f>output!F286</f>
        <v>1237496.0541000662</v>
      </c>
      <c r="Y75" s="3" t="s">
        <v>212</v>
      </c>
      <c r="Z75" s="7">
        <f t="shared" si="69"/>
        <v>27335.630024644579</v>
      </c>
      <c r="AA75" s="7">
        <f t="shared" si="70"/>
        <v>67697.591030845128</v>
      </c>
      <c r="AB75" s="7">
        <f t="shared" si="71"/>
        <v>-98191.493642374757</v>
      </c>
      <c r="AC75" s="7">
        <f t="shared" si="72"/>
        <v>-5155.0865897223994</v>
      </c>
      <c r="AD75" s="7">
        <f t="shared" si="73"/>
        <v>-8313.3591766075697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93541.818685600476</v>
      </c>
      <c r="O76" s="7">
        <f>output!C287</f>
        <v>462099.10488387418</v>
      </c>
      <c r="P76" s="7">
        <f>output!D287</f>
        <v>1015571.5369904465</v>
      </c>
      <c r="Q76" s="7">
        <f>output!E287</f>
        <v>279140.01283059415</v>
      </c>
      <c r="R76" s="7">
        <f>output!F287</f>
        <v>1850352.4733905152</v>
      </c>
      <c r="Y76" s="3" t="s">
        <v>213</v>
      </c>
      <c r="Z76" s="7">
        <f t="shared" si="69"/>
        <v>-4081.3832045018207</v>
      </c>
      <c r="AA76" s="7">
        <f t="shared" si="70"/>
        <v>72438.514345165109</v>
      </c>
      <c r="AB76" s="7">
        <f t="shared" si="71"/>
        <v>5394.5983014147496</v>
      </c>
      <c r="AC76" s="7">
        <f t="shared" si="72"/>
        <v>-69625.470526040473</v>
      </c>
      <c r="AD76" s="7">
        <f t="shared" si="73"/>
        <v>4126.25891603739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107003.59526477598</v>
      </c>
      <c r="O77" s="7">
        <f>output!C288</f>
        <v>517395.90364220663</v>
      </c>
      <c r="P77" s="7">
        <f>output!D288</f>
        <v>1099285.0490433369</v>
      </c>
      <c r="Q77" s="7">
        <f>output!E288</f>
        <v>308508.84517861763</v>
      </c>
      <c r="R77" s="7">
        <f>output!F288</f>
        <v>2032193.3931289371</v>
      </c>
      <c r="Y77" s="3" t="s">
        <v>214</v>
      </c>
      <c r="Z77" s="7">
        <f t="shared" si="69"/>
        <v>-32520.860379934005</v>
      </c>
      <c r="AA77" s="7">
        <f t="shared" si="70"/>
        <v>68171.492791153549</v>
      </c>
      <c r="AB77" s="7">
        <f t="shared" si="71"/>
        <v>1733.5999572703149</v>
      </c>
      <c r="AC77" s="7">
        <f t="shared" si="72"/>
        <v>-47335.214297850267</v>
      </c>
      <c r="AD77" s="7">
        <f t="shared" si="73"/>
        <v>-9950.9819293604232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38255.196657789711</v>
      </c>
      <c r="O78" s="7">
        <f>output!C289</f>
        <v>260615.50412948674</v>
      </c>
      <c r="P78" s="7">
        <f>output!D289</f>
        <v>403050.28735414485</v>
      </c>
      <c r="Q78" s="7">
        <f>output!E289</f>
        <v>108867.61214397007</v>
      </c>
      <c r="R78" s="7">
        <f>output!F289</f>
        <v>810788.60028539132</v>
      </c>
      <c r="Y78" s="3" t="s">
        <v>129</v>
      </c>
      <c r="Z78" s="7">
        <f t="shared" si="69"/>
        <v>-25017.934629997486</v>
      </c>
      <c r="AA78" s="7">
        <f t="shared" si="70"/>
        <v>52158.958902477229</v>
      </c>
      <c r="AB78" s="7">
        <f t="shared" si="71"/>
        <v>-22086.050685061142</v>
      </c>
      <c r="AC78" s="7">
        <f t="shared" si="72"/>
        <v>-22371.388326886343</v>
      </c>
      <c r="AD78" s="7">
        <f t="shared" si="73"/>
        <v>-17316.414739467786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56449.429326307756</v>
      </c>
      <c r="O79" s="7">
        <f>output!C290</f>
        <v>415830.30908280099</v>
      </c>
      <c r="P79" s="7">
        <f>output!D290</f>
        <v>959027.14844325674</v>
      </c>
      <c r="Q79" s="7">
        <f>output!E290</f>
        <v>279931.41652326786</v>
      </c>
      <c r="R79" s="7">
        <f>output!F290</f>
        <v>1711238.3033756334</v>
      </c>
      <c r="Y79" s="3" t="s">
        <v>130</v>
      </c>
      <c r="Z79" s="7">
        <f t="shared" si="69"/>
        <v>39.977953038956912</v>
      </c>
      <c r="AA79" s="7">
        <f t="shared" si="70"/>
        <v>78754.707604729978</v>
      </c>
      <c r="AB79" s="7">
        <f t="shared" si="71"/>
        <v>-102505.9717501062</v>
      </c>
      <c r="AC79" s="7">
        <f t="shared" si="72"/>
        <v>18802.523807632359</v>
      </c>
      <c r="AD79" s="7">
        <f t="shared" si="73"/>
        <v>-4908.7623847047798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257329.3466027774</v>
      </c>
      <c r="O80" s="7">
        <f>output!C291</f>
        <v>1537640.4272402276</v>
      </c>
      <c r="P80" s="7">
        <f>output!D291</f>
        <v>3127417.0720424713</v>
      </c>
      <c r="Q80" s="7">
        <f>output!E291</f>
        <v>884033.39603500534</v>
      </c>
      <c r="R80" s="7">
        <f>output!F291</f>
        <v>5806420.2419204814</v>
      </c>
      <c r="Y80" s="8" t="s">
        <v>145</v>
      </c>
      <c r="Z80" s="7">
        <f t="shared" si="69"/>
        <v>-6828.658385034505</v>
      </c>
      <c r="AA80" s="7">
        <f t="shared" si="70"/>
        <v>185359.65633093379</v>
      </c>
      <c r="AB80" s="7">
        <f t="shared" si="71"/>
        <v>-77066.422134558205</v>
      </c>
      <c r="AC80" s="7">
        <f t="shared" si="72"/>
        <v>-192812.52947792714</v>
      </c>
      <c r="AD80" s="7">
        <f t="shared" si="73"/>
        <v>-91347.953666585498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687827.62826489948</v>
      </c>
      <c r="O81" s="11">
        <f>SUM(O73:O80)</f>
        <v>4396529.8563726116</v>
      </c>
      <c r="P81" s="11">
        <f>SUM(P73:P80)</f>
        <v>8913759.5747449435</v>
      </c>
      <c r="Q81" s="11">
        <f>SUM(Q73:Q80)</f>
        <v>2519077.7150388216</v>
      </c>
      <c r="R81" s="11">
        <f>SUM(R73:R80)</f>
        <v>16517194.774421275</v>
      </c>
      <c r="Y81" s="10" t="s">
        <v>221</v>
      </c>
      <c r="Z81" s="11">
        <f t="shared" si="69"/>
        <v>-61718.754815440974</v>
      </c>
      <c r="AA81" s="11">
        <f t="shared" si="70"/>
        <v>653637.65639503952</v>
      </c>
      <c r="AB81" s="11">
        <f t="shared" si="71"/>
        <v>-351195.52359131351</v>
      </c>
      <c r="AC81" s="11">
        <f t="shared" si="72"/>
        <v>-472972.63648594404</v>
      </c>
      <c r="AD81" s="11">
        <f t="shared" si="73"/>
        <v>-232249.25849765912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166519.15446434621</v>
      </c>
      <c r="O83" s="53">
        <f>ToursByTourPurpose!O84</f>
        <v>1016199.0154796486</v>
      </c>
      <c r="P83" s="53">
        <f>ToursByTourPurpose!P84</f>
        <v>1994914.1750800051</v>
      </c>
      <c r="Q83" s="53">
        <f>ToursByTourPurpose!Q84</f>
        <v>564842.47343989101</v>
      </c>
      <c r="R83" s="53">
        <f>ToursByTourPurpose!R84</f>
        <v>3742474.8184638908</v>
      </c>
      <c r="Y83" s="3" t="s">
        <v>88</v>
      </c>
      <c r="Z83" s="7">
        <f t="shared" ref="Z83:AD84" si="74">N83-B83</f>
        <v>-10870.689335653791</v>
      </c>
      <c r="AA83" s="7">
        <f t="shared" si="74"/>
        <v>117905.56277964858</v>
      </c>
      <c r="AB83" s="7">
        <f t="shared" si="74"/>
        <v>67343.336380005116</v>
      </c>
      <c r="AC83" s="7">
        <f t="shared" si="74"/>
        <v>-140421.35796010902</v>
      </c>
      <c r="AD83" s="7">
        <f t="shared" si="74"/>
        <v>33956.851863890886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4.1306216721882993</v>
      </c>
      <c r="O84" s="38">
        <f>O81/O83</f>
        <v>4.3264456955780828</v>
      </c>
      <c r="P84" s="38">
        <f>P81/P83</f>
        <v>4.468242135974327</v>
      </c>
      <c r="Q84" s="38">
        <f>Q81/Q83</f>
        <v>4.4597880532914544</v>
      </c>
      <c r="R84" s="38">
        <f>R81/R83</f>
        <v>4.4134417933641039</v>
      </c>
      <c r="Y84" s="3" t="s">
        <v>91</v>
      </c>
      <c r="Z84" s="38">
        <f t="shared" si="74"/>
        <v>-9.47971399812646E-2</v>
      </c>
      <c r="AA84" s="38">
        <f t="shared" si="74"/>
        <v>0.15977589660808711</v>
      </c>
      <c r="AB84" s="38">
        <f t="shared" si="74"/>
        <v>-0.33830240823799596</v>
      </c>
      <c r="AC84" s="38">
        <f t="shared" si="74"/>
        <v>0.21733265105520516</v>
      </c>
      <c r="AD84" s="38">
        <f t="shared" si="74"/>
        <v>-0.10303734567993938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25" t="s">
        <v>252</v>
      </c>
      <c r="Z87" s="225"/>
      <c r="AA87" s="225"/>
      <c r="AB87" s="225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t="shared" ref="B90:F96" si="75">B73/B$81</f>
        <v>0.10708401168671229</v>
      </c>
      <c r="C90" s="12">
        <f t="shared" si="75"/>
        <v>0.13401299939112787</v>
      </c>
      <c r="D90" s="12">
        <f t="shared" si="75"/>
        <v>0.13472924539045411</v>
      </c>
      <c r="E90" s="12">
        <f t="shared" si="75"/>
        <v>0.15645804589193285</v>
      </c>
      <c r="F90" s="12">
        <f t="shared" si="75"/>
        <v>0.13721359344407819</v>
      </c>
      <c r="M90" s="3" t="s">
        <v>210</v>
      </c>
      <c r="N90" s="12">
        <f t="shared" ref="N90:R98" si="76">N73/N$81</f>
        <v>9.6689609387547032E-2</v>
      </c>
      <c r="O90" s="12">
        <f t="shared" si="76"/>
        <v>0.12654696620523895</v>
      </c>
      <c r="P90" s="12">
        <f t="shared" si="76"/>
        <v>0.13906610029275779</v>
      </c>
      <c r="Q90" s="12">
        <f t="shared" si="76"/>
        <v>0.14630057725032475</v>
      </c>
      <c r="R90" s="12">
        <f t="shared" si="76"/>
        <v>0.13507242828959093</v>
      </c>
      <c r="Y90" s="3" t="s">
        <v>210</v>
      </c>
      <c r="Z90" s="12">
        <f t="shared" ref="Z90:Z98" si="77">N90-B90</f>
        <v>-1.0394402299165259E-2</v>
      </c>
      <c r="AA90" s="12">
        <f t="shared" ref="AA90:AA98" si="78">O90-C90</f>
        <v>-7.4660331858889262E-3</v>
      </c>
      <c r="AB90" s="12">
        <f t="shared" ref="AB90:AB98" si="79">P90-D90</f>
        <v>4.3368549023036773E-3</v>
      </c>
      <c r="AC90" s="12">
        <f t="shared" ref="AC90:AC98" si="80">Q90-E90</f>
        <v>-1.0157468641608103E-2</v>
      </c>
      <c r="AD90" s="12">
        <f t="shared" ref="AD90:AD98" si="81">R90-F90</f>
        <v>-2.1411651544872567E-3</v>
      </c>
    </row>
    <row r="91" spans="1:41" x14ac:dyDescent="0.2">
      <c r="A91" s="3" t="s">
        <v>211</v>
      </c>
      <c r="B91" s="12">
        <f t="shared" si="75"/>
        <v>5.8460501533109874E-2</v>
      </c>
      <c r="C91" s="12">
        <f t="shared" si="75"/>
        <v>5.5415324777229318E-2</v>
      </c>
      <c r="D91" s="12">
        <f t="shared" si="75"/>
        <v>4.9768008907464578E-2</v>
      </c>
      <c r="E91" s="12">
        <f t="shared" si="75"/>
        <v>5.436457227421583E-2</v>
      </c>
      <c r="F91" s="12">
        <f t="shared" si="75"/>
        <v>5.2240083197403572E-2</v>
      </c>
      <c r="M91" s="3" t="s">
        <v>211</v>
      </c>
      <c r="N91" s="12">
        <f t="shared" si="76"/>
        <v>5.369365624251602E-2</v>
      </c>
      <c r="O91" s="12">
        <f t="shared" si="76"/>
        <v>6.4073036331433242E-2</v>
      </c>
      <c r="P91" s="12">
        <f t="shared" si="76"/>
        <v>4.6140262898374619E-2</v>
      </c>
      <c r="Q91" s="12">
        <f t="shared" si="76"/>
        <v>4.278307621326289E-2</v>
      </c>
      <c r="R91" s="12">
        <f t="shared" si="76"/>
        <v>5.0716124193454538E-2</v>
      </c>
      <c r="Y91" s="3" t="s">
        <v>211</v>
      </c>
      <c r="Z91" s="12">
        <f t="shared" si="77"/>
        <v>-4.7668452905938533E-3</v>
      </c>
      <c r="AA91" s="12">
        <f t="shared" si="78"/>
        <v>8.6577115542039243E-3</v>
      </c>
      <c r="AB91" s="12">
        <f t="shared" si="79"/>
        <v>-3.6277460090899591E-3</v>
      </c>
      <c r="AC91" s="12">
        <f t="shared" si="80"/>
        <v>-1.1581496060952941E-2</v>
      </c>
      <c r="AD91" s="12">
        <f t="shared" si="81"/>
        <v>-1.5239590039490339E-3</v>
      </c>
    </row>
    <row r="92" spans="1:41" x14ac:dyDescent="0.2">
      <c r="A92" s="3" t="s">
        <v>212</v>
      </c>
      <c r="B92" s="12">
        <f t="shared" si="75"/>
        <v>5.9700732002162986E-3</v>
      </c>
      <c r="C92" s="12">
        <f t="shared" si="75"/>
        <v>7.9399690963755112E-2</v>
      </c>
      <c r="D92" s="12">
        <f t="shared" si="75"/>
        <v>8.1674975570135477E-2</v>
      </c>
      <c r="E92" s="12">
        <f t="shared" si="75"/>
        <v>6.2644367299274945E-2</v>
      </c>
      <c r="F92" s="12">
        <f t="shared" si="75"/>
        <v>7.43791501872057E-2</v>
      </c>
      <c r="M92" s="3" t="s">
        <v>212</v>
      </c>
      <c r="N92" s="12">
        <f t="shared" si="76"/>
        <v>4.624774506199477E-2</v>
      </c>
      <c r="O92" s="12">
        <f t="shared" si="76"/>
        <v>8.2993198486035619E-2</v>
      </c>
      <c r="P92" s="12">
        <f t="shared" si="76"/>
        <v>7.387718752684487E-2</v>
      </c>
      <c r="Q92" s="12">
        <f t="shared" si="76"/>
        <v>7.2359821819276665E-2</v>
      </c>
      <c r="R92" s="12">
        <f t="shared" si="76"/>
        <v>7.4921684402273162E-2</v>
      </c>
      <c r="Y92" s="3" t="s">
        <v>212</v>
      </c>
      <c r="Z92" s="12">
        <f t="shared" si="77"/>
        <v>4.0277671861778469E-2</v>
      </c>
      <c r="AA92" s="12">
        <f t="shared" si="78"/>
        <v>3.5935075222805063E-3</v>
      </c>
      <c r="AB92" s="12">
        <f t="shared" si="79"/>
        <v>-7.7977880432906072E-3</v>
      </c>
      <c r="AC92" s="12">
        <f t="shared" si="80"/>
        <v>9.7154545200017206E-3</v>
      </c>
      <c r="AD92" s="12">
        <f t="shared" si="81"/>
        <v>5.4253421506746113E-4</v>
      </c>
    </row>
    <row r="93" spans="1:41" x14ac:dyDescent="0.2">
      <c r="A93" s="3" t="s">
        <v>213</v>
      </c>
      <c r="B93" s="12">
        <f t="shared" si="75"/>
        <v>0.13024304311750445</v>
      </c>
      <c r="C93" s="12">
        <f t="shared" si="75"/>
        <v>0.10410681625857245</v>
      </c>
      <c r="D93" s="12">
        <f t="shared" si="75"/>
        <v>0.10903203825245014</v>
      </c>
      <c r="E93" s="12">
        <f t="shared" si="75"/>
        <v>0.11656404217225214</v>
      </c>
      <c r="F93" s="12">
        <f t="shared" si="75"/>
        <v>0.11022611919810302</v>
      </c>
      <c r="M93" s="3" t="s">
        <v>213</v>
      </c>
      <c r="N93" s="12">
        <f t="shared" si="76"/>
        <v>0.13599601824888488</v>
      </c>
      <c r="O93" s="12">
        <f t="shared" si="76"/>
        <v>0.10510541722219359</v>
      </c>
      <c r="P93" s="12">
        <f t="shared" si="76"/>
        <v>0.11393301877558279</v>
      </c>
      <c r="Q93" s="12">
        <f t="shared" si="76"/>
        <v>0.11081040142752893</v>
      </c>
      <c r="R93" s="12">
        <f t="shared" si="76"/>
        <v>0.11202583118145421</v>
      </c>
      <c r="Y93" s="3" t="s">
        <v>213</v>
      </c>
      <c r="Z93" s="12">
        <f t="shared" si="77"/>
        <v>5.7529751313804278E-3</v>
      </c>
      <c r="AA93" s="12">
        <f t="shared" si="78"/>
        <v>9.9860096362114348E-4</v>
      </c>
      <c r="AB93" s="12">
        <f t="shared" si="79"/>
        <v>4.9009805231326475E-3</v>
      </c>
      <c r="AC93" s="12">
        <f t="shared" si="80"/>
        <v>-5.7536407447232041E-3</v>
      </c>
      <c r="AD93" s="12">
        <f t="shared" si="81"/>
        <v>1.7997119833511876E-3</v>
      </c>
    </row>
    <row r="94" spans="1:41" x14ac:dyDescent="0.2">
      <c r="A94" s="3" t="s">
        <v>214</v>
      </c>
      <c r="B94" s="12">
        <f t="shared" si="75"/>
        <v>0.18614519233795701</v>
      </c>
      <c r="C94" s="12">
        <f t="shared" si="75"/>
        <v>0.12002066499637497</v>
      </c>
      <c r="D94" s="12">
        <f t="shared" si="75"/>
        <v>0.11846268410768208</v>
      </c>
      <c r="E94" s="12">
        <f t="shared" si="75"/>
        <v>0.11892983662361423</v>
      </c>
      <c r="F94" s="12">
        <f t="shared" si="75"/>
        <v>0.12192311404753009</v>
      </c>
      <c r="M94" s="3" t="s">
        <v>214</v>
      </c>
      <c r="N94" s="12">
        <f t="shared" si="76"/>
        <v>0.15556745740891675</v>
      </c>
      <c r="O94" s="12">
        <f t="shared" si="76"/>
        <v>0.11768279087022687</v>
      </c>
      <c r="P94" s="12">
        <f t="shared" si="76"/>
        <v>0.1233245119329788</v>
      </c>
      <c r="Q94" s="12">
        <f t="shared" si="76"/>
        <v>0.12246896685117283</v>
      </c>
      <c r="R94" s="12">
        <f t="shared" si="76"/>
        <v>0.12303502022486386</v>
      </c>
      <c r="Y94" s="3" t="s">
        <v>214</v>
      </c>
      <c r="Z94" s="12">
        <f t="shared" si="77"/>
        <v>-3.0577734929040257E-2</v>
      </c>
      <c r="AA94" s="12">
        <f t="shared" si="78"/>
        <v>-2.3378741261480956E-3</v>
      </c>
      <c r="AB94" s="12">
        <f t="shared" si="79"/>
        <v>4.861827825296719E-3</v>
      </c>
      <c r="AC94" s="12">
        <f t="shared" si="80"/>
        <v>3.5391302275585984E-3</v>
      </c>
      <c r="AD94" s="12">
        <f t="shared" si="81"/>
        <v>1.1119061773337685E-3</v>
      </c>
    </row>
    <row r="95" spans="1:41" x14ac:dyDescent="0.2">
      <c r="A95" s="3" t="s">
        <v>129</v>
      </c>
      <c r="B95" s="12">
        <f t="shared" si="75"/>
        <v>8.441523128663439E-2</v>
      </c>
      <c r="C95" s="12">
        <f t="shared" si="75"/>
        <v>5.5693975163981106E-2</v>
      </c>
      <c r="D95" s="12">
        <f t="shared" si="75"/>
        <v>4.5886497400893969E-2</v>
      </c>
      <c r="E95" s="12">
        <f t="shared" si="75"/>
        <v>4.3862564145678989E-2</v>
      </c>
      <c r="F95" s="12">
        <f t="shared" si="75"/>
        <v>4.9440746415064435E-2</v>
      </c>
      <c r="M95" s="3" t="s">
        <v>129</v>
      </c>
      <c r="N95" s="12">
        <f t="shared" si="76"/>
        <v>5.5617417919503351E-2</v>
      </c>
      <c r="O95" s="12">
        <f t="shared" si="76"/>
        <v>5.9277546756957414E-2</v>
      </c>
      <c r="P95" s="12">
        <f t="shared" si="76"/>
        <v>4.5216643322543021E-2</v>
      </c>
      <c r="Q95" s="12">
        <f t="shared" si="76"/>
        <v>4.3217250303169905E-2</v>
      </c>
      <c r="R95" s="12">
        <f t="shared" si="76"/>
        <v>4.9087548543109039E-2</v>
      </c>
      <c r="Y95" s="3" t="s">
        <v>129</v>
      </c>
      <c r="Z95" s="12">
        <f t="shared" si="77"/>
        <v>-2.8797813367131039E-2</v>
      </c>
      <c r="AA95" s="12">
        <f t="shared" si="78"/>
        <v>3.5835715929763076E-3</v>
      </c>
      <c r="AB95" s="12">
        <f t="shared" si="79"/>
        <v>-6.6985407835094823E-4</v>
      </c>
      <c r="AC95" s="12">
        <f t="shared" si="80"/>
        <v>-6.4531384250908486E-4</v>
      </c>
      <c r="AD95" s="12">
        <f t="shared" si="81"/>
        <v>-3.5319787195539631E-4</v>
      </c>
    </row>
    <row r="96" spans="1:41" x14ac:dyDescent="0.2">
      <c r="A96" s="3" t="s">
        <v>130</v>
      </c>
      <c r="B96" s="12">
        <f t="shared" si="75"/>
        <v>7.5258119639572102E-2</v>
      </c>
      <c r="C96" s="12">
        <f t="shared" si="75"/>
        <v>9.0057523291771746E-2</v>
      </c>
      <c r="D96" s="12">
        <f t="shared" si="75"/>
        <v>0.11457509603948177</v>
      </c>
      <c r="E96" s="12">
        <f t="shared" si="75"/>
        <v>8.7274230723611568E-2</v>
      </c>
      <c r="F96" s="12">
        <f t="shared" si="75"/>
        <v>0.10245994209643414</v>
      </c>
      <c r="M96" s="3" t="s">
        <v>130</v>
      </c>
      <c r="N96" s="12">
        <f t="shared" si="76"/>
        <v>8.2069150767767177E-2</v>
      </c>
      <c r="O96" s="12">
        <f t="shared" si="76"/>
        <v>9.4581481911255524E-2</v>
      </c>
      <c r="P96" s="12">
        <f t="shared" si="76"/>
        <v>0.10758952385931927</v>
      </c>
      <c r="Q96" s="12">
        <f t="shared" si="76"/>
        <v>0.11112456549160249</v>
      </c>
      <c r="R96" s="12">
        <f t="shared" si="76"/>
        <v>0.10360344639306897</v>
      </c>
      <c r="Y96" s="3" t="s">
        <v>130</v>
      </c>
      <c r="Z96" s="12">
        <f t="shared" si="77"/>
        <v>6.8110311281950747E-3</v>
      </c>
      <c r="AA96" s="12">
        <f t="shared" si="78"/>
        <v>4.5239586194837783E-3</v>
      </c>
      <c r="AB96" s="12">
        <f t="shared" si="79"/>
        <v>-6.9855721801624915E-3</v>
      </c>
      <c r="AC96" s="12">
        <f t="shared" si="80"/>
        <v>2.3850334767990922E-2</v>
      </c>
      <c r="AD96" s="12">
        <f t="shared" si="81"/>
        <v>1.1435042966348313E-3</v>
      </c>
    </row>
    <row r="97" spans="1:34" x14ac:dyDescent="0.2">
      <c r="A97" s="8" t="s">
        <v>145</v>
      </c>
      <c r="B97" s="13">
        <f t="shared" ref="B97:F98" si="82">B80/B$81</f>
        <v>0.35242382719829363</v>
      </c>
      <c r="C97" s="13">
        <f t="shared" si="82"/>
        <v>0.36129300515718749</v>
      </c>
      <c r="D97" s="13">
        <f t="shared" si="82"/>
        <v>0.34587145433143768</v>
      </c>
      <c r="E97" s="13">
        <f t="shared" si="82"/>
        <v>0.35990234086941947</v>
      </c>
      <c r="F97" s="13">
        <f t="shared" si="82"/>
        <v>0.35211725141418082</v>
      </c>
      <c r="M97" s="8" t="s">
        <v>145</v>
      </c>
      <c r="N97" s="13">
        <f t="shared" si="76"/>
        <v>0.37411894496287007</v>
      </c>
      <c r="O97" s="13">
        <f t="shared" si="76"/>
        <v>0.34973956221665892</v>
      </c>
      <c r="P97" s="13">
        <f t="shared" si="76"/>
        <v>0.35085275139159883</v>
      </c>
      <c r="Q97" s="13">
        <f t="shared" si="76"/>
        <v>0.3509353406436615</v>
      </c>
      <c r="R97" s="13">
        <f t="shared" si="76"/>
        <v>0.35153791677218538</v>
      </c>
      <c r="Y97" s="8" t="s">
        <v>145</v>
      </c>
      <c r="Z97" s="12">
        <f t="shared" si="77"/>
        <v>2.1695117764576444E-2</v>
      </c>
      <c r="AA97" s="12">
        <f t="shared" si="78"/>
        <v>-1.1553442940528569E-2</v>
      </c>
      <c r="AB97" s="12">
        <f t="shared" si="79"/>
        <v>4.9812970601611495E-3</v>
      </c>
      <c r="AC97" s="12">
        <f t="shared" si="80"/>
        <v>-8.9670002257579706E-3</v>
      </c>
      <c r="AD97" s="12">
        <f t="shared" si="81"/>
        <v>-5.7933464199544371E-4</v>
      </c>
    </row>
    <row r="98" spans="1:34" ht="13.5" thickBot="1" x14ac:dyDescent="0.25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25" t="s">
        <v>312</v>
      </c>
      <c r="Z104" s="225"/>
      <c r="AA104" s="225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61" t="s">
        <v>10861</v>
      </c>
      <c r="C106" s="161" t="s">
        <v>10862</v>
      </c>
      <c r="D106" s="161" t="s">
        <v>10863</v>
      </c>
      <c r="E106" s="161" t="s">
        <v>10864</v>
      </c>
      <c r="F106" s="161" t="s">
        <v>1688</v>
      </c>
      <c r="G106" s="161" t="s">
        <v>10865</v>
      </c>
      <c r="H106" s="6" t="s">
        <v>10866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112345.96652217892</v>
      </c>
      <c r="O107" s="7">
        <f>output!C295</f>
        <v>13626.100306700651</v>
      </c>
      <c r="P107" s="7">
        <f>output!D295</f>
        <v>93364.828031560217</v>
      </c>
      <c r="Q107" s="7">
        <f>output!E295</f>
        <v>70899.438811258762</v>
      </c>
      <c r="R107" s="7">
        <f>output!F295</f>
        <v>435786.2595740871</v>
      </c>
      <c r="S107" s="7">
        <f>output!G295</f>
        <v>88385.153315891555</v>
      </c>
      <c r="T107" s="7">
        <f>output!H295</f>
        <v>1378486.4390562251</v>
      </c>
      <c r="U107" s="7">
        <f>SUM(N107:T107)</f>
        <v>2192894.1856179023</v>
      </c>
      <c r="V107" s="33"/>
      <c r="W107" s="25"/>
      <c r="Y107" s="3" t="s">
        <v>210</v>
      </c>
      <c r="Z107" s="7">
        <f t="shared" ref="Z107:Z115" si="85">N107-B107</f>
        <v>5416.8815945074166</v>
      </c>
      <c r="AA107" s="7">
        <f t="shared" ref="AA107:AA115" si="86">O107-C107</f>
        <v>-11128.592308226549</v>
      </c>
      <c r="AB107" s="7">
        <f t="shared" ref="AB107:AB115" si="87">P107-D107</f>
        <v>6916.2324893581099</v>
      </c>
      <c r="AC107" s="7">
        <f t="shared" ref="AC107:AC115" si="88">Q107-E107</f>
        <v>-1273.2053324515437</v>
      </c>
      <c r="AD107" s="7">
        <f t="shared" ref="AD107" si="89">R107-F107</f>
        <v>-101142.42185018165</v>
      </c>
      <c r="AE107" s="7">
        <f t="shared" ref="AE107:AF114" si="90">S107-G107</f>
        <v>-43865.480622741554</v>
      </c>
      <c r="AF107" s="7">
        <f t="shared" si="90"/>
        <v>39719.367700358154</v>
      </c>
      <c r="AG107" s="7">
        <f t="shared" ref="AG107:AG115" si="91">U107-I107</f>
        <v>-105357.21832937747</v>
      </c>
      <c r="AH107" s="33"/>
    </row>
    <row r="108" spans="1:34" x14ac:dyDescent="0.2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t="shared" ref="I108:I114" si="92">SUM(B108:H108)</f>
        <v>874992.34978994005</v>
      </c>
      <c r="J108" s="33"/>
      <c r="M108" s="3" t="s">
        <v>211</v>
      </c>
      <c r="N108" s="7">
        <f>output!B296</f>
        <v>41981.752896054633</v>
      </c>
      <c r="O108" s="7">
        <f>output!C296</f>
        <v>1540.6875382026908</v>
      </c>
      <c r="P108" s="7">
        <f>output!D296</f>
        <v>34415.996258677558</v>
      </c>
      <c r="Q108" s="7">
        <f>output!E296</f>
        <v>26354.294072803379</v>
      </c>
      <c r="R108" s="7">
        <f>output!F296</f>
        <v>137814.29990299323</v>
      </c>
      <c r="S108" s="7">
        <f>output!G296</f>
        <v>7122.0257743337734</v>
      </c>
      <c r="T108" s="7">
        <f>output!H296</f>
        <v>588430.84278958954</v>
      </c>
      <c r="U108" s="7">
        <f t="shared" ref="U108:U114" si="93">SUM(N108:T108)</f>
        <v>837659.89923265483</v>
      </c>
      <c r="V108" s="33"/>
      <c r="W108" s="25"/>
      <c r="Y108" s="3" t="s">
        <v>211</v>
      </c>
      <c r="Z108" s="7">
        <f t="shared" si="85"/>
        <v>3515.6353640678353</v>
      </c>
      <c r="AA108" s="7">
        <f t="shared" si="86"/>
        <v>133.86055658409077</v>
      </c>
      <c r="AB108" s="7">
        <f t="shared" si="87"/>
        <v>1383.2397050555592</v>
      </c>
      <c r="AC108" s="7">
        <f t="shared" ref="AC108:AC114" si="94">Q108-E108</f>
        <v>-8067.9483913146178</v>
      </c>
      <c r="AD108" s="7">
        <f t="shared" ref="AD108:AD115" si="95">R108-F108</f>
        <v>-31286.064843076572</v>
      </c>
      <c r="AE108" s="7">
        <f t="shared" ref="AE108:AF115" si="96">S108-G108</f>
        <v>546.41860135807292</v>
      </c>
      <c r="AF108" s="7">
        <f t="shared" si="90"/>
        <v>-3557.5915499594994</v>
      </c>
      <c r="AG108" s="7">
        <f t="shared" si="91"/>
        <v>-37332.450557285221</v>
      </c>
      <c r="AH108" s="33"/>
    </row>
    <row r="109" spans="1:34" x14ac:dyDescent="0.2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t="shared" si="92"/>
        <v>1245809.4132766738</v>
      </c>
      <c r="J109" s="33"/>
      <c r="M109" s="3" t="s">
        <v>212</v>
      </c>
      <c r="N109" s="7">
        <f>output!B297</f>
        <v>63149.209540115306</v>
      </c>
      <c r="O109" s="7">
        <f>output!C297</f>
        <v>5741.0234360752047</v>
      </c>
      <c r="P109" s="7">
        <f>output!D297</f>
        <v>50692.543459653672</v>
      </c>
      <c r="Q109" s="7">
        <f>output!E297</f>
        <v>40617.808510904513</v>
      </c>
      <c r="R109" s="7">
        <f>output!F297</f>
        <v>189000.2165931958</v>
      </c>
      <c r="S109" s="7">
        <f>output!G297</f>
        <v>28202.489472793342</v>
      </c>
      <c r="T109" s="7">
        <f>output!H297</f>
        <v>859167.9235777111</v>
      </c>
      <c r="U109" s="7">
        <f t="shared" si="93"/>
        <v>1236571.2145904489</v>
      </c>
      <c r="V109" s="33"/>
      <c r="W109" s="25"/>
      <c r="Y109" s="3" t="s">
        <v>212</v>
      </c>
      <c r="Z109" s="7">
        <f t="shared" si="85"/>
        <v>-6876.8220770701882</v>
      </c>
      <c r="AA109" s="7">
        <f t="shared" si="86"/>
        <v>-3849.7055145715958</v>
      </c>
      <c r="AB109" s="7">
        <f t="shared" si="87"/>
        <v>-6424.4903252352233</v>
      </c>
      <c r="AC109" s="7">
        <f t="shared" si="94"/>
        <v>-19192.664351414685</v>
      </c>
      <c r="AD109" s="7">
        <f t="shared" si="95"/>
        <v>-12421.645714242884</v>
      </c>
      <c r="AE109" s="7">
        <f t="shared" si="96"/>
        <v>86.750143137142004</v>
      </c>
      <c r="AF109" s="7">
        <f t="shared" si="90"/>
        <v>39440.379153172718</v>
      </c>
      <c r="AG109" s="7">
        <f t="shared" si="91"/>
        <v>-9238.1986862248741</v>
      </c>
      <c r="AH109" s="33"/>
    </row>
    <row r="110" spans="1:34" x14ac:dyDescent="0.2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t="shared" si="92"/>
        <v>1846226.2144744778</v>
      </c>
      <c r="J110" s="33"/>
      <c r="M110" s="3" t="s">
        <v>213</v>
      </c>
      <c r="N110" s="7">
        <f>output!B298</f>
        <v>87123.521201184834</v>
      </c>
      <c r="O110" s="7">
        <f>output!C298</f>
        <v>10718.884262539596</v>
      </c>
      <c r="P110" s="7">
        <f>output!D298</f>
        <v>73511.409858413666</v>
      </c>
      <c r="Q110" s="7">
        <f>output!E298</f>
        <v>56323.764888871156</v>
      </c>
      <c r="R110" s="7">
        <f>output!F298</f>
        <v>308522.98058585514</v>
      </c>
      <c r="S110" s="7">
        <f>output!G298</f>
        <v>57309.562852521754</v>
      </c>
      <c r="T110" s="7">
        <f>output!H298</f>
        <v>1254678.7296158841</v>
      </c>
      <c r="U110" s="7">
        <f t="shared" si="93"/>
        <v>1848188.8532652701</v>
      </c>
      <c r="V110" s="33"/>
      <c r="W110" s="25"/>
      <c r="Y110" s="3" t="s">
        <v>213</v>
      </c>
      <c r="Z110" s="7">
        <f t="shared" si="85"/>
        <v>31830.648899621032</v>
      </c>
      <c r="AA110" s="7">
        <f t="shared" si="86"/>
        <v>-1223.0593920652045</v>
      </c>
      <c r="AB110" s="7">
        <f t="shared" si="87"/>
        <v>12569.868497028467</v>
      </c>
      <c r="AC110" s="7">
        <f t="shared" si="94"/>
        <v>-2470.4301157796435</v>
      </c>
      <c r="AD110" s="7">
        <f t="shared" si="95"/>
        <v>-7736.5980855609523</v>
      </c>
      <c r="AE110" s="7">
        <f t="shared" si="96"/>
        <v>3333.310325026956</v>
      </c>
      <c r="AF110" s="7">
        <f t="shared" si="90"/>
        <v>-34341.10133747803</v>
      </c>
      <c r="AG110" s="7">
        <f t="shared" si="91"/>
        <v>1962.6387907923199</v>
      </c>
      <c r="AH110" s="33"/>
    </row>
    <row r="111" spans="1:34" x14ac:dyDescent="0.2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t="shared" si="92"/>
        <v>2042144.3750582975</v>
      </c>
      <c r="J111" s="33"/>
      <c r="M111" s="3" t="s">
        <v>214</v>
      </c>
      <c r="N111" s="7">
        <f>output!B299</f>
        <v>90659.553316619393</v>
      </c>
      <c r="O111" s="7">
        <f>output!C299</f>
        <v>14158.103478306866</v>
      </c>
      <c r="P111" s="7">
        <f>output!D299</f>
        <v>74819.705096206133</v>
      </c>
      <c r="Q111" s="7">
        <f>output!E299</f>
        <v>59739.943995202353</v>
      </c>
      <c r="R111" s="7">
        <f>output!F299</f>
        <v>317083.79434274993</v>
      </c>
      <c r="S111" s="7">
        <f>output!G299</f>
        <v>73861.402259343173</v>
      </c>
      <c r="T111" s="7">
        <f>output!H299</f>
        <v>1397450.321097495</v>
      </c>
      <c r="U111" s="7">
        <f t="shared" si="93"/>
        <v>2027772.8235859228</v>
      </c>
      <c r="V111" s="33"/>
      <c r="W111" s="25"/>
      <c r="Y111" s="3" t="s">
        <v>214</v>
      </c>
      <c r="Z111" s="7">
        <f t="shared" si="85"/>
        <v>24588.407217697197</v>
      </c>
      <c r="AA111" s="7">
        <f t="shared" si="86"/>
        <v>-900.87909016073354</v>
      </c>
      <c r="AB111" s="7">
        <f t="shared" si="87"/>
        <v>1770.1737356141384</v>
      </c>
      <c r="AC111" s="7">
        <f t="shared" si="94"/>
        <v>684.76775817625457</v>
      </c>
      <c r="AD111" s="7">
        <f t="shared" si="95"/>
        <v>-24520.033485334949</v>
      </c>
      <c r="AE111" s="7">
        <f t="shared" si="96"/>
        <v>-9721.5890679607255</v>
      </c>
      <c r="AF111" s="7">
        <f t="shared" si="90"/>
        <v>-6272.3985404057894</v>
      </c>
      <c r="AG111" s="7">
        <f t="shared" si="91"/>
        <v>-14371.551472374704</v>
      </c>
      <c r="AH111" s="33"/>
    </row>
    <row r="112" spans="1:34" x14ac:dyDescent="0.2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t="shared" si="92"/>
        <v>828105.01502485911</v>
      </c>
      <c r="J112" s="33"/>
      <c r="M112" s="3" t="s">
        <v>129</v>
      </c>
      <c r="N112" s="7">
        <f>output!B300</f>
        <v>44633.947654194679</v>
      </c>
      <c r="O112" s="7">
        <f>output!C300</f>
        <v>5308.2735600020578</v>
      </c>
      <c r="P112" s="7">
        <f>output!D300</f>
        <v>36662.778269940434</v>
      </c>
      <c r="Q112" s="7">
        <f>output!E300</f>
        <v>26703.914490747742</v>
      </c>
      <c r="R112" s="7">
        <f>output!F300</f>
        <v>148610.47132013217</v>
      </c>
      <c r="S112" s="7">
        <f>output!G300</f>
        <v>24854.523524904809</v>
      </c>
      <c r="T112" s="7">
        <f>output!H300</f>
        <v>523782.56253278704</v>
      </c>
      <c r="U112" s="7">
        <f t="shared" si="93"/>
        <v>810556.47135270899</v>
      </c>
      <c r="V112" s="33"/>
      <c r="W112" s="25"/>
      <c r="Y112" s="3" t="s">
        <v>129</v>
      </c>
      <c r="Z112" s="7">
        <f t="shared" si="85"/>
        <v>2527.1678473862776</v>
      </c>
      <c r="AA112" s="7">
        <f t="shared" si="86"/>
        <v>-5077.5304359241427</v>
      </c>
      <c r="AB112" s="7">
        <f t="shared" si="87"/>
        <v>23172.509547611837</v>
      </c>
      <c r="AC112" s="7">
        <f t="shared" si="94"/>
        <v>-10411.480212640159</v>
      </c>
      <c r="AD112" s="7">
        <f t="shared" si="95"/>
        <v>-18607.85005979432</v>
      </c>
      <c r="AE112" s="7">
        <f t="shared" si="96"/>
        <v>-57729.635290354883</v>
      </c>
      <c r="AF112" s="7">
        <f t="shared" si="90"/>
        <v>48578.274931565218</v>
      </c>
      <c r="AG112" s="7">
        <f t="shared" si="91"/>
        <v>-17548.543672150117</v>
      </c>
      <c r="AH112" s="33"/>
    </row>
    <row r="113" spans="1:34" x14ac:dyDescent="0.2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t="shared" si="92"/>
        <v>1716147.0657603382</v>
      </c>
      <c r="J113" s="33"/>
      <c r="M113" s="3" t="s">
        <v>130</v>
      </c>
      <c r="N113" s="7">
        <f>output!B301</f>
        <v>84636.266876862632</v>
      </c>
      <c r="O113" s="7">
        <f>output!C301</f>
        <v>9077.6525035486029</v>
      </c>
      <c r="P113" s="7">
        <f>output!D301</f>
        <v>71497.685669571365</v>
      </c>
      <c r="Q113" s="7">
        <f>output!E301</f>
        <v>55662.42837193366</v>
      </c>
      <c r="R113" s="7">
        <f>output!F301</f>
        <v>300312.91605637572</v>
      </c>
      <c r="S113" s="7">
        <f>output!G301</f>
        <v>47245.604872379117</v>
      </c>
      <c r="T113" s="7">
        <f>output!H301</f>
        <v>1140898.042357729</v>
      </c>
      <c r="U113" s="7">
        <f t="shared" si="93"/>
        <v>1709330.5967084002</v>
      </c>
      <c r="V113" s="33"/>
      <c r="W113" s="25"/>
      <c r="Y113" s="3" t="s">
        <v>130</v>
      </c>
      <c r="Z113" s="7">
        <f t="shared" si="85"/>
        <v>12304.500241740534</v>
      </c>
      <c r="AA113" s="7">
        <f t="shared" si="86"/>
        <v>-1799.8699328407965</v>
      </c>
      <c r="AB113" s="7">
        <f t="shared" si="87"/>
        <v>22203.129803559568</v>
      </c>
      <c r="AC113" s="7">
        <f t="shared" si="94"/>
        <v>-3693.925412037941</v>
      </c>
      <c r="AD113" s="7">
        <f t="shared" si="95"/>
        <v>-69209.046390950563</v>
      </c>
      <c r="AE113" s="7">
        <f t="shared" si="96"/>
        <v>-20105.566299955986</v>
      </c>
      <c r="AF113" s="7">
        <f t="shared" si="90"/>
        <v>53484.308938547038</v>
      </c>
      <c r="AG113" s="7">
        <f t="shared" si="91"/>
        <v>-6816.4690519380383</v>
      </c>
      <c r="AH113" s="33"/>
    </row>
    <row r="114" spans="1:34" x14ac:dyDescent="0.2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t="shared" si="92"/>
        <v>5897768.1955870679</v>
      </c>
      <c r="J114" s="33"/>
      <c r="M114" s="8" t="s">
        <v>145</v>
      </c>
      <c r="N114" s="7">
        <f>output!B302</f>
        <v>295534.4760543633</v>
      </c>
      <c r="O114" s="7">
        <f>output!C302</f>
        <v>45148.605365764102</v>
      </c>
      <c r="P114" s="7">
        <f>output!D302</f>
        <v>248346.7594672711</v>
      </c>
      <c r="Q114" s="7">
        <f>output!E302</f>
        <v>175220.17687216209</v>
      </c>
      <c r="R114" s="7">
        <f>output!F302</f>
        <v>963950.16844831128</v>
      </c>
      <c r="S114" s="7">
        <f>output!G302</f>
        <v>215331.75117579536</v>
      </c>
      <c r="T114" s="7">
        <f>output!H302</f>
        <v>3837037.5047056968</v>
      </c>
      <c r="U114" s="7">
        <f t="shared" si="93"/>
        <v>5780569.4420893639</v>
      </c>
      <c r="V114" s="33"/>
      <c r="W114" s="25"/>
      <c r="Y114" s="8" t="s">
        <v>145</v>
      </c>
      <c r="Z114" s="7">
        <f t="shared" si="85"/>
        <v>53764.816741456714</v>
      </c>
      <c r="AA114" s="7">
        <f t="shared" si="86"/>
        <v>-13404.4875138223</v>
      </c>
      <c r="AB114" s="7">
        <f t="shared" si="87"/>
        <v>-14631.211075378815</v>
      </c>
      <c r="AC114" s="7">
        <f t="shared" si="94"/>
        <v>-48672.615244000219</v>
      </c>
      <c r="AD114" s="7">
        <f t="shared" si="95"/>
        <v>-96395.92409767257</v>
      </c>
      <c r="AE114" s="7">
        <f t="shared" si="96"/>
        <v>-72809.676694826543</v>
      </c>
      <c r="AF114" s="7">
        <f t="shared" si="90"/>
        <v>74950.344386539888</v>
      </c>
      <c r="AG114" s="7">
        <f t="shared" si="91"/>
        <v>-117198.75349770393</v>
      </c>
      <c r="AH114" s="33"/>
    </row>
    <row r="115" spans="1:34" ht="13.5" thickBot="1" x14ac:dyDescent="0.25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t="shared" ref="F115:G115" si="97">SUM(F107:F114)</f>
        <v>3162400.6913505145</v>
      </c>
      <c r="G115" s="11">
        <f t="shared" si="97"/>
        <v>742577.98215428041</v>
      </c>
      <c r="H115" s="11">
        <f t="shared" ref="H115" si="98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820064.69406157371</v>
      </c>
      <c r="O115" s="11">
        <f>SUM(O107:O114)</f>
        <v>105319.33045113977</v>
      </c>
      <c r="P115" s="11">
        <f>SUM(P107:P114)</f>
        <v>683311.70611129422</v>
      </c>
      <c r="Q115" s="11">
        <f>SUM(Q107:Q114)</f>
        <v>511521.77001388365</v>
      </c>
      <c r="R115" s="11">
        <f t="shared" ref="R115:S115" si="99">SUM(R107:R114)</f>
        <v>2801081.1068237005</v>
      </c>
      <c r="S115" s="11">
        <f t="shared" si="99"/>
        <v>542312.51324796281</v>
      </c>
      <c r="T115" s="11">
        <f t="shared" ref="T115" si="100">SUM(T107:T114)</f>
        <v>10979932.365733117</v>
      </c>
      <c r="U115" s="11">
        <f>SUM(U107:U114)</f>
        <v>16443543.486442672</v>
      </c>
      <c r="V115" s="33"/>
      <c r="W115" s="25"/>
      <c r="Y115" s="10" t="s">
        <v>221</v>
      </c>
      <c r="Z115" s="11">
        <f t="shared" si="85"/>
        <v>127071.23582940688</v>
      </c>
      <c r="AA115" s="11">
        <f t="shared" si="86"/>
        <v>-37250.263631027221</v>
      </c>
      <c r="AB115" s="11">
        <f t="shared" si="87"/>
        <v>46959.452377613634</v>
      </c>
      <c r="AC115" s="11">
        <f t="shared" si="88"/>
        <v>-93097.501301462587</v>
      </c>
      <c r="AD115" s="11">
        <f t="shared" si="95"/>
        <v>-361319.58452681405</v>
      </c>
      <c r="AE115" s="11">
        <f t="shared" si="96"/>
        <v>-200265.4689063176</v>
      </c>
      <c r="AF115" s="11">
        <f t="shared" si="96"/>
        <v>212001.58368233964</v>
      </c>
      <c r="AG115" s="11">
        <f t="shared" si="91"/>
        <v>-305900.54647626169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152941.5</v>
      </c>
      <c r="O117" s="7">
        <f>ToursByTourPurpose!O118</f>
        <v>9701</v>
      </c>
      <c r="P117" s="7">
        <f>ToursByTourPurpose!P118</f>
        <v>135841.5</v>
      </c>
      <c r="Q117" s="7">
        <f>ToursByTourPurpose!Q118</f>
        <v>108932</v>
      </c>
      <c r="R117" s="7">
        <f>ToursByTourPurpose!R118</f>
        <v>623275.53186630248</v>
      </c>
      <c r="S117" s="7">
        <f>ToursByTourPurpose!S118</f>
        <v>54870.858576608582</v>
      </c>
      <c r="T117" s="7">
        <f>ToursByTourPurpose!T118</f>
        <v>2656912.4280209807</v>
      </c>
      <c r="U117" s="7">
        <f>ToursByTourPurpose!U118</f>
        <v>3742474.8184638917</v>
      </c>
      <c r="V117" s="33"/>
      <c r="W117" s="25"/>
      <c r="Y117" s="3" t="s">
        <v>88</v>
      </c>
      <c r="Z117" s="7">
        <f t="shared" ref="Z117:AC118" si="101">N117-B117</f>
        <v>1544.8520999999892</v>
      </c>
      <c r="AA117" s="7">
        <f t="shared" si="101"/>
        <v>855.14749999999913</v>
      </c>
      <c r="AB117" s="7">
        <f t="shared" si="101"/>
        <v>4311.5849999999919</v>
      </c>
      <c r="AC117" s="7">
        <f t="shared" si="101"/>
        <v>-14900.130399999995</v>
      </c>
      <c r="AD117" s="7">
        <f t="shared" ref="AD117:AD118" si="102">R117-F117</f>
        <v>-13552.141433697543</v>
      </c>
      <c r="AE117" s="7">
        <f t="shared" ref="AE117:AF118" si="103">S117-G117</f>
        <v>336.1963766085828</v>
      </c>
      <c r="AF117" s="7">
        <f t="shared" si="103"/>
        <v>55361.342720980756</v>
      </c>
      <c r="AG117" s="7">
        <f t="shared" ref="AG117:AG118" si="104">U117-I117</f>
        <v>33956.851863891818</v>
      </c>
      <c r="AH117" s="33"/>
    </row>
    <row r="118" spans="1:34" x14ac:dyDescent="0.2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t="shared" ref="F118:I118" si="105">F115/F117</f>
        <v>4.9658656869654516</v>
      </c>
      <c r="G118" s="38">
        <f t="shared" si="105"/>
        <v>13.616623853485251</v>
      </c>
      <c r="H118" s="38">
        <f t="shared" si="105"/>
        <v>4.1390426053498253</v>
      </c>
      <c r="I118" s="38">
        <f t="shared" si="105"/>
        <v>4.5164791390440433</v>
      </c>
      <c r="J118" s="103"/>
      <c r="M118" s="25" t="s">
        <v>91</v>
      </c>
      <c r="N118" s="38">
        <f>N115/N117</f>
        <v>5.3619501185850389</v>
      </c>
      <c r="O118" s="38">
        <f>O115/O117</f>
        <v>10.85654370179773</v>
      </c>
      <c r="P118" s="38">
        <f>P115/P117</f>
        <v>5.0302131978172664</v>
      </c>
      <c r="Q118" s="38">
        <f>Q115/Q117</f>
        <v>4.6957897588760291</v>
      </c>
      <c r="R118" s="38">
        <f t="shared" ref="R118:U118" si="106">R115/R117</f>
        <v>4.4941297445710644</v>
      </c>
      <c r="S118" s="38">
        <f t="shared" si="106"/>
        <v>9.8834340725834817</v>
      </c>
      <c r="T118" s="38">
        <f t="shared" ref="T118" si="107">T115/T117</f>
        <v>4.1325909916841308</v>
      </c>
      <c r="U118" s="38">
        <f t="shared" si="106"/>
        <v>4.3937619580809804</v>
      </c>
      <c r="V118" s="103"/>
      <c r="W118" s="25"/>
      <c r="Y118" s="3" t="s">
        <v>91</v>
      </c>
      <c r="Z118" s="38">
        <f t="shared" si="101"/>
        <v>0.78461324987246073</v>
      </c>
      <c r="AA118" s="38">
        <f t="shared" si="101"/>
        <v>-5.2605681404093367</v>
      </c>
      <c r="AB118" s="38">
        <f t="shared" si="101"/>
        <v>0.19213317827433141</v>
      </c>
      <c r="AC118" s="38">
        <f t="shared" si="101"/>
        <v>-0.1867820693103841</v>
      </c>
      <c r="AD118" s="38">
        <f t="shared" si="102"/>
        <v>-0.47173594239438721</v>
      </c>
      <c r="AE118" s="38">
        <f t="shared" si="103"/>
        <v>-3.7331897809017693</v>
      </c>
      <c r="AF118" s="38">
        <f t="shared" si="103"/>
        <v>-6.4516136656944667E-3</v>
      </c>
      <c r="AG118" s="38">
        <f t="shared" si="104"/>
        <v>-0.12271718096306294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25" t="s">
        <v>313</v>
      </c>
      <c r="Z121" s="225"/>
      <c r="AA121" s="225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t="shared" ref="B124:G130" si="111">B107/B$115</f>
        <v>0.15430028041022012</v>
      </c>
      <c r="C124" s="12">
        <f t="shared" si="111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t="shared" ref="F124:G124" si="112">F107/F$115</f>
        <v>0.16978515179712139</v>
      </c>
      <c r="G124" s="12">
        <f t="shared" si="112"/>
        <v>0.1780966270437524</v>
      </c>
      <c r="H124" s="12">
        <f t="shared" ref="H124" si="113">H107/H$115</f>
        <v>0.1243290933470224</v>
      </c>
      <c r="I124" s="12">
        <f t="shared" ref="I124:I132" si="114">I107/I$115</f>
        <v>0.13721359344407819</v>
      </c>
      <c r="J124" s="34"/>
      <c r="M124" s="3" t="s">
        <v>210</v>
      </c>
      <c r="N124" s="12">
        <f t="shared" ref="N124:S132" si="115">N107/N$115</f>
        <v>0.13699646788323208</v>
      </c>
      <c r="O124" s="12">
        <f t="shared" si="115"/>
        <v>0.12937891124385884</v>
      </c>
      <c r="P124" s="12">
        <f t="shared" si="115"/>
        <v>0.13663578012280306</v>
      </c>
      <c r="Q124" s="12">
        <f t="shared" si="115"/>
        <v>0.13860492938420671</v>
      </c>
      <c r="R124" s="12">
        <f t="shared" si="115"/>
        <v>0.15557787973810192</v>
      </c>
      <c r="S124" s="12">
        <f t="shared" si="115"/>
        <v>0.16297826651010541</v>
      </c>
      <c r="T124" s="12">
        <f t="shared" ref="T124" si="116">T107/T$115</f>
        <v>0.12554598636311229</v>
      </c>
      <c r="U124" s="12">
        <f t="shared" ref="U124:U132" si="117">U107/U$115</f>
        <v>0.13335897991974138</v>
      </c>
      <c r="V124" s="34"/>
      <c r="W124" s="25"/>
      <c r="Y124" s="3" t="s">
        <v>210</v>
      </c>
      <c r="Z124" s="12">
        <f t="shared" ref="Z124:Z132" si="118">N124-B124</f>
        <v>-1.7303812526988038E-2</v>
      </c>
      <c r="AA124" s="12">
        <f t="shared" ref="AA124:AA132" si="119">O124-C124</f>
        <v>-4.4253431432661333E-2</v>
      </c>
      <c r="AB124" s="12">
        <f t="shared" ref="AB124:AB132" si="120">P124-D124</f>
        <v>7.8555717634412603E-4</v>
      </c>
      <c r="AC124" s="12">
        <f>Q124-E124</f>
        <v>1.9236183517573849E-2</v>
      </c>
      <c r="AD124" s="12">
        <f>R124-F124</f>
        <v>-1.4207272059019477E-2</v>
      </c>
      <c r="AE124" s="12">
        <f>S124-G124</f>
        <v>-1.5118360533646985E-2</v>
      </c>
      <c r="AF124" s="12">
        <f>T124-H124</f>
        <v>1.21689301608989E-3</v>
      </c>
      <c r="AG124" s="12">
        <f t="shared" ref="AG124:AG132" si="121">U124-I124</f>
        <v>-3.8546135243368029E-3</v>
      </c>
      <c r="AH124" s="34"/>
    </row>
    <row r="125" spans="1:34" x14ac:dyDescent="0.2">
      <c r="A125" s="3" t="s">
        <v>211</v>
      </c>
      <c r="B125" s="12">
        <f t="shared" si="111"/>
        <v>5.5507187080978002E-2</v>
      </c>
      <c r="C125" s="12">
        <f t="shared" si="111"/>
        <v>9.8676508878029409E-3</v>
      </c>
      <c r="D125" s="12">
        <f t="shared" si="111"/>
        <v>5.1909545946931646E-2</v>
      </c>
      <c r="E125" s="12">
        <f t="shared" si="111"/>
        <v>5.693209610939555E-2</v>
      </c>
      <c r="F125" s="12">
        <f t="shared" si="111"/>
        <v>5.3472150195443727E-2</v>
      </c>
      <c r="G125" s="12">
        <f t="shared" si="111"/>
        <v>8.8551065760114761E-3</v>
      </c>
      <c r="H125" s="12">
        <f t="shared" ref="H125" si="122">H108/H$115</f>
        <v>5.497699106000415E-2</v>
      </c>
      <c r="I125" s="12">
        <f t="shared" si="114"/>
        <v>5.2240083197403579E-2</v>
      </c>
      <c r="J125" s="34"/>
      <c r="M125" s="3" t="s">
        <v>211</v>
      </c>
      <c r="N125" s="12">
        <f t="shared" si="115"/>
        <v>5.119322073009825E-2</v>
      </c>
      <c r="O125" s="12">
        <f t="shared" si="115"/>
        <v>1.4628725150483687E-2</v>
      </c>
      <c r="P125" s="12">
        <f t="shared" si="115"/>
        <v>5.0366466651856338E-2</v>
      </c>
      <c r="Q125" s="12">
        <f t="shared" si="115"/>
        <v>5.1521353767774294E-2</v>
      </c>
      <c r="R125" s="12">
        <f t="shared" ref="R125:S125" si="123">R108/R$115</f>
        <v>4.9200396078237243E-2</v>
      </c>
      <c r="S125" s="12">
        <f t="shared" si="123"/>
        <v>1.3132696739153708E-2</v>
      </c>
      <c r="T125" s="12">
        <f t="shared" ref="T125" si="124">T108/T$115</f>
        <v>5.3591481549194471E-2</v>
      </c>
      <c r="U125" s="12">
        <f t="shared" si="117"/>
        <v>5.0941568642019673E-2</v>
      </c>
      <c r="V125" s="34"/>
      <c r="W125" s="25"/>
      <c r="Y125" s="3" t="s">
        <v>211</v>
      </c>
      <c r="Z125" s="12">
        <f t="shared" si="118"/>
        <v>-4.3139663508797513E-3</v>
      </c>
      <c r="AA125" s="12">
        <f t="shared" si="119"/>
        <v>4.7610742626807458E-3</v>
      </c>
      <c r="AB125" s="12">
        <f t="shared" si="120"/>
        <v>-1.5430792950753072E-3</v>
      </c>
      <c r="AC125" s="12">
        <f t="shared" ref="AC125:AC132" si="125">Q125-E125</f>
        <v>-5.4107423416212552E-3</v>
      </c>
      <c r="AD125" s="12">
        <f t="shared" ref="AD125:AD132" si="126">R125-F125</f>
        <v>-4.2717541172064832E-3</v>
      </c>
      <c r="AE125" s="12">
        <f t="shared" ref="AE125:AF132" si="127">S125-G125</f>
        <v>4.2775901631422319E-3</v>
      </c>
      <c r="AF125" s="12">
        <f t="shared" ref="AF125:AF131" si="128">T125-H125</f>
        <v>-1.3855095108096793E-3</v>
      </c>
      <c r="AG125" s="12">
        <f t="shared" si="121"/>
        <v>-1.2985145553839061E-3</v>
      </c>
      <c r="AH125" s="34"/>
    </row>
    <row r="126" spans="1:34" x14ac:dyDescent="0.2">
      <c r="A126" s="3" t="s">
        <v>212</v>
      </c>
      <c r="B126" s="12">
        <f t="shared" si="111"/>
        <v>0.10104861854803449</v>
      </c>
      <c r="C126" s="12">
        <f t="shared" si="111"/>
        <v>6.7270507518730718E-2</v>
      </c>
      <c r="D126" s="12">
        <f t="shared" si="111"/>
        <v>8.9756944286384047E-2</v>
      </c>
      <c r="E126" s="12">
        <f t="shared" si="111"/>
        <v>9.8922538033235044E-2</v>
      </c>
      <c r="F126" s="12">
        <f t="shared" si="111"/>
        <v>6.3692707523859277E-2</v>
      </c>
      <c r="G126" s="12">
        <f t="shared" si="111"/>
        <v>3.7862339047664874E-2</v>
      </c>
      <c r="H126" s="12">
        <f t="shared" ref="H126" si="129">H109/H$115</f>
        <v>7.6126747191851779E-2</v>
      </c>
      <c r="I126" s="12">
        <f t="shared" si="114"/>
        <v>7.43791501872057E-2</v>
      </c>
      <c r="J126" s="34"/>
      <c r="M126" s="3" t="s">
        <v>212</v>
      </c>
      <c r="N126" s="12">
        <f t="shared" si="115"/>
        <v>7.7005155809541301E-2</v>
      </c>
      <c r="O126" s="12">
        <f t="shared" si="115"/>
        <v>5.4510633627115647E-2</v>
      </c>
      <c r="P126" s="12">
        <f t="shared" si="115"/>
        <v>7.4186557915337598E-2</v>
      </c>
      <c r="Q126" s="12">
        <f t="shared" si="115"/>
        <v>7.9405825698878996E-2</v>
      </c>
      <c r="R126" s="12">
        <f t="shared" ref="R126:S126" si="130">R109/R$115</f>
        <v>6.7474024987271258E-2</v>
      </c>
      <c r="S126" s="12">
        <f t="shared" si="130"/>
        <v>5.2004128217300147E-2</v>
      </c>
      <c r="T126" s="12">
        <f t="shared" ref="T126" si="131">T109/T$115</f>
        <v>7.8248926765619967E-2</v>
      </c>
      <c r="U126" s="12">
        <f t="shared" si="117"/>
        <v>7.520101829693665E-2</v>
      </c>
      <c r="V126" s="34"/>
      <c r="W126" s="25"/>
      <c r="Y126" s="3" t="s">
        <v>212</v>
      </c>
      <c r="Z126" s="12">
        <f t="shared" si="118"/>
        <v>-2.4043462738493185E-2</v>
      </c>
      <c r="AA126" s="12">
        <f t="shared" si="119"/>
        <v>-1.2759873891615071E-2</v>
      </c>
      <c r="AB126" s="12">
        <f t="shared" si="120"/>
        <v>-1.5570386371046449E-2</v>
      </c>
      <c r="AC126" s="12">
        <f t="shared" si="125"/>
        <v>-1.9516712334356048E-2</v>
      </c>
      <c r="AD126" s="12">
        <f t="shared" si="126"/>
        <v>3.7813174634119817E-3</v>
      </c>
      <c r="AE126" s="12">
        <f t="shared" si="127"/>
        <v>1.4141789169635273E-2</v>
      </c>
      <c r="AF126" s="12">
        <f t="shared" si="128"/>
        <v>2.1221795737681876E-3</v>
      </c>
      <c r="AG126" s="12">
        <f t="shared" si="121"/>
        <v>8.2186810973094993E-4</v>
      </c>
      <c r="AH126" s="34"/>
    </row>
    <row r="127" spans="1:34" x14ac:dyDescent="0.2">
      <c r="A127" s="3" t="s">
        <v>213</v>
      </c>
      <c r="B127" s="12">
        <f t="shared" si="111"/>
        <v>7.9788447704277704E-2</v>
      </c>
      <c r="C127" s="12">
        <f t="shared" si="111"/>
        <v>8.3762205619539828E-2</v>
      </c>
      <c r="D127" s="12">
        <f t="shared" si="111"/>
        <v>9.576699226540307E-2</v>
      </c>
      <c r="E127" s="12">
        <f t="shared" si="111"/>
        <v>9.724168215271127E-2</v>
      </c>
      <c r="F127" s="12">
        <f t="shared" si="111"/>
        <v>0.10000616921708182</v>
      </c>
      <c r="G127" s="12">
        <f t="shared" si="111"/>
        <v>7.268765547142296E-2</v>
      </c>
      <c r="H127" s="12">
        <f t="shared" ref="H127" si="132">H110/H$115</f>
        <v>0.11970914905044229</v>
      </c>
      <c r="I127" s="12">
        <f t="shared" si="114"/>
        <v>0.11022611919810302</v>
      </c>
      <c r="J127" s="34"/>
      <c r="M127" s="3" t="s">
        <v>213</v>
      </c>
      <c r="N127" s="12">
        <f t="shared" si="115"/>
        <v>0.10623981477569043</v>
      </c>
      <c r="O127" s="12">
        <f t="shared" si="115"/>
        <v>0.10177508930815268</v>
      </c>
      <c r="P127" s="12">
        <f t="shared" si="115"/>
        <v>0.10758107786088551</v>
      </c>
      <c r="Q127" s="12">
        <f t="shared" si="115"/>
        <v>0.11011020095457995</v>
      </c>
      <c r="R127" s="12">
        <f t="shared" ref="R127:S127" si="133">R110/R$115</f>
        <v>0.11014425103016966</v>
      </c>
      <c r="S127" s="12">
        <f t="shared" si="133"/>
        <v>0.1056762686689436</v>
      </c>
      <c r="T127" s="12">
        <f t="shared" ref="T127" si="134">T110/T$115</f>
        <v>0.11427016923451794</v>
      </c>
      <c r="U127" s="12">
        <f t="shared" si="117"/>
        <v>0.11239602065023636</v>
      </c>
      <c r="V127" s="34"/>
      <c r="W127" s="25"/>
      <c r="Y127" s="3" t="s">
        <v>213</v>
      </c>
      <c r="Z127" s="12">
        <f t="shared" si="118"/>
        <v>2.6451367071412726E-2</v>
      </c>
      <c r="AA127" s="12">
        <f t="shared" si="119"/>
        <v>1.8012883688612855E-2</v>
      </c>
      <c r="AB127" s="12">
        <f t="shared" si="120"/>
        <v>1.1814085595482443E-2</v>
      </c>
      <c r="AC127" s="12">
        <f t="shared" si="125"/>
        <v>1.2868518801868678E-2</v>
      </c>
      <c r="AD127" s="12">
        <f t="shared" si="126"/>
        <v>1.013808181308784E-2</v>
      </c>
      <c r="AE127" s="12">
        <f t="shared" si="127"/>
        <v>3.2988613197520639E-2</v>
      </c>
      <c r="AF127" s="12">
        <f t="shared" si="128"/>
        <v>-5.4389798159243524E-3</v>
      </c>
      <c r="AG127" s="12">
        <f t="shared" si="121"/>
        <v>2.1699014521333465E-3</v>
      </c>
      <c r="AH127" s="34"/>
    </row>
    <row r="128" spans="1:34" x14ac:dyDescent="0.2">
      <c r="A128" s="3" t="s">
        <v>214</v>
      </c>
      <c r="B128" s="12">
        <f t="shared" si="111"/>
        <v>9.534165916583158E-2</v>
      </c>
      <c r="C128" s="12">
        <f t="shared" si="111"/>
        <v>0.10562548533166666</v>
      </c>
      <c r="D128" s="12">
        <f t="shared" si="111"/>
        <v>0.1147941740317367</v>
      </c>
      <c r="E128" s="12">
        <f t="shared" si="111"/>
        <v>9.767332772664003E-2</v>
      </c>
      <c r="F128" s="12">
        <f t="shared" si="111"/>
        <v>0.10802041270810681</v>
      </c>
      <c r="G128" s="12">
        <f t="shared" si="111"/>
        <v>0.11255786373415314</v>
      </c>
      <c r="H128" s="12">
        <f t="shared" ref="H128" si="135">H111/H$115</f>
        <v>0.13036141743943849</v>
      </c>
      <c r="I128" s="12">
        <f t="shared" si="114"/>
        <v>0.12192311404753009</v>
      </c>
      <c r="J128" s="34"/>
      <c r="M128" s="3" t="s">
        <v>214</v>
      </c>
      <c r="N128" s="12">
        <f t="shared" si="115"/>
        <v>0.11055170887507115</v>
      </c>
      <c r="O128" s="12">
        <f t="shared" si="115"/>
        <v>0.13443024578356164</v>
      </c>
      <c r="P128" s="12">
        <f t="shared" si="115"/>
        <v>0.10949571685520033</v>
      </c>
      <c r="Q128" s="12">
        <f t="shared" si="115"/>
        <v>0.11678866374266124</v>
      </c>
      <c r="R128" s="12">
        <f t="shared" ref="R128:S128" si="136">R111/R$115</f>
        <v>0.11320050446604477</v>
      </c>
      <c r="S128" s="12">
        <f t="shared" si="136"/>
        <v>0.13619711965888448</v>
      </c>
      <c r="T128" s="12">
        <f t="shared" ref="T128" si="137">T111/T$115</f>
        <v>0.12727312651385253</v>
      </c>
      <c r="U128" s="12">
        <f t="shared" si="117"/>
        <v>0.12331726584709526</v>
      </c>
      <c r="V128" s="34"/>
      <c r="W128" s="25"/>
      <c r="Y128" s="3" t="s">
        <v>214</v>
      </c>
      <c r="Z128" s="12">
        <f t="shared" si="118"/>
        <v>1.5210049709239573E-2</v>
      </c>
      <c r="AA128" s="12">
        <f t="shared" si="119"/>
        <v>2.8804760451894978E-2</v>
      </c>
      <c r="AB128" s="12">
        <f t="shared" si="120"/>
        <v>-5.2984571765363614E-3</v>
      </c>
      <c r="AC128" s="12">
        <f t="shared" si="125"/>
        <v>1.9115336016021209E-2</v>
      </c>
      <c r="AD128" s="12">
        <f t="shared" si="126"/>
        <v>5.1800917579379602E-3</v>
      </c>
      <c r="AE128" s="12">
        <f t="shared" si="127"/>
        <v>2.3639255924731345E-2</v>
      </c>
      <c r="AF128" s="12">
        <f t="shared" si="128"/>
        <v>-3.0882909255859625E-3</v>
      </c>
      <c r="AG128" s="12">
        <f t="shared" si="121"/>
        <v>1.3941517995651742E-3</v>
      </c>
      <c r="AH128" s="34"/>
    </row>
    <row r="129" spans="1:34" x14ac:dyDescent="0.2">
      <c r="A129" s="3" t="s">
        <v>129</v>
      </c>
      <c r="B129" s="12">
        <f t="shared" si="111"/>
        <v>6.076071758920093E-2</v>
      </c>
      <c r="C129" s="12">
        <f t="shared" si="111"/>
        <v>7.2847257949970462E-2</v>
      </c>
      <c r="D129" s="12">
        <f t="shared" si="111"/>
        <v>2.1199372899485956E-2</v>
      </c>
      <c r="E129" s="12">
        <f t="shared" si="111"/>
        <v>6.1386390517529393E-2</v>
      </c>
      <c r="F129" s="12">
        <f t="shared" si="111"/>
        <v>5.2877018980322606E-2</v>
      </c>
      <c r="G129" s="12">
        <f t="shared" si="111"/>
        <v>0.11121277603151684</v>
      </c>
      <c r="H129" s="12">
        <f t="shared" ref="H129" si="138">H112/H$115</f>
        <v>4.4131439662794529E-2</v>
      </c>
      <c r="I129" s="12">
        <f t="shared" si="114"/>
        <v>4.9440746415064435E-2</v>
      </c>
      <c r="J129" s="34"/>
      <c r="M129" s="3" t="s">
        <v>129</v>
      </c>
      <c r="N129" s="12">
        <f t="shared" si="115"/>
        <v>5.4427349424267968E-2</v>
      </c>
      <c r="O129" s="12">
        <f t="shared" si="115"/>
        <v>5.0401702491497481E-2</v>
      </c>
      <c r="P129" s="12">
        <f t="shared" si="115"/>
        <v>5.3654544393198195E-2</v>
      </c>
      <c r="Q129" s="12">
        <f t="shared" si="115"/>
        <v>5.2204844556318589E-2</v>
      </c>
      <c r="R129" s="12">
        <f t="shared" ref="R129:S129" si="139">R112/R$115</f>
        <v>5.3054683407096959E-2</v>
      </c>
      <c r="S129" s="12">
        <f t="shared" si="139"/>
        <v>4.5830628867566843E-2</v>
      </c>
      <c r="T129" s="12">
        <f t="shared" ref="T129" si="140">T112/T$115</f>
        <v>4.7703623764335887E-2</v>
      </c>
      <c r="U129" s="12">
        <f t="shared" si="117"/>
        <v>4.9293296911398346E-2</v>
      </c>
      <c r="V129" s="34"/>
      <c r="W129" s="25"/>
      <c r="Y129" s="3" t="s">
        <v>129</v>
      </c>
      <c r="Z129" s="12">
        <f t="shared" si="118"/>
        <v>-6.3333681649329621E-3</v>
      </c>
      <c r="AA129" s="12">
        <f t="shared" si="119"/>
        <v>-2.2445555458472981E-2</v>
      </c>
      <c r="AB129" s="12">
        <f t="shared" si="120"/>
        <v>3.2455171493712243E-2</v>
      </c>
      <c r="AC129" s="12">
        <f t="shared" si="125"/>
        <v>-9.1815459612108047E-3</v>
      </c>
      <c r="AD129" s="12">
        <f t="shared" si="126"/>
        <v>1.7766442677435296E-4</v>
      </c>
      <c r="AE129" s="12">
        <f t="shared" si="127"/>
        <v>-6.5382147163949994E-2</v>
      </c>
      <c r="AF129" s="12">
        <f t="shared" si="128"/>
        <v>3.5721841015413577E-3</v>
      </c>
      <c r="AG129" s="12">
        <f t="shared" si="121"/>
        <v>-1.4744950366608889E-4</v>
      </c>
      <c r="AH129" s="34"/>
    </row>
    <row r="130" spans="1:34" x14ac:dyDescent="0.2">
      <c r="A130" s="3" t="s">
        <v>130</v>
      </c>
      <c r="B130" s="12">
        <f t="shared" si="111"/>
        <v>0.10437582891423124</v>
      </c>
      <c r="C130" s="12">
        <f t="shared" si="111"/>
        <v>7.6296229265549895E-2</v>
      </c>
      <c r="D130" s="12">
        <f t="shared" si="111"/>
        <v>7.7464259106155425E-2</v>
      </c>
      <c r="E130" s="12">
        <f t="shared" si="111"/>
        <v>9.8171455327320523E-2</v>
      </c>
      <c r="F130" s="12">
        <f t="shared" si="111"/>
        <v>0.11684855858335921</v>
      </c>
      <c r="G130" s="12">
        <f t="shared" si="111"/>
        <v>9.0699122234871227E-2</v>
      </c>
      <c r="H130" s="12">
        <f t="shared" ref="H130" si="141">H113/H$115</f>
        <v>0.10098632276052591</v>
      </c>
      <c r="I130" s="12">
        <f t="shared" si="114"/>
        <v>0.10245994209643414</v>
      </c>
      <c r="J130" s="34"/>
      <c r="M130" s="3" t="s">
        <v>130</v>
      </c>
      <c r="N130" s="12">
        <f t="shared" si="115"/>
        <v>0.10320681708376023</v>
      </c>
      <c r="O130" s="12">
        <f t="shared" si="115"/>
        <v>8.6191703504609238E-2</v>
      </c>
      <c r="P130" s="12">
        <f t="shared" si="115"/>
        <v>0.10463407114223534</v>
      </c>
      <c r="Q130" s="12">
        <f t="shared" si="115"/>
        <v>0.10881732046403983</v>
      </c>
      <c r="R130" s="12">
        <f t="shared" ref="R130:S130" si="142">R113/R$115</f>
        <v>0.10721321682716892</v>
      </c>
      <c r="S130" s="12">
        <f t="shared" si="142"/>
        <v>8.7118780625991016E-2</v>
      </c>
      <c r="T130" s="12">
        <f t="shared" ref="T130" si="143">T113/T$115</f>
        <v>0.10390756558012301</v>
      </c>
      <c r="U130" s="12">
        <f t="shared" si="117"/>
        <v>0.10395147482157385</v>
      </c>
      <c r="V130" s="34"/>
      <c r="W130" s="25"/>
      <c r="Y130" s="3" t="s">
        <v>130</v>
      </c>
      <c r="Z130" s="12">
        <f t="shared" si="118"/>
        <v>-1.169011830471009E-3</v>
      </c>
      <c r="AA130" s="12">
        <f t="shared" si="119"/>
        <v>9.8954742390593431E-3</v>
      </c>
      <c r="AB130" s="12">
        <f t="shared" si="120"/>
        <v>2.7169812036079918E-2</v>
      </c>
      <c r="AC130" s="12">
        <f t="shared" si="125"/>
        <v>1.0645865136719307E-2</v>
      </c>
      <c r="AD130" s="12">
        <f t="shared" si="126"/>
        <v>-9.6353417561902965E-3</v>
      </c>
      <c r="AE130" s="12">
        <f t="shared" si="127"/>
        <v>-3.5803416088802109E-3</v>
      </c>
      <c r="AF130" s="12">
        <f t="shared" si="128"/>
        <v>2.921242819597103E-3</v>
      </c>
      <c r="AG130" s="12">
        <f t="shared" si="121"/>
        <v>1.4915327251397159E-3</v>
      </c>
      <c r="AH130" s="34"/>
    </row>
    <row r="131" spans="1:34" x14ac:dyDescent="0.2">
      <c r="A131" s="8" t="s">
        <v>145</v>
      </c>
      <c r="B131" s="12">
        <f t="shared" ref="B131:G132" si="144">B114/B$115</f>
        <v>0.34887726058722601</v>
      </c>
      <c r="C131" s="12">
        <f t="shared" si="144"/>
        <v>0.41069832075021939</v>
      </c>
      <c r="D131" s="12">
        <f t="shared" si="144"/>
        <v>0.41325848851744412</v>
      </c>
      <c r="E131" s="12">
        <f t="shared" si="144"/>
        <v>0.37030376426653527</v>
      </c>
      <c r="F131" s="12">
        <f t="shared" si="144"/>
        <v>0.33529783099470523</v>
      </c>
      <c r="G131" s="12">
        <f t="shared" si="144"/>
        <v>0.38802850986060705</v>
      </c>
      <c r="H131" s="12">
        <f t="shared" ref="H131" si="145">H114/H$115</f>
        <v>0.34937883948792053</v>
      </c>
      <c r="I131" s="12">
        <f t="shared" si="114"/>
        <v>0.35211725141418088</v>
      </c>
      <c r="J131" s="34"/>
      <c r="M131" s="8" t="s">
        <v>145</v>
      </c>
      <c r="N131" s="12">
        <f t="shared" si="115"/>
        <v>0.3603794654183386</v>
      </c>
      <c r="O131" s="12">
        <f t="shared" si="115"/>
        <v>0.42868298889072076</v>
      </c>
      <c r="P131" s="12">
        <f t="shared" si="115"/>
        <v>0.36344578505848352</v>
      </c>
      <c r="Q131" s="12">
        <f t="shared" si="115"/>
        <v>0.34254686143154039</v>
      </c>
      <c r="R131" s="12">
        <f t="shared" ref="R131:S131" si="146">R114/R$115</f>
        <v>0.34413504346590923</v>
      </c>
      <c r="S131" s="12">
        <f t="shared" si="146"/>
        <v>0.39706211071205494</v>
      </c>
      <c r="T131" s="12">
        <f t="shared" ref="T131" si="147">T114/T$115</f>
        <v>0.34945912022924402</v>
      </c>
      <c r="U131" s="12">
        <f t="shared" si="117"/>
        <v>0.35154037491099849</v>
      </c>
      <c r="V131" s="34"/>
      <c r="W131" s="25"/>
      <c r="Y131" s="8" t="s">
        <v>145</v>
      </c>
      <c r="Z131" s="12">
        <f t="shared" si="118"/>
        <v>1.1502204831112584E-2</v>
      </c>
      <c r="AA131" s="12">
        <f t="shared" si="119"/>
        <v>1.798466814050137E-2</v>
      </c>
      <c r="AB131" s="12">
        <f t="shared" si="120"/>
        <v>-4.9812703458960605E-2</v>
      </c>
      <c r="AC131" s="12">
        <f t="shared" si="125"/>
        <v>-2.7756902834994879E-2</v>
      </c>
      <c r="AD131" s="12">
        <f t="shared" si="126"/>
        <v>8.8372124712040034E-3</v>
      </c>
      <c r="AE131" s="12">
        <f t="shared" si="127"/>
        <v>9.0336008514478872E-3</v>
      </c>
      <c r="AF131" s="12">
        <f t="shared" si="128"/>
        <v>8.0280741323490723E-5</v>
      </c>
      <c r="AG131" s="12">
        <f t="shared" si="121"/>
        <v>-5.7687650318238859E-4</v>
      </c>
      <c r="AH131" s="34"/>
    </row>
    <row r="132" spans="1:34" ht="13.5" thickBot="1" x14ac:dyDescent="0.25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37"/>
  <sheetViews>
    <sheetView topLeftCell="A204" workbookViewId="0">
      <selection activeCell="A220" sqref="A220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25194.068566962575</v>
      </c>
      <c r="C4">
        <f t="shared" si="0"/>
        <v>17205.645160483808</v>
      </c>
      <c r="D4">
        <f t="shared" si="0"/>
        <v>39262.611129210476</v>
      </c>
      <c r="E4">
        <f t="shared" si="0"/>
        <v>70811.544850146005</v>
      </c>
      <c r="F4">
        <f t="shared" si="0"/>
        <v>5191.0264688157058</v>
      </c>
      <c r="G4">
        <f t="shared" si="0"/>
        <v>5299.446194450743</v>
      </c>
      <c r="H4">
        <f t="shared" si="0"/>
        <v>21634.511975008918</v>
      </c>
      <c r="I4">
        <f t="shared" ref="I4:J7" si="1">V4*$B$1</f>
        <v>22133.073256079242</v>
      </c>
      <c r="J4">
        <f t="shared" si="1"/>
        <v>206731.92760115751</v>
      </c>
      <c r="N4">
        <v>0</v>
      </c>
      <c r="O4" s="105">
        <v>25194.068566962575</v>
      </c>
      <c r="P4" s="105">
        <v>17205.645160483808</v>
      </c>
      <c r="Q4" s="105">
        <v>39262.611129210476</v>
      </c>
      <c r="R4" s="105">
        <v>70811.544850146005</v>
      </c>
      <c r="S4" s="105">
        <v>5191.0264688157058</v>
      </c>
      <c r="T4" s="105">
        <v>5299.446194450743</v>
      </c>
      <c r="U4" s="105">
        <v>21634.511975008918</v>
      </c>
      <c r="V4" s="105">
        <v>22133.073256079242</v>
      </c>
      <c r="W4">
        <f>SUM(O4:V4)</f>
        <v>206731.92760115751</v>
      </c>
    </row>
    <row r="5" spans="1:23" x14ac:dyDescent="0.2">
      <c r="A5">
        <v>1</v>
      </c>
      <c r="B5">
        <f t="shared" si="0"/>
        <v>782820.73860905902</v>
      </c>
      <c r="C5">
        <f t="shared" si="0"/>
        <v>147708.42773698183</v>
      </c>
      <c r="D5">
        <f t="shared" si="0"/>
        <v>186815.25896461951</v>
      </c>
      <c r="E5">
        <f t="shared" si="0"/>
        <v>238535.13268089079</v>
      </c>
      <c r="F5">
        <f t="shared" si="0"/>
        <v>82584.292273070081</v>
      </c>
      <c r="G5">
        <f t="shared" si="0"/>
        <v>71533.040299018947</v>
      </c>
      <c r="H5">
        <f t="shared" si="0"/>
        <v>265640.78245710721</v>
      </c>
      <c r="I5">
        <f t="shared" si="1"/>
        <v>106285.19785797071</v>
      </c>
      <c r="J5">
        <f t="shared" si="1"/>
        <v>1881922.8708787181</v>
      </c>
      <c r="N5">
        <v>1</v>
      </c>
      <c r="O5" s="105">
        <v>782820.73860905902</v>
      </c>
      <c r="P5" s="105">
        <v>147708.42773698183</v>
      </c>
      <c r="Q5" s="105">
        <v>186815.25896461951</v>
      </c>
      <c r="R5" s="105">
        <v>238535.13268089079</v>
      </c>
      <c r="S5" s="105">
        <v>82584.292273070081</v>
      </c>
      <c r="T5" s="105">
        <v>71533.040299018947</v>
      </c>
      <c r="U5" s="105">
        <v>265640.78245710721</v>
      </c>
      <c r="V5" s="105">
        <v>106285.19785797071</v>
      </c>
      <c r="W5">
        <f>SUM(O5:V5)</f>
        <v>1881922.8708787181</v>
      </c>
    </row>
    <row r="6" spans="1:23" x14ac:dyDescent="0.2">
      <c r="A6">
        <v>2</v>
      </c>
      <c r="B6">
        <f t="shared" si="0"/>
        <v>478031.10551989579</v>
      </c>
      <c r="C6">
        <f t="shared" si="0"/>
        <v>113467.11883119131</v>
      </c>
      <c r="D6">
        <f t="shared" si="0"/>
        <v>113187.03974149964</v>
      </c>
      <c r="E6">
        <f t="shared" si="0"/>
        <v>162474.55891039819</v>
      </c>
      <c r="F6">
        <f t="shared" si="0"/>
        <v>67257.530099794516</v>
      </c>
      <c r="G6">
        <f t="shared" si="0"/>
        <v>34772.814475242143</v>
      </c>
      <c r="H6">
        <f t="shared" si="0"/>
        <v>152652.94398739602</v>
      </c>
      <c r="I6">
        <f t="shared" si="1"/>
        <v>65463.086700717453</v>
      </c>
      <c r="J6">
        <f t="shared" si="1"/>
        <v>1187306.1982661351</v>
      </c>
      <c r="N6">
        <v>2</v>
      </c>
      <c r="O6" s="105">
        <v>478031.10551989579</v>
      </c>
      <c r="P6" s="105">
        <v>113467.11883119131</v>
      </c>
      <c r="Q6" s="105">
        <v>113187.03974149964</v>
      </c>
      <c r="R6" s="105">
        <v>162474.55891039819</v>
      </c>
      <c r="S6" s="105">
        <v>67257.530099794516</v>
      </c>
      <c r="T6" s="105">
        <v>34772.814475242143</v>
      </c>
      <c r="U6" s="105">
        <v>152652.94398739602</v>
      </c>
      <c r="V6" s="105">
        <v>65463.086700717453</v>
      </c>
      <c r="W6">
        <f>SUM(O6:V6)</f>
        <v>1187306.1982661351</v>
      </c>
    </row>
    <row r="7" spans="1:23" x14ac:dyDescent="0.2">
      <c r="A7">
        <v>3</v>
      </c>
      <c r="B7">
        <f t="shared" si="0"/>
        <v>124176.46655820693</v>
      </c>
      <c r="C7">
        <f t="shared" si="0"/>
        <v>52206.602371477988</v>
      </c>
      <c r="D7">
        <f t="shared" si="0"/>
        <v>54442.269514930485</v>
      </c>
      <c r="E7">
        <f t="shared" si="0"/>
        <v>102081.34156256811</v>
      </c>
      <c r="F7">
        <f t="shared" si="0"/>
        <v>20533.284338111578</v>
      </c>
      <c r="G7">
        <f t="shared" si="0"/>
        <v>7935.0760055212304</v>
      </c>
      <c r="H7">
        <f t="shared" si="0"/>
        <v>63959.717397483233</v>
      </c>
      <c r="I7">
        <f t="shared" si="1"/>
        <v>41179.063969581191</v>
      </c>
      <c r="J7">
        <f t="shared" si="1"/>
        <v>466513.82171788078</v>
      </c>
      <c r="N7">
        <v>3</v>
      </c>
      <c r="O7" s="105">
        <v>124176.46655820693</v>
      </c>
      <c r="P7" s="105">
        <v>52206.602371477988</v>
      </c>
      <c r="Q7" s="105">
        <v>54442.269514930485</v>
      </c>
      <c r="R7" s="105">
        <v>102081.34156256811</v>
      </c>
      <c r="S7" s="105">
        <v>20533.284338111578</v>
      </c>
      <c r="T7" s="105">
        <v>7935.0760055212304</v>
      </c>
      <c r="U7" s="105">
        <v>63959.717397483233</v>
      </c>
      <c r="V7" s="105">
        <v>41179.063969581191</v>
      </c>
      <c r="W7">
        <f>SUM(O7:V7)</f>
        <v>466513.82171788078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B23" si="2">O11*$B$1</f>
        <v>25194.068566962575</v>
      </c>
      <c r="C11">
        <f t="shared" ref="C11:C23" si="3">P11*$B$1</f>
        <v>17205.645160483808</v>
      </c>
      <c r="D11">
        <f t="shared" ref="D11:D23" si="4">Q11*$B$1</f>
        <v>39262.611129210476</v>
      </c>
      <c r="E11">
        <f t="shared" ref="E11:E23" si="5">R11*$B$1</f>
        <v>70811.544850146005</v>
      </c>
      <c r="F11">
        <f t="shared" ref="F11:F23" si="6">S11*$B$1</f>
        <v>5191.0264688157058</v>
      </c>
      <c r="G11">
        <f t="shared" ref="G11:G23" si="7">T11*$B$1</f>
        <v>5299.446194450743</v>
      </c>
      <c r="H11">
        <f t="shared" ref="H11:H23" si="8">U11*$B$1</f>
        <v>21634.511975008918</v>
      </c>
      <c r="I11">
        <f t="shared" ref="I11:I23" si="9">V11*$B$1</f>
        <v>22133.073256079242</v>
      </c>
      <c r="J11">
        <f t="shared" ref="J11:J23" si="10">W11*$B$1</f>
        <v>206731.92760115751</v>
      </c>
      <c r="N11" t="s">
        <v>226</v>
      </c>
      <c r="O11" s="105">
        <v>25194.068566962575</v>
      </c>
      <c r="P11" s="105">
        <v>17205.645160483808</v>
      </c>
      <c r="Q11" s="105">
        <v>39262.611129210476</v>
      </c>
      <c r="R11" s="105">
        <v>70811.544850146005</v>
      </c>
      <c r="S11" s="105">
        <v>5191.0264688157058</v>
      </c>
      <c r="T11" s="105">
        <v>5299.446194450743</v>
      </c>
      <c r="U11" s="105">
        <v>21634.511975008918</v>
      </c>
      <c r="V11" s="105">
        <v>22133.073256079242</v>
      </c>
      <c r="W11">
        <f>SUM(O11:V11)</f>
        <v>206731.92760115751</v>
      </c>
    </row>
    <row r="12" spans="1:23" x14ac:dyDescent="0.2">
      <c r="A12" s="95" t="s">
        <v>231</v>
      </c>
      <c r="B12">
        <f t="shared" si="2"/>
        <v>165826.93298841678</v>
      </c>
      <c r="C12">
        <f t="shared" si="3"/>
        <v>25262.215192341166</v>
      </c>
      <c r="D12">
        <f t="shared" si="4"/>
        <v>28162.99282449533</v>
      </c>
      <c r="E12">
        <f t="shared" si="5"/>
        <v>42060.614715847783</v>
      </c>
      <c r="F12">
        <f t="shared" si="6"/>
        <v>14247.679224080643</v>
      </c>
      <c r="G12">
        <f t="shared" si="7"/>
        <v>19280.807943730935</v>
      </c>
      <c r="H12">
        <f t="shared" si="8"/>
        <v>89392.708879216487</v>
      </c>
      <c r="I12">
        <f t="shared" si="9"/>
        <v>16655.955315366478</v>
      </c>
      <c r="J12">
        <f t="shared" si="10"/>
        <v>400889.90708349564</v>
      </c>
      <c r="N12" s="95" t="s">
        <v>231</v>
      </c>
      <c r="O12" s="105">
        <v>165826.93298841678</v>
      </c>
      <c r="P12" s="105">
        <v>25262.215192341166</v>
      </c>
      <c r="Q12" s="105">
        <v>28162.99282449533</v>
      </c>
      <c r="R12" s="105">
        <v>42060.614715847783</v>
      </c>
      <c r="S12" s="105">
        <v>14247.679224080643</v>
      </c>
      <c r="T12" s="105">
        <v>19280.807943730935</v>
      </c>
      <c r="U12" s="105">
        <v>89392.708879216487</v>
      </c>
      <c r="V12" s="105">
        <v>16655.955315366478</v>
      </c>
      <c r="W12">
        <f t="shared" ref="W12:W23" si="11">SUM(O12:V12)</f>
        <v>400889.90708349564</v>
      </c>
    </row>
    <row r="13" spans="1:23" x14ac:dyDescent="0.2">
      <c r="A13" s="93" t="s">
        <v>232</v>
      </c>
      <c r="B13">
        <f t="shared" si="2"/>
        <v>286676.37929702754</v>
      </c>
      <c r="C13">
        <f t="shared" si="3"/>
        <v>48295.833308190151</v>
      </c>
      <c r="D13">
        <f t="shared" si="4"/>
        <v>63698.290552551662</v>
      </c>
      <c r="E13">
        <f t="shared" si="5"/>
        <v>82343.433562137099</v>
      </c>
      <c r="F13">
        <f t="shared" si="6"/>
        <v>24379.632009504712</v>
      </c>
      <c r="G13">
        <f t="shared" si="7"/>
        <v>28933.203459052125</v>
      </c>
      <c r="H13">
        <f t="shared" si="8"/>
        <v>94214.382675232235</v>
      </c>
      <c r="I13">
        <f t="shared" si="9"/>
        <v>34078.372446049747</v>
      </c>
      <c r="J13">
        <f t="shared" si="10"/>
        <v>662619.52730974532</v>
      </c>
      <c r="N13" s="93" t="s">
        <v>232</v>
      </c>
      <c r="O13" s="105">
        <v>286676.37929702754</v>
      </c>
      <c r="P13" s="105">
        <v>48295.833308190151</v>
      </c>
      <c r="Q13" s="105">
        <v>63698.290552551662</v>
      </c>
      <c r="R13" s="105">
        <v>82343.433562137099</v>
      </c>
      <c r="S13" s="105">
        <v>24379.632009504712</v>
      </c>
      <c r="T13" s="105">
        <v>28933.203459052125</v>
      </c>
      <c r="U13" s="105">
        <v>94214.382675232235</v>
      </c>
      <c r="V13" s="105">
        <v>34078.372446049747</v>
      </c>
      <c r="W13">
        <f t="shared" si="11"/>
        <v>662619.52730974532</v>
      </c>
    </row>
    <row r="14" spans="1:23" x14ac:dyDescent="0.2">
      <c r="A14" s="93" t="s">
        <v>207</v>
      </c>
      <c r="B14">
        <f t="shared" si="2"/>
        <v>229904.35335559657</v>
      </c>
      <c r="C14">
        <f t="shared" si="3"/>
        <v>44981.805630540955</v>
      </c>
      <c r="D14">
        <f t="shared" si="4"/>
        <v>59705.683523041989</v>
      </c>
      <c r="E14">
        <f t="shared" si="5"/>
        <v>73008.538557082094</v>
      </c>
      <c r="F14">
        <f t="shared" si="6"/>
        <v>25428.421246315516</v>
      </c>
      <c r="G14">
        <f t="shared" si="7"/>
        <v>15901.356605224002</v>
      </c>
      <c r="H14">
        <f t="shared" si="8"/>
        <v>54745.520987919277</v>
      </c>
      <c r="I14">
        <f t="shared" si="9"/>
        <v>32818.519050392984</v>
      </c>
      <c r="J14">
        <f t="shared" si="10"/>
        <v>536494.19895611354</v>
      </c>
      <c r="N14" s="93" t="s">
        <v>207</v>
      </c>
      <c r="O14" s="105">
        <v>229904.35335559657</v>
      </c>
      <c r="P14" s="105">
        <v>44981.805630540955</v>
      </c>
      <c r="Q14" s="105">
        <v>59705.683523041989</v>
      </c>
      <c r="R14" s="105">
        <v>73008.538557082094</v>
      </c>
      <c r="S14" s="105">
        <v>25428.421246315516</v>
      </c>
      <c r="T14" s="105">
        <v>15901.356605224002</v>
      </c>
      <c r="U14" s="105">
        <v>54745.520987919277</v>
      </c>
      <c r="V14" s="105">
        <v>32818.519050392984</v>
      </c>
      <c r="W14">
        <f t="shared" si="11"/>
        <v>536494.19895611354</v>
      </c>
    </row>
    <row r="15" spans="1:23" x14ac:dyDescent="0.2">
      <c r="A15" t="s">
        <v>9</v>
      </c>
      <c r="B15">
        <f t="shared" si="2"/>
        <v>100413.07296801802</v>
      </c>
      <c r="C15">
        <f t="shared" si="3"/>
        <v>29168.573605909543</v>
      </c>
      <c r="D15">
        <f t="shared" si="4"/>
        <v>35248.292064530542</v>
      </c>
      <c r="E15">
        <f t="shared" si="5"/>
        <v>41122.545845823821</v>
      </c>
      <c r="F15">
        <f t="shared" si="6"/>
        <v>18528.559793169214</v>
      </c>
      <c r="G15">
        <f t="shared" si="7"/>
        <v>7417.6722910118815</v>
      </c>
      <c r="H15">
        <f t="shared" si="8"/>
        <v>27288.169914739185</v>
      </c>
      <c r="I15">
        <f t="shared" si="9"/>
        <v>22732.351046161501</v>
      </c>
      <c r="J15">
        <f t="shared" si="10"/>
        <v>281919.23752936372</v>
      </c>
      <c r="N15" t="s">
        <v>9</v>
      </c>
      <c r="O15" s="105">
        <v>100413.07296801802</v>
      </c>
      <c r="P15" s="105">
        <v>29168.573605909543</v>
      </c>
      <c r="Q15" s="105">
        <v>35248.292064530542</v>
      </c>
      <c r="R15" s="105">
        <v>41122.545845823821</v>
      </c>
      <c r="S15" s="105">
        <v>18528.559793169214</v>
      </c>
      <c r="T15" s="105">
        <v>7417.6722910118815</v>
      </c>
      <c r="U15" s="105">
        <v>27288.169914739185</v>
      </c>
      <c r="V15" s="105">
        <v>22732.351046161501</v>
      </c>
      <c r="W15">
        <f t="shared" si="11"/>
        <v>281919.23752936372</v>
      </c>
    </row>
    <row r="16" spans="1:23" x14ac:dyDescent="0.2">
      <c r="A16" s="95" t="s">
        <v>233</v>
      </c>
      <c r="B16">
        <f t="shared" si="2"/>
        <v>79363.682667008092</v>
      </c>
      <c r="C16">
        <f t="shared" si="3"/>
        <v>15428.397789791732</v>
      </c>
      <c r="D16">
        <f t="shared" si="4"/>
        <v>12914.42252023306</v>
      </c>
      <c r="E16">
        <f t="shared" si="5"/>
        <v>21563.697419217238</v>
      </c>
      <c r="F16">
        <f t="shared" si="6"/>
        <v>8807.6136016144283</v>
      </c>
      <c r="G16">
        <f t="shared" si="7"/>
        <v>7523.3891811909889</v>
      </c>
      <c r="H16">
        <f t="shared" si="8"/>
        <v>43518.421399098544</v>
      </c>
      <c r="I16">
        <f t="shared" si="9"/>
        <v>8781.3570095060004</v>
      </c>
      <c r="J16">
        <f t="shared" si="10"/>
        <v>197900.98158766006</v>
      </c>
      <c r="N16" s="95" t="s">
        <v>233</v>
      </c>
      <c r="O16" s="105">
        <v>79363.682667008092</v>
      </c>
      <c r="P16" s="105">
        <v>15428.397789791732</v>
      </c>
      <c r="Q16" s="105">
        <v>12914.42252023306</v>
      </c>
      <c r="R16" s="105">
        <v>21563.697419217238</v>
      </c>
      <c r="S16" s="105">
        <v>8807.6136016144283</v>
      </c>
      <c r="T16" s="105">
        <v>7523.3891811909889</v>
      </c>
      <c r="U16" s="105">
        <v>43518.421399098544</v>
      </c>
      <c r="V16" s="105">
        <v>8781.3570095060004</v>
      </c>
      <c r="W16">
        <f t="shared" si="11"/>
        <v>197900.98158766006</v>
      </c>
    </row>
    <row r="17" spans="1:23" x14ac:dyDescent="0.2">
      <c r="A17" s="93" t="s">
        <v>234</v>
      </c>
      <c r="B17">
        <f t="shared" si="2"/>
        <v>177833.24761553091</v>
      </c>
      <c r="C17">
        <f t="shared" si="3"/>
        <v>37235.895167454808</v>
      </c>
      <c r="D17">
        <f t="shared" si="4"/>
        <v>37348.317529861408</v>
      </c>
      <c r="E17">
        <f t="shared" si="5"/>
        <v>54608.476154045806</v>
      </c>
      <c r="F17">
        <f t="shared" si="6"/>
        <v>19660.917931826451</v>
      </c>
      <c r="G17">
        <f t="shared" si="7"/>
        <v>14965.88747590759</v>
      </c>
      <c r="H17">
        <f t="shared" si="8"/>
        <v>56275.356797893262</v>
      </c>
      <c r="I17">
        <f t="shared" si="9"/>
        <v>19960.230554267884</v>
      </c>
      <c r="J17">
        <f t="shared" si="10"/>
        <v>417888.32922678808</v>
      </c>
      <c r="N17" s="93" t="s">
        <v>234</v>
      </c>
      <c r="O17" s="105">
        <v>177833.24761553091</v>
      </c>
      <c r="P17" s="105">
        <v>37235.895167454808</v>
      </c>
      <c r="Q17" s="105">
        <v>37348.317529861408</v>
      </c>
      <c r="R17" s="105">
        <v>54608.476154045806</v>
      </c>
      <c r="S17" s="105">
        <v>19660.917931826451</v>
      </c>
      <c r="T17" s="105">
        <v>14965.88747590759</v>
      </c>
      <c r="U17" s="105">
        <v>56275.356797893262</v>
      </c>
      <c r="V17" s="105">
        <v>19960.230554267884</v>
      </c>
      <c r="W17">
        <f t="shared" si="11"/>
        <v>417888.32922678808</v>
      </c>
    </row>
    <row r="18" spans="1:23" x14ac:dyDescent="0.2">
      <c r="A18" s="93" t="s">
        <v>208</v>
      </c>
      <c r="B18">
        <f t="shared" si="2"/>
        <v>158412.08133115337</v>
      </c>
      <c r="C18">
        <f t="shared" si="3"/>
        <v>39147.58377959839</v>
      </c>
      <c r="D18">
        <f t="shared" si="4"/>
        <v>41094.869473503175</v>
      </c>
      <c r="E18">
        <f t="shared" si="5"/>
        <v>55433.19018459005</v>
      </c>
      <c r="F18">
        <f t="shared" si="6"/>
        <v>23988.642488126126</v>
      </c>
      <c r="G18">
        <f t="shared" si="7"/>
        <v>8859.5335731268933</v>
      </c>
      <c r="H18">
        <f t="shared" si="8"/>
        <v>37389.891299860392</v>
      </c>
      <c r="I18">
        <f t="shared" si="9"/>
        <v>23399.166921469387</v>
      </c>
      <c r="J18">
        <f t="shared" si="10"/>
        <v>387724.95905142772</v>
      </c>
      <c r="N18" s="93" t="s">
        <v>208</v>
      </c>
      <c r="O18" s="105">
        <v>158412.08133115337</v>
      </c>
      <c r="P18" s="105">
        <v>39147.58377959839</v>
      </c>
      <c r="Q18" s="105">
        <v>41094.869473503175</v>
      </c>
      <c r="R18" s="105">
        <v>55433.19018459005</v>
      </c>
      <c r="S18" s="105">
        <v>23988.642488126126</v>
      </c>
      <c r="T18" s="105">
        <v>8859.5335731268933</v>
      </c>
      <c r="U18" s="105">
        <v>37389.891299860392</v>
      </c>
      <c r="V18" s="105">
        <v>23399.166921469387</v>
      </c>
      <c r="W18">
        <f t="shared" si="11"/>
        <v>387724.95905142772</v>
      </c>
    </row>
    <row r="19" spans="1:23" x14ac:dyDescent="0.2">
      <c r="A19" t="s">
        <v>10</v>
      </c>
      <c r="B19">
        <f t="shared" si="2"/>
        <v>62422.093906203321</v>
      </c>
      <c r="C19">
        <f t="shared" si="3"/>
        <v>21655.242094346384</v>
      </c>
      <c r="D19">
        <f t="shared" si="4"/>
        <v>21829.430217901998</v>
      </c>
      <c r="E19">
        <f t="shared" si="5"/>
        <v>30869.195152545108</v>
      </c>
      <c r="F19">
        <f t="shared" si="6"/>
        <v>14800.356078227516</v>
      </c>
      <c r="G19">
        <f t="shared" si="7"/>
        <v>3424.0042450166729</v>
      </c>
      <c r="H19">
        <f t="shared" si="8"/>
        <v>15469.274490543839</v>
      </c>
      <c r="I19">
        <f t="shared" si="9"/>
        <v>13322.33221547418</v>
      </c>
      <c r="J19">
        <f t="shared" si="10"/>
        <v>183791.92840025903</v>
      </c>
      <c r="N19" t="s">
        <v>10</v>
      </c>
      <c r="O19" s="105">
        <v>62422.093906203321</v>
      </c>
      <c r="P19" s="105">
        <v>21655.242094346384</v>
      </c>
      <c r="Q19" s="105">
        <v>21829.430217901998</v>
      </c>
      <c r="R19" s="105">
        <v>30869.195152545108</v>
      </c>
      <c r="S19" s="105">
        <v>14800.356078227516</v>
      </c>
      <c r="T19" s="105">
        <v>3424.0042450166729</v>
      </c>
      <c r="U19" s="105">
        <v>15469.274490543839</v>
      </c>
      <c r="V19" s="105">
        <v>13322.33221547418</v>
      </c>
      <c r="W19">
        <f t="shared" si="11"/>
        <v>183791.92840025903</v>
      </c>
    </row>
    <row r="20" spans="1:23" x14ac:dyDescent="0.2">
      <c r="A20" s="95" t="s">
        <v>227</v>
      </c>
      <c r="B20">
        <f t="shared" si="2"/>
        <v>18490.180635775654</v>
      </c>
      <c r="C20">
        <f t="shared" si="3"/>
        <v>6351.619977217164</v>
      </c>
      <c r="D20">
        <f t="shared" si="4"/>
        <v>7551.6493858074064</v>
      </c>
      <c r="E20">
        <f t="shared" si="5"/>
        <v>15319.333047250067</v>
      </c>
      <c r="F20">
        <f t="shared" si="6"/>
        <v>2901.7563894119185</v>
      </c>
      <c r="G20">
        <f t="shared" si="7"/>
        <v>1887.7020595590038</v>
      </c>
      <c r="H20">
        <f t="shared" si="8"/>
        <v>20715.956032156493</v>
      </c>
      <c r="I20">
        <f t="shared" si="9"/>
        <v>7583.6285768025418</v>
      </c>
      <c r="J20">
        <f t="shared" si="10"/>
        <v>80801.826103980246</v>
      </c>
      <c r="N20" s="95" t="s">
        <v>227</v>
      </c>
      <c r="O20" s="105">
        <v>18490.180635775654</v>
      </c>
      <c r="P20" s="105">
        <v>6351.619977217164</v>
      </c>
      <c r="Q20" s="105">
        <v>7551.6493858074064</v>
      </c>
      <c r="R20" s="105">
        <v>15319.333047250067</v>
      </c>
      <c r="S20" s="105">
        <v>2901.7563894119185</v>
      </c>
      <c r="T20" s="105">
        <v>1887.7020595590038</v>
      </c>
      <c r="U20" s="105">
        <v>20715.956032156493</v>
      </c>
      <c r="V20" s="105">
        <v>7583.6285768025418</v>
      </c>
      <c r="W20">
        <f t="shared" si="11"/>
        <v>80801.826103980246</v>
      </c>
    </row>
    <row r="21" spans="1:23" x14ac:dyDescent="0.2">
      <c r="A21" s="93" t="s">
        <v>230</v>
      </c>
      <c r="B21">
        <f t="shared" si="2"/>
        <v>51637.696878029936</v>
      </c>
      <c r="C21">
        <f t="shared" si="3"/>
        <v>18991.450823232022</v>
      </c>
      <c r="D21">
        <f t="shared" si="4"/>
        <v>18859.209980613523</v>
      </c>
      <c r="E21">
        <f t="shared" si="5"/>
        <v>35496.731671193389</v>
      </c>
      <c r="F21">
        <f t="shared" si="6"/>
        <v>6944.8551295963234</v>
      </c>
      <c r="G21">
        <f t="shared" si="7"/>
        <v>3670.5724022982645</v>
      </c>
      <c r="H21">
        <f t="shared" si="8"/>
        <v>25299.514003336899</v>
      </c>
      <c r="I21">
        <f t="shared" si="9"/>
        <v>14990.405311576364</v>
      </c>
      <c r="J21">
        <f t="shared" si="10"/>
        <v>175890.43619987671</v>
      </c>
      <c r="N21" s="93" t="s">
        <v>230</v>
      </c>
      <c r="O21" s="105">
        <v>51637.696878029936</v>
      </c>
      <c r="P21" s="105">
        <v>18991.450823232022</v>
      </c>
      <c r="Q21" s="105">
        <v>18859.209980613523</v>
      </c>
      <c r="R21" s="105">
        <v>35496.731671193389</v>
      </c>
      <c r="S21" s="105">
        <v>6944.8551295963234</v>
      </c>
      <c r="T21" s="105">
        <v>3670.5724022982645</v>
      </c>
      <c r="U21" s="105">
        <v>25299.514003336899</v>
      </c>
      <c r="V21" s="105">
        <v>14990.405311576364</v>
      </c>
      <c r="W21">
        <f t="shared" si="11"/>
        <v>175890.43619987671</v>
      </c>
    </row>
    <row r="22" spans="1:23" x14ac:dyDescent="0.2">
      <c r="A22" s="93" t="s">
        <v>11</v>
      </c>
      <c r="B22">
        <f t="shared" si="2"/>
        <v>46406.479461710573</v>
      </c>
      <c r="C22">
        <f t="shared" si="3"/>
        <v>20945.119594588825</v>
      </c>
      <c r="D22">
        <f t="shared" si="4"/>
        <v>21158.357665343374</v>
      </c>
      <c r="E22">
        <f t="shared" si="5"/>
        <v>38205.106708238454</v>
      </c>
      <c r="F22">
        <f t="shared" si="6"/>
        <v>7740.4634839000701</v>
      </c>
      <c r="G22">
        <f t="shared" si="7"/>
        <v>2005.847723813625</v>
      </c>
      <c r="H22">
        <f t="shared" si="8"/>
        <v>15439.216639014758</v>
      </c>
      <c r="I22">
        <f t="shared" si="9"/>
        <v>14914.630751830242</v>
      </c>
      <c r="J22">
        <f t="shared" si="10"/>
        <v>166815.22202843989</v>
      </c>
      <c r="N22" s="93" t="s">
        <v>11</v>
      </c>
      <c r="O22" s="105">
        <v>46406.479461710573</v>
      </c>
      <c r="P22" s="105">
        <v>20945.119594588825</v>
      </c>
      <c r="Q22" s="105">
        <v>21158.357665343374</v>
      </c>
      <c r="R22" s="105">
        <v>38205.106708238454</v>
      </c>
      <c r="S22" s="105">
        <v>7740.4634839000701</v>
      </c>
      <c r="T22" s="105">
        <v>2005.847723813625</v>
      </c>
      <c r="U22" s="105">
        <v>15439.216639014758</v>
      </c>
      <c r="V22" s="105">
        <v>14914.630751830242</v>
      </c>
      <c r="W22">
        <f t="shared" si="11"/>
        <v>166815.22202843989</v>
      </c>
    </row>
    <row r="23" spans="1:23" x14ac:dyDescent="0.2">
      <c r="A23" t="s">
        <v>206</v>
      </c>
      <c r="B23">
        <f t="shared" si="2"/>
        <v>7642.1095826907658</v>
      </c>
      <c r="C23">
        <f t="shared" si="3"/>
        <v>5918.4119764399738</v>
      </c>
      <c r="D23">
        <f t="shared" si="4"/>
        <v>6873.0524831661842</v>
      </c>
      <c r="E23">
        <f t="shared" si="5"/>
        <v>13060.170135886199</v>
      </c>
      <c r="F23">
        <f t="shared" si="6"/>
        <v>2946.2093352032648</v>
      </c>
      <c r="G23">
        <f t="shared" si="7"/>
        <v>370.9538198503376</v>
      </c>
      <c r="H23">
        <f t="shared" si="8"/>
        <v>2505.0307229750883</v>
      </c>
      <c r="I23">
        <f t="shared" si="9"/>
        <v>3690.3993293720432</v>
      </c>
      <c r="J23">
        <f t="shared" si="10"/>
        <v>43006.337385583858</v>
      </c>
      <c r="N23" t="s">
        <v>206</v>
      </c>
      <c r="O23" s="105">
        <v>7642.1095826907658</v>
      </c>
      <c r="P23" s="105">
        <v>5918.4119764399738</v>
      </c>
      <c r="Q23" s="105">
        <v>6873.0524831661842</v>
      </c>
      <c r="R23" s="105">
        <v>13060.170135886199</v>
      </c>
      <c r="S23" s="105">
        <v>2946.2093352032648</v>
      </c>
      <c r="T23" s="105">
        <v>370.9538198503376</v>
      </c>
      <c r="U23" s="105">
        <v>2505.0307229750883</v>
      </c>
      <c r="V23" s="105">
        <v>3690.3993293720432</v>
      </c>
      <c r="W23">
        <f t="shared" si="11"/>
        <v>43006.337385583858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H32" si="12">O29*$B$1</f>
        <v>62690.712783390903</v>
      </c>
      <c r="C29">
        <f t="shared" si="12"/>
        <v>140261.12170000392</v>
      </c>
      <c r="D29">
        <f t="shared" si="12"/>
        <v>393707.17935026012</v>
      </c>
      <c r="E29">
        <f t="shared" si="12"/>
        <v>573902.57800400315</v>
      </c>
      <c r="F29">
        <f t="shared" si="12"/>
        <v>106720.06335275467</v>
      </c>
      <c r="G29">
        <f t="shared" si="12"/>
        <v>117699.13652746857</v>
      </c>
      <c r="H29">
        <f t="shared" si="12"/>
        <v>503887.95581699541</v>
      </c>
      <c r="I29">
        <f t="shared" ref="I29:J32" si="13">V29*$B$1</f>
        <v>235060.42178434858</v>
      </c>
      <c r="J29">
        <f t="shared" si="13"/>
        <v>2133929.1693192255</v>
      </c>
      <c r="N29" t="s">
        <v>226</v>
      </c>
      <c r="O29" s="105">
        <v>62690.712783390903</v>
      </c>
      <c r="P29" s="105">
        <v>140261.12170000392</v>
      </c>
      <c r="Q29" s="105">
        <v>393707.17935026012</v>
      </c>
      <c r="R29" s="105">
        <v>573902.57800400315</v>
      </c>
      <c r="S29" s="105">
        <v>106720.06335275467</v>
      </c>
      <c r="T29" s="105">
        <v>117699.13652746857</v>
      </c>
      <c r="U29" s="105">
        <v>503887.95581699541</v>
      </c>
      <c r="V29" s="105">
        <v>235060.42178434858</v>
      </c>
      <c r="W29">
        <f>SUM(O29:V29)</f>
        <v>2133929.1693192255</v>
      </c>
    </row>
    <row r="30" spans="1:23" x14ac:dyDescent="0.2">
      <c r="A30" t="s">
        <v>235</v>
      </c>
      <c r="B30">
        <f t="shared" si="12"/>
        <v>465.40112834807786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1118.5263919056861</v>
      </c>
      <c r="G30">
        <f t="shared" si="12"/>
        <v>3.5</v>
      </c>
      <c r="H30">
        <f t="shared" si="12"/>
        <v>0</v>
      </c>
      <c r="I30">
        <f t="shared" si="13"/>
        <v>0</v>
      </c>
      <c r="J30">
        <f t="shared" si="13"/>
        <v>1587.427520253764</v>
      </c>
      <c r="N30" t="s">
        <v>235</v>
      </c>
      <c r="O30" s="105">
        <v>465.40112834807786</v>
      </c>
      <c r="P30" s="105">
        <v>0</v>
      </c>
      <c r="Q30" s="105">
        <v>0</v>
      </c>
      <c r="R30" s="105">
        <v>0</v>
      </c>
      <c r="S30" s="105">
        <v>1118.5263919056861</v>
      </c>
      <c r="T30" s="105">
        <v>3.5</v>
      </c>
      <c r="U30" s="105">
        <v>0</v>
      </c>
      <c r="V30" s="105">
        <v>0</v>
      </c>
      <c r="W30">
        <f>SUM(O30:V30)</f>
        <v>1587.427520253764</v>
      </c>
    </row>
    <row r="31" spans="1:23" x14ac:dyDescent="0.2">
      <c r="A31" t="s">
        <v>236</v>
      </c>
      <c r="B31">
        <f t="shared" si="12"/>
        <v>1128230.7948304382</v>
      </c>
      <c r="C31">
        <f t="shared" si="12"/>
        <v>154182.19806610857</v>
      </c>
      <c r="D31">
        <f t="shared" si="12"/>
        <v>0</v>
      </c>
      <c r="E31">
        <f t="shared" si="12"/>
        <v>0</v>
      </c>
      <c r="F31">
        <f t="shared" si="12"/>
        <v>56563.334473028634</v>
      </c>
      <c r="G31">
        <f t="shared" si="12"/>
        <v>1596.8071131363386</v>
      </c>
      <c r="H31">
        <f t="shared" si="12"/>
        <v>0</v>
      </c>
      <c r="I31">
        <f t="shared" si="13"/>
        <v>0</v>
      </c>
      <c r="J31">
        <f t="shared" si="13"/>
        <v>1340573.1344827118</v>
      </c>
      <c r="N31" t="s">
        <v>236</v>
      </c>
      <c r="O31" s="105">
        <v>1128230.7948304382</v>
      </c>
      <c r="P31" s="105">
        <v>154182.19806610857</v>
      </c>
      <c r="Q31" s="105">
        <v>0</v>
      </c>
      <c r="R31" s="105">
        <v>0</v>
      </c>
      <c r="S31" s="105">
        <v>56563.334473028634</v>
      </c>
      <c r="T31" s="105">
        <v>1596.8071131363386</v>
      </c>
      <c r="U31" s="105">
        <v>0</v>
      </c>
      <c r="V31" s="105">
        <v>0</v>
      </c>
      <c r="W31">
        <f>SUM(O31:V31)</f>
        <v>1340573.1344827118</v>
      </c>
    </row>
    <row r="32" spans="1:23" x14ac:dyDescent="0.2">
      <c r="A32" t="s">
        <v>173</v>
      </c>
      <c r="B32">
        <f t="shared" si="12"/>
        <v>218835.47051194689</v>
      </c>
      <c r="C32">
        <f t="shared" si="12"/>
        <v>36144.474334022438</v>
      </c>
      <c r="D32">
        <f t="shared" si="12"/>
        <v>0</v>
      </c>
      <c r="E32">
        <f t="shared" si="12"/>
        <v>0</v>
      </c>
      <c r="F32">
        <f t="shared" si="12"/>
        <v>11164.208962102884</v>
      </c>
      <c r="G32">
        <f t="shared" si="12"/>
        <v>240.93333362815812</v>
      </c>
      <c r="H32">
        <f t="shared" si="12"/>
        <v>0</v>
      </c>
      <c r="I32">
        <f t="shared" si="13"/>
        <v>0</v>
      </c>
      <c r="J32">
        <f t="shared" si="13"/>
        <v>266385.08714170038</v>
      </c>
      <c r="N32" t="s">
        <v>173</v>
      </c>
      <c r="O32" s="105">
        <v>218835.47051194689</v>
      </c>
      <c r="P32" s="105">
        <v>36144.474334022438</v>
      </c>
      <c r="Q32" s="105">
        <v>0</v>
      </c>
      <c r="R32" s="105">
        <v>0</v>
      </c>
      <c r="S32" s="105">
        <v>11164.208962102884</v>
      </c>
      <c r="T32" s="105">
        <v>240.93333362815812</v>
      </c>
      <c r="U32" s="105">
        <v>0</v>
      </c>
      <c r="V32" s="105">
        <v>0</v>
      </c>
      <c r="W32">
        <f>SUM(O32:V32)</f>
        <v>266385.08714170038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H39" si="14">O36*$B$1</f>
        <v>1380078.7645970304</v>
      </c>
      <c r="C36">
        <f t="shared" si="14"/>
        <v>330587.79410013492</v>
      </c>
      <c r="D36">
        <f t="shared" si="14"/>
        <v>393707.17935026012</v>
      </c>
      <c r="E36">
        <f t="shared" si="14"/>
        <v>573902.57800400315</v>
      </c>
      <c r="F36">
        <f t="shared" si="14"/>
        <v>49832.553477121393</v>
      </c>
      <c r="G36">
        <f t="shared" si="14"/>
        <v>13001.767864194822</v>
      </c>
      <c r="H36">
        <f t="shared" si="14"/>
        <v>68187.652421696999</v>
      </c>
      <c r="I36">
        <f t="shared" ref="I36:J39" si="15">V36*$B$1</f>
        <v>197809.50597872492</v>
      </c>
      <c r="J36">
        <f t="shared" si="15"/>
        <v>3007107.7957931664</v>
      </c>
      <c r="N36" t="s">
        <v>226</v>
      </c>
      <c r="O36" s="105">
        <v>1380078.7645970304</v>
      </c>
      <c r="P36" s="105">
        <v>330587.79410013492</v>
      </c>
      <c r="Q36" s="105">
        <v>393707.17935026012</v>
      </c>
      <c r="R36" s="105">
        <v>573902.57800400315</v>
      </c>
      <c r="S36" s="105">
        <v>49832.553477121393</v>
      </c>
      <c r="T36" s="105">
        <v>13001.767864194822</v>
      </c>
      <c r="U36" s="105">
        <v>68187.652421696999</v>
      </c>
      <c r="V36" s="105">
        <v>197809.50597872492</v>
      </c>
      <c r="W36">
        <f>SUM(O36:V36)</f>
        <v>3007107.7957931664</v>
      </c>
    </row>
    <row r="37" spans="1:23" x14ac:dyDescent="0.2">
      <c r="A37" t="s">
        <v>235</v>
      </c>
      <c r="B37">
        <f t="shared" si="14"/>
        <v>489.68786386898927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1798.6660100671286</v>
      </c>
      <c r="G37">
        <f t="shared" si="14"/>
        <v>28.762738853503201</v>
      </c>
      <c r="H37">
        <f t="shared" si="14"/>
        <v>0</v>
      </c>
      <c r="I37">
        <f t="shared" si="15"/>
        <v>0</v>
      </c>
      <c r="J37">
        <f t="shared" si="15"/>
        <v>2317.1166127896213</v>
      </c>
      <c r="N37" t="s">
        <v>235</v>
      </c>
      <c r="O37" s="105">
        <v>489.68786386898927</v>
      </c>
      <c r="P37" s="105">
        <v>0</v>
      </c>
      <c r="Q37" s="105">
        <v>0</v>
      </c>
      <c r="R37" s="105">
        <v>0</v>
      </c>
      <c r="S37" s="105">
        <v>1798.6660100671286</v>
      </c>
      <c r="T37" s="105">
        <v>28.762738853503201</v>
      </c>
      <c r="U37" s="105">
        <v>0</v>
      </c>
      <c r="V37" s="105">
        <v>0</v>
      </c>
      <c r="W37">
        <f>SUM(O37:V37)</f>
        <v>2317.1166127896213</v>
      </c>
    </row>
    <row r="38" spans="1:23" x14ac:dyDescent="0.2">
      <c r="A38" t="s">
        <v>236</v>
      </c>
      <c r="B38">
        <f t="shared" si="14"/>
        <v>27657.292885212966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102640.39270945711</v>
      </c>
      <c r="G38">
        <f t="shared" si="14"/>
        <v>91660.447792627601</v>
      </c>
      <c r="H38">
        <f t="shared" si="14"/>
        <v>378780.07767916907</v>
      </c>
      <c r="I38">
        <f t="shared" si="15"/>
        <v>31686.495943655667</v>
      </c>
      <c r="J38">
        <f t="shared" si="15"/>
        <v>632424.70701012248</v>
      </c>
      <c r="N38" t="s">
        <v>236</v>
      </c>
      <c r="O38" s="105">
        <v>27657.292885212966</v>
      </c>
      <c r="P38" s="105">
        <v>0</v>
      </c>
      <c r="Q38" s="105">
        <v>0</v>
      </c>
      <c r="R38" s="105">
        <v>0</v>
      </c>
      <c r="S38" s="105">
        <v>102640.39270945711</v>
      </c>
      <c r="T38" s="105">
        <v>91660.447792627601</v>
      </c>
      <c r="U38" s="105">
        <v>378780.07767916907</v>
      </c>
      <c r="V38" s="105">
        <v>31686.495943655667</v>
      </c>
      <c r="W38">
        <f>SUM(O38:V38)</f>
        <v>632424.70701012248</v>
      </c>
    </row>
    <row r="39" spans="1:23" x14ac:dyDescent="0.2">
      <c r="A39" t="s">
        <v>173</v>
      </c>
      <c r="B39">
        <f t="shared" si="14"/>
        <v>1996.6339080115797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21294.520983146245</v>
      </c>
      <c r="G39">
        <f t="shared" si="14"/>
        <v>14849.398578557129</v>
      </c>
      <c r="H39">
        <f t="shared" si="14"/>
        <v>56920.225716129324</v>
      </c>
      <c r="I39">
        <f t="shared" si="15"/>
        <v>5564.4198619680119</v>
      </c>
      <c r="J39">
        <f t="shared" si="15"/>
        <v>100625.19904781229</v>
      </c>
      <c r="N39" t="s">
        <v>173</v>
      </c>
      <c r="O39" s="105">
        <v>1996.6339080115797</v>
      </c>
      <c r="P39" s="105">
        <v>0</v>
      </c>
      <c r="Q39" s="105">
        <v>0</v>
      </c>
      <c r="R39" s="105">
        <v>0</v>
      </c>
      <c r="S39" s="105">
        <v>21294.520983146245</v>
      </c>
      <c r="T39" s="105">
        <v>14849.398578557129</v>
      </c>
      <c r="U39" s="105">
        <v>56920.225716129324</v>
      </c>
      <c r="V39" s="105">
        <v>5564.4198619680119</v>
      </c>
      <c r="W39">
        <f>SUM(O39:V39)</f>
        <v>100625.19904781229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H46" si="16">O43*$B$1</f>
        <v>1083917.7807614126</v>
      </c>
      <c r="C43">
        <f t="shared" si="16"/>
        <v>255223.0022709078</v>
      </c>
      <c r="D43">
        <f t="shared" si="16"/>
        <v>321538.16438864521</v>
      </c>
      <c r="E43">
        <f t="shared" si="16"/>
        <v>403488.69137485704</v>
      </c>
      <c r="F43">
        <f t="shared" si="16"/>
        <v>143443.48200313555</v>
      </c>
      <c r="G43">
        <f t="shared" si="16"/>
        <v>109028.55684152078</v>
      </c>
      <c r="H43">
        <f t="shared" si="16"/>
        <v>433857.41015724547</v>
      </c>
      <c r="I43">
        <f t="shared" ref="I43:J46" si="17">V43*$B$1</f>
        <v>164974.21532460791</v>
      </c>
      <c r="J43">
        <f t="shared" si="17"/>
        <v>2915471.3031223323</v>
      </c>
      <c r="N43" t="s">
        <v>226</v>
      </c>
      <c r="O43" s="105">
        <v>1083917.7807614126</v>
      </c>
      <c r="P43" s="105">
        <v>255223.0022709078</v>
      </c>
      <c r="Q43" s="105">
        <v>321538.16438864521</v>
      </c>
      <c r="R43" s="105">
        <v>403488.69137485704</v>
      </c>
      <c r="S43" s="105">
        <v>143443.48200313555</v>
      </c>
      <c r="T43" s="105">
        <v>109028.55684152078</v>
      </c>
      <c r="U43" s="105">
        <v>433857.41015724547</v>
      </c>
      <c r="V43" s="105">
        <v>164974.21532460791</v>
      </c>
      <c r="W43">
        <f>SUM(O43:V43)</f>
        <v>2915471.3031223323</v>
      </c>
    </row>
    <row r="44" spans="1:23" x14ac:dyDescent="0.2">
      <c r="A44" t="s">
        <v>235</v>
      </c>
      <c r="B44">
        <f t="shared" si="16"/>
        <v>216677.61966086176</v>
      </c>
      <c r="C44">
        <f t="shared" si="16"/>
        <v>25931.443651297381</v>
      </c>
      <c r="D44">
        <f t="shared" si="16"/>
        <v>6101.2716906803789</v>
      </c>
      <c r="E44">
        <f t="shared" si="16"/>
        <v>12533.986726975352</v>
      </c>
      <c r="F44">
        <f t="shared" si="16"/>
        <v>22913.284837581166</v>
      </c>
      <c r="G44">
        <f t="shared" si="16"/>
        <v>5797.0986066486357</v>
      </c>
      <c r="H44">
        <f t="shared" si="16"/>
        <v>30882.548883388725</v>
      </c>
      <c r="I44">
        <f t="shared" si="17"/>
        <v>10054.763210979116</v>
      </c>
      <c r="J44">
        <f t="shared" si="17"/>
        <v>330892.01726841257</v>
      </c>
      <c r="N44" t="s">
        <v>235</v>
      </c>
      <c r="O44" s="105">
        <v>216677.61966086176</v>
      </c>
      <c r="P44" s="105">
        <v>25931.443651297381</v>
      </c>
      <c r="Q44" s="105">
        <v>6101.2716906803789</v>
      </c>
      <c r="R44" s="105">
        <v>12533.986726975352</v>
      </c>
      <c r="S44" s="105">
        <v>22913.284837581166</v>
      </c>
      <c r="T44" s="105">
        <v>5797.0986066486357</v>
      </c>
      <c r="U44" s="105">
        <v>30882.548883388725</v>
      </c>
      <c r="V44" s="105">
        <v>10054.763210979116</v>
      </c>
      <c r="W44">
        <f>SUM(O44:V44)</f>
        <v>330892.01726841257</v>
      </c>
    </row>
    <row r="45" spans="1:23" x14ac:dyDescent="0.2">
      <c r="A45" t="s">
        <v>236</v>
      </c>
      <c r="B45">
        <f t="shared" si="16"/>
        <v>48898.8484643177</v>
      </c>
      <c r="C45">
        <f t="shared" si="16"/>
        <v>33227.972364644753</v>
      </c>
      <c r="D45">
        <f t="shared" si="16"/>
        <v>48898.997097216576</v>
      </c>
      <c r="E45">
        <f t="shared" si="16"/>
        <v>114945.26281990434</v>
      </c>
      <c r="F45">
        <f t="shared" si="16"/>
        <v>4758.6911802852555</v>
      </c>
      <c r="G45">
        <f t="shared" si="16"/>
        <v>2629.233153375993</v>
      </c>
      <c r="H45">
        <f t="shared" si="16"/>
        <v>23596.797332964808</v>
      </c>
      <c r="I45">
        <f t="shared" si="17"/>
        <v>44593.0643166503</v>
      </c>
      <c r="J45">
        <f t="shared" si="17"/>
        <v>321548.86672935972</v>
      </c>
      <c r="N45" t="s">
        <v>236</v>
      </c>
      <c r="O45" s="105">
        <v>48898.8484643177</v>
      </c>
      <c r="P45" s="105">
        <v>33227.972364644753</v>
      </c>
      <c r="Q45" s="105">
        <v>48898.997097216576</v>
      </c>
      <c r="R45" s="105">
        <v>114945.26281990434</v>
      </c>
      <c r="S45" s="105">
        <v>4758.6911802852555</v>
      </c>
      <c r="T45" s="105">
        <v>2629.233153375993</v>
      </c>
      <c r="U45" s="105">
        <v>23596.797332964808</v>
      </c>
      <c r="V45" s="105">
        <v>44593.0643166503</v>
      </c>
      <c r="W45">
        <f>SUM(O45:V45)</f>
        <v>321548.86672935972</v>
      </c>
    </row>
    <row r="46" spans="1:23" x14ac:dyDescent="0.2">
      <c r="A46" t="s">
        <v>173</v>
      </c>
      <c r="B46">
        <f t="shared" si="16"/>
        <v>60728.130367532074</v>
      </c>
      <c r="C46">
        <f t="shared" si="16"/>
        <v>16205.375813284971</v>
      </c>
      <c r="D46">
        <f t="shared" si="16"/>
        <v>17168.746173717936</v>
      </c>
      <c r="E46">
        <f t="shared" si="16"/>
        <v>42934.637082266381</v>
      </c>
      <c r="F46">
        <f t="shared" si="16"/>
        <v>4450.6751587899034</v>
      </c>
      <c r="G46">
        <f t="shared" si="16"/>
        <v>2085.4883726876446</v>
      </c>
      <c r="H46">
        <f t="shared" si="16"/>
        <v>15551.199443396408</v>
      </c>
      <c r="I46">
        <f t="shared" si="17"/>
        <v>15438.378932111278</v>
      </c>
      <c r="J46">
        <f t="shared" si="17"/>
        <v>174562.63134378663</v>
      </c>
      <c r="N46" t="s">
        <v>173</v>
      </c>
      <c r="O46" s="105">
        <v>60728.130367532074</v>
      </c>
      <c r="P46" s="105">
        <v>16205.375813284971</v>
      </c>
      <c r="Q46" s="105">
        <v>17168.746173717936</v>
      </c>
      <c r="R46" s="105">
        <v>42934.637082266381</v>
      </c>
      <c r="S46" s="105">
        <v>4450.6751587899034</v>
      </c>
      <c r="T46" s="105">
        <v>2085.4883726876446</v>
      </c>
      <c r="U46" s="105">
        <v>15551.199443396408</v>
      </c>
      <c r="V46" s="105">
        <v>15438.378932111278</v>
      </c>
      <c r="W46">
        <f>SUM(O46:V46)</f>
        <v>174562.63134378663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H53" si="18">O50*$B$1</f>
        <v>873792.03513537243</v>
      </c>
      <c r="C50">
        <f t="shared" si="18"/>
        <v>191533.36902961248</v>
      </c>
      <c r="D50">
        <f t="shared" si="18"/>
        <v>175226.95969791964</v>
      </c>
      <c r="E50">
        <f t="shared" si="18"/>
        <v>300567.58315069461</v>
      </c>
      <c r="F50">
        <f t="shared" si="18"/>
        <v>130647.27405445938</v>
      </c>
      <c r="G50">
        <f t="shared" si="18"/>
        <v>94779.756547985147</v>
      </c>
      <c r="H50">
        <f t="shared" si="18"/>
        <v>380497.92279194848</v>
      </c>
      <c r="I50">
        <f t="shared" ref="I50:J53" si="19">V50*$B$1</f>
        <v>111918.18972939673</v>
      </c>
      <c r="J50">
        <f t="shared" si="19"/>
        <v>2258963.0901373886</v>
      </c>
      <c r="N50" t="s">
        <v>226</v>
      </c>
      <c r="O50" s="105">
        <v>873792.03513537243</v>
      </c>
      <c r="P50" s="105">
        <v>191533.36902961248</v>
      </c>
      <c r="Q50" s="105">
        <v>175226.95969791964</v>
      </c>
      <c r="R50" s="105">
        <v>300567.58315069461</v>
      </c>
      <c r="S50" s="105">
        <v>130647.27405445938</v>
      </c>
      <c r="T50" s="105">
        <v>94779.756547985147</v>
      </c>
      <c r="U50" s="105">
        <v>380497.92279194848</v>
      </c>
      <c r="V50" s="105">
        <v>111918.18972939673</v>
      </c>
      <c r="W50">
        <f>SUM(O50:V50)</f>
        <v>2258963.0901373886</v>
      </c>
    </row>
    <row r="51" spans="1:23" x14ac:dyDescent="0.2">
      <c r="A51" t="s">
        <v>235</v>
      </c>
      <c r="B51">
        <f t="shared" si="18"/>
        <v>395323.71409125795</v>
      </c>
      <c r="C51">
        <f t="shared" si="18"/>
        <v>77079.049917427241</v>
      </c>
      <c r="D51">
        <f t="shared" si="18"/>
        <v>86996.263768804827</v>
      </c>
      <c r="E51">
        <f t="shared" si="18"/>
        <v>112784.44012435425</v>
      </c>
      <c r="F51">
        <f t="shared" si="18"/>
        <v>34487.46096852333</v>
      </c>
      <c r="G51">
        <f t="shared" si="18"/>
        <v>15862.19419301905</v>
      </c>
      <c r="H51">
        <f t="shared" si="18"/>
        <v>68435.108493699212</v>
      </c>
      <c r="I51">
        <f t="shared" si="19"/>
        <v>58085.853254132846</v>
      </c>
      <c r="J51">
        <f t="shared" si="19"/>
        <v>849054.08481121855</v>
      </c>
      <c r="N51" t="s">
        <v>235</v>
      </c>
      <c r="O51" s="105">
        <v>395323.71409125795</v>
      </c>
      <c r="P51" s="105">
        <v>77079.049917427241</v>
      </c>
      <c r="Q51" s="105">
        <v>86996.263768804827</v>
      </c>
      <c r="R51" s="105">
        <v>112784.44012435425</v>
      </c>
      <c r="S51" s="105">
        <v>34487.46096852333</v>
      </c>
      <c r="T51" s="105">
        <v>15862.19419301905</v>
      </c>
      <c r="U51" s="105">
        <v>68435.108493699212</v>
      </c>
      <c r="V51" s="105">
        <v>58085.853254132846</v>
      </c>
      <c r="W51">
        <f>SUM(O51:V51)</f>
        <v>849054.08481121855</v>
      </c>
    </row>
    <row r="52" spans="1:23" x14ac:dyDescent="0.2">
      <c r="A52" t="s">
        <v>236</v>
      </c>
      <c r="B52">
        <f t="shared" si="18"/>
        <v>75525.37839060495</v>
      </c>
      <c r="C52">
        <f t="shared" si="18"/>
        <v>30856.609932844367</v>
      </c>
      <c r="D52">
        <f t="shared" si="18"/>
        <v>63898.479423698314</v>
      </c>
      <c r="E52">
        <f t="shared" si="18"/>
        <v>77552.833140795119</v>
      </c>
      <c r="F52">
        <f t="shared" si="18"/>
        <v>5928.1174621865948</v>
      </c>
      <c r="G52">
        <f t="shared" si="18"/>
        <v>5605.8772717539005</v>
      </c>
      <c r="H52">
        <f t="shared" si="18"/>
        <v>34996.233849365286</v>
      </c>
      <c r="I52">
        <f t="shared" si="19"/>
        <v>32125.060521579504</v>
      </c>
      <c r="J52">
        <f t="shared" si="19"/>
        <v>326488.58999282809</v>
      </c>
      <c r="N52" t="s">
        <v>236</v>
      </c>
      <c r="O52" s="105">
        <v>75525.37839060495</v>
      </c>
      <c r="P52" s="105">
        <v>30856.609932844367</v>
      </c>
      <c r="Q52" s="105">
        <v>63898.479423698314</v>
      </c>
      <c r="R52" s="105">
        <v>77552.833140795119</v>
      </c>
      <c r="S52" s="105">
        <v>5928.1174621865948</v>
      </c>
      <c r="T52" s="105">
        <v>5605.8772717539005</v>
      </c>
      <c r="U52" s="105">
        <v>34996.233849365286</v>
      </c>
      <c r="V52" s="105">
        <v>32125.060521579504</v>
      </c>
      <c r="W52">
        <f>SUM(O52:V52)</f>
        <v>326488.58999282809</v>
      </c>
    </row>
    <row r="53" spans="1:23" x14ac:dyDescent="0.2">
      <c r="A53" t="s">
        <v>173</v>
      </c>
      <c r="B53">
        <f t="shared" si="18"/>
        <v>65581.251636888905</v>
      </c>
      <c r="C53">
        <f t="shared" si="18"/>
        <v>31118.765220250822</v>
      </c>
      <c r="D53">
        <f t="shared" si="18"/>
        <v>67585.476459837359</v>
      </c>
      <c r="E53">
        <f t="shared" si="18"/>
        <v>82997.721588159126</v>
      </c>
      <c r="F53">
        <f t="shared" si="18"/>
        <v>4503.2806946225783</v>
      </c>
      <c r="G53">
        <f t="shared" si="18"/>
        <v>3292.5489614749608</v>
      </c>
      <c r="H53">
        <f t="shared" si="18"/>
        <v>19958.690681982385</v>
      </c>
      <c r="I53">
        <f t="shared" si="19"/>
        <v>32931.318279239516</v>
      </c>
      <c r="J53">
        <f t="shared" si="19"/>
        <v>307969.05352245568</v>
      </c>
      <c r="N53" t="s">
        <v>173</v>
      </c>
      <c r="O53" s="105">
        <v>65581.251636888905</v>
      </c>
      <c r="P53" s="105">
        <v>31118.765220250822</v>
      </c>
      <c r="Q53" s="105">
        <v>67585.476459837359</v>
      </c>
      <c r="R53" s="105">
        <v>82997.721588159126</v>
      </c>
      <c r="S53" s="105">
        <v>4503.2806946225783</v>
      </c>
      <c r="T53" s="105">
        <v>3292.5489614749608</v>
      </c>
      <c r="U53" s="105">
        <v>19958.690681982385</v>
      </c>
      <c r="V53" s="105">
        <v>32931.318279239516</v>
      </c>
      <c r="W53">
        <f>SUM(O53:V53)</f>
        <v>307969.05352245568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H60" si="20">O57*$B$1</f>
        <v>742416.23538926744</v>
      </c>
      <c r="C57">
        <f t="shared" si="20"/>
        <v>168201.16747609401</v>
      </c>
      <c r="D57">
        <f t="shared" si="20"/>
        <v>139696.78263164172</v>
      </c>
      <c r="E57">
        <f t="shared" si="20"/>
        <v>264862.67275182292</v>
      </c>
      <c r="F57">
        <f t="shared" si="20"/>
        <v>100402.41364329451</v>
      </c>
      <c r="G57">
        <f t="shared" si="20"/>
        <v>88424.520079391004</v>
      </c>
      <c r="H57">
        <f t="shared" si="20"/>
        <v>379302.45705978473</v>
      </c>
      <c r="I57">
        <f t="shared" ref="I57:J60" si="21">V57*$B$1</f>
        <v>100080.9487467295</v>
      </c>
      <c r="J57">
        <f t="shared" si="21"/>
        <v>1983387.1977780259</v>
      </c>
      <c r="N57" t="s">
        <v>226</v>
      </c>
      <c r="O57" s="105">
        <v>742416.23538926744</v>
      </c>
      <c r="P57" s="105">
        <v>168201.16747609401</v>
      </c>
      <c r="Q57" s="105">
        <v>139696.78263164172</v>
      </c>
      <c r="R57" s="105">
        <v>264862.67275182292</v>
      </c>
      <c r="S57" s="105">
        <v>100402.41364329451</v>
      </c>
      <c r="T57" s="105">
        <v>88424.520079391004</v>
      </c>
      <c r="U57" s="105">
        <v>379302.45705978473</v>
      </c>
      <c r="V57" s="105">
        <v>100080.9487467295</v>
      </c>
      <c r="W57">
        <f>SUM(O57:V57)</f>
        <v>1983387.1977780259</v>
      </c>
    </row>
    <row r="58" spans="1:23" x14ac:dyDescent="0.2">
      <c r="A58" t="s">
        <v>235</v>
      </c>
      <c r="B58">
        <f t="shared" si="20"/>
        <v>550630.0225333065</v>
      </c>
      <c r="C58">
        <f t="shared" si="20"/>
        <v>107796.43744487602</v>
      </c>
      <c r="D58">
        <f t="shared" si="20"/>
        <v>132809.65716190799</v>
      </c>
      <c r="E58">
        <f t="shared" si="20"/>
        <v>167206.95715412716</v>
      </c>
      <c r="F58">
        <f t="shared" si="20"/>
        <v>64299.926072440532</v>
      </c>
      <c r="G58">
        <f t="shared" si="20"/>
        <v>24343.888494609051</v>
      </c>
      <c r="H58">
        <f t="shared" si="20"/>
        <v>74524.283554588008</v>
      </c>
      <c r="I58">
        <f t="shared" si="21"/>
        <v>71906.632326764084</v>
      </c>
      <c r="J58">
        <f t="shared" si="21"/>
        <v>1193517.8047426194</v>
      </c>
      <c r="N58" t="s">
        <v>235</v>
      </c>
      <c r="O58" s="105">
        <v>550630.0225333065</v>
      </c>
      <c r="P58" s="105">
        <v>107796.43744487602</v>
      </c>
      <c r="Q58" s="105">
        <v>132809.65716190799</v>
      </c>
      <c r="R58" s="105">
        <v>167206.95715412716</v>
      </c>
      <c r="S58" s="105">
        <v>64299.926072440532</v>
      </c>
      <c r="T58" s="105">
        <v>24343.888494609051</v>
      </c>
      <c r="U58" s="105">
        <v>74524.283554588008</v>
      </c>
      <c r="V58" s="105">
        <v>71906.632326764084</v>
      </c>
      <c r="W58">
        <f>SUM(O58:V58)</f>
        <v>1193517.8047426194</v>
      </c>
    </row>
    <row r="59" spans="1:23" x14ac:dyDescent="0.2">
      <c r="A59" t="s">
        <v>236</v>
      </c>
      <c r="B59">
        <f t="shared" si="20"/>
        <v>50400.817022261748</v>
      </c>
      <c r="C59">
        <f t="shared" si="20"/>
        <v>22307.322823650789</v>
      </c>
      <c r="D59">
        <f t="shared" si="20"/>
        <v>47014.881317830681</v>
      </c>
      <c r="E59">
        <f t="shared" si="20"/>
        <v>54450.304507306137</v>
      </c>
      <c r="F59">
        <f t="shared" si="20"/>
        <v>5087.3796184878192</v>
      </c>
      <c r="G59">
        <f t="shared" si="20"/>
        <v>3557.7920208020414</v>
      </c>
      <c r="H59">
        <f t="shared" si="20"/>
        <v>28385.592900896059</v>
      </c>
      <c r="I59">
        <f t="shared" si="21"/>
        <v>25674.420529814077</v>
      </c>
      <c r="J59">
        <f t="shared" si="21"/>
        <v>236878.51074104937</v>
      </c>
      <c r="N59" t="s">
        <v>236</v>
      </c>
      <c r="O59" s="105">
        <v>50400.817022261748</v>
      </c>
      <c r="P59" s="105">
        <v>22307.322823650789</v>
      </c>
      <c r="Q59" s="105">
        <v>47014.881317830681</v>
      </c>
      <c r="R59" s="105">
        <v>54450.304507306137</v>
      </c>
      <c r="S59" s="105">
        <v>5087.3796184878192</v>
      </c>
      <c r="T59" s="105">
        <v>3557.7920208020414</v>
      </c>
      <c r="U59" s="105">
        <v>28385.592900896059</v>
      </c>
      <c r="V59" s="105">
        <v>25674.420529814077</v>
      </c>
      <c r="W59">
        <f>SUM(O59:V59)</f>
        <v>236878.51074104937</v>
      </c>
    </row>
    <row r="60" spans="1:23" x14ac:dyDescent="0.2">
      <c r="A60" t="s">
        <v>173</v>
      </c>
      <c r="B60">
        <f t="shared" si="20"/>
        <v>66775.304309288535</v>
      </c>
      <c r="C60">
        <f t="shared" si="20"/>
        <v>32282.866355514099</v>
      </c>
      <c r="D60">
        <f t="shared" si="20"/>
        <v>74185.858238879751</v>
      </c>
      <c r="E60">
        <f t="shared" si="20"/>
        <v>87382.643590746913</v>
      </c>
      <c r="F60">
        <f t="shared" si="20"/>
        <v>5776.4138455690281</v>
      </c>
      <c r="G60">
        <f t="shared" si="20"/>
        <v>3214.1763794309632</v>
      </c>
      <c r="H60">
        <f t="shared" si="20"/>
        <v>21675.622301726587</v>
      </c>
      <c r="I60">
        <f t="shared" si="21"/>
        <v>37398.420181040929</v>
      </c>
      <c r="J60">
        <f t="shared" si="21"/>
        <v>328691.30520219682</v>
      </c>
      <c r="N60" t="s">
        <v>173</v>
      </c>
      <c r="O60" s="105">
        <v>66775.304309288535</v>
      </c>
      <c r="P60" s="105">
        <v>32282.866355514099</v>
      </c>
      <c r="Q60" s="105">
        <v>74185.858238879751</v>
      </c>
      <c r="R60" s="105">
        <v>87382.643590746913</v>
      </c>
      <c r="S60" s="105">
        <v>5776.4138455690281</v>
      </c>
      <c r="T60" s="105">
        <v>3214.1763794309632</v>
      </c>
      <c r="U60" s="105">
        <v>21675.622301726587</v>
      </c>
      <c r="V60" s="105">
        <v>37398.420181040929</v>
      </c>
      <c r="W60">
        <f>SUM(O60:V60)</f>
        <v>328691.30520219682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H67" si="22">O64*$B$1</f>
        <v>1396165.832058907</v>
      </c>
      <c r="C64">
        <f t="shared" si="22"/>
        <v>218566.95190822554</v>
      </c>
      <c r="D64">
        <f t="shared" si="22"/>
        <v>257851.20257284009</v>
      </c>
      <c r="E64">
        <f t="shared" si="22"/>
        <v>374454.98875246593</v>
      </c>
      <c r="F64">
        <f t="shared" si="22"/>
        <v>100520.02690211272</v>
      </c>
      <c r="G64">
        <f t="shared" si="22"/>
        <v>72467.328873867431</v>
      </c>
      <c r="H64">
        <f t="shared" si="22"/>
        <v>353954.17564759625</v>
      </c>
      <c r="I64">
        <f t="shared" ref="I64:J67" si="23">V64*$B$1</f>
        <v>171740.34403627535</v>
      </c>
      <c r="J64">
        <f t="shared" si="23"/>
        <v>2945720.8507522908</v>
      </c>
      <c r="N64" t="s">
        <v>226</v>
      </c>
      <c r="O64" s="105">
        <v>1396165.832058907</v>
      </c>
      <c r="P64" s="105">
        <v>218566.95190822554</v>
      </c>
      <c r="Q64" s="105">
        <v>257851.20257284009</v>
      </c>
      <c r="R64" s="105">
        <v>374454.98875246593</v>
      </c>
      <c r="S64" s="105">
        <v>100520.02690211272</v>
      </c>
      <c r="T64" s="105">
        <v>72467.328873867431</v>
      </c>
      <c r="U64" s="105">
        <v>353954.17564759625</v>
      </c>
      <c r="V64" s="105">
        <v>171740.34403627535</v>
      </c>
      <c r="W64">
        <f>SUM(O64:V64)</f>
        <v>2945720.8507522908</v>
      </c>
    </row>
    <row r="65" spans="1:23" x14ac:dyDescent="0.2">
      <c r="A65" t="s">
        <v>235</v>
      </c>
      <c r="B65">
        <f t="shared" si="22"/>
        <v>12253.341987751079</v>
      </c>
      <c r="C65">
        <f t="shared" si="22"/>
        <v>85282.874824565341</v>
      </c>
      <c r="D65">
        <f t="shared" si="22"/>
        <v>88671.791368248785</v>
      </c>
      <c r="E65">
        <f t="shared" si="22"/>
        <v>131401.37309669374</v>
      </c>
      <c r="F65">
        <f t="shared" si="22"/>
        <v>67993.709886804514</v>
      </c>
      <c r="G65">
        <f t="shared" si="22"/>
        <v>39001.744184762356</v>
      </c>
      <c r="H65">
        <f t="shared" si="22"/>
        <v>122855.99323269546</v>
      </c>
      <c r="I65">
        <f t="shared" si="23"/>
        <v>47004.999711574288</v>
      </c>
      <c r="J65">
        <f t="shared" si="23"/>
        <v>594465.82829309558</v>
      </c>
      <c r="N65" t="s">
        <v>235</v>
      </c>
      <c r="O65" s="105">
        <v>12253.341987751079</v>
      </c>
      <c r="P65" s="105">
        <v>85282.874824565341</v>
      </c>
      <c r="Q65" s="105">
        <v>88671.791368248785</v>
      </c>
      <c r="R65" s="105">
        <v>131401.37309669374</v>
      </c>
      <c r="S65" s="105">
        <v>67993.709886804514</v>
      </c>
      <c r="T65" s="105">
        <v>39001.744184762356</v>
      </c>
      <c r="U65" s="105">
        <v>122855.99323269546</v>
      </c>
      <c r="V65" s="105">
        <v>47004.999711574288</v>
      </c>
      <c r="W65">
        <f>SUM(O65:V65)</f>
        <v>594465.82829309558</v>
      </c>
    </row>
    <row r="66" spans="1:23" x14ac:dyDescent="0.2">
      <c r="A66" t="s">
        <v>236</v>
      </c>
      <c r="B66">
        <f t="shared" si="22"/>
        <v>1044.8901818345989</v>
      </c>
      <c r="C66">
        <f t="shared" si="22"/>
        <v>15914.580036236233</v>
      </c>
      <c r="D66">
        <f t="shared" si="22"/>
        <v>29265.961376355222</v>
      </c>
      <c r="E66">
        <f t="shared" si="22"/>
        <v>40107.79531335822</v>
      </c>
      <c r="F66">
        <f t="shared" si="22"/>
        <v>3950.2629527276731</v>
      </c>
      <c r="G66">
        <f t="shared" si="22"/>
        <v>4956.986479814972</v>
      </c>
      <c r="H66">
        <f t="shared" si="22"/>
        <v>16378.324849957799</v>
      </c>
      <c r="I66">
        <f t="shared" si="23"/>
        <v>9864.1044107062608</v>
      </c>
      <c r="J66">
        <f t="shared" si="23"/>
        <v>121482.90560099098</v>
      </c>
      <c r="N66" t="s">
        <v>236</v>
      </c>
      <c r="O66" s="105">
        <v>1044.8901818345989</v>
      </c>
      <c r="P66" s="105">
        <v>15914.580036236233</v>
      </c>
      <c r="Q66" s="105">
        <v>29265.961376355222</v>
      </c>
      <c r="R66" s="105">
        <v>40107.79531335822</v>
      </c>
      <c r="S66" s="105">
        <v>3950.2629527276731</v>
      </c>
      <c r="T66" s="105">
        <v>4956.986479814972</v>
      </c>
      <c r="U66" s="105">
        <v>16378.324849957799</v>
      </c>
      <c r="V66" s="105">
        <v>9864.1044107062608</v>
      </c>
      <c r="W66">
        <f>SUM(O66:V66)</f>
        <v>121482.90560099098</v>
      </c>
    </row>
    <row r="67" spans="1:23" x14ac:dyDescent="0.2">
      <c r="A67" t="s">
        <v>173</v>
      </c>
      <c r="B67">
        <f t="shared" si="22"/>
        <v>758.3150256311684</v>
      </c>
      <c r="C67">
        <f t="shared" si="22"/>
        <v>10823.3873311078</v>
      </c>
      <c r="D67">
        <f t="shared" si="22"/>
        <v>17918.224032816026</v>
      </c>
      <c r="E67">
        <f t="shared" si="22"/>
        <v>27938.42084148524</v>
      </c>
      <c r="F67">
        <f t="shared" si="22"/>
        <v>3102.1334381469933</v>
      </c>
      <c r="G67">
        <f t="shared" si="22"/>
        <v>3114.317435788304</v>
      </c>
      <c r="H67">
        <f t="shared" si="22"/>
        <v>10699.462086745832</v>
      </c>
      <c r="I67">
        <f t="shared" si="23"/>
        <v>6450.973625792707</v>
      </c>
      <c r="J67">
        <f t="shared" si="23"/>
        <v>80805.233817514061</v>
      </c>
      <c r="N67" t="s">
        <v>173</v>
      </c>
      <c r="O67" s="105">
        <v>758.3150256311684</v>
      </c>
      <c r="P67" s="105">
        <v>10823.3873311078</v>
      </c>
      <c r="Q67" s="105">
        <v>17918.224032816026</v>
      </c>
      <c r="R67" s="105">
        <v>27938.42084148524</v>
      </c>
      <c r="S67" s="105">
        <v>3102.1334381469933</v>
      </c>
      <c r="T67" s="105">
        <v>3114.317435788304</v>
      </c>
      <c r="U67" s="105">
        <v>10699.462086745832</v>
      </c>
      <c r="V67" s="105">
        <v>6450.973625792707</v>
      </c>
      <c r="W67">
        <f>SUM(O67:V67)</f>
        <v>80805.233817514061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H74" si="24">O71*$B$1</f>
        <v>860658.9235913431</v>
      </c>
      <c r="C71">
        <f t="shared" si="24"/>
        <v>181604.83329250824</v>
      </c>
      <c r="D71">
        <f t="shared" si="24"/>
        <v>209136.87463016863</v>
      </c>
      <c r="E71">
        <f t="shared" si="24"/>
        <v>299357.12300177786</v>
      </c>
      <c r="F71">
        <f t="shared" si="24"/>
        <v>122320.246582794</v>
      </c>
      <c r="G71">
        <f t="shared" si="24"/>
        <v>76390.9013219482</v>
      </c>
      <c r="H71">
        <f t="shared" si="24"/>
        <v>306472.13215749559</v>
      </c>
      <c r="I71">
        <f t="shared" ref="I71:J74" si="25">V71*$B$1</f>
        <v>122287.34409002302</v>
      </c>
      <c r="J71">
        <f t="shared" si="25"/>
        <v>2178228.3786680587</v>
      </c>
      <c r="N71" t="s">
        <v>226</v>
      </c>
      <c r="O71" s="105">
        <v>860658.9235913431</v>
      </c>
      <c r="P71" s="105">
        <v>181604.83329250824</v>
      </c>
      <c r="Q71" s="105">
        <v>209136.87463016863</v>
      </c>
      <c r="R71" s="105">
        <v>299357.12300177786</v>
      </c>
      <c r="S71" s="105">
        <v>122320.246582794</v>
      </c>
      <c r="T71" s="105">
        <v>76390.9013219482</v>
      </c>
      <c r="U71" s="105">
        <v>306472.13215749559</v>
      </c>
      <c r="V71" s="105">
        <v>122287.34409002302</v>
      </c>
      <c r="W71">
        <f>SUM(O71:V71)</f>
        <v>2178228.3786680587</v>
      </c>
    </row>
    <row r="72" spans="1:23" x14ac:dyDescent="0.2">
      <c r="A72" t="s">
        <v>235</v>
      </c>
      <c r="B72">
        <f t="shared" si="24"/>
        <v>264812.13180169562</v>
      </c>
      <c r="C72">
        <f t="shared" si="24"/>
        <v>49892.790358301667</v>
      </c>
      <c r="D72">
        <f t="shared" si="24"/>
        <v>44707.68020538611</v>
      </c>
      <c r="E72">
        <f t="shared" si="24"/>
        <v>65041.123742801705</v>
      </c>
      <c r="F72">
        <f t="shared" si="24"/>
        <v>33598.741843988755</v>
      </c>
      <c r="G72">
        <f t="shared" si="24"/>
        <v>20315.901149895439</v>
      </c>
      <c r="H72">
        <f t="shared" si="24"/>
        <v>92354.53905257021</v>
      </c>
      <c r="I72">
        <f t="shared" si="25"/>
        <v>37203.472737030163</v>
      </c>
      <c r="J72">
        <f t="shared" si="25"/>
        <v>607926.38089166966</v>
      </c>
      <c r="N72" t="s">
        <v>235</v>
      </c>
      <c r="O72" s="105">
        <v>264812.13180169562</v>
      </c>
      <c r="P72" s="105">
        <v>49892.790358301667</v>
      </c>
      <c r="Q72" s="105">
        <v>44707.68020538611</v>
      </c>
      <c r="R72" s="105">
        <v>65041.123742801705</v>
      </c>
      <c r="S72" s="105">
        <v>33598.741843988755</v>
      </c>
      <c r="T72" s="105">
        <v>20315.901149895439</v>
      </c>
      <c r="U72" s="105">
        <v>92354.53905257021</v>
      </c>
      <c r="V72" s="105">
        <v>37203.472737030163</v>
      </c>
      <c r="W72">
        <f>SUM(O72:V72)</f>
        <v>607926.38089166966</v>
      </c>
    </row>
    <row r="73" spans="1:23" x14ac:dyDescent="0.2">
      <c r="A73" t="s">
        <v>236</v>
      </c>
      <c r="B73">
        <f t="shared" si="24"/>
        <v>222911.63540715293</v>
      </c>
      <c r="C73">
        <f t="shared" si="24"/>
        <v>77977.669816665948</v>
      </c>
      <c r="D73">
        <f t="shared" si="24"/>
        <v>110543.94183966354</v>
      </c>
      <c r="E73">
        <f t="shared" si="24"/>
        <v>165894.80225202462</v>
      </c>
      <c r="F73">
        <f t="shared" si="24"/>
        <v>15328.48751432786</v>
      </c>
      <c r="G73">
        <f t="shared" si="24"/>
        <v>18680.137926176147</v>
      </c>
      <c r="H73">
        <f t="shared" si="24"/>
        <v>85932.71063576125</v>
      </c>
      <c r="I73">
        <f t="shared" si="25"/>
        <v>60267.676704061014</v>
      </c>
      <c r="J73">
        <f t="shared" si="25"/>
        <v>757537.06209583336</v>
      </c>
      <c r="N73" t="s">
        <v>236</v>
      </c>
      <c r="O73" s="105">
        <v>222911.63540715293</v>
      </c>
      <c r="P73" s="105">
        <v>77977.669816665948</v>
      </c>
      <c r="Q73" s="105">
        <v>110543.94183966354</v>
      </c>
      <c r="R73" s="105">
        <v>165894.80225202462</v>
      </c>
      <c r="S73" s="105">
        <v>15328.48751432786</v>
      </c>
      <c r="T73" s="105">
        <v>18680.137926176147</v>
      </c>
      <c r="U73" s="105">
        <v>85932.71063576125</v>
      </c>
      <c r="V73" s="105">
        <v>60267.676704061014</v>
      </c>
      <c r="W73">
        <f>SUM(O73:V73)</f>
        <v>757537.06209583336</v>
      </c>
    </row>
    <row r="74" spans="1:23" x14ac:dyDescent="0.2">
      <c r="A74" t="s">
        <v>173</v>
      </c>
      <c r="B74">
        <f t="shared" si="24"/>
        <v>61839.688453932518</v>
      </c>
      <c r="C74">
        <f t="shared" si="24"/>
        <v>21112.50063265907</v>
      </c>
      <c r="D74">
        <f t="shared" si="24"/>
        <v>29318.682675041819</v>
      </c>
      <c r="E74">
        <f t="shared" si="24"/>
        <v>43609.529007398953</v>
      </c>
      <c r="F74">
        <f t="shared" si="24"/>
        <v>4318.6572386812632</v>
      </c>
      <c r="G74">
        <f t="shared" si="24"/>
        <v>4153.4365762132766</v>
      </c>
      <c r="H74">
        <f t="shared" si="24"/>
        <v>19128.573971168342</v>
      </c>
      <c r="I74">
        <f t="shared" si="25"/>
        <v>15301.928253234395</v>
      </c>
      <c r="J74">
        <f t="shared" si="25"/>
        <v>198782.99680832966</v>
      </c>
      <c r="N74" t="s">
        <v>173</v>
      </c>
      <c r="O74" s="105">
        <v>61839.688453932518</v>
      </c>
      <c r="P74" s="105">
        <v>21112.50063265907</v>
      </c>
      <c r="Q74" s="105">
        <v>29318.682675041819</v>
      </c>
      <c r="R74" s="105">
        <v>43609.529007398953</v>
      </c>
      <c r="S74" s="105">
        <v>4318.6572386812632</v>
      </c>
      <c r="T74" s="105">
        <v>4153.4365762132766</v>
      </c>
      <c r="U74" s="105">
        <v>19128.573971168342</v>
      </c>
      <c r="V74" s="105">
        <v>15301.928253234395</v>
      </c>
      <c r="W74">
        <f>SUM(O74:V74)</f>
        <v>198782.99680832966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63156.113911738983</v>
      </c>
      <c r="C80">
        <f t="shared" si="26"/>
        <v>140261.12170000392</v>
      </c>
      <c r="D80">
        <f t="shared" si="26"/>
        <v>393707.17935026012</v>
      </c>
      <c r="E80">
        <f t="shared" si="26"/>
        <v>573902.57800400315</v>
      </c>
      <c r="F80">
        <f t="shared" si="26"/>
        <v>107838.58974466036</v>
      </c>
      <c r="G80">
        <f t="shared" si="26"/>
        <v>117702.63652746857</v>
      </c>
      <c r="H80">
        <f t="shared" si="26"/>
        <v>503887.95581699541</v>
      </c>
      <c r="I80">
        <f t="shared" ref="I80:J83" si="27">V80*$B$1</f>
        <v>235060.42178434858</v>
      </c>
      <c r="J80">
        <f t="shared" si="27"/>
        <v>2135516.5968394792</v>
      </c>
      <c r="N80">
        <v>0</v>
      </c>
      <c r="O80" s="105">
        <v>63156.113911738983</v>
      </c>
      <c r="P80" s="105">
        <v>140261.12170000392</v>
      </c>
      <c r="Q80" s="105">
        <v>393707.17935026012</v>
      </c>
      <c r="R80" s="105">
        <v>573902.57800400315</v>
      </c>
      <c r="S80" s="105">
        <v>107838.58974466036</v>
      </c>
      <c r="T80" s="105">
        <v>117702.63652746857</v>
      </c>
      <c r="U80" s="105">
        <v>503887.95581699541</v>
      </c>
      <c r="V80" s="105">
        <v>235060.42178434858</v>
      </c>
      <c r="W80">
        <f>SUM(O80:V80)</f>
        <v>2135516.5968394792</v>
      </c>
    </row>
    <row r="81" spans="1:23" x14ac:dyDescent="0.2">
      <c r="A81">
        <v>1</v>
      </c>
      <c r="B81">
        <f t="shared" si="26"/>
        <v>1312916.4092061301</v>
      </c>
      <c r="C81">
        <f t="shared" si="26"/>
        <v>180583.96407205751</v>
      </c>
      <c r="D81">
        <f t="shared" si="26"/>
        <v>0</v>
      </c>
      <c r="E81">
        <f t="shared" si="26"/>
        <v>0</v>
      </c>
      <c r="F81">
        <f t="shared" si="26"/>
        <v>64941.125253689446</v>
      </c>
      <c r="G81">
        <f t="shared" si="26"/>
        <v>1769.963571513226</v>
      </c>
      <c r="H81">
        <f t="shared" si="26"/>
        <v>0</v>
      </c>
      <c r="I81">
        <f t="shared" si="27"/>
        <v>0</v>
      </c>
      <c r="J81">
        <f t="shared" si="27"/>
        <v>1560211.4621033904</v>
      </c>
      <c r="N81">
        <v>1</v>
      </c>
      <c r="O81" s="105">
        <v>1312916.4092061301</v>
      </c>
      <c r="P81" s="105">
        <v>180583.96407205751</v>
      </c>
      <c r="Q81" s="105">
        <v>0</v>
      </c>
      <c r="R81" s="105">
        <v>0</v>
      </c>
      <c r="S81" s="105">
        <v>64941.125253689446</v>
      </c>
      <c r="T81" s="105">
        <v>1769.963571513226</v>
      </c>
      <c r="U81" s="105">
        <v>0</v>
      </c>
      <c r="V81" s="105">
        <v>0</v>
      </c>
      <c r="W81">
        <f>SUM(O81:V81)</f>
        <v>1560211.4621033904</v>
      </c>
    </row>
    <row r="82" spans="1:23" x14ac:dyDescent="0.2">
      <c r="A82">
        <v>2</v>
      </c>
      <c r="B82">
        <f t="shared" si="26"/>
        <v>32976.495198978228</v>
      </c>
      <c r="C82">
        <f t="shared" si="26"/>
        <v>9404.5158265316786</v>
      </c>
      <c r="D82">
        <f t="shared" si="26"/>
        <v>0</v>
      </c>
      <c r="E82">
        <f t="shared" si="26"/>
        <v>0</v>
      </c>
      <c r="F82">
        <f t="shared" si="26"/>
        <v>2667.4417870533816</v>
      </c>
      <c r="G82">
        <f t="shared" si="26"/>
        <v>67.776875251270553</v>
      </c>
      <c r="H82">
        <f t="shared" si="26"/>
        <v>0</v>
      </c>
      <c r="I82">
        <f t="shared" si="27"/>
        <v>0</v>
      </c>
      <c r="J82">
        <f t="shared" si="27"/>
        <v>45116.229687814557</v>
      </c>
      <c r="N82">
        <v>2</v>
      </c>
      <c r="O82" s="105">
        <v>32976.495198978228</v>
      </c>
      <c r="P82" s="105">
        <v>9404.5158265316786</v>
      </c>
      <c r="Q82" s="105">
        <v>0</v>
      </c>
      <c r="R82" s="105">
        <v>0</v>
      </c>
      <c r="S82" s="105">
        <v>2667.4417870533816</v>
      </c>
      <c r="T82" s="105">
        <v>67.776875251270553</v>
      </c>
      <c r="U82" s="105">
        <v>0</v>
      </c>
      <c r="V82" s="105">
        <v>0</v>
      </c>
      <c r="W82">
        <f>SUM(O82:V82)</f>
        <v>45116.229687814557</v>
      </c>
    </row>
    <row r="83" spans="1:23" x14ac:dyDescent="0.2">
      <c r="A83" t="s">
        <v>116</v>
      </c>
      <c r="B83">
        <f t="shared" si="26"/>
        <v>1173.3609372768478</v>
      </c>
      <c r="C83">
        <f t="shared" si="26"/>
        <v>338.19250154180673</v>
      </c>
      <c r="D83">
        <f t="shared" si="26"/>
        <v>0</v>
      </c>
      <c r="E83">
        <f t="shared" si="26"/>
        <v>0</v>
      </c>
      <c r="F83">
        <f t="shared" si="26"/>
        <v>118.97639438869057</v>
      </c>
      <c r="G83">
        <f t="shared" si="26"/>
        <v>0</v>
      </c>
      <c r="H83">
        <f t="shared" si="26"/>
        <v>0</v>
      </c>
      <c r="I83">
        <f t="shared" si="27"/>
        <v>0</v>
      </c>
      <c r="J83">
        <f t="shared" si="27"/>
        <v>1630.5298332073451</v>
      </c>
      <c r="N83" t="s">
        <v>116</v>
      </c>
      <c r="O83" s="105">
        <v>1173.3609372768478</v>
      </c>
      <c r="P83" s="105">
        <v>338.19250154180673</v>
      </c>
      <c r="Q83" s="105">
        <v>0</v>
      </c>
      <c r="R83" s="105">
        <v>0</v>
      </c>
      <c r="S83" s="105">
        <v>118.97639438869057</v>
      </c>
      <c r="T83" s="105">
        <v>0</v>
      </c>
      <c r="U83" s="105">
        <v>0</v>
      </c>
      <c r="V83" s="105">
        <v>0</v>
      </c>
      <c r="W83">
        <f>SUM(O83:V83)</f>
        <v>1630.5298332073451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1380568.4524608995</v>
      </c>
      <c r="C87">
        <f t="shared" si="28"/>
        <v>330587.79410013492</v>
      </c>
      <c r="D87">
        <f t="shared" si="28"/>
        <v>393707.17935026012</v>
      </c>
      <c r="E87">
        <f t="shared" si="28"/>
        <v>573902.57800400315</v>
      </c>
      <c r="F87">
        <f t="shared" si="28"/>
        <v>51631.219487188522</v>
      </c>
      <c r="G87">
        <f t="shared" si="28"/>
        <v>13030.530603048326</v>
      </c>
      <c r="H87">
        <f t="shared" si="28"/>
        <v>68187.652421696999</v>
      </c>
      <c r="I87">
        <f t="shared" ref="I87:J90" si="29">V87*$B$1</f>
        <v>197809.50597872492</v>
      </c>
      <c r="J87">
        <f t="shared" si="29"/>
        <v>3009424.9124059561</v>
      </c>
      <c r="N87">
        <v>0</v>
      </c>
      <c r="O87" s="105">
        <v>1380568.4524608995</v>
      </c>
      <c r="P87" s="105">
        <v>330587.79410013492</v>
      </c>
      <c r="Q87" s="105">
        <v>393707.17935026012</v>
      </c>
      <c r="R87" s="105">
        <v>573902.57800400315</v>
      </c>
      <c r="S87" s="105">
        <v>51631.219487188522</v>
      </c>
      <c r="T87" s="105">
        <v>13030.530603048326</v>
      </c>
      <c r="U87" s="105">
        <v>68187.652421696999</v>
      </c>
      <c r="V87" s="105">
        <v>197809.50597872492</v>
      </c>
      <c r="W87">
        <f>SUM(O87:V87)</f>
        <v>3009424.9124059561</v>
      </c>
    </row>
    <row r="88" spans="1:23" x14ac:dyDescent="0.2">
      <c r="A88">
        <v>1</v>
      </c>
      <c r="B88">
        <f t="shared" si="28"/>
        <v>29358.992240097188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102998.83317735988</v>
      </c>
      <c r="G88">
        <f t="shared" si="28"/>
        <v>105244.18669869492</v>
      </c>
      <c r="H88">
        <f t="shared" si="28"/>
        <v>428883.41845837841</v>
      </c>
      <c r="I88">
        <f t="shared" si="29"/>
        <v>36854.622328286467</v>
      </c>
      <c r="J88">
        <f t="shared" si="29"/>
        <v>703340.05290281679</v>
      </c>
      <c r="N88">
        <v>1</v>
      </c>
      <c r="O88" s="105">
        <v>29358.992240097188</v>
      </c>
      <c r="P88" s="105">
        <v>0</v>
      </c>
      <c r="Q88" s="105">
        <v>0</v>
      </c>
      <c r="R88" s="105">
        <v>0</v>
      </c>
      <c r="S88" s="105">
        <v>102998.83317735988</v>
      </c>
      <c r="T88" s="105">
        <v>105244.18669869492</v>
      </c>
      <c r="U88" s="105">
        <v>428883.41845837841</v>
      </c>
      <c r="V88" s="105">
        <v>36854.622328286467</v>
      </c>
      <c r="W88">
        <f>SUM(O88:V88)</f>
        <v>703340.05290281679</v>
      </c>
    </row>
    <row r="89" spans="1:23" x14ac:dyDescent="0.2">
      <c r="A89">
        <v>2</v>
      </c>
      <c r="B89">
        <f t="shared" si="28"/>
        <v>273.95915512949568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18322.683350110838</v>
      </c>
      <c r="G89">
        <f t="shared" si="28"/>
        <v>1099.3996120475642</v>
      </c>
      <c r="H89">
        <f t="shared" si="28"/>
        <v>5718.3196833244683</v>
      </c>
      <c r="I89">
        <f t="shared" si="29"/>
        <v>340.31370741492088</v>
      </c>
      <c r="J89">
        <f t="shared" si="29"/>
        <v>25754.675508027285</v>
      </c>
      <c r="N89">
        <v>2</v>
      </c>
      <c r="O89" s="105">
        <v>273.95915512949568</v>
      </c>
      <c r="P89" s="105">
        <v>0</v>
      </c>
      <c r="Q89" s="105">
        <v>0</v>
      </c>
      <c r="R89" s="105">
        <v>0</v>
      </c>
      <c r="S89" s="105">
        <v>18322.683350110838</v>
      </c>
      <c r="T89" s="105">
        <v>1099.3996120475642</v>
      </c>
      <c r="U89" s="105">
        <v>5718.3196833244683</v>
      </c>
      <c r="V89" s="105">
        <v>340.31370741492088</v>
      </c>
      <c r="W89">
        <f>SUM(O89:V89)</f>
        <v>25754.675508027285</v>
      </c>
    </row>
    <row r="90" spans="1:23" x14ac:dyDescent="0.2">
      <c r="A90" t="s">
        <v>116</v>
      </c>
      <c r="B90">
        <f t="shared" si="28"/>
        <v>20.97539799785973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2613.3971651326515</v>
      </c>
      <c r="G90">
        <f t="shared" si="28"/>
        <v>166.26006044225494</v>
      </c>
      <c r="H90">
        <f t="shared" si="28"/>
        <v>1098.5652535955394</v>
      </c>
      <c r="I90">
        <f t="shared" si="29"/>
        <v>55.979769922290643</v>
      </c>
      <c r="J90">
        <f t="shared" si="29"/>
        <v>3955.1776470905961</v>
      </c>
      <c r="N90" t="s">
        <v>116</v>
      </c>
      <c r="O90" s="105">
        <v>20.97539799785973</v>
      </c>
      <c r="P90" s="105">
        <v>0</v>
      </c>
      <c r="Q90" s="105">
        <v>0</v>
      </c>
      <c r="R90" s="105">
        <v>0</v>
      </c>
      <c r="S90" s="105">
        <v>2613.3971651326515</v>
      </c>
      <c r="T90" s="105">
        <v>166.26006044225494</v>
      </c>
      <c r="U90" s="105">
        <v>1098.5652535955394</v>
      </c>
      <c r="V90" s="105">
        <v>55.979769922290643</v>
      </c>
      <c r="W90">
        <f>SUM(O90:V90)</f>
        <v>3955.1776470905961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1300595.4004222744</v>
      </c>
      <c r="C94">
        <f t="shared" si="30"/>
        <v>281154.44592220517</v>
      </c>
      <c r="D94">
        <f t="shared" si="30"/>
        <v>327639.43607932556</v>
      </c>
      <c r="E94">
        <f t="shared" si="30"/>
        <v>416022.6781018324</v>
      </c>
      <c r="F94">
        <f t="shared" si="30"/>
        <v>166356.76684071674</v>
      </c>
      <c r="G94">
        <f t="shared" si="30"/>
        <v>114825.65544816942</v>
      </c>
      <c r="H94">
        <f t="shared" si="30"/>
        <v>464739.95904063416</v>
      </c>
      <c r="I94">
        <f t="shared" ref="I94:J97" si="31">V94*$B$1</f>
        <v>175028.97853558703</v>
      </c>
      <c r="J94">
        <f t="shared" si="31"/>
        <v>3246363.3203907451</v>
      </c>
      <c r="N94">
        <v>0</v>
      </c>
      <c r="O94" s="105">
        <v>1300595.4004222744</v>
      </c>
      <c r="P94" s="105">
        <v>281154.44592220517</v>
      </c>
      <c r="Q94" s="105">
        <v>327639.43607932556</v>
      </c>
      <c r="R94" s="105">
        <v>416022.6781018324</v>
      </c>
      <c r="S94" s="105">
        <v>166356.76684071674</v>
      </c>
      <c r="T94" s="105">
        <v>114825.65544816942</v>
      </c>
      <c r="U94" s="105">
        <v>464739.95904063416</v>
      </c>
      <c r="V94" s="105">
        <v>175028.97853558703</v>
      </c>
      <c r="W94">
        <f>SUM(O94:V94)</f>
        <v>3246363.3203907451</v>
      </c>
    </row>
    <row r="95" spans="1:23" x14ac:dyDescent="0.2">
      <c r="A95">
        <v>1</v>
      </c>
      <c r="B95">
        <f t="shared" si="30"/>
        <v>96579.999959479086</v>
      </c>
      <c r="C95">
        <f t="shared" si="30"/>
        <v>29380.941051840062</v>
      </c>
      <c r="D95">
        <f t="shared" si="30"/>
        <v>48997.624394605424</v>
      </c>
      <c r="E95">
        <f t="shared" si="30"/>
        <v>89573.711154288452</v>
      </c>
      <c r="F95">
        <f t="shared" si="30"/>
        <v>7499.4576021365674</v>
      </c>
      <c r="G95">
        <f t="shared" si="30"/>
        <v>4054.7261644751379</v>
      </c>
      <c r="H95">
        <f t="shared" si="30"/>
        <v>33010.384915482842</v>
      </c>
      <c r="I95">
        <f t="shared" si="31"/>
        <v>54451.0847300159</v>
      </c>
      <c r="J95">
        <f t="shared" si="31"/>
        <v>363547.92997232347</v>
      </c>
      <c r="N95">
        <v>1</v>
      </c>
      <c r="O95" s="105">
        <v>96579.999959479086</v>
      </c>
      <c r="P95" s="105">
        <v>29380.941051840062</v>
      </c>
      <c r="Q95" s="105">
        <v>48997.624394605424</v>
      </c>
      <c r="R95" s="105">
        <v>89573.711154288452</v>
      </c>
      <c r="S95" s="105">
        <v>7499.4576021365674</v>
      </c>
      <c r="T95" s="105">
        <v>4054.7261644751379</v>
      </c>
      <c r="U95" s="105">
        <v>33010.384915482842</v>
      </c>
      <c r="V95" s="105">
        <v>54451.0847300159</v>
      </c>
      <c r="W95">
        <f>SUM(O95:V95)</f>
        <v>363547.92997232347</v>
      </c>
    </row>
    <row r="96" spans="1:23" x14ac:dyDescent="0.2">
      <c r="A96">
        <v>2</v>
      </c>
      <c r="B96">
        <f t="shared" si="30"/>
        <v>11336.942538677107</v>
      </c>
      <c r="C96">
        <f t="shared" si="30"/>
        <v>17190.499416063769</v>
      </c>
      <c r="D96">
        <f t="shared" si="30"/>
        <v>14661.095926143642</v>
      </c>
      <c r="E96">
        <f t="shared" si="30"/>
        <v>58538.740488507399</v>
      </c>
      <c r="F96">
        <f t="shared" si="30"/>
        <v>1412.4223908100003</v>
      </c>
      <c r="G96">
        <f t="shared" si="30"/>
        <v>582.99914329508226</v>
      </c>
      <c r="H96">
        <f t="shared" si="30"/>
        <v>4613.3021653548949</v>
      </c>
      <c r="I96">
        <f t="shared" si="31"/>
        <v>4361.7226488219831</v>
      </c>
      <c r="J96">
        <f t="shared" si="31"/>
        <v>112697.72471767387</v>
      </c>
      <c r="N96">
        <v>2</v>
      </c>
      <c r="O96" s="105">
        <v>11336.942538677107</v>
      </c>
      <c r="P96" s="105">
        <v>17190.499416063769</v>
      </c>
      <c r="Q96" s="105">
        <v>14661.095926143642</v>
      </c>
      <c r="R96" s="105">
        <v>58538.740488507399</v>
      </c>
      <c r="S96" s="105">
        <v>1412.4223908100003</v>
      </c>
      <c r="T96" s="105">
        <v>582.99914329508226</v>
      </c>
      <c r="U96" s="105">
        <v>4613.3021653548949</v>
      </c>
      <c r="V96" s="105">
        <v>4361.7226488219831</v>
      </c>
      <c r="W96">
        <f>SUM(O96:V96)</f>
        <v>112697.72471767387</v>
      </c>
    </row>
    <row r="97" spans="1:23" x14ac:dyDescent="0.2">
      <c r="A97" t="s">
        <v>116</v>
      </c>
      <c r="B97">
        <f t="shared" si="30"/>
        <v>1710.0363336935895</v>
      </c>
      <c r="C97">
        <f t="shared" si="30"/>
        <v>2861.9077100258946</v>
      </c>
      <c r="D97">
        <f t="shared" si="30"/>
        <v>2409.0229501854405</v>
      </c>
      <c r="E97">
        <f t="shared" si="30"/>
        <v>9767.4482593748635</v>
      </c>
      <c r="F97">
        <f t="shared" si="30"/>
        <v>297.48634612859172</v>
      </c>
      <c r="G97">
        <f t="shared" si="30"/>
        <v>76.996218293417911</v>
      </c>
      <c r="H97">
        <f t="shared" si="30"/>
        <v>1524.3096955234751</v>
      </c>
      <c r="I97">
        <f t="shared" si="31"/>
        <v>1218.6358699236896</v>
      </c>
      <c r="J97">
        <f t="shared" si="31"/>
        <v>19865.843383148964</v>
      </c>
      <c r="N97" t="s">
        <v>116</v>
      </c>
      <c r="O97" s="105">
        <v>1710.0363336935895</v>
      </c>
      <c r="P97" s="105">
        <v>2861.9077100258946</v>
      </c>
      <c r="Q97" s="105">
        <v>2409.0229501854405</v>
      </c>
      <c r="R97" s="105">
        <v>9767.4482593748635</v>
      </c>
      <c r="S97" s="105">
        <v>297.48634612859172</v>
      </c>
      <c r="T97" s="105">
        <v>76.996218293417911</v>
      </c>
      <c r="U97" s="105">
        <v>1524.3096955234751</v>
      </c>
      <c r="V97" s="105">
        <v>1218.6358699236896</v>
      </c>
      <c r="W97">
        <f>SUM(O97:V97)</f>
        <v>19865.843383148964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1269115.7492266302</v>
      </c>
      <c r="C101">
        <f t="shared" si="32"/>
        <v>268612.41894703975</v>
      </c>
      <c r="D101">
        <f t="shared" si="32"/>
        <v>262223.22346672445</v>
      </c>
      <c r="E101">
        <f t="shared" si="32"/>
        <v>413352.02327504888</v>
      </c>
      <c r="F101">
        <f t="shared" si="32"/>
        <v>165134.7350229827</v>
      </c>
      <c r="G101">
        <f t="shared" si="32"/>
        <v>110641.9507410042</v>
      </c>
      <c r="H101">
        <f t="shared" si="32"/>
        <v>448933.03128564771</v>
      </c>
      <c r="I101">
        <f t="shared" ref="I101:J104" si="33">V101*$B$1</f>
        <v>170004.04298352957</v>
      </c>
      <c r="J101">
        <f t="shared" si="33"/>
        <v>3108017.1749486071</v>
      </c>
      <c r="N101">
        <v>0</v>
      </c>
      <c r="O101" s="105">
        <v>1269115.7492266302</v>
      </c>
      <c r="P101" s="105">
        <v>268612.41894703975</v>
      </c>
      <c r="Q101" s="105">
        <v>262223.22346672445</v>
      </c>
      <c r="R101" s="105">
        <v>413352.02327504888</v>
      </c>
      <c r="S101" s="105">
        <v>165134.7350229827</v>
      </c>
      <c r="T101" s="105">
        <v>110641.9507410042</v>
      </c>
      <c r="U101" s="105">
        <v>448933.03128564771</v>
      </c>
      <c r="V101" s="105">
        <v>170004.04298352957</v>
      </c>
      <c r="W101">
        <f>SUM(O101:V101)</f>
        <v>3108017.1749486071</v>
      </c>
    </row>
    <row r="102" spans="1:23" x14ac:dyDescent="0.2">
      <c r="A102">
        <v>1</v>
      </c>
      <c r="B102">
        <f t="shared" si="32"/>
        <v>132331.90464967594</v>
      </c>
      <c r="C102">
        <f t="shared" si="32"/>
        <v>53491.729493193583</v>
      </c>
      <c r="D102">
        <f t="shared" si="32"/>
        <v>111874.34485398146</v>
      </c>
      <c r="E102">
        <f t="shared" si="32"/>
        <v>135908.06875599315</v>
      </c>
      <c r="F102">
        <f t="shared" si="32"/>
        <v>9434.4037273232352</v>
      </c>
      <c r="G102">
        <f t="shared" si="32"/>
        <v>8120.8356502113875</v>
      </c>
      <c r="H102">
        <f t="shared" si="32"/>
        <v>50721.094929246246</v>
      </c>
      <c r="I102">
        <f t="shared" si="33"/>
        <v>56055.540157272764</v>
      </c>
      <c r="J102">
        <f t="shared" si="33"/>
        <v>557937.92221689771</v>
      </c>
      <c r="N102">
        <v>1</v>
      </c>
      <c r="O102" s="105">
        <v>132331.90464967594</v>
      </c>
      <c r="P102" s="105">
        <v>53491.729493193583</v>
      </c>
      <c r="Q102" s="105">
        <v>111874.34485398146</v>
      </c>
      <c r="R102" s="105">
        <v>135908.06875599315</v>
      </c>
      <c r="S102" s="105">
        <v>9434.4037273232352</v>
      </c>
      <c r="T102" s="105">
        <v>8120.8356502113875</v>
      </c>
      <c r="U102" s="105">
        <v>50721.094929246246</v>
      </c>
      <c r="V102" s="105">
        <v>56055.540157272764</v>
      </c>
      <c r="W102">
        <f>SUM(O102:V102)</f>
        <v>557937.92221689771</v>
      </c>
    </row>
    <row r="103" spans="1:23" x14ac:dyDescent="0.2">
      <c r="A103">
        <v>2</v>
      </c>
      <c r="B103">
        <f t="shared" si="32"/>
        <v>7626.5806144483249</v>
      </c>
      <c r="C103">
        <f t="shared" si="32"/>
        <v>7432.5906237184699</v>
      </c>
      <c r="D103">
        <f t="shared" si="32"/>
        <v>17030.691836735947</v>
      </c>
      <c r="E103">
        <f t="shared" si="32"/>
        <v>21583.088162129774</v>
      </c>
      <c r="F103">
        <f t="shared" si="32"/>
        <v>893.03085481565108</v>
      </c>
      <c r="G103">
        <f t="shared" si="32"/>
        <v>716.07995744121672</v>
      </c>
      <c r="H103">
        <f t="shared" si="32"/>
        <v>3658.4288868521257</v>
      </c>
      <c r="I103">
        <f t="shared" si="33"/>
        <v>7853.1402042663476</v>
      </c>
      <c r="J103">
        <f t="shared" si="33"/>
        <v>66793.631140407859</v>
      </c>
      <c r="N103">
        <v>2</v>
      </c>
      <c r="O103" s="105">
        <v>7626.5806144483249</v>
      </c>
      <c r="P103" s="105">
        <v>7432.5906237184699</v>
      </c>
      <c r="Q103" s="105">
        <v>17030.691836735947</v>
      </c>
      <c r="R103" s="105">
        <v>21583.088162129774</v>
      </c>
      <c r="S103" s="105">
        <v>893.03085481565108</v>
      </c>
      <c r="T103" s="105">
        <v>716.07995744121672</v>
      </c>
      <c r="U103" s="105">
        <v>3658.4288868521257</v>
      </c>
      <c r="V103" s="105">
        <v>7853.1402042663476</v>
      </c>
      <c r="W103">
        <f>SUM(O103:V103)</f>
        <v>66793.631140407859</v>
      </c>
    </row>
    <row r="104" spans="1:23" x14ac:dyDescent="0.2">
      <c r="A104" t="s">
        <v>116</v>
      </c>
      <c r="B104">
        <f t="shared" si="32"/>
        <v>1148.1447633695864</v>
      </c>
      <c r="C104">
        <f t="shared" si="32"/>
        <v>1051.0550361831354</v>
      </c>
      <c r="D104">
        <f t="shared" si="32"/>
        <v>2578.9191928182681</v>
      </c>
      <c r="E104">
        <f t="shared" si="32"/>
        <v>3059.3978108313204</v>
      </c>
      <c r="F104">
        <f t="shared" si="32"/>
        <v>103.96357467028734</v>
      </c>
      <c r="G104">
        <f t="shared" si="32"/>
        <v>61.510625576257183</v>
      </c>
      <c r="H104">
        <f t="shared" si="32"/>
        <v>575.40071524930386</v>
      </c>
      <c r="I104">
        <f t="shared" si="33"/>
        <v>1147.6984392799075</v>
      </c>
      <c r="J104">
        <f t="shared" si="33"/>
        <v>9726.0901579780657</v>
      </c>
      <c r="N104" t="s">
        <v>116</v>
      </c>
      <c r="O104" s="105">
        <v>1148.1447633695864</v>
      </c>
      <c r="P104" s="105">
        <v>1051.0550361831354</v>
      </c>
      <c r="Q104" s="105">
        <v>2578.9191928182681</v>
      </c>
      <c r="R104" s="105">
        <v>3059.3978108313204</v>
      </c>
      <c r="S104" s="105">
        <v>103.96357467028734</v>
      </c>
      <c r="T104" s="105">
        <v>61.510625576257183</v>
      </c>
      <c r="U104" s="105">
        <v>575.40071524930386</v>
      </c>
      <c r="V104" s="105">
        <v>1147.6984392799075</v>
      </c>
      <c r="W104">
        <f>SUM(O104:V104)</f>
        <v>9726.0901579780657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1293046.2579225737</v>
      </c>
      <c r="C108">
        <f t="shared" si="34"/>
        <v>275997.60492097004</v>
      </c>
      <c r="D108">
        <f t="shared" si="34"/>
        <v>272506.43979354965</v>
      </c>
      <c r="E108">
        <f t="shared" si="34"/>
        <v>432069.6299059501</v>
      </c>
      <c r="F108">
        <f t="shared" si="34"/>
        <v>164702.33971573503</v>
      </c>
      <c r="G108">
        <f t="shared" si="34"/>
        <v>112768.40857400006</v>
      </c>
      <c r="H108">
        <f t="shared" si="34"/>
        <v>453826.74061437271</v>
      </c>
      <c r="I108">
        <f t="shared" ref="I108:J111" si="35">V108*$B$1</f>
        <v>171987.58107349358</v>
      </c>
      <c r="J108">
        <f t="shared" si="35"/>
        <v>3176905.002520645</v>
      </c>
      <c r="N108">
        <v>0</v>
      </c>
      <c r="O108" s="105">
        <v>1293046.2579225737</v>
      </c>
      <c r="P108" s="105">
        <v>275997.60492097004</v>
      </c>
      <c r="Q108" s="105">
        <v>272506.43979354965</v>
      </c>
      <c r="R108" s="105">
        <v>432069.6299059501</v>
      </c>
      <c r="S108" s="105">
        <v>164702.33971573503</v>
      </c>
      <c r="T108" s="105">
        <v>112768.40857400006</v>
      </c>
      <c r="U108" s="105">
        <v>453826.74061437271</v>
      </c>
      <c r="V108" s="105">
        <v>171987.58107349358</v>
      </c>
      <c r="W108">
        <f>SUM(O108:V108)</f>
        <v>3176905.002520645</v>
      </c>
    </row>
    <row r="109" spans="1:23" x14ac:dyDescent="0.2">
      <c r="A109">
        <v>1</v>
      </c>
      <c r="B109">
        <f t="shared" si="34"/>
        <v>110274.34039695606</v>
      </c>
      <c r="C109">
        <f t="shared" si="34"/>
        <v>50064.420002327694</v>
      </c>
      <c r="D109">
        <f t="shared" si="34"/>
        <v>109230.77479468493</v>
      </c>
      <c r="E109">
        <f t="shared" si="34"/>
        <v>125998.83573326509</v>
      </c>
      <c r="F109">
        <f t="shared" si="34"/>
        <v>9712.5724366633021</v>
      </c>
      <c r="G109">
        <f t="shared" si="34"/>
        <v>6312.5914473606763</v>
      </c>
      <c r="H109">
        <f t="shared" si="34"/>
        <v>22615.16152154392</v>
      </c>
      <c r="I109">
        <f t="shared" si="35"/>
        <v>43645.036209654674</v>
      </c>
      <c r="J109">
        <f t="shared" si="35"/>
        <v>477853.73254245636</v>
      </c>
      <c r="N109">
        <v>1</v>
      </c>
      <c r="O109" s="105">
        <v>110274.34039695606</v>
      </c>
      <c r="P109" s="105">
        <v>50064.420002327694</v>
      </c>
      <c r="Q109" s="105">
        <v>109230.77479468493</v>
      </c>
      <c r="R109" s="105">
        <v>125998.83573326509</v>
      </c>
      <c r="S109" s="105">
        <v>9712.5724366633021</v>
      </c>
      <c r="T109" s="105">
        <v>6312.5914473606763</v>
      </c>
      <c r="U109" s="105">
        <v>22615.16152154392</v>
      </c>
      <c r="V109" s="105">
        <v>43645.036209654674</v>
      </c>
      <c r="W109">
        <f>SUM(O109:V109)</f>
        <v>477853.73254245636</v>
      </c>
    </row>
    <row r="110" spans="1:23" x14ac:dyDescent="0.2">
      <c r="A110">
        <v>2</v>
      </c>
      <c r="B110">
        <f t="shared" si="34"/>
        <v>6245.0476192485467</v>
      </c>
      <c r="C110">
        <f t="shared" si="34"/>
        <v>3878.9992102814012</v>
      </c>
      <c r="D110">
        <f t="shared" si="34"/>
        <v>9246.7386395106696</v>
      </c>
      <c r="E110">
        <f t="shared" si="34"/>
        <v>12362.441228761347</v>
      </c>
      <c r="F110">
        <f t="shared" si="34"/>
        <v>706.96519312239411</v>
      </c>
      <c r="G110">
        <f t="shared" si="34"/>
        <v>410.99151463906429</v>
      </c>
      <c r="H110">
        <f t="shared" si="34"/>
        <v>1323.4879935458225</v>
      </c>
      <c r="I110">
        <f t="shared" si="35"/>
        <v>3019.8277607988052</v>
      </c>
      <c r="J110">
        <f t="shared" si="35"/>
        <v>37194.499159908046</v>
      </c>
      <c r="N110">
        <v>2</v>
      </c>
      <c r="O110" s="105">
        <v>6245.0476192485467</v>
      </c>
      <c r="P110" s="105">
        <v>3878.9992102814012</v>
      </c>
      <c r="Q110" s="105">
        <v>9246.7386395106696</v>
      </c>
      <c r="R110" s="105">
        <v>12362.441228761347</v>
      </c>
      <c r="S110" s="105">
        <v>706.96519312239411</v>
      </c>
      <c r="T110" s="105">
        <v>410.99151463906429</v>
      </c>
      <c r="U110" s="105">
        <v>1323.4879935458225</v>
      </c>
      <c r="V110" s="105">
        <v>3019.8277607988052</v>
      </c>
      <c r="W110">
        <f>SUM(O110:V110)</f>
        <v>37194.499159908046</v>
      </c>
    </row>
    <row r="111" spans="1:23" x14ac:dyDescent="0.2">
      <c r="A111" t="s">
        <v>116</v>
      </c>
      <c r="B111">
        <f t="shared" si="34"/>
        <v>656.73331534567467</v>
      </c>
      <c r="C111">
        <f t="shared" si="34"/>
        <v>646.76996655579012</v>
      </c>
      <c r="D111">
        <f t="shared" si="34"/>
        <v>2723.2261225148327</v>
      </c>
      <c r="E111">
        <f t="shared" si="34"/>
        <v>3471.6711360266136</v>
      </c>
      <c r="F111">
        <f t="shared" si="34"/>
        <v>444.2558342711506</v>
      </c>
      <c r="G111">
        <f t="shared" si="34"/>
        <v>48.385438233264331</v>
      </c>
      <c r="H111">
        <f t="shared" si="34"/>
        <v>26122.565687532904</v>
      </c>
      <c r="I111">
        <f t="shared" si="35"/>
        <v>16407.976740401526</v>
      </c>
      <c r="J111">
        <f t="shared" si="35"/>
        <v>50521.584240881755</v>
      </c>
      <c r="N111" t="s">
        <v>116</v>
      </c>
      <c r="O111" s="105">
        <v>656.73331534567467</v>
      </c>
      <c r="P111" s="105">
        <v>646.76996655579012</v>
      </c>
      <c r="Q111" s="105">
        <v>2723.2261225148327</v>
      </c>
      <c r="R111" s="105">
        <v>3471.6711360266136</v>
      </c>
      <c r="S111" s="105">
        <v>444.2558342711506</v>
      </c>
      <c r="T111" s="105">
        <v>48.385438233264331</v>
      </c>
      <c r="U111" s="105">
        <v>26122.565687532904</v>
      </c>
      <c r="V111" s="105">
        <v>16407.976740401526</v>
      </c>
      <c r="W111">
        <f>SUM(O111:V111)</f>
        <v>50521.584240881755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1408419.1740466582</v>
      </c>
      <c r="C115">
        <f t="shared" si="36"/>
        <v>303849.82673279085</v>
      </c>
      <c r="D115">
        <f t="shared" si="36"/>
        <v>346522.99394108885</v>
      </c>
      <c r="E115">
        <f t="shared" si="36"/>
        <v>505856.3618491597</v>
      </c>
      <c r="F115">
        <f t="shared" si="36"/>
        <v>168513.73678891722</v>
      </c>
      <c r="G115">
        <f t="shared" si="36"/>
        <v>111469.07305862979</v>
      </c>
      <c r="H115">
        <f t="shared" si="36"/>
        <v>476810.16888029175</v>
      </c>
      <c r="I115">
        <f t="shared" ref="I115:J118" si="37">V115*$B$1</f>
        <v>218745.34374784961</v>
      </c>
      <c r="J115">
        <f t="shared" si="37"/>
        <v>3540186.6790453861</v>
      </c>
      <c r="N115">
        <v>0</v>
      </c>
      <c r="O115" s="105">
        <v>1408419.1740466582</v>
      </c>
      <c r="P115" s="105">
        <v>303849.82673279085</v>
      </c>
      <c r="Q115" s="105">
        <v>346522.99394108885</v>
      </c>
      <c r="R115" s="105">
        <v>505856.3618491597</v>
      </c>
      <c r="S115" s="105">
        <v>168513.73678891722</v>
      </c>
      <c r="T115" s="105">
        <v>111469.07305862979</v>
      </c>
      <c r="U115" s="105">
        <v>476810.16888029175</v>
      </c>
      <c r="V115" s="105">
        <v>218745.34374784961</v>
      </c>
      <c r="W115">
        <f>SUM(O115:V115)</f>
        <v>3540186.6790453861</v>
      </c>
    </row>
    <row r="116" spans="1:23" x14ac:dyDescent="0.2">
      <c r="A116">
        <v>1</v>
      </c>
      <c r="B116">
        <f t="shared" si="36"/>
        <v>1773.2460587315909</v>
      </c>
      <c r="C116">
        <f t="shared" si="36"/>
        <v>24951.873768207253</v>
      </c>
      <c r="D116">
        <f t="shared" si="36"/>
        <v>42693.43430835833</v>
      </c>
      <c r="E116">
        <f t="shared" si="36"/>
        <v>65403.037778166246</v>
      </c>
      <c r="F116">
        <f t="shared" si="36"/>
        <v>6915.1612292334894</v>
      </c>
      <c r="G116">
        <f t="shared" si="36"/>
        <v>7970.1259351648569</v>
      </c>
      <c r="H116">
        <f t="shared" si="36"/>
        <v>27050.036704647639</v>
      </c>
      <c r="I116">
        <f t="shared" si="37"/>
        <v>16232.566607039502</v>
      </c>
      <c r="J116">
        <f t="shared" si="37"/>
        <v>192989.48238954894</v>
      </c>
      <c r="N116">
        <v>1</v>
      </c>
      <c r="O116" s="105">
        <v>1773.2460587315909</v>
      </c>
      <c r="P116" s="105">
        <v>24951.873768207253</v>
      </c>
      <c r="Q116" s="105">
        <v>42693.43430835833</v>
      </c>
      <c r="R116" s="105">
        <v>65403.037778166246</v>
      </c>
      <c r="S116" s="105">
        <v>6915.1612292334894</v>
      </c>
      <c r="T116" s="105">
        <v>7970.1259351648569</v>
      </c>
      <c r="U116" s="105">
        <v>27050.036704647639</v>
      </c>
      <c r="V116" s="105">
        <v>16232.566607039502</v>
      </c>
      <c r="W116">
        <f>SUM(O116:V116)</f>
        <v>192989.48238954894</v>
      </c>
    </row>
    <row r="117" spans="1:23" x14ac:dyDescent="0.2">
      <c r="A117">
        <v>2</v>
      </c>
      <c r="B117">
        <f t="shared" si="36"/>
        <v>29.959148734176409</v>
      </c>
      <c r="C117">
        <f t="shared" si="36"/>
        <v>1786.0935991367817</v>
      </c>
      <c r="D117">
        <f t="shared" si="36"/>
        <v>4490.7511008129195</v>
      </c>
      <c r="E117">
        <f t="shared" si="36"/>
        <v>2643.1783766772187</v>
      </c>
      <c r="F117">
        <f t="shared" si="36"/>
        <v>137.23516164117734</v>
      </c>
      <c r="G117">
        <f t="shared" si="36"/>
        <v>101.17798043841832</v>
      </c>
      <c r="H117">
        <f t="shared" si="36"/>
        <v>27.75023205599248</v>
      </c>
      <c r="I117">
        <f t="shared" si="37"/>
        <v>82.511429459465674</v>
      </c>
      <c r="J117">
        <f t="shared" si="37"/>
        <v>9298.6570289561514</v>
      </c>
      <c r="N117">
        <v>2</v>
      </c>
      <c r="O117" s="105">
        <v>29.959148734176409</v>
      </c>
      <c r="P117" s="105">
        <v>1786.0935991367817</v>
      </c>
      <c r="Q117" s="105">
        <v>4490.7511008129195</v>
      </c>
      <c r="R117" s="105">
        <v>2643.1783766772187</v>
      </c>
      <c r="S117" s="105">
        <v>137.23516164117734</v>
      </c>
      <c r="T117" s="105">
        <v>101.17798043841832</v>
      </c>
      <c r="U117" s="105">
        <v>27.75023205599248</v>
      </c>
      <c r="V117" s="105">
        <v>82.511429459465674</v>
      </c>
      <c r="W117">
        <f>SUM(O117:V117)</f>
        <v>9298.6570289561514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1125471.0553930386</v>
      </c>
      <c r="C122">
        <f t="shared" si="38"/>
        <v>231497.6236508099</v>
      </c>
      <c r="D122">
        <f t="shared" si="38"/>
        <v>253844.55483555474</v>
      </c>
      <c r="E122">
        <f t="shared" si="38"/>
        <v>364398.24674457952</v>
      </c>
      <c r="F122">
        <f t="shared" si="38"/>
        <v>155918.98842678277</v>
      </c>
      <c r="G122">
        <f t="shared" si="38"/>
        <v>96706.802471843635</v>
      </c>
      <c r="H122">
        <f t="shared" si="38"/>
        <v>398826.67121006578</v>
      </c>
      <c r="I122">
        <f t="shared" ref="I122:J125" si="39">V122*$B$1</f>
        <v>159490.81682705318</v>
      </c>
      <c r="J122">
        <f t="shared" si="39"/>
        <v>2786154.7595597282</v>
      </c>
      <c r="N122">
        <v>0</v>
      </c>
      <c r="O122" s="105">
        <v>1125471.0553930386</v>
      </c>
      <c r="P122" s="105">
        <v>231497.6236508099</v>
      </c>
      <c r="Q122" s="105">
        <v>253844.55483555474</v>
      </c>
      <c r="R122" s="105">
        <v>364398.24674457952</v>
      </c>
      <c r="S122" s="105">
        <v>155918.98842678277</v>
      </c>
      <c r="T122" s="105">
        <v>96706.802471843635</v>
      </c>
      <c r="U122" s="105">
        <v>398826.67121006578</v>
      </c>
      <c r="V122" s="105">
        <v>159490.81682705318</v>
      </c>
      <c r="W122">
        <f>SUM(O122:V122)</f>
        <v>2786154.7595597282</v>
      </c>
    </row>
    <row r="123" spans="1:23" x14ac:dyDescent="0.2">
      <c r="A123">
        <v>1</v>
      </c>
      <c r="B123">
        <f t="shared" si="38"/>
        <v>255642.90764320584</v>
      </c>
      <c r="C123">
        <f t="shared" si="38"/>
        <v>85943.537567685911</v>
      </c>
      <c r="D123">
        <f t="shared" si="38"/>
        <v>117757.28302196816</v>
      </c>
      <c r="E123">
        <f t="shared" si="38"/>
        <v>176255.58072899887</v>
      </c>
      <c r="F123">
        <f t="shared" si="38"/>
        <v>17909.081339610519</v>
      </c>
      <c r="G123">
        <f t="shared" si="38"/>
        <v>20406.89972189011</v>
      </c>
      <c r="H123">
        <f t="shared" si="38"/>
        <v>96468.342357051821</v>
      </c>
      <c r="I123">
        <f t="shared" si="39"/>
        <v>64578.667752419526</v>
      </c>
      <c r="J123">
        <f t="shared" si="39"/>
        <v>834962.30013283063</v>
      </c>
      <c r="N123">
        <v>1</v>
      </c>
      <c r="O123" s="105">
        <v>255642.90764320584</v>
      </c>
      <c r="P123" s="105">
        <v>85943.537567685911</v>
      </c>
      <c r="Q123" s="105">
        <v>117757.28302196816</v>
      </c>
      <c r="R123" s="105">
        <v>176255.58072899887</v>
      </c>
      <c r="S123" s="105">
        <v>17909.081339610519</v>
      </c>
      <c r="T123" s="105">
        <v>20406.89972189011</v>
      </c>
      <c r="U123" s="105">
        <v>96468.342357051821</v>
      </c>
      <c r="V123" s="105">
        <v>64578.667752419526</v>
      </c>
      <c r="W123">
        <f>SUM(O123:V123)</f>
        <v>834962.30013283063</v>
      </c>
    </row>
    <row r="124" spans="1:23" x14ac:dyDescent="0.2">
      <c r="A124">
        <v>2</v>
      </c>
      <c r="B124">
        <f t="shared" si="38"/>
        <v>26279.948251711179</v>
      </c>
      <c r="C124">
        <f t="shared" si="38"/>
        <v>12034.260701425446</v>
      </c>
      <c r="D124">
        <f t="shared" si="38"/>
        <v>20014.021151747427</v>
      </c>
      <c r="E124">
        <f t="shared" si="38"/>
        <v>30022.812103934659</v>
      </c>
      <c r="F124">
        <f t="shared" si="38"/>
        <v>1579.3817623373977</v>
      </c>
      <c r="G124">
        <f t="shared" si="38"/>
        <v>2168.3396276650033</v>
      </c>
      <c r="H124">
        <f t="shared" si="38"/>
        <v>7889.7683100394297</v>
      </c>
      <c r="I124">
        <f t="shared" si="39"/>
        <v>10095.964177253198</v>
      </c>
      <c r="J124">
        <f t="shared" si="39"/>
        <v>110084.49608611374</v>
      </c>
      <c r="N124">
        <v>2</v>
      </c>
      <c r="O124" s="105">
        <v>26279.948251711179</v>
      </c>
      <c r="P124" s="105">
        <v>12034.260701425446</v>
      </c>
      <c r="Q124" s="105">
        <v>20014.021151747427</v>
      </c>
      <c r="R124" s="105">
        <v>30022.812103934659</v>
      </c>
      <c r="S124" s="105">
        <v>1579.3817623373977</v>
      </c>
      <c r="T124" s="105">
        <v>2168.3396276650033</v>
      </c>
      <c r="U124" s="105">
        <v>7889.7683100394297</v>
      </c>
      <c r="V124" s="105">
        <v>10095.964177253198</v>
      </c>
      <c r="W124">
        <f>SUM(O124:V124)</f>
        <v>110084.49608611374</v>
      </c>
    </row>
    <row r="125" spans="1:23" x14ac:dyDescent="0.2">
      <c r="A125" t="s">
        <v>116</v>
      </c>
      <c r="B125">
        <f t="shared" si="38"/>
        <v>2828.4679661684345</v>
      </c>
      <c r="C125">
        <f t="shared" si="38"/>
        <v>1112.3721802136715</v>
      </c>
      <c r="D125">
        <f t="shared" si="38"/>
        <v>2091.3203409897733</v>
      </c>
      <c r="E125">
        <f t="shared" si="38"/>
        <v>3225.9384264900345</v>
      </c>
      <c r="F125">
        <f t="shared" si="38"/>
        <v>158.68165106120858</v>
      </c>
      <c r="G125">
        <f t="shared" si="38"/>
        <v>258.33515283431325</v>
      </c>
      <c r="H125">
        <f t="shared" si="38"/>
        <v>703.17393983834359</v>
      </c>
      <c r="I125">
        <f t="shared" si="39"/>
        <v>894.97302762268987</v>
      </c>
      <c r="J125">
        <f t="shared" si="39"/>
        <v>11273.262685218468</v>
      </c>
      <c r="N125" t="s">
        <v>116</v>
      </c>
      <c r="O125" s="105">
        <v>2828.4679661684345</v>
      </c>
      <c r="P125" s="105">
        <v>1112.3721802136715</v>
      </c>
      <c r="Q125" s="105">
        <v>2091.3203409897733</v>
      </c>
      <c r="R125" s="105">
        <v>3225.9384264900345</v>
      </c>
      <c r="S125" s="105">
        <v>158.68165106120858</v>
      </c>
      <c r="T125" s="105">
        <v>258.33515283431325</v>
      </c>
      <c r="U125" s="105">
        <v>703.17393983834359</v>
      </c>
      <c r="V125" s="105">
        <v>894.97302762268987</v>
      </c>
      <c r="W125">
        <f>SUM(O125:V125)</f>
        <v>11273.262685218468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1336490.3467334004</v>
      </c>
      <c r="C129">
        <f t="shared" si="40"/>
        <v>222219.90368324559</v>
      </c>
      <c r="D129">
        <f t="shared" si="40"/>
        <v>1558710.250416646</v>
      </c>
      <c r="N129">
        <v>0</v>
      </c>
      <c r="O129" s="105">
        <v>1336490.3467334004</v>
      </c>
      <c r="P129" s="105">
        <v>222219.90368324559</v>
      </c>
      <c r="Q129">
        <f>SUM(O129:P129)</f>
        <v>1558710.250416646</v>
      </c>
    </row>
    <row r="130" spans="1:17" x14ac:dyDescent="0.2">
      <c r="A130">
        <v>1</v>
      </c>
      <c r="B130">
        <f t="shared" si="40"/>
        <v>86988.245748014233</v>
      </c>
      <c r="C130">
        <f t="shared" si="40"/>
        <v>43078.062921141282</v>
      </c>
      <c r="D130">
        <f t="shared" si="40"/>
        <v>130066.30866915552</v>
      </c>
      <c r="N130">
        <v>1</v>
      </c>
      <c r="O130" s="105">
        <v>86988.245748014233</v>
      </c>
      <c r="P130" s="105">
        <v>43078.062921141282</v>
      </c>
      <c r="Q130">
        <f>SUM(O130:P130)</f>
        <v>130066.30866915552</v>
      </c>
    </row>
    <row r="131" spans="1:17" x14ac:dyDescent="0.2">
      <c r="A131">
        <v>2</v>
      </c>
      <c r="B131">
        <f t="shared" si="40"/>
        <v>4817.2584434150858</v>
      </c>
      <c r="C131">
        <f t="shared" si="40"/>
        <v>10259.108114791208</v>
      </c>
      <c r="D131">
        <f t="shared" si="40"/>
        <v>15076.366558206293</v>
      </c>
      <c r="N131">
        <v>2</v>
      </c>
      <c r="O131" s="105">
        <v>4817.2584434150858</v>
      </c>
      <c r="P131" s="105">
        <v>10259.108114791208</v>
      </c>
      <c r="Q131">
        <f>SUM(O131:P131)</f>
        <v>15076.366558206293</v>
      </c>
    </row>
    <row r="132" spans="1:17" x14ac:dyDescent="0.2">
      <c r="A132" t="s">
        <v>116</v>
      </c>
      <c r="B132">
        <f t="shared" si="40"/>
        <v>924.994183069678</v>
      </c>
      <c r="C132">
        <f t="shared" si="40"/>
        <v>3856.5895423355419</v>
      </c>
      <c r="D132">
        <f t="shared" si="40"/>
        <v>4781.5837254052203</v>
      </c>
      <c r="N132" t="s">
        <v>116</v>
      </c>
      <c r="O132" s="105">
        <v>924.994183069678</v>
      </c>
      <c r="P132" s="105">
        <v>3856.5895423355419</v>
      </c>
      <c r="Q132">
        <f>SUM(O132:P132)</f>
        <v>4781.5837254052203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B142" si="41">O136*$B$1</f>
        <v>31663.228001189564</v>
      </c>
      <c r="C136">
        <f t="shared" ref="C136:C142" si="42">P136*$B$1</f>
        <v>5280.5597723657274</v>
      </c>
      <c r="D136">
        <f t="shared" ref="D136:D142" si="43">Q136*$B$1</f>
        <v>36943.78777355529</v>
      </c>
      <c r="N136" t="s">
        <v>210</v>
      </c>
      <c r="O136" s="105">
        <v>31663.228001189564</v>
      </c>
      <c r="P136" s="105">
        <v>5280.5597723657274</v>
      </c>
      <c r="Q136">
        <f>SUM(O136:P136)</f>
        <v>36943.78777355529</v>
      </c>
    </row>
    <row r="137" spans="1:17" x14ac:dyDescent="0.2">
      <c r="A137" t="s">
        <v>211</v>
      </c>
      <c r="B137">
        <f t="shared" si="41"/>
        <v>138.68467227630504</v>
      </c>
      <c r="C137">
        <f t="shared" si="42"/>
        <v>536.75689478327854</v>
      </c>
      <c r="D137">
        <f t="shared" si="43"/>
        <v>675.44156705958358</v>
      </c>
      <c r="N137" t="s">
        <v>211</v>
      </c>
      <c r="O137" s="105">
        <v>138.68467227630504</v>
      </c>
      <c r="P137" s="105">
        <v>536.75689478327854</v>
      </c>
      <c r="Q137">
        <f t="shared" ref="Q137:Q142" si="44">SUM(O137:P137)</f>
        <v>675.44156705958358</v>
      </c>
    </row>
    <row r="138" spans="1:17" x14ac:dyDescent="0.2">
      <c r="A138" t="s">
        <v>212</v>
      </c>
      <c r="B138">
        <f t="shared" si="41"/>
        <v>5000.5958879634209</v>
      </c>
      <c r="C138">
        <f t="shared" si="42"/>
        <v>652.7553069236767</v>
      </c>
      <c r="D138">
        <f t="shared" si="43"/>
        <v>5653.3511948870973</v>
      </c>
      <c r="N138" t="s">
        <v>212</v>
      </c>
      <c r="O138" s="105">
        <v>5000.5958879634209</v>
      </c>
      <c r="P138" s="105">
        <v>652.7553069236767</v>
      </c>
      <c r="Q138">
        <f t="shared" si="44"/>
        <v>5653.3511948870973</v>
      </c>
    </row>
    <row r="139" spans="1:17" x14ac:dyDescent="0.2">
      <c r="A139" t="s">
        <v>36</v>
      </c>
      <c r="B139">
        <f t="shared" si="41"/>
        <v>17120.692888362621</v>
      </c>
      <c r="C139">
        <f t="shared" si="42"/>
        <v>2233.8748532017139</v>
      </c>
      <c r="D139">
        <f t="shared" si="43"/>
        <v>19354.567741564333</v>
      </c>
      <c r="N139" t="s">
        <v>36</v>
      </c>
      <c r="O139" s="105">
        <v>17120.692888362621</v>
      </c>
      <c r="P139" s="105">
        <v>2233.8748532017139</v>
      </c>
      <c r="Q139">
        <f t="shared" si="44"/>
        <v>19354.567741564333</v>
      </c>
    </row>
    <row r="140" spans="1:17" x14ac:dyDescent="0.2">
      <c r="A140" t="s">
        <v>214</v>
      </c>
      <c r="B140">
        <f t="shared" si="41"/>
        <v>18384.873292649274</v>
      </c>
      <c r="C140">
        <f t="shared" si="42"/>
        <v>2400.6472290812503</v>
      </c>
      <c r="D140">
        <f t="shared" si="43"/>
        <v>20785.520521730523</v>
      </c>
      <c r="N140" t="s">
        <v>214</v>
      </c>
      <c r="O140" s="105">
        <v>18384.873292649274</v>
      </c>
      <c r="P140" s="105">
        <v>2400.6472290812503</v>
      </c>
      <c r="Q140">
        <f t="shared" si="44"/>
        <v>20785.520521730523</v>
      </c>
    </row>
    <row r="141" spans="1:17" x14ac:dyDescent="0.2">
      <c r="A141" t="s">
        <v>129</v>
      </c>
      <c r="B141">
        <f t="shared" si="41"/>
        <v>10311.158548182419</v>
      </c>
      <c r="C141">
        <f t="shared" si="42"/>
        <v>62689.377956330369</v>
      </c>
      <c r="D141">
        <f t="shared" si="43"/>
        <v>73000.536504512784</v>
      </c>
      <c r="N141" t="s">
        <v>129</v>
      </c>
      <c r="O141" s="105">
        <v>10311.158548182419</v>
      </c>
      <c r="P141" s="105">
        <v>62689.377956330369</v>
      </c>
      <c r="Q141">
        <f t="shared" si="44"/>
        <v>73000.536504512784</v>
      </c>
    </row>
    <row r="142" spans="1:17" x14ac:dyDescent="0.2">
      <c r="A142" t="s">
        <v>130</v>
      </c>
      <c r="B142">
        <f t="shared" si="41"/>
        <v>17009.763060647972</v>
      </c>
      <c r="C142">
        <f t="shared" si="42"/>
        <v>2564.44637053923</v>
      </c>
      <c r="D142">
        <f t="shared" si="43"/>
        <v>19574.209431187202</v>
      </c>
      <c r="N142" t="s">
        <v>130</v>
      </c>
      <c r="O142" s="105">
        <v>17009.763060647972</v>
      </c>
      <c r="P142" s="105">
        <v>2564.44637053923</v>
      </c>
      <c r="Q142">
        <f t="shared" si="44"/>
        <v>19574.209431187202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685271.42263810802</v>
      </c>
      <c r="C148">
        <f t="shared" si="45"/>
        <v>361882.98589490651</v>
      </c>
      <c r="D148">
        <f t="shared" si="45"/>
        <v>308453.06889655063</v>
      </c>
      <c r="E148">
        <f t="shared" si="45"/>
        <v>433375.19391327124</v>
      </c>
      <c r="F148">
        <f t="shared" si="45"/>
        <v>450800.16463627206</v>
      </c>
      <c r="G148">
        <f t="shared" si="45"/>
        <v>193541.11145863865</v>
      </c>
      <c r="H148">
        <f t="shared" ref="H148:H154" si="46">U148*$B$1</f>
        <v>778945.72127442097</v>
      </c>
      <c r="I148">
        <f t="shared" ref="I148:I154" si="47">V148*$B$1</f>
        <v>3212269.6687121685</v>
      </c>
      <c r="N148">
        <v>0</v>
      </c>
      <c r="O148" s="105">
        <v>685271.42263810802</v>
      </c>
      <c r="P148" s="105">
        <v>361882.98589490651</v>
      </c>
      <c r="Q148" s="105">
        <v>308453.06889655063</v>
      </c>
      <c r="R148" s="105">
        <v>433375.19391327124</v>
      </c>
      <c r="S148" s="105">
        <v>450800.16463627206</v>
      </c>
      <c r="T148" s="105">
        <v>193541.11145863865</v>
      </c>
      <c r="U148" s="105">
        <v>778945.72127442097</v>
      </c>
      <c r="V148">
        <f>SUM(O148:U148)</f>
        <v>3212269.6687121685</v>
      </c>
    </row>
    <row r="149" spans="1:22" x14ac:dyDescent="0.2">
      <c r="A149">
        <v>1</v>
      </c>
      <c r="B149">
        <f t="shared" si="45"/>
        <v>520789.55090766057</v>
      </c>
      <c r="C149">
        <f t="shared" si="45"/>
        <v>236735.05330307511</v>
      </c>
      <c r="D149">
        <f t="shared" si="45"/>
        <v>205559.30230016966</v>
      </c>
      <c r="E149">
        <f t="shared" si="45"/>
        <v>199381.43460905211</v>
      </c>
      <c r="F149">
        <f t="shared" si="45"/>
        <v>183979.51465115248</v>
      </c>
      <c r="G149">
        <f t="shared" si="45"/>
        <v>60577.334275005051</v>
      </c>
      <c r="H149">
        <f t="shared" si="46"/>
        <v>246193.75432577723</v>
      </c>
      <c r="I149">
        <f t="shared" si="47"/>
        <v>1653215.9443718924</v>
      </c>
      <c r="N149">
        <v>1</v>
      </c>
      <c r="O149" s="105">
        <v>520789.55090766057</v>
      </c>
      <c r="P149" s="105">
        <v>236735.05330307511</v>
      </c>
      <c r="Q149" s="105">
        <v>205559.30230016966</v>
      </c>
      <c r="R149" s="105">
        <v>199381.43460905211</v>
      </c>
      <c r="S149" s="105">
        <v>183979.51465115248</v>
      </c>
      <c r="T149" s="105">
        <v>60577.334275005051</v>
      </c>
      <c r="U149" s="105">
        <v>246193.75432577723</v>
      </c>
      <c r="V149">
        <f t="shared" ref="V149:V154" si="48">SUM(O149:U149)</f>
        <v>1653215.9443718924</v>
      </c>
    </row>
    <row r="150" spans="1:22" x14ac:dyDescent="0.2">
      <c r="A150">
        <v>2</v>
      </c>
      <c r="B150">
        <f t="shared" si="45"/>
        <v>294411.7982056528</v>
      </c>
      <c r="C150">
        <f t="shared" si="45"/>
        <v>115916.43085020279</v>
      </c>
      <c r="D150">
        <f t="shared" si="45"/>
        <v>96905.964443787074</v>
      </c>
      <c r="E150">
        <f t="shared" si="45"/>
        <v>77961.238031850371</v>
      </c>
      <c r="F150">
        <f t="shared" si="45"/>
        <v>68295.928770893937</v>
      </c>
      <c r="G150">
        <f t="shared" si="45"/>
        <v>21297.596827721285</v>
      </c>
      <c r="H150">
        <f t="shared" si="46"/>
        <v>66263.23495253305</v>
      </c>
      <c r="I150">
        <f t="shared" si="47"/>
        <v>741052.19208264141</v>
      </c>
      <c r="N150">
        <v>2</v>
      </c>
      <c r="O150" s="105">
        <v>294411.7982056528</v>
      </c>
      <c r="P150" s="105">
        <v>115916.43085020279</v>
      </c>
      <c r="Q150" s="105">
        <v>96905.964443787074</v>
      </c>
      <c r="R150" s="105">
        <v>77961.238031850371</v>
      </c>
      <c r="S150" s="105">
        <v>68295.928770893937</v>
      </c>
      <c r="T150" s="105">
        <v>21297.596827721285</v>
      </c>
      <c r="U150" s="105">
        <v>66263.23495253305</v>
      </c>
      <c r="V150">
        <f t="shared" si="48"/>
        <v>741052.19208264141</v>
      </c>
    </row>
    <row r="151" spans="1:22" x14ac:dyDescent="0.2">
      <c r="A151">
        <v>3</v>
      </c>
      <c r="B151">
        <f t="shared" si="45"/>
        <v>119716.9555979045</v>
      </c>
      <c r="C151">
        <f t="shared" si="45"/>
        <v>39698.967494204007</v>
      </c>
      <c r="D151">
        <f t="shared" si="45"/>
        <v>33184.742166914861</v>
      </c>
      <c r="E151">
        <f t="shared" si="45"/>
        <v>23965.741732977884</v>
      </c>
      <c r="F151">
        <f t="shared" si="45"/>
        <v>20496.22034690878</v>
      </c>
      <c r="G151">
        <f t="shared" si="45"/>
        <v>6597.7747993440189</v>
      </c>
      <c r="H151">
        <f t="shared" si="46"/>
        <v>16051.134539315399</v>
      </c>
      <c r="I151">
        <f t="shared" si="47"/>
        <v>259711.53667756944</v>
      </c>
      <c r="N151">
        <v>3</v>
      </c>
      <c r="O151" s="105">
        <v>119716.9555979045</v>
      </c>
      <c r="P151" s="105">
        <v>39698.967494204007</v>
      </c>
      <c r="Q151" s="105">
        <v>33184.742166914861</v>
      </c>
      <c r="R151" s="105">
        <v>23965.741732977884</v>
      </c>
      <c r="S151" s="105">
        <v>20496.22034690878</v>
      </c>
      <c r="T151" s="105">
        <v>6597.7747993440189</v>
      </c>
      <c r="U151" s="105">
        <v>16051.134539315399</v>
      </c>
      <c r="V151">
        <f t="shared" si="48"/>
        <v>259711.53667756944</v>
      </c>
    </row>
    <row r="152" spans="1:22" x14ac:dyDescent="0.2">
      <c r="A152">
        <v>4</v>
      </c>
      <c r="B152">
        <f t="shared" si="45"/>
        <v>48685.738858815777</v>
      </c>
      <c r="C152">
        <f t="shared" si="45"/>
        <v>11885.702126640552</v>
      </c>
      <c r="D152">
        <f t="shared" si="45"/>
        <v>10872.320907970148</v>
      </c>
      <c r="E152">
        <f t="shared" si="45"/>
        <v>6841.0981423480152</v>
      </c>
      <c r="F152">
        <f t="shared" si="45"/>
        <v>6421.7582065600427</v>
      </c>
      <c r="G152">
        <f t="shared" si="45"/>
        <v>2152.5041220936191</v>
      </c>
      <c r="H152">
        <f t="shared" si="46"/>
        <v>4045.8491447931583</v>
      </c>
      <c r="I152">
        <f t="shared" si="47"/>
        <v>90904.971509221316</v>
      </c>
      <c r="N152">
        <v>4</v>
      </c>
      <c r="O152" s="105">
        <v>48685.738858815777</v>
      </c>
      <c r="P152" s="105">
        <v>11885.702126640552</v>
      </c>
      <c r="Q152" s="105">
        <v>10872.320907970148</v>
      </c>
      <c r="R152" s="105">
        <v>6841.0981423480152</v>
      </c>
      <c r="S152" s="105">
        <v>6421.7582065600427</v>
      </c>
      <c r="T152" s="105">
        <v>2152.5041220936191</v>
      </c>
      <c r="U152" s="105">
        <v>4045.8491447931583</v>
      </c>
      <c r="V152">
        <f t="shared" si="48"/>
        <v>90904.971509221316</v>
      </c>
    </row>
    <row r="153" spans="1:22" x14ac:dyDescent="0.2">
      <c r="A153">
        <v>5</v>
      </c>
      <c r="B153">
        <f t="shared" si="45"/>
        <v>18675.167408692629</v>
      </c>
      <c r="C153">
        <f t="shared" si="45"/>
        <v>3304.7077765056611</v>
      </c>
      <c r="D153">
        <f t="shared" si="45"/>
        <v>3299.7211920713744</v>
      </c>
      <c r="E153">
        <f t="shared" si="45"/>
        <v>1445.6490889685117</v>
      </c>
      <c r="F153">
        <f t="shared" si="45"/>
        <v>1933.1218608753027</v>
      </c>
      <c r="G153">
        <f t="shared" si="45"/>
        <v>502.33035825933149</v>
      </c>
      <c r="H153">
        <f t="shared" si="46"/>
        <v>958.33827826538015</v>
      </c>
      <c r="I153">
        <f t="shared" si="47"/>
        <v>30119.035963638191</v>
      </c>
      <c r="N153">
        <v>5</v>
      </c>
      <c r="O153" s="105">
        <v>18675.167408692629</v>
      </c>
      <c r="P153" s="105">
        <v>3304.7077765056611</v>
      </c>
      <c r="Q153" s="105">
        <v>3299.7211920713744</v>
      </c>
      <c r="R153" s="105">
        <v>1445.6490889685117</v>
      </c>
      <c r="S153" s="105">
        <v>1933.1218608753027</v>
      </c>
      <c r="T153" s="105">
        <v>502.33035825933149</v>
      </c>
      <c r="U153" s="105">
        <v>958.33827826538015</v>
      </c>
      <c r="V153">
        <f t="shared" si="48"/>
        <v>30119.035963638191</v>
      </c>
    </row>
    <row r="154" spans="1:22" x14ac:dyDescent="0.2">
      <c r="A154" t="s">
        <v>209</v>
      </c>
      <c r="B154">
        <f t="shared" si="45"/>
        <v>21083.875752578781</v>
      </c>
      <c r="C154">
        <f t="shared" si="45"/>
        <v>1717.186327030425</v>
      </c>
      <c r="D154">
        <f t="shared" si="45"/>
        <v>1607.050817713937</v>
      </c>
      <c r="E154">
        <f t="shared" si="45"/>
        <v>498.39844067477577</v>
      </c>
      <c r="F154">
        <f t="shared" si="45"/>
        <v>542.55895086160626</v>
      </c>
      <c r="G154">
        <f t="shared" si="45"/>
        <v>181.21342949406838</v>
      </c>
      <c r="H154">
        <f t="shared" si="46"/>
        <v>294.00520003887124</v>
      </c>
      <c r="I154">
        <f t="shared" si="47"/>
        <v>25924.288918392467</v>
      </c>
      <c r="N154" t="s">
        <v>209</v>
      </c>
      <c r="O154" s="105">
        <v>21083.875752578781</v>
      </c>
      <c r="P154" s="105">
        <v>1717.186327030425</v>
      </c>
      <c r="Q154" s="105">
        <v>1607.050817713937</v>
      </c>
      <c r="R154" s="105">
        <v>498.39844067477577</v>
      </c>
      <c r="S154" s="105">
        <v>542.55895086160626</v>
      </c>
      <c r="T154" s="105">
        <v>181.21342949406838</v>
      </c>
      <c r="U154" s="105">
        <v>294.00520003887124</v>
      </c>
      <c r="V154">
        <f t="shared" si="48"/>
        <v>25924.288918392467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1252004.3757906142</v>
      </c>
      <c r="C158">
        <f t="shared" si="49"/>
        <v>607915.71878501971</v>
      </c>
      <c r="D158">
        <f t="shared" si="49"/>
        <v>476835.35877061263</v>
      </c>
      <c r="E158">
        <f t="shared" si="49"/>
        <v>590137.87506261922</v>
      </c>
      <c r="F158">
        <f t="shared" si="49"/>
        <v>591882.281605214</v>
      </c>
      <c r="G158">
        <f t="shared" si="49"/>
        <v>236778.94788524401</v>
      </c>
      <c r="H158">
        <f t="shared" ref="H158:H164" si="50">U158*$B$1</f>
        <v>959857.00913008431</v>
      </c>
      <c r="I158">
        <f t="shared" ref="I158:I164" si="51">V158*$B$1</f>
        <v>4715411.5670294082</v>
      </c>
      <c r="N158">
        <v>0</v>
      </c>
      <c r="O158" s="105">
        <v>1252004.3757906142</v>
      </c>
      <c r="P158" s="105">
        <v>607915.71878501971</v>
      </c>
      <c r="Q158" s="105">
        <v>476835.35877061263</v>
      </c>
      <c r="R158" s="105">
        <v>590137.87506261922</v>
      </c>
      <c r="S158" s="105">
        <v>591882.281605214</v>
      </c>
      <c r="T158" s="105">
        <v>236778.94788524401</v>
      </c>
      <c r="U158" s="105">
        <v>959857.00913008431</v>
      </c>
      <c r="V158">
        <f>SUM(O158:U158)</f>
        <v>4715411.5670294082</v>
      </c>
    </row>
    <row r="159" spans="1:22" x14ac:dyDescent="0.2">
      <c r="A159">
        <v>1</v>
      </c>
      <c r="B159">
        <f t="shared" si="49"/>
        <v>339535.78306682006</v>
      </c>
      <c r="C159">
        <f t="shared" si="49"/>
        <v>129035.06726282486</v>
      </c>
      <c r="D159">
        <f t="shared" si="49"/>
        <v>137981.50048156027</v>
      </c>
      <c r="E159">
        <f t="shared" si="49"/>
        <v>118594.32289617503</v>
      </c>
      <c r="F159">
        <f t="shared" si="49"/>
        <v>108652.16964267181</v>
      </c>
      <c r="G159">
        <f t="shared" si="49"/>
        <v>37358.16271561545</v>
      </c>
      <c r="H159">
        <f t="shared" si="50"/>
        <v>127159.26647514701</v>
      </c>
      <c r="I159">
        <f t="shared" si="51"/>
        <v>998316.27254081448</v>
      </c>
      <c r="N159">
        <v>1</v>
      </c>
      <c r="O159" s="105">
        <v>339535.78306682006</v>
      </c>
      <c r="P159" s="105">
        <v>129035.06726282486</v>
      </c>
      <c r="Q159" s="105">
        <v>137981.50048156027</v>
      </c>
      <c r="R159" s="105">
        <v>118594.32289617503</v>
      </c>
      <c r="S159" s="105">
        <v>108652.16964267181</v>
      </c>
      <c r="T159" s="105">
        <v>37358.16271561545</v>
      </c>
      <c r="U159" s="105">
        <v>127159.26647514701</v>
      </c>
      <c r="V159">
        <f t="shared" ref="V159:V164" si="52">SUM(O159:U159)</f>
        <v>998316.27254081448</v>
      </c>
    </row>
    <row r="160" spans="1:22" x14ac:dyDescent="0.2">
      <c r="A160">
        <v>2</v>
      </c>
      <c r="B160">
        <f t="shared" si="49"/>
        <v>81143.900404772226</v>
      </c>
      <c r="C160">
        <f t="shared" si="49"/>
        <v>26887.512295659388</v>
      </c>
      <c r="D160">
        <f t="shared" si="49"/>
        <v>34324.757000028534</v>
      </c>
      <c r="E160">
        <f t="shared" si="49"/>
        <v>27173.43025854378</v>
      </c>
      <c r="F160">
        <f t="shared" si="49"/>
        <v>24765.313743746301</v>
      </c>
      <c r="G160">
        <f t="shared" si="49"/>
        <v>8116.403100936076</v>
      </c>
      <c r="H160">
        <f t="shared" si="50"/>
        <v>21080.553508107107</v>
      </c>
      <c r="I160">
        <f t="shared" si="51"/>
        <v>223491.87031179341</v>
      </c>
      <c r="N160">
        <v>2</v>
      </c>
      <c r="O160" s="105">
        <v>81143.900404772226</v>
      </c>
      <c r="P160" s="105">
        <v>26887.512295659388</v>
      </c>
      <c r="Q160" s="105">
        <v>34324.757000028534</v>
      </c>
      <c r="R160" s="105">
        <v>27173.43025854378</v>
      </c>
      <c r="S160" s="105">
        <v>24765.313743746301</v>
      </c>
      <c r="T160" s="105">
        <v>8116.403100936076</v>
      </c>
      <c r="U160" s="105">
        <v>21080.553508107107</v>
      </c>
      <c r="V160">
        <f t="shared" si="52"/>
        <v>223491.87031179341</v>
      </c>
    </row>
    <row r="161" spans="1:22" x14ac:dyDescent="0.2">
      <c r="A161">
        <v>3</v>
      </c>
      <c r="B161">
        <f t="shared" si="49"/>
        <v>21052.118623511557</v>
      </c>
      <c r="C161">
        <f t="shared" si="49"/>
        <v>5404.7411135819802</v>
      </c>
      <c r="D161">
        <f t="shared" si="49"/>
        <v>7478.2080528303914</v>
      </c>
      <c r="E161">
        <f t="shared" si="49"/>
        <v>5744.9023361066065</v>
      </c>
      <c r="F161">
        <f t="shared" si="49"/>
        <v>5264.1540313902578</v>
      </c>
      <c r="G161">
        <f t="shared" si="49"/>
        <v>1925.8844685823738</v>
      </c>
      <c r="H161">
        <f t="shared" si="50"/>
        <v>3557.3212842115836</v>
      </c>
      <c r="I161">
        <f t="shared" si="51"/>
        <v>50427.32991021475</v>
      </c>
      <c r="N161">
        <v>3</v>
      </c>
      <c r="O161" s="105">
        <v>21052.118623511557</v>
      </c>
      <c r="P161" s="105">
        <v>5404.7411135819802</v>
      </c>
      <c r="Q161" s="105">
        <v>7478.2080528303914</v>
      </c>
      <c r="R161" s="105">
        <v>5744.9023361066065</v>
      </c>
      <c r="S161" s="105">
        <v>5264.1540313902578</v>
      </c>
      <c r="T161" s="105">
        <v>1925.8844685823738</v>
      </c>
      <c r="U161" s="105">
        <v>3557.3212842115836</v>
      </c>
      <c r="V161">
        <f t="shared" si="52"/>
        <v>50427.32991021475</v>
      </c>
    </row>
    <row r="162" spans="1:22" x14ac:dyDescent="0.2">
      <c r="A162">
        <v>4</v>
      </c>
      <c r="B162">
        <f t="shared" si="49"/>
        <v>8625.7679742695764</v>
      </c>
      <c r="C162">
        <f t="shared" si="49"/>
        <v>1441.1479657248651</v>
      </c>
      <c r="D162">
        <f t="shared" si="49"/>
        <v>2364.981692773169</v>
      </c>
      <c r="E162">
        <f t="shared" si="49"/>
        <v>1469.1594558486024</v>
      </c>
      <c r="F162">
        <f t="shared" si="49"/>
        <v>1491.837846067368</v>
      </c>
      <c r="G162">
        <f t="shared" si="49"/>
        <v>552.54281783433669</v>
      </c>
      <c r="H162">
        <f t="shared" si="50"/>
        <v>881.60728721394582</v>
      </c>
      <c r="I162">
        <f t="shared" si="51"/>
        <v>16827.045039731864</v>
      </c>
      <c r="N162">
        <v>4</v>
      </c>
      <c r="O162" s="105">
        <v>8625.7679742695764</v>
      </c>
      <c r="P162" s="105">
        <v>1441.1479657248651</v>
      </c>
      <c r="Q162" s="105">
        <v>2364.981692773169</v>
      </c>
      <c r="R162" s="105">
        <v>1469.1594558486024</v>
      </c>
      <c r="S162" s="105">
        <v>1491.837846067368</v>
      </c>
      <c r="T162" s="105">
        <v>552.54281783433669</v>
      </c>
      <c r="U162" s="105">
        <v>881.60728721394582</v>
      </c>
      <c r="V162">
        <f t="shared" si="52"/>
        <v>16827.045039731864</v>
      </c>
    </row>
    <row r="163" spans="1:22" x14ac:dyDescent="0.2">
      <c r="A163">
        <v>5</v>
      </c>
      <c r="B163">
        <f t="shared" si="49"/>
        <v>2717.9454212595547</v>
      </c>
      <c r="C163">
        <f t="shared" si="49"/>
        <v>294.41445920584471</v>
      </c>
      <c r="D163">
        <f t="shared" si="49"/>
        <v>581.86913213712262</v>
      </c>
      <c r="E163">
        <f t="shared" si="49"/>
        <v>267.60781008231953</v>
      </c>
      <c r="F163">
        <f t="shared" si="49"/>
        <v>318.749504324844</v>
      </c>
      <c r="G163">
        <f t="shared" si="49"/>
        <v>68.469689696081645</v>
      </c>
      <c r="H163">
        <f t="shared" si="50"/>
        <v>166.80617113457336</v>
      </c>
      <c r="I163">
        <f t="shared" si="51"/>
        <v>4415.8621878403401</v>
      </c>
      <c r="N163">
        <v>5</v>
      </c>
      <c r="O163" s="105">
        <v>2717.9454212595547</v>
      </c>
      <c r="P163" s="105">
        <v>294.41445920584471</v>
      </c>
      <c r="Q163" s="105">
        <v>581.86913213712262</v>
      </c>
      <c r="R163" s="105">
        <v>267.60781008231953</v>
      </c>
      <c r="S163" s="105">
        <v>318.749504324844</v>
      </c>
      <c r="T163" s="105">
        <v>68.469689696081645</v>
      </c>
      <c r="U163" s="105">
        <v>166.80617113457336</v>
      </c>
      <c r="V163">
        <f t="shared" si="52"/>
        <v>4415.8621878403401</v>
      </c>
    </row>
    <row r="164" spans="1:22" x14ac:dyDescent="0.2">
      <c r="A164" t="s">
        <v>209</v>
      </c>
      <c r="B164">
        <f t="shared" si="49"/>
        <v>3554.6180881657879</v>
      </c>
      <c r="C164">
        <f t="shared" si="49"/>
        <v>162.4318905483955</v>
      </c>
      <c r="D164">
        <f t="shared" si="49"/>
        <v>315.49559523554643</v>
      </c>
      <c r="E164">
        <f t="shared" si="49"/>
        <v>81.456139767318291</v>
      </c>
      <c r="F164">
        <f t="shared" si="49"/>
        <v>94.761050109647186</v>
      </c>
      <c r="G164">
        <f t="shared" si="49"/>
        <v>49.454592647714954</v>
      </c>
      <c r="H164">
        <f t="shared" si="50"/>
        <v>49.473859245578048</v>
      </c>
      <c r="I164">
        <f t="shared" si="51"/>
        <v>4307.6912157199877</v>
      </c>
      <c r="N164" t="s">
        <v>209</v>
      </c>
      <c r="O164" s="105">
        <v>3554.6180881657879</v>
      </c>
      <c r="P164" s="105">
        <v>162.4318905483955</v>
      </c>
      <c r="Q164" s="105">
        <v>315.49559523554643</v>
      </c>
      <c r="R164" s="105">
        <v>81.456139767318291</v>
      </c>
      <c r="S164" s="105">
        <v>94.761050109647186</v>
      </c>
      <c r="T164" s="105">
        <v>49.454592647714954</v>
      </c>
      <c r="U164" s="105">
        <v>49.473859245578048</v>
      </c>
      <c r="V164">
        <f t="shared" si="52"/>
        <v>4307.6912157199877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853317.32123591495</v>
      </c>
      <c r="C168">
        <f t="shared" si="53"/>
        <v>435397.22296203772</v>
      </c>
      <c r="D168">
        <f t="shared" si="53"/>
        <v>403858.70201292576</v>
      </c>
      <c r="E168">
        <f t="shared" si="53"/>
        <v>526911.42463235033</v>
      </c>
      <c r="F168">
        <f t="shared" si="53"/>
        <v>537754.36888850806</v>
      </c>
      <c r="G168">
        <f t="shared" si="53"/>
        <v>224177.93323563237</v>
      </c>
      <c r="H168">
        <f t="shared" ref="H168:H174" si="54">U168*$B$1</f>
        <v>884883.72230215522</v>
      </c>
      <c r="I168">
        <f t="shared" ref="I168:I174" si="55">V168*$B$1</f>
        <v>3866300.6952695241</v>
      </c>
      <c r="N168">
        <v>0</v>
      </c>
      <c r="O168" s="105">
        <v>853317.32123591495</v>
      </c>
      <c r="P168" s="105">
        <v>435397.22296203772</v>
      </c>
      <c r="Q168" s="105">
        <v>403858.70201292576</v>
      </c>
      <c r="R168" s="105">
        <v>526911.42463235033</v>
      </c>
      <c r="S168" s="105">
        <v>537754.36888850806</v>
      </c>
      <c r="T168" s="105">
        <v>224177.93323563237</v>
      </c>
      <c r="U168" s="105">
        <v>884883.72230215522</v>
      </c>
      <c r="V168">
        <f>SUM(O168:U168)</f>
        <v>3866300.6952695241</v>
      </c>
    </row>
    <row r="169" spans="1:22" x14ac:dyDescent="0.2">
      <c r="A169">
        <v>1</v>
      </c>
      <c r="B169">
        <f t="shared" si="53"/>
        <v>566036.42029053438</v>
      </c>
      <c r="C169">
        <f t="shared" si="53"/>
        <v>239483.96836920499</v>
      </c>
      <c r="D169">
        <f t="shared" si="53"/>
        <v>197343.80688617282</v>
      </c>
      <c r="E169">
        <f t="shared" si="53"/>
        <v>173338.21864112254</v>
      </c>
      <c r="F169">
        <f t="shared" si="53"/>
        <v>156927.98050694494</v>
      </c>
      <c r="G169">
        <f t="shared" si="53"/>
        <v>49984.543186722796</v>
      </c>
      <c r="H169">
        <f t="shared" si="54"/>
        <v>195038.01982352481</v>
      </c>
      <c r="I169">
        <f t="shared" si="55"/>
        <v>1578152.9577042274</v>
      </c>
      <c r="N169">
        <v>1</v>
      </c>
      <c r="O169" s="105">
        <v>566036.42029053438</v>
      </c>
      <c r="P169" s="105">
        <v>239483.96836920499</v>
      </c>
      <c r="Q169" s="105">
        <v>197343.80688617282</v>
      </c>
      <c r="R169" s="105">
        <v>173338.21864112254</v>
      </c>
      <c r="S169" s="105">
        <v>156927.98050694494</v>
      </c>
      <c r="T169" s="105">
        <v>49984.543186722796</v>
      </c>
      <c r="U169" s="105">
        <v>195038.01982352481</v>
      </c>
      <c r="V169">
        <f t="shared" ref="V169:V174" si="56">SUM(O169:U169)</f>
        <v>1578152.9577042274</v>
      </c>
    </row>
    <row r="170" spans="1:22" x14ac:dyDescent="0.2">
      <c r="A170">
        <v>2</v>
      </c>
      <c r="B170">
        <f t="shared" si="53"/>
        <v>208032.11723231606</v>
      </c>
      <c r="C170">
        <f t="shared" si="53"/>
        <v>77764.944156855214</v>
      </c>
      <c r="D170">
        <f t="shared" si="53"/>
        <v>49512.946396660373</v>
      </c>
      <c r="E170">
        <f t="shared" si="53"/>
        <v>37037.240210350297</v>
      </c>
      <c r="F170">
        <f t="shared" si="53"/>
        <v>32533.816638206219</v>
      </c>
      <c r="G170">
        <f t="shared" si="53"/>
        <v>9322.8062598312281</v>
      </c>
      <c r="H170">
        <f t="shared" si="54"/>
        <v>28987.717449591732</v>
      </c>
      <c r="I170">
        <f t="shared" si="55"/>
        <v>443191.58834381116</v>
      </c>
      <c r="N170">
        <v>2</v>
      </c>
      <c r="O170" s="105">
        <v>208032.11723231606</v>
      </c>
      <c r="P170" s="105">
        <v>77764.944156855214</v>
      </c>
      <c r="Q170" s="105">
        <v>49512.946396660373</v>
      </c>
      <c r="R170" s="105">
        <v>37037.240210350297</v>
      </c>
      <c r="S170" s="105">
        <v>32533.816638206219</v>
      </c>
      <c r="T170" s="105">
        <v>9322.8062598312281</v>
      </c>
      <c r="U170" s="105">
        <v>28987.717449591732</v>
      </c>
      <c r="V170">
        <f t="shared" si="56"/>
        <v>443191.58834381116</v>
      </c>
    </row>
    <row r="171" spans="1:22" x14ac:dyDescent="0.2">
      <c r="A171">
        <v>3</v>
      </c>
      <c r="B171">
        <f t="shared" si="53"/>
        <v>51913.966658472491</v>
      </c>
      <c r="C171">
        <f t="shared" si="53"/>
        <v>14568.265024874783</v>
      </c>
      <c r="D171">
        <f t="shared" si="53"/>
        <v>7507.6757786496546</v>
      </c>
      <c r="E171">
        <f t="shared" si="53"/>
        <v>5282.0700890265334</v>
      </c>
      <c r="F171">
        <f t="shared" si="53"/>
        <v>4397.2506488247463</v>
      </c>
      <c r="G171">
        <f t="shared" si="53"/>
        <v>1157.821656052063</v>
      </c>
      <c r="H171">
        <f t="shared" si="54"/>
        <v>3397.8114424340538</v>
      </c>
      <c r="I171">
        <f t="shared" si="55"/>
        <v>88224.861298334334</v>
      </c>
      <c r="N171">
        <v>3</v>
      </c>
      <c r="O171" s="105">
        <v>51913.966658472491</v>
      </c>
      <c r="P171" s="105">
        <v>14568.265024874783</v>
      </c>
      <c r="Q171" s="105">
        <v>7507.6757786496546</v>
      </c>
      <c r="R171" s="105">
        <v>5282.0700890265334</v>
      </c>
      <c r="S171" s="105">
        <v>4397.2506488247463</v>
      </c>
      <c r="T171" s="105">
        <v>1157.821656052063</v>
      </c>
      <c r="U171" s="105">
        <v>3397.8114424340538</v>
      </c>
      <c r="V171">
        <f t="shared" si="56"/>
        <v>88224.861298334334</v>
      </c>
    </row>
    <row r="172" spans="1:22" x14ac:dyDescent="0.2">
      <c r="A172">
        <v>4</v>
      </c>
      <c r="B172">
        <f t="shared" si="53"/>
        <v>18632.825931263851</v>
      </c>
      <c r="C172">
        <f t="shared" si="53"/>
        <v>3224.3419783076524</v>
      </c>
      <c r="D172">
        <f t="shared" si="53"/>
        <v>1426.3378696552454</v>
      </c>
      <c r="E172">
        <f t="shared" si="53"/>
        <v>736.11851550967856</v>
      </c>
      <c r="F172">
        <f t="shared" si="53"/>
        <v>771.59842297961382</v>
      </c>
      <c r="G172">
        <f t="shared" si="53"/>
        <v>167.03933089371128</v>
      </c>
      <c r="H172">
        <f t="shared" si="54"/>
        <v>405.24832603614851</v>
      </c>
      <c r="I172">
        <f t="shared" si="55"/>
        <v>25363.510374645903</v>
      </c>
      <c r="N172">
        <v>4</v>
      </c>
      <c r="O172" s="105">
        <v>18632.825931263851</v>
      </c>
      <c r="P172" s="105">
        <v>3224.3419783076524</v>
      </c>
      <c r="Q172" s="105">
        <v>1426.3378696552454</v>
      </c>
      <c r="R172" s="105">
        <v>736.11851550967856</v>
      </c>
      <c r="S172" s="105">
        <v>771.59842297961382</v>
      </c>
      <c r="T172" s="105">
        <v>167.03933089371128</v>
      </c>
      <c r="U172" s="105">
        <v>405.24832603614851</v>
      </c>
      <c r="V172">
        <f t="shared" si="56"/>
        <v>25363.510374645903</v>
      </c>
    </row>
    <row r="173" spans="1:22" x14ac:dyDescent="0.2">
      <c r="A173">
        <v>5</v>
      </c>
      <c r="B173">
        <f t="shared" si="53"/>
        <v>2764.730636647696</v>
      </c>
      <c r="C173">
        <f t="shared" si="53"/>
        <v>312.75501070290028</v>
      </c>
      <c r="D173">
        <f t="shared" si="53"/>
        <v>117.24800104246813</v>
      </c>
      <c r="E173">
        <f t="shared" si="53"/>
        <v>94.940528404321725</v>
      </c>
      <c r="F173">
        <f t="shared" si="53"/>
        <v>49.746998584889241</v>
      </c>
      <c r="G173">
        <f t="shared" si="53"/>
        <v>30.73244247997944</v>
      </c>
      <c r="H173">
        <f t="shared" si="54"/>
        <v>22.010791366906499</v>
      </c>
      <c r="I173">
        <f t="shared" si="55"/>
        <v>3392.1644092291617</v>
      </c>
      <c r="N173">
        <v>5</v>
      </c>
      <c r="O173" s="105">
        <v>2764.730636647696</v>
      </c>
      <c r="P173" s="105">
        <v>312.75501070290028</v>
      </c>
      <c r="Q173" s="105">
        <v>117.24800104246813</v>
      </c>
      <c r="R173" s="105">
        <v>94.940528404321725</v>
      </c>
      <c r="S173" s="105">
        <v>49.746998584889241</v>
      </c>
      <c r="T173" s="105">
        <v>30.73244247997944</v>
      </c>
      <c r="U173" s="105">
        <v>22.010791366906499</v>
      </c>
      <c r="V173">
        <f t="shared" si="56"/>
        <v>3392.1644092291617</v>
      </c>
    </row>
    <row r="174" spans="1:22" x14ac:dyDescent="0.2">
      <c r="A174" t="s">
        <v>209</v>
      </c>
      <c r="B174">
        <f t="shared" si="53"/>
        <v>7937.127384263712</v>
      </c>
      <c r="C174">
        <f t="shared" si="53"/>
        <v>389.53627058178699</v>
      </c>
      <c r="D174">
        <f t="shared" si="53"/>
        <v>115.45378007132852</v>
      </c>
      <c r="E174">
        <f t="shared" si="53"/>
        <v>68.741342379122855</v>
      </c>
      <c r="F174">
        <f t="shared" si="53"/>
        <v>34.505319475790408</v>
      </c>
      <c r="G174">
        <f t="shared" si="53"/>
        <v>8.9891589438713098</v>
      </c>
      <c r="H174">
        <f t="shared" si="54"/>
        <v>17.50758003524798</v>
      </c>
      <c r="I174">
        <f t="shared" si="55"/>
        <v>8571.8608357508601</v>
      </c>
      <c r="N174" t="s">
        <v>209</v>
      </c>
      <c r="O174" s="105">
        <v>7937.127384263712</v>
      </c>
      <c r="P174" s="105">
        <v>389.53627058178699</v>
      </c>
      <c r="Q174" s="105">
        <v>115.45378007132852</v>
      </c>
      <c r="R174" s="105">
        <v>68.741342379122855</v>
      </c>
      <c r="S174" s="105">
        <v>34.505319475790408</v>
      </c>
      <c r="T174" s="105">
        <v>8.9891589438713098</v>
      </c>
      <c r="U174" s="105">
        <v>17.50758003524798</v>
      </c>
      <c r="V174">
        <f t="shared" si="56"/>
        <v>8571.8608357508601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H185" si="57">O178*$B$1</f>
        <v>1397557.6171067096</v>
      </c>
      <c r="C178">
        <f t="shared" si="57"/>
        <v>201053.25524696853</v>
      </c>
      <c r="D178">
        <f t="shared" si="57"/>
        <v>0</v>
      </c>
      <c r="E178">
        <f t="shared" si="57"/>
        <v>0</v>
      </c>
      <c r="F178">
        <f t="shared" si="57"/>
        <v>71143.5447406764</v>
      </c>
      <c r="G178">
        <f t="shared" si="57"/>
        <v>1936.3045015029468</v>
      </c>
      <c r="H178">
        <f t="shared" si="57"/>
        <v>0</v>
      </c>
      <c r="I178">
        <f t="shared" ref="I178:I185" si="58">V178*$B$1</f>
        <v>0</v>
      </c>
      <c r="J178">
        <f t="shared" ref="J178:J185" si="59">W178*$B$1</f>
        <v>1671690.7215958575</v>
      </c>
      <c r="N178" t="s">
        <v>210</v>
      </c>
      <c r="O178" s="105">
        <v>1397557.6171067096</v>
      </c>
      <c r="P178" s="105">
        <v>201053.25524696853</v>
      </c>
      <c r="Q178" s="105">
        <v>0</v>
      </c>
      <c r="R178" s="105">
        <v>0</v>
      </c>
      <c r="S178" s="105">
        <v>71143.5447406764</v>
      </c>
      <c r="T178" s="105">
        <v>1936.3045015029468</v>
      </c>
      <c r="U178" s="105">
        <v>0</v>
      </c>
      <c r="V178" s="105">
        <v>0</v>
      </c>
      <c r="W178">
        <f>SUM(O178:V178)</f>
        <v>1671690.7215958575</v>
      </c>
    </row>
    <row r="179" spans="1:23" x14ac:dyDescent="0.2">
      <c r="A179" t="s">
        <v>211</v>
      </c>
      <c r="B179">
        <f t="shared" si="57"/>
        <v>30292.700548767785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148716.11844476379</v>
      </c>
      <c r="G179">
        <f t="shared" si="57"/>
        <v>108176.66993366009</v>
      </c>
      <c r="H179">
        <f t="shared" si="57"/>
        <v>445422.27026237833</v>
      </c>
      <c r="I179">
        <f t="shared" si="58"/>
        <v>37857.833015935488</v>
      </c>
      <c r="J179">
        <f t="shared" si="59"/>
        <v>770465.59220550547</v>
      </c>
      <c r="N179" t="s">
        <v>211</v>
      </c>
      <c r="O179" s="105">
        <v>30292.700548767785</v>
      </c>
      <c r="P179" s="105">
        <v>0</v>
      </c>
      <c r="Q179" s="105">
        <v>0</v>
      </c>
      <c r="R179" s="105">
        <v>0</v>
      </c>
      <c r="S179" s="105">
        <v>148716.11844476379</v>
      </c>
      <c r="T179" s="105">
        <v>108176.66993366009</v>
      </c>
      <c r="U179" s="105">
        <v>445422.27026237833</v>
      </c>
      <c r="V179" s="105">
        <v>37857.833015935488</v>
      </c>
      <c r="W179">
        <f t="shared" ref="W179:W185" si="60">SUM(O179:V179)</f>
        <v>770465.59220550547</v>
      </c>
    </row>
    <row r="180" spans="1:23" x14ac:dyDescent="0.2">
      <c r="A180" t="s">
        <v>212</v>
      </c>
      <c r="B180">
        <f t="shared" si="57"/>
        <v>126163.81869083301</v>
      </c>
      <c r="C180">
        <f t="shared" si="57"/>
        <v>72439.071966043601</v>
      </c>
      <c r="D180">
        <f t="shared" si="57"/>
        <v>85804.439106771868</v>
      </c>
      <c r="E180">
        <f t="shared" si="57"/>
        <v>236935.98549904593</v>
      </c>
      <c r="F180">
        <f t="shared" si="57"/>
        <v>11397.011078789415</v>
      </c>
      <c r="G180">
        <f t="shared" si="57"/>
        <v>5451.963105945556</v>
      </c>
      <c r="H180">
        <f t="shared" si="57"/>
        <v>48177.049323860454</v>
      </c>
      <c r="I180">
        <f t="shared" si="58"/>
        <v>67859.48075900074</v>
      </c>
      <c r="J180">
        <f t="shared" si="59"/>
        <v>654228.81953029044</v>
      </c>
      <c r="N180" t="s">
        <v>212</v>
      </c>
      <c r="O180" s="105">
        <v>126163.81869083301</v>
      </c>
      <c r="P180" s="105">
        <v>72439.071966043601</v>
      </c>
      <c r="Q180" s="105">
        <v>85804.439106771868</v>
      </c>
      <c r="R180" s="105">
        <v>236935.98549904593</v>
      </c>
      <c r="S180" s="105">
        <v>11397.011078789415</v>
      </c>
      <c r="T180" s="105">
        <v>5451.963105945556</v>
      </c>
      <c r="U180" s="105">
        <v>48177.049323860454</v>
      </c>
      <c r="V180" s="105">
        <v>67859.48075900074</v>
      </c>
      <c r="W180">
        <f t="shared" si="60"/>
        <v>654228.81953029044</v>
      </c>
    </row>
    <row r="181" spans="1:23" x14ac:dyDescent="0.2">
      <c r="A181" t="s">
        <v>36</v>
      </c>
      <c r="B181">
        <f t="shared" si="57"/>
        <v>152614.22043388017</v>
      </c>
      <c r="C181">
        <f t="shared" si="57"/>
        <v>71650.841984299797</v>
      </c>
      <c r="D181">
        <f t="shared" si="57"/>
        <v>153931.74473304278</v>
      </c>
      <c r="E181">
        <f t="shared" si="57"/>
        <v>188520.00060808912</v>
      </c>
      <c r="F181">
        <f t="shared" si="57"/>
        <v>11613.384767710173</v>
      </c>
      <c r="G181">
        <f t="shared" si="57"/>
        <v>9763.7864639598756</v>
      </c>
      <c r="H181">
        <f t="shared" si="57"/>
        <v>60363.031076326719</v>
      </c>
      <c r="I181">
        <f t="shared" si="58"/>
        <v>75657.176150269923</v>
      </c>
      <c r="J181">
        <f t="shared" si="59"/>
        <v>724114.18621757848</v>
      </c>
      <c r="N181" t="s">
        <v>36</v>
      </c>
      <c r="O181" s="105">
        <v>152614.22043388017</v>
      </c>
      <c r="P181" s="105">
        <v>71650.841984299797</v>
      </c>
      <c r="Q181" s="105">
        <v>153931.74473304278</v>
      </c>
      <c r="R181" s="105">
        <v>188520.00060808912</v>
      </c>
      <c r="S181" s="105">
        <v>11613.384767710173</v>
      </c>
      <c r="T181" s="105">
        <v>9763.7864639598756</v>
      </c>
      <c r="U181" s="105">
        <v>60363.031076326719</v>
      </c>
      <c r="V181" s="105">
        <v>75657.176150269923</v>
      </c>
      <c r="W181">
        <f t="shared" si="60"/>
        <v>724114.18621757848</v>
      </c>
    </row>
    <row r="182" spans="1:23" x14ac:dyDescent="0.2">
      <c r="A182" t="s">
        <v>214</v>
      </c>
      <c r="B182">
        <f t="shared" si="57"/>
        <v>126097.1010517589</v>
      </c>
      <c r="C182">
        <f t="shared" si="57"/>
        <v>59837.170319304423</v>
      </c>
      <c r="D182">
        <f t="shared" si="57"/>
        <v>136046.18755718213</v>
      </c>
      <c r="E182">
        <f t="shared" si="57"/>
        <v>161314.73385473588</v>
      </c>
      <c r="F182">
        <f t="shared" si="57"/>
        <v>12499.540171875387</v>
      </c>
      <c r="G182">
        <f t="shared" si="57"/>
        <v>7289.484712907225</v>
      </c>
      <c r="H182">
        <f t="shared" si="57"/>
        <v>107155.33869253565</v>
      </c>
      <c r="I182">
        <f t="shared" si="58"/>
        <v>101444.19054149408</v>
      </c>
      <c r="J182">
        <f t="shared" si="59"/>
        <v>711683.74690179364</v>
      </c>
      <c r="N182" t="s">
        <v>214</v>
      </c>
      <c r="O182" s="105">
        <v>126097.1010517589</v>
      </c>
      <c r="P182" s="105">
        <v>59837.170319304423</v>
      </c>
      <c r="Q182" s="105">
        <v>136046.18755718213</v>
      </c>
      <c r="R182" s="105">
        <v>161314.73385473588</v>
      </c>
      <c r="S182" s="105">
        <v>12499.540171875387</v>
      </c>
      <c r="T182" s="105">
        <v>7289.484712907225</v>
      </c>
      <c r="U182" s="105">
        <v>107155.33869253565</v>
      </c>
      <c r="V182" s="105">
        <v>101444.19054149408</v>
      </c>
      <c r="W182">
        <f t="shared" si="60"/>
        <v>711683.74690179364</v>
      </c>
    </row>
    <row r="183" spans="1:23" x14ac:dyDescent="0.2">
      <c r="A183" t="s">
        <v>129</v>
      </c>
      <c r="B183">
        <f t="shared" si="57"/>
        <v>1833.4143561999435</v>
      </c>
      <c r="C183">
        <f t="shared" si="57"/>
        <v>28573.31451916488</v>
      </c>
      <c r="D183">
        <f t="shared" si="57"/>
        <v>51735.97305330028</v>
      </c>
      <c r="E183">
        <f t="shared" si="57"/>
        <v>70725.823546630738</v>
      </c>
      <c r="F183">
        <f t="shared" si="57"/>
        <v>7189.8815525158434</v>
      </c>
      <c r="G183">
        <f t="shared" si="57"/>
        <v>8181.4716396314379</v>
      </c>
      <c r="H183">
        <f t="shared" si="57"/>
        <v>27200.328717748078</v>
      </c>
      <c r="I183">
        <f t="shared" si="58"/>
        <v>16409.121380852052</v>
      </c>
      <c r="J183">
        <f t="shared" si="59"/>
        <v>211849.32876604324</v>
      </c>
      <c r="N183" t="s">
        <v>129</v>
      </c>
      <c r="O183" s="105">
        <v>1833.4143561999435</v>
      </c>
      <c r="P183" s="105">
        <v>28573.31451916488</v>
      </c>
      <c r="Q183" s="105">
        <v>51735.97305330028</v>
      </c>
      <c r="R183" s="105">
        <v>70725.823546630738</v>
      </c>
      <c r="S183" s="105">
        <v>7189.8815525158434</v>
      </c>
      <c r="T183" s="105">
        <v>8181.4716396314379</v>
      </c>
      <c r="U183" s="105">
        <v>27200.328717748078</v>
      </c>
      <c r="V183" s="105">
        <v>16409.121380852052</v>
      </c>
      <c r="W183">
        <f t="shared" si="60"/>
        <v>211849.32876604324</v>
      </c>
    </row>
    <row r="184" spans="1:23" x14ac:dyDescent="0.2">
      <c r="A184" t="s">
        <v>130</v>
      </c>
      <c r="B184">
        <f t="shared" si="57"/>
        <v>319738.99530929013</v>
      </c>
      <c r="C184">
        <f t="shared" si="57"/>
        <v>113475.53483463333</v>
      </c>
      <c r="D184">
        <f t="shared" si="57"/>
        <v>164241.59155458264</v>
      </c>
      <c r="E184">
        <f t="shared" si="57"/>
        <v>246203.48506317055</v>
      </c>
      <c r="F184">
        <f t="shared" si="57"/>
        <v>21695.278448555695</v>
      </c>
      <c r="G184">
        <f t="shared" si="57"/>
        <v>25566.607337771278</v>
      </c>
      <c r="H184">
        <f t="shared" si="57"/>
        <v>114725.82942590537</v>
      </c>
      <c r="I184">
        <f t="shared" si="58"/>
        <v>87530.506310047815</v>
      </c>
      <c r="J184">
        <f t="shared" si="59"/>
        <v>1093177.828283957</v>
      </c>
      <c r="N184" t="s">
        <v>130</v>
      </c>
      <c r="O184" s="105">
        <v>319738.99530929013</v>
      </c>
      <c r="P184" s="105">
        <v>113475.53483463333</v>
      </c>
      <c r="Q184" s="105">
        <v>164241.59155458264</v>
      </c>
      <c r="R184" s="105">
        <v>246203.48506317055</v>
      </c>
      <c r="S184" s="105">
        <v>21695.278448555695</v>
      </c>
      <c r="T184" s="105">
        <v>25566.607337771278</v>
      </c>
      <c r="U184" s="105">
        <v>114725.82942590537</v>
      </c>
      <c r="V184" s="105">
        <v>87530.506310047815</v>
      </c>
      <c r="W184">
        <f t="shared" si="60"/>
        <v>1093177.828283957</v>
      </c>
    </row>
    <row r="185" spans="1:23" x14ac:dyDescent="0.2">
      <c r="A185" t="s">
        <v>247</v>
      </c>
      <c r="B185">
        <f t="shared" si="57"/>
        <v>99628.996351271577</v>
      </c>
      <c r="C185">
        <f t="shared" si="57"/>
        <v>52832.424919101984</v>
      </c>
      <c r="D185">
        <f t="shared" si="57"/>
        <v>0</v>
      </c>
      <c r="E185">
        <f t="shared" si="57"/>
        <v>0</v>
      </c>
      <c r="F185">
        <f t="shared" si="57"/>
        <v>22960.882337736151</v>
      </c>
      <c r="G185">
        <f t="shared" si="57"/>
        <v>565.11112638710915</v>
      </c>
      <c r="H185">
        <f t="shared" si="57"/>
        <v>0</v>
      </c>
      <c r="I185">
        <f t="shared" si="58"/>
        <v>0</v>
      </c>
      <c r="J185">
        <f t="shared" si="59"/>
        <v>175987.41473449682</v>
      </c>
      <c r="N185" t="s">
        <v>247</v>
      </c>
      <c r="O185" s="105">
        <v>99628.996351271577</v>
      </c>
      <c r="P185" s="105">
        <v>52832.424919101984</v>
      </c>
      <c r="Q185" s="105">
        <v>0</v>
      </c>
      <c r="R185" s="105">
        <v>0</v>
      </c>
      <c r="S185" s="105">
        <v>22960.882337736151</v>
      </c>
      <c r="T185" s="105">
        <v>565.11112638710915</v>
      </c>
      <c r="U185" s="105">
        <v>0</v>
      </c>
      <c r="V185" s="105">
        <v>0</v>
      </c>
      <c r="W185">
        <f t="shared" si="60"/>
        <v>175987.41473449682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D196" si="61">O189*$B$1</f>
        <v>36786.263451653045</v>
      </c>
      <c r="C189">
        <f t="shared" si="61"/>
        <v>304065.99436566682</v>
      </c>
      <c r="D189">
        <f t="shared" si="61"/>
        <v>291167.8466661165</v>
      </c>
      <c r="E189">
        <f t="shared" ref="E189:E196" si="62">R189*$B$1</f>
        <v>1039670.6171124212</v>
      </c>
      <c r="F189">
        <f t="shared" ref="F189:F196" si="63">S189*$B$1</f>
        <v>1671690.7215958575</v>
      </c>
      <c r="N189" t="s">
        <v>210</v>
      </c>
      <c r="O189" s="105">
        <v>36786.263451653045</v>
      </c>
      <c r="P189" s="105">
        <v>304065.99436566682</v>
      </c>
      <c r="Q189" s="105">
        <v>291167.8466661165</v>
      </c>
      <c r="R189" s="105">
        <v>1039670.6171124212</v>
      </c>
      <c r="S189">
        <f>SUM(O189:R189)</f>
        <v>1671690.7215958575</v>
      </c>
    </row>
    <row r="190" spans="1:23" x14ac:dyDescent="0.2">
      <c r="A190" t="s">
        <v>211</v>
      </c>
      <c r="B190">
        <f t="shared" si="61"/>
        <v>62945.296254707588</v>
      </c>
      <c r="C190">
        <f t="shared" si="61"/>
        <v>172724.80708933886</v>
      </c>
      <c r="D190">
        <f t="shared" si="61"/>
        <v>120324.86603803064</v>
      </c>
      <c r="E190">
        <f t="shared" si="62"/>
        <v>414470.62282342842</v>
      </c>
      <c r="F190">
        <f t="shared" si="63"/>
        <v>770465.59220550559</v>
      </c>
      <c r="N190" t="s">
        <v>211</v>
      </c>
      <c r="O190" s="105">
        <v>62945.296254707588</v>
      </c>
      <c r="P190" s="105">
        <v>172724.80708933886</v>
      </c>
      <c r="Q190" s="105">
        <v>120324.86603803064</v>
      </c>
      <c r="R190" s="105">
        <v>414470.62282342842</v>
      </c>
      <c r="S190">
        <f t="shared" ref="S190:S196" si="64">SUM(O190:R190)</f>
        <v>770465.59220550559</v>
      </c>
    </row>
    <row r="191" spans="1:23" x14ac:dyDescent="0.2">
      <c r="A191" t="s">
        <v>212</v>
      </c>
      <c r="B191">
        <f t="shared" si="61"/>
        <v>43230.974677627106</v>
      </c>
      <c r="C191">
        <f t="shared" si="61"/>
        <v>148454.14187183545</v>
      </c>
      <c r="D191">
        <f t="shared" si="61"/>
        <v>119608.61081558553</v>
      </c>
      <c r="E191">
        <f t="shared" si="62"/>
        <v>342935.09216524247</v>
      </c>
      <c r="F191">
        <f t="shared" si="63"/>
        <v>654228.81953029055</v>
      </c>
      <c r="N191" t="s">
        <v>212</v>
      </c>
      <c r="O191" s="105">
        <v>43230.974677627106</v>
      </c>
      <c r="P191" s="105">
        <v>148454.14187183545</v>
      </c>
      <c r="Q191" s="105">
        <v>119608.61081558553</v>
      </c>
      <c r="R191" s="105">
        <v>342935.09216524247</v>
      </c>
      <c r="S191">
        <f t="shared" si="64"/>
        <v>654228.81953029055</v>
      </c>
    </row>
    <row r="192" spans="1:23" x14ac:dyDescent="0.2">
      <c r="A192" t="s">
        <v>36</v>
      </c>
      <c r="B192">
        <f t="shared" si="61"/>
        <v>68340.773417903707</v>
      </c>
      <c r="C192">
        <f t="shared" si="61"/>
        <v>215315.77644902194</v>
      </c>
      <c r="D192">
        <f t="shared" si="61"/>
        <v>125594.99492974562</v>
      </c>
      <c r="E192">
        <f t="shared" si="62"/>
        <v>314862.64142090728</v>
      </c>
      <c r="F192">
        <f t="shared" si="63"/>
        <v>724114.18621757859</v>
      </c>
      <c r="N192" t="s">
        <v>36</v>
      </c>
      <c r="O192" s="105">
        <v>68340.773417903707</v>
      </c>
      <c r="P192" s="105">
        <v>215315.77644902194</v>
      </c>
      <c r="Q192" s="105">
        <v>125594.99492974562</v>
      </c>
      <c r="R192" s="105">
        <v>314862.64142090728</v>
      </c>
      <c r="S192">
        <f t="shared" si="64"/>
        <v>724114.18621757859</v>
      </c>
    </row>
    <row r="193" spans="1:19" x14ac:dyDescent="0.2">
      <c r="A193" t="s">
        <v>214</v>
      </c>
      <c r="B193">
        <f t="shared" si="61"/>
        <v>68697.576944050248</v>
      </c>
      <c r="C193">
        <f t="shared" si="61"/>
        <v>202974.85846393625</v>
      </c>
      <c r="D193">
        <f t="shared" si="61"/>
        <v>126130.34869385991</v>
      </c>
      <c r="E193">
        <f t="shared" si="62"/>
        <v>313880.9627999473</v>
      </c>
      <c r="F193">
        <f t="shared" si="63"/>
        <v>711683.74690179364</v>
      </c>
      <c r="N193" t="s">
        <v>214</v>
      </c>
      <c r="O193" s="105">
        <v>68697.576944050248</v>
      </c>
      <c r="P193" s="105">
        <v>202974.85846393625</v>
      </c>
      <c r="Q193" s="105">
        <v>126130.34869385991</v>
      </c>
      <c r="R193" s="105">
        <v>313880.9627999473</v>
      </c>
      <c r="S193">
        <f t="shared" si="64"/>
        <v>711683.74690179364</v>
      </c>
    </row>
    <row r="194" spans="1:19" x14ac:dyDescent="0.2">
      <c r="A194" t="s">
        <v>129</v>
      </c>
      <c r="B194">
        <f t="shared" si="61"/>
        <v>19099.511920600784</v>
      </c>
      <c r="C194">
        <f t="shared" si="61"/>
        <v>60627.532636718097</v>
      </c>
      <c r="D194">
        <f t="shared" si="61"/>
        <v>38168.682010705765</v>
      </c>
      <c r="E194">
        <f t="shared" si="62"/>
        <v>93953.602198018605</v>
      </c>
      <c r="F194">
        <f t="shared" si="63"/>
        <v>211849.32876604324</v>
      </c>
      <c r="N194" t="s">
        <v>129</v>
      </c>
      <c r="O194" s="105">
        <v>19099.511920600784</v>
      </c>
      <c r="P194" s="105">
        <v>60627.532636718097</v>
      </c>
      <c r="Q194" s="105">
        <v>38168.682010705765</v>
      </c>
      <c r="R194" s="105">
        <v>93953.602198018605</v>
      </c>
      <c r="S194">
        <f t="shared" si="64"/>
        <v>211849.32876604324</v>
      </c>
    </row>
    <row r="195" spans="1:19" x14ac:dyDescent="0.2">
      <c r="A195" t="s">
        <v>130</v>
      </c>
      <c r="B195">
        <f t="shared" si="61"/>
        <v>61430.283652139602</v>
      </c>
      <c r="C195">
        <f t="shared" si="61"/>
        <v>257677.89094140931</v>
      </c>
      <c r="D195">
        <f t="shared" si="61"/>
        <v>191306.99013468868</v>
      </c>
      <c r="E195">
        <f t="shared" si="62"/>
        <v>582762.66355571931</v>
      </c>
      <c r="F195">
        <f t="shared" si="63"/>
        <v>1093177.828283957</v>
      </c>
      <c r="N195" t="s">
        <v>130</v>
      </c>
      <c r="O195" s="105">
        <v>61430.283652139602</v>
      </c>
      <c r="P195" s="105">
        <v>257677.89094140931</v>
      </c>
      <c r="Q195" s="105">
        <v>191306.99013468868</v>
      </c>
      <c r="R195" s="105">
        <v>582762.66355571931</v>
      </c>
      <c r="S195">
        <f t="shared" si="64"/>
        <v>1093177.828283957</v>
      </c>
    </row>
    <row r="196" spans="1:19" x14ac:dyDescent="0.2">
      <c r="A196" t="s">
        <v>247</v>
      </c>
      <c r="B196">
        <f t="shared" si="61"/>
        <v>6142.1165304573196</v>
      </c>
      <c r="C196">
        <f t="shared" si="61"/>
        <v>36804.825146906871</v>
      </c>
      <c r="D196">
        <f t="shared" si="61"/>
        <v>29633.526425262145</v>
      </c>
      <c r="E196">
        <f t="shared" si="62"/>
        <v>103406.94663187049</v>
      </c>
      <c r="F196">
        <f t="shared" si="63"/>
        <v>175987.41473449685</v>
      </c>
      <c r="N196" t="s">
        <v>247</v>
      </c>
      <c r="O196" s="105">
        <v>6142.1165304573196</v>
      </c>
      <c r="P196" s="105">
        <v>36804.825146906871</v>
      </c>
      <c r="Q196" s="105">
        <v>29633.526425262145</v>
      </c>
      <c r="R196" s="105">
        <v>103406.94663187049</v>
      </c>
      <c r="S196">
        <f t="shared" si="64"/>
        <v>175987.41473449685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D207" si="65">O200*$B$1</f>
        <v>48429.275915222192</v>
      </c>
      <c r="C200">
        <f t="shared" si="65"/>
        <v>407534.1141528858</v>
      </c>
      <c r="D200">
        <f t="shared" si="65"/>
        <v>935652.01114999899</v>
      </c>
      <c r="E200">
        <f t="shared" ref="E200:E207" si="66">R200*$B$1</f>
        <v>280075.32037775085</v>
      </c>
      <c r="F200">
        <f t="shared" ref="F200:F207" si="67">S200*$B$1</f>
        <v>1671690.7215958578</v>
      </c>
      <c r="N200" t="s">
        <v>210</v>
      </c>
      <c r="O200" s="105">
        <v>48429.275915222192</v>
      </c>
      <c r="P200" s="105">
        <v>407534.1141528858</v>
      </c>
      <c r="Q200" s="105">
        <v>935652.01114999899</v>
      </c>
      <c r="R200" s="105">
        <v>280075.32037775085</v>
      </c>
      <c r="S200">
        <f>SUM(O200:R200)</f>
        <v>1671690.7215958578</v>
      </c>
    </row>
    <row r="201" spans="1:19" x14ac:dyDescent="0.2">
      <c r="A201" t="s">
        <v>211</v>
      </c>
      <c r="B201">
        <f t="shared" si="65"/>
        <v>33747.66968444801</v>
      </c>
      <c r="C201">
        <f t="shared" si="65"/>
        <v>258347.98725635122</v>
      </c>
      <c r="D201">
        <f t="shared" si="65"/>
        <v>379104.32558782125</v>
      </c>
      <c r="E201">
        <f t="shared" si="66"/>
        <v>99265.609676884982</v>
      </c>
      <c r="F201">
        <f t="shared" si="67"/>
        <v>770465.59220550535</v>
      </c>
      <c r="N201" t="s">
        <v>211</v>
      </c>
      <c r="O201" s="105">
        <v>33747.66968444801</v>
      </c>
      <c r="P201" s="105">
        <v>258347.98725635122</v>
      </c>
      <c r="Q201" s="105">
        <v>379104.32558782125</v>
      </c>
      <c r="R201" s="105">
        <v>99265.609676884982</v>
      </c>
      <c r="S201">
        <f t="shared" ref="S201:S207" si="68">SUM(O201:R201)</f>
        <v>770465.59220550535</v>
      </c>
    </row>
    <row r="202" spans="1:19" x14ac:dyDescent="0.2">
      <c r="A202" t="s">
        <v>212</v>
      </c>
      <c r="B202">
        <f t="shared" si="65"/>
        <v>22835.716641284551</v>
      </c>
      <c r="C202">
        <f t="shared" si="65"/>
        <v>198547.64536768076</v>
      </c>
      <c r="D202">
        <f t="shared" si="65"/>
        <v>341122.84868675127</v>
      </c>
      <c r="E202">
        <f t="shared" si="66"/>
        <v>91722.608834573984</v>
      </c>
      <c r="F202">
        <f t="shared" si="67"/>
        <v>654228.81953029055</v>
      </c>
      <c r="N202" t="s">
        <v>212</v>
      </c>
      <c r="O202" s="105">
        <v>22835.716641284551</v>
      </c>
      <c r="P202" s="105">
        <v>198547.64536768076</v>
      </c>
      <c r="Q202" s="105">
        <v>341122.84868675127</v>
      </c>
      <c r="R202" s="105">
        <v>91722.608834573984</v>
      </c>
      <c r="S202">
        <f t="shared" si="68"/>
        <v>654228.81953029055</v>
      </c>
    </row>
    <row r="203" spans="1:19" x14ac:dyDescent="0.2">
      <c r="A203" t="s">
        <v>36</v>
      </c>
      <c r="B203">
        <f t="shared" si="65"/>
        <v>46694.252107522167</v>
      </c>
      <c r="C203">
        <f t="shared" si="65"/>
        <v>178237.98554734146</v>
      </c>
      <c r="D203">
        <f t="shared" si="65"/>
        <v>392362.41445080651</v>
      </c>
      <c r="E203">
        <f t="shared" si="66"/>
        <v>106819.53411190838</v>
      </c>
      <c r="F203">
        <f t="shared" si="67"/>
        <v>724114.18621757859</v>
      </c>
      <c r="N203" t="s">
        <v>36</v>
      </c>
      <c r="O203" s="105">
        <v>46694.252107522167</v>
      </c>
      <c r="P203" s="105">
        <v>178237.98554734146</v>
      </c>
      <c r="Q203" s="105">
        <v>392362.41445080651</v>
      </c>
      <c r="R203" s="105">
        <v>106819.53411190838</v>
      </c>
      <c r="S203">
        <f t="shared" si="68"/>
        <v>724114.18621757859</v>
      </c>
    </row>
    <row r="204" spans="1:19" x14ac:dyDescent="0.2">
      <c r="A204" t="s">
        <v>214</v>
      </c>
      <c r="B204">
        <f t="shared" si="65"/>
        <v>53772.03924962326</v>
      </c>
      <c r="C204">
        <f t="shared" si="65"/>
        <v>174704.60884023597</v>
      </c>
      <c r="D204">
        <f t="shared" si="65"/>
        <v>379069.97836885194</v>
      </c>
      <c r="E204">
        <f t="shared" si="66"/>
        <v>104137.12044308252</v>
      </c>
      <c r="F204">
        <f t="shared" si="67"/>
        <v>711683.74690179375</v>
      </c>
      <c r="N204" t="s">
        <v>214</v>
      </c>
      <c r="O204" s="105">
        <v>53772.03924962326</v>
      </c>
      <c r="P204" s="105">
        <v>174704.60884023597</v>
      </c>
      <c r="Q204" s="105">
        <v>379069.97836885194</v>
      </c>
      <c r="R204" s="105">
        <v>104137.12044308252</v>
      </c>
      <c r="S204">
        <f t="shared" si="68"/>
        <v>711683.74690179375</v>
      </c>
    </row>
    <row r="205" spans="1:19" x14ac:dyDescent="0.2">
      <c r="A205" t="s">
        <v>129</v>
      </c>
      <c r="B205">
        <f t="shared" si="65"/>
        <v>12213.220699154934</v>
      </c>
      <c r="C205">
        <f t="shared" si="65"/>
        <v>64709.011965890859</v>
      </c>
      <c r="D205">
        <f t="shared" si="65"/>
        <v>106314.23346957793</v>
      </c>
      <c r="E205">
        <f t="shared" si="66"/>
        <v>28612.862631419528</v>
      </c>
      <c r="F205">
        <f t="shared" si="67"/>
        <v>211849.32876604327</v>
      </c>
      <c r="N205" t="s">
        <v>129</v>
      </c>
      <c r="O205" s="105">
        <v>12213.220699154934</v>
      </c>
      <c r="P205" s="105">
        <v>64709.011965890859</v>
      </c>
      <c r="Q205" s="105">
        <v>106314.23346957793</v>
      </c>
      <c r="R205" s="105">
        <v>28612.862631419528</v>
      </c>
      <c r="S205">
        <f t="shared" si="68"/>
        <v>211849.32876604327</v>
      </c>
    </row>
    <row r="206" spans="1:19" x14ac:dyDescent="0.2">
      <c r="A206" t="s">
        <v>130</v>
      </c>
      <c r="B206">
        <f t="shared" si="65"/>
        <v>40270.767576867343</v>
      </c>
      <c r="C206">
        <f t="shared" si="65"/>
        <v>261708.3429164798</v>
      </c>
      <c r="D206">
        <f t="shared" si="65"/>
        <v>612521.74945788586</v>
      </c>
      <c r="E206">
        <f t="shared" si="66"/>
        <v>178676.96833272383</v>
      </c>
      <c r="F206">
        <f t="shared" si="67"/>
        <v>1093177.8282839567</v>
      </c>
      <c r="N206" t="s">
        <v>130</v>
      </c>
      <c r="O206" s="105">
        <v>40270.767576867343</v>
      </c>
      <c r="P206" s="105">
        <v>261708.3429164798</v>
      </c>
      <c r="Q206" s="105">
        <v>612521.74945788586</v>
      </c>
      <c r="R206" s="105">
        <v>178676.96833272383</v>
      </c>
      <c r="S206">
        <f t="shared" si="68"/>
        <v>1093177.8282839567</v>
      </c>
    </row>
    <row r="207" spans="1:19" x14ac:dyDescent="0.2">
      <c r="A207" t="s">
        <v>247</v>
      </c>
      <c r="B207">
        <f t="shared" si="65"/>
        <v>5879.6861926937454</v>
      </c>
      <c r="C207">
        <f t="shared" si="65"/>
        <v>51099.397775456797</v>
      </c>
      <c r="D207">
        <f t="shared" si="65"/>
        <v>92785.628846250067</v>
      </c>
      <c r="E207">
        <f t="shared" si="66"/>
        <v>26222.701920096213</v>
      </c>
      <c r="F207">
        <f t="shared" si="67"/>
        <v>175987.41473449682</v>
      </c>
      <c r="N207" t="s">
        <v>247</v>
      </c>
      <c r="O207" s="105">
        <v>5879.6861926937454</v>
      </c>
      <c r="P207" s="105">
        <v>51099.397775456797</v>
      </c>
      <c r="Q207" s="105">
        <v>92785.628846250067</v>
      </c>
      <c r="R207" s="105">
        <v>26222.701920096213</v>
      </c>
      <c r="S207">
        <f t="shared" si="68"/>
        <v>175987.41473449682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10861</v>
      </c>
      <c r="C210" t="s">
        <v>10862</v>
      </c>
      <c r="D210" t="s">
        <v>10863</v>
      </c>
      <c r="E210" t="s">
        <v>10864</v>
      </c>
      <c r="F210" t="s">
        <v>1688</v>
      </c>
      <c r="G210" t="s">
        <v>10865</v>
      </c>
      <c r="H210" t="s">
        <v>10866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69">O211*$B$1</f>
        <v>70371</v>
      </c>
      <c r="C211">
        <f t="shared" si="69"/>
        <v>5600.25</v>
      </c>
      <c r="D211">
        <f t="shared" si="69"/>
        <v>66439</v>
      </c>
      <c r="E211">
        <f t="shared" si="69"/>
        <v>51131.5</v>
      </c>
      <c r="F211">
        <f t="shared" ref="F211:G218" si="70">S211*$B$1</f>
        <v>331455.19247983274</v>
      </c>
      <c r="G211">
        <f t="shared" si="70"/>
        <v>36744.854768194222</v>
      </c>
      <c r="H211">
        <f t="shared" ref="H211:I218" si="71">U211*$B$1</f>
        <v>1109948.9243478309</v>
      </c>
      <c r="I211">
        <f t="shared" si="71"/>
        <v>1671690.721595858</v>
      </c>
      <c r="N211" t="s">
        <v>210</v>
      </c>
      <c r="O211" s="105">
        <v>70371</v>
      </c>
      <c r="P211" s="105">
        <v>5600.25</v>
      </c>
      <c r="Q211" s="105">
        <v>66439</v>
      </c>
      <c r="R211" s="105">
        <v>51131.5</v>
      </c>
      <c r="S211" s="105">
        <v>331455.19247983274</v>
      </c>
      <c r="T211" s="105">
        <v>36744.854768194222</v>
      </c>
      <c r="U211">
        <v>1109948.9243478309</v>
      </c>
      <c r="V211">
        <f>SUM(O211:U211)</f>
        <v>1671690.721595858</v>
      </c>
    </row>
    <row r="212" spans="1:23" x14ac:dyDescent="0.2">
      <c r="A212" t="s">
        <v>211</v>
      </c>
      <c r="B212">
        <f t="shared" si="69"/>
        <v>35520.25</v>
      </c>
      <c r="C212">
        <f t="shared" si="69"/>
        <v>1097.25</v>
      </c>
      <c r="D212">
        <f t="shared" si="69"/>
        <v>28928.5</v>
      </c>
      <c r="E212">
        <f t="shared" si="69"/>
        <v>24284</v>
      </c>
      <c r="F212">
        <f t="shared" si="70"/>
        <v>126833.03644523142</v>
      </c>
      <c r="G212">
        <f t="shared" si="70"/>
        <v>6032.2485428712216</v>
      </c>
      <c r="H212">
        <f t="shared" si="71"/>
        <v>547770.30721740285</v>
      </c>
      <c r="I212">
        <f t="shared" si="71"/>
        <v>770465.59220550547</v>
      </c>
      <c r="N212" t="s">
        <v>211</v>
      </c>
      <c r="O212" s="105">
        <v>35520.25</v>
      </c>
      <c r="P212" s="105">
        <v>1097.25</v>
      </c>
      <c r="Q212" s="105">
        <v>28928.5</v>
      </c>
      <c r="R212" s="105">
        <v>24284</v>
      </c>
      <c r="S212" s="105">
        <v>126833.03644523142</v>
      </c>
      <c r="T212" s="105">
        <v>6032.2485428712216</v>
      </c>
      <c r="U212">
        <v>547770.30721740285</v>
      </c>
      <c r="V212">
        <f t="shared" ref="V212:V218" si="72">SUM(O212:U212)</f>
        <v>770465.59220550547</v>
      </c>
    </row>
    <row r="213" spans="1:23" x14ac:dyDescent="0.2">
      <c r="A213" t="s">
        <v>212</v>
      </c>
      <c r="B213">
        <f t="shared" si="69"/>
        <v>27175</v>
      </c>
      <c r="C213">
        <f t="shared" si="69"/>
        <v>1398.5</v>
      </c>
      <c r="D213">
        <f t="shared" si="69"/>
        <v>22592.75</v>
      </c>
      <c r="E213">
        <f t="shared" si="69"/>
        <v>19196.5</v>
      </c>
      <c r="F213">
        <f t="shared" si="70"/>
        <v>92433.513029034366</v>
      </c>
      <c r="G213">
        <f t="shared" si="70"/>
        <v>5301.3504054009782</v>
      </c>
      <c r="H213">
        <f t="shared" si="71"/>
        <v>486131.20609585522</v>
      </c>
      <c r="I213">
        <f t="shared" si="71"/>
        <v>654228.81953029055</v>
      </c>
      <c r="N213" t="s">
        <v>212</v>
      </c>
      <c r="O213" s="105">
        <v>27175</v>
      </c>
      <c r="P213" s="105">
        <v>1398.5</v>
      </c>
      <c r="Q213" s="105">
        <v>22592.75</v>
      </c>
      <c r="R213" s="105">
        <v>19196.5</v>
      </c>
      <c r="S213" s="105">
        <v>92433.513029034366</v>
      </c>
      <c r="T213" s="105">
        <v>5301.3504054009782</v>
      </c>
      <c r="U213">
        <v>486131.20609585522</v>
      </c>
      <c r="V213">
        <f t="shared" si="72"/>
        <v>654228.81953029055</v>
      </c>
    </row>
    <row r="214" spans="1:23" x14ac:dyDescent="0.2">
      <c r="A214" t="s">
        <v>36</v>
      </c>
      <c r="B214">
        <f t="shared" si="69"/>
        <v>27918.75</v>
      </c>
      <c r="C214">
        <f t="shared" si="69"/>
        <v>2027.75</v>
      </c>
      <c r="D214">
        <f t="shared" si="69"/>
        <v>24845.5</v>
      </c>
      <c r="E214">
        <f t="shared" si="69"/>
        <v>19703.75</v>
      </c>
      <c r="F214">
        <f t="shared" si="70"/>
        <v>113943.4321177317</v>
      </c>
      <c r="G214">
        <f t="shared" si="70"/>
        <v>11672.778072284136</v>
      </c>
      <c r="H214">
        <f t="shared" si="71"/>
        <v>524002.22602756275</v>
      </c>
      <c r="I214">
        <f t="shared" si="71"/>
        <v>724114.18621757859</v>
      </c>
      <c r="N214" t="s">
        <v>36</v>
      </c>
      <c r="O214" s="105">
        <v>27918.75</v>
      </c>
      <c r="P214" s="105">
        <v>2027.75</v>
      </c>
      <c r="Q214" s="105">
        <v>24845.5</v>
      </c>
      <c r="R214" s="105">
        <v>19703.75</v>
      </c>
      <c r="S214" s="105">
        <v>113943.4321177317</v>
      </c>
      <c r="T214" s="105">
        <v>11672.778072284136</v>
      </c>
      <c r="U214">
        <v>524002.22602756275</v>
      </c>
      <c r="V214">
        <f t="shared" si="72"/>
        <v>724114.18621757859</v>
      </c>
    </row>
    <row r="215" spans="1:23" x14ac:dyDescent="0.2">
      <c r="A215" t="s">
        <v>214</v>
      </c>
      <c r="B215">
        <f t="shared" si="69"/>
        <v>23058.25</v>
      </c>
      <c r="C215">
        <f t="shared" si="69"/>
        <v>1732.5</v>
      </c>
      <c r="D215">
        <f t="shared" si="69"/>
        <v>20065</v>
      </c>
      <c r="E215">
        <f t="shared" si="69"/>
        <v>15924.5</v>
      </c>
      <c r="F215">
        <f t="shared" si="70"/>
        <v>96036.620005871853</v>
      </c>
      <c r="G215">
        <f t="shared" si="70"/>
        <v>9931.4107737627673</v>
      </c>
      <c r="H215">
        <f t="shared" si="71"/>
        <v>544935.46612215904</v>
      </c>
      <c r="I215">
        <f t="shared" si="71"/>
        <v>711683.74690179364</v>
      </c>
      <c r="N215" t="s">
        <v>214</v>
      </c>
      <c r="O215" s="105">
        <v>23058.25</v>
      </c>
      <c r="P215" s="105">
        <v>1732.5</v>
      </c>
      <c r="Q215" s="105">
        <v>20065</v>
      </c>
      <c r="R215" s="105">
        <v>15924.5</v>
      </c>
      <c r="S215" s="105">
        <v>96036.620005871853</v>
      </c>
      <c r="T215" s="105">
        <v>9931.4107737627673</v>
      </c>
      <c r="U215">
        <v>544935.46612215904</v>
      </c>
      <c r="V215">
        <f t="shared" si="72"/>
        <v>711683.74690179364</v>
      </c>
    </row>
    <row r="216" spans="1:23" x14ac:dyDescent="0.2">
      <c r="A216" t="s">
        <v>129</v>
      </c>
      <c r="B216">
        <f t="shared" si="69"/>
        <v>10019.75</v>
      </c>
      <c r="C216">
        <f t="shared" si="69"/>
        <v>691</v>
      </c>
      <c r="D216">
        <f t="shared" si="69"/>
        <v>8188.75</v>
      </c>
      <c r="E216">
        <f t="shared" si="69"/>
        <v>6576.75</v>
      </c>
      <c r="F216">
        <f t="shared" si="70"/>
        <v>37769.297108048122</v>
      </c>
      <c r="G216">
        <f t="shared" si="70"/>
        <v>3653.9022450459274</v>
      </c>
      <c r="H216">
        <f t="shared" si="71"/>
        <v>144949.8794129492</v>
      </c>
      <c r="I216">
        <f t="shared" si="71"/>
        <v>211849.32876604324</v>
      </c>
      <c r="N216" t="s">
        <v>129</v>
      </c>
      <c r="O216" s="105">
        <v>10019.75</v>
      </c>
      <c r="P216" s="105">
        <v>691</v>
      </c>
      <c r="Q216" s="105">
        <v>8188.75</v>
      </c>
      <c r="R216" s="105">
        <v>6576.75</v>
      </c>
      <c r="S216" s="105">
        <v>37769.297108048122</v>
      </c>
      <c r="T216" s="105">
        <v>3653.9022450459274</v>
      </c>
      <c r="U216">
        <v>144949.8794129492</v>
      </c>
      <c r="V216">
        <f t="shared" si="72"/>
        <v>211849.32876604324</v>
      </c>
    </row>
    <row r="217" spans="1:23" x14ac:dyDescent="0.2">
      <c r="A217" t="s">
        <v>130</v>
      </c>
      <c r="B217">
        <f t="shared" si="69"/>
        <v>51514.5</v>
      </c>
      <c r="C217">
        <f t="shared" si="69"/>
        <v>3723</v>
      </c>
      <c r="D217">
        <f t="shared" si="69"/>
        <v>43502</v>
      </c>
      <c r="E217">
        <f t="shared" si="69"/>
        <v>35367.5</v>
      </c>
      <c r="F217">
        <f t="shared" si="70"/>
        <v>197080.18536852815</v>
      </c>
      <c r="G217">
        <f t="shared" si="70"/>
        <v>19536.833811892633</v>
      </c>
      <c r="H217">
        <f t="shared" si="71"/>
        <v>742453.80910353607</v>
      </c>
      <c r="I217">
        <f t="shared" si="71"/>
        <v>1093177.8282839567</v>
      </c>
      <c r="N217" t="s">
        <v>130</v>
      </c>
      <c r="O217" s="105">
        <v>51514.5</v>
      </c>
      <c r="P217" s="105">
        <v>3723</v>
      </c>
      <c r="Q217" s="105">
        <v>43502</v>
      </c>
      <c r="R217" s="105">
        <v>35367.5</v>
      </c>
      <c r="S217" s="105">
        <v>197080.18536852815</v>
      </c>
      <c r="T217" s="105">
        <v>19536.833811892633</v>
      </c>
      <c r="U217">
        <v>742453.80910353607</v>
      </c>
      <c r="V217">
        <f t="shared" si="72"/>
        <v>1093177.8282839567</v>
      </c>
    </row>
    <row r="218" spans="1:23" x14ac:dyDescent="0.2">
      <c r="A218" t="s">
        <v>247</v>
      </c>
      <c r="B218">
        <f t="shared" si="69"/>
        <v>8040</v>
      </c>
      <c r="C218">
        <f t="shared" si="69"/>
        <v>606.25</v>
      </c>
      <c r="D218">
        <f t="shared" si="69"/>
        <v>7580.5</v>
      </c>
      <c r="E218">
        <f t="shared" si="69"/>
        <v>5399</v>
      </c>
      <c r="F218">
        <f t="shared" si="70"/>
        <v>42848.64782894816</v>
      </c>
      <c r="G218">
        <f t="shared" si="70"/>
        <v>4568.1743716445581</v>
      </c>
      <c r="H218">
        <f t="shared" si="71"/>
        <v>106944.8425339041</v>
      </c>
      <c r="I218">
        <f t="shared" si="71"/>
        <v>175987.41473449682</v>
      </c>
      <c r="N218" t="s">
        <v>247</v>
      </c>
      <c r="O218" s="105">
        <v>8040</v>
      </c>
      <c r="P218" s="105">
        <v>606.25</v>
      </c>
      <c r="Q218" s="105">
        <v>7580.5</v>
      </c>
      <c r="R218" s="105">
        <v>5399</v>
      </c>
      <c r="S218" s="105">
        <v>42848.64782894816</v>
      </c>
      <c r="T218" s="105">
        <v>4568.1743716445581</v>
      </c>
      <c r="U218">
        <v>106944.8425339041</v>
      </c>
      <c r="V218">
        <f t="shared" si="72"/>
        <v>175987.41473449682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H228" si="73">O222*$B$1</f>
        <v>219300.87164029496</v>
      </c>
      <c r="C222">
        <f t="shared" si="73"/>
        <v>36144.474334022438</v>
      </c>
      <c r="D222">
        <f t="shared" si="73"/>
        <v>0</v>
      </c>
      <c r="E222">
        <f t="shared" si="73"/>
        <v>0</v>
      </c>
      <c r="F222">
        <f t="shared" si="73"/>
        <v>12282.735354008571</v>
      </c>
      <c r="G222">
        <f t="shared" si="73"/>
        <v>244.43333362815812</v>
      </c>
      <c r="H222">
        <f t="shared" si="73"/>
        <v>0</v>
      </c>
      <c r="I222">
        <f t="shared" ref="I222:I228" si="74">V222*$B$1</f>
        <v>0</v>
      </c>
      <c r="J222">
        <f t="shared" ref="J222:J228" si="75">W222*$B$1</f>
        <v>267972.51466195413</v>
      </c>
      <c r="N222" t="s">
        <v>210</v>
      </c>
      <c r="O222" s="105">
        <v>219300.87164029496</v>
      </c>
      <c r="P222" s="105">
        <v>36144.474334022438</v>
      </c>
      <c r="Q222" s="105">
        <v>0</v>
      </c>
      <c r="R222" s="105">
        <v>0</v>
      </c>
      <c r="S222" s="105">
        <v>12282.735354008571</v>
      </c>
      <c r="T222" s="105">
        <v>244.43333362815812</v>
      </c>
      <c r="U222" s="105">
        <v>0</v>
      </c>
      <c r="V222" s="105">
        <v>0</v>
      </c>
      <c r="W222">
        <f>SUM(O222:V222)</f>
        <v>267972.51466195413</v>
      </c>
    </row>
    <row r="223" spans="1:23" x14ac:dyDescent="0.2">
      <c r="A223" t="s">
        <v>211</v>
      </c>
      <c r="B223">
        <f t="shared" si="73"/>
        <v>2486.321771880569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23093.186993213374</v>
      </c>
      <c r="G223">
        <f t="shared" si="73"/>
        <v>14878.161317410633</v>
      </c>
      <c r="H223">
        <f t="shared" si="73"/>
        <v>56920.225716129324</v>
      </c>
      <c r="I223">
        <f t="shared" si="74"/>
        <v>5564.4198619680119</v>
      </c>
      <c r="J223">
        <f t="shared" si="75"/>
        <v>102942.3156606019</v>
      </c>
      <c r="N223" t="s">
        <v>211</v>
      </c>
      <c r="O223" s="105">
        <v>2486.321771880569</v>
      </c>
      <c r="P223" s="105">
        <v>0</v>
      </c>
      <c r="Q223" s="105">
        <v>0</v>
      </c>
      <c r="R223" s="105">
        <v>0</v>
      </c>
      <c r="S223" s="105">
        <v>23093.186993213374</v>
      </c>
      <c r="T223" s="105">
        <v>14878.161317410633</v>
      </c>
      <c r="U223" s="105">
        <v>56920.225716129324</v>
      </c>
      <c r="V223" s="105">
        <v>5564.4198619680119</v>
      </c>
      <c r="W223">
        <f t="shared" ref="W223:W228" si="76">SUM(O223:V223)</f>
        <v>102942.3156606019</v>
      </c>
    </row>
    <row r="224" spans="1:23" x14ac:dyDescent="0.2">
      <c r="A224" t="s">
        <v>212</v>
      </c>
      <c r="B224">
        <f t="shared" si="73"/>
        <v>277405.75002839387</v>
      </c>
      <c r="C224">
        <f t="shared" si="73"/>
        <v>42136.819464582353</v>
      </c>
      <c r="D224">
        <f t="shared" si="73"/>
        <v>23270.017864398316</v>
      </c>
      <c r="E224">
        <f t="shared" si="73"/>
        <v>55468.623809241733</v>
      </c>
      <c r="F224">
        <f t="shared" si="73"/>
        <v>27363.959996371068</v>
      </c>
      <c r="G224">
        <f t="shared" si="73"/>
        <v>7882.5869793362808</v>
      </c>
      <c r="H224">
        <f t="shared" si="73"/>
        <v>46433.748326785135</v>
      </c>
      <c r="I224">
        <f t="shared" si="74"/>
        <v>25493.142143090394</v>
      </c>
      <c r="J224">
        <f t="shared" si="75"/>
        <v>505454.64861219912</v>
      </c>
      <c r="N224" t="s">
        <v>212</v>
      </c>
      <c r="O224" s="105">
        <v>277405.75002839387</v>
      </c>
      <c r="P224" s="105">
        <v>42136.819464582353</v>
      </c>
      <c r="Q224" s="105">
        <v>23270.017864398316</v>
      </c>
      <c r="R224" s="105">
        <v>55468.623809241733</v>
      </c>
      <c r="S224" s="105">
        <v>27363.959996371068</v>
      </c>
      <c r="T224" s="105">
        <v>7882.5869793362808</v>
      </c>
      <c r="U224" s="105">
        <v>46433.748326785135</v>
      </c>
      <c r="V224" s="105">
        <v>25493.142143090394</v>
      </c>
      <c r="W224">
        <f t="shared" si="76"/>
        <v>505454.64861219912</v>
      </c>
    </row>
    <row r="225" spans="1:23" x14ac:dyDescent="0.2">
      <c r="A225" t="s">
        <v>36</v>
      </c>
      <c r="B225">
        <f t="shared" si="73"/>
        <v>460904.96572814684</v>
      </c>
      <c r="C225">
        <f t="shared" si="73"/>
        <v>108197.81513767806</v>
      </c>
      <c r="D225">
        <f t="shared" si="73"/>
        <v>154581.74022864219</v>
      </c>
      <c r="E225">
        <f t="shared" si="73"/>
        <v>195782.16171251336</v>
      </c>
      <c r="F225">
        <f t="shared" si="73"/>
        <v>38990.741663145905</v>
      </c>
      <c r="G225">
        <f t="shared" si="73"/>
        <v>19154.743154494008</v>
      </c>
      <c r="H225">
        <f t="shared" si="73"/>
        <v>88393.79917568159</v>
      </c>
      <c r="I225">
        <f t="shared" si="74"/>
        <v>91017.171533372355</v>
      </c>
      <c r="J225">
        <f t="shared" si="75"/>
        <v>1157023.1383336741</v>
      </c>
      <c r="N225" t="s">
        <v>36</v>
      </c>
      <c r="O225" s="105">
        <v>460904.96572814684</v>
      </c>
      <c r="P225" s="105">
        <v>108197.81513767806</v>
      </c>
      <c r="Q225" s="105">
        <v>154581.74022864219</v>
      </c>
      <c r="R225" s="105">
        <v>195782.16171251336</v>
      </c>
      <c r="S225" s="105">
        <v>38990.741663145905</v>
      </c>
      <c r="T225" s="105">
        <v>19154.743154494008</v>
      </c>
      <c r="U225" s="105">
        <v>88393.79917568159</v>
      </c>
      <c r="V225" s="105">
        <v>91017.171533372355</v>
      </c>
      <c r="W225">
        <f t="shared" si="76"/>
        <v>1157023.1383336741</v>
      </c>
    </row>
    <row r="226" spans="1:23" x14ac:dyDescent="0.2">
      <c r="A226" t="s">
        <v>214</v>
      </c>
      <c r="B226">
        <f t="shared" si="73"/>
        <v>617405.32684259501</v>
      </c>
      <c r="C226">
        <f t="shared" si="73"/>
        <v>140079.3038003901</v>
      </c>
      <c r="D226">
        <f t="shared" si="73"/>
        <v>206995.51540078773</v>
      </c>
      <c r="E226">
        <f t="shared" si="73"/>
        <v>254589.60074487404</v>
      </c>
      <c r="F226">
        <f t="shared" si="73"/>
        <v>70076.339918009558</v>
      </c>
      <c r="G226">
        <f t="shared" si="73"/>
        <v>27558.064874040014</v>
      </c>
      <c r="H226">
        <f t="shared" si="73"/>
        <v>96199.905856314595</v>
      </c>
      <c r="I226">
        <f t="shared" si="74"/>
        <v>109305.05250780501</v>
      </c>
      <c r="J226">
        <f t="shared" si="75"/>
        <v>1522209.1099448157</v>
      </c>
      <c r="N226" t="s">
        <v>214</v>
      </c>
      <c r="O226" s="105">
        <v>617405.32684259501</v>
      </c>
      <c r="P226" s="105">
        <v>140079.3038003901</v>
      </c>
      <c r="Q226" s="105">
        <v>206995.51540078773</v>
      </c>
      <c r="R226" s="105">
        <v>254589.60074487404</v>
      </c>
      <c r="S226" s="105">
        <v>70076.339918009558</v>
      </c>
      <c r="T226" s="105">
        <v>27558.064874040014</v>
      </c>
      <c r="U226" s="105">
        <v>96199.905856314595</v>
      </c>
      <c r="V226" s="105">
        <v>109305.05250780501</v>
      </c>
      <c r="W226">
        <f t="shared" si="76"/>
        <v>1522209.1099448157</v>
      </c>
    </row>
    <row r="227" spans="1:23" x14ac:dyDescent="0.2">
      <c r="A227" t="s">
        <v>129</v>
      </c>
      <c r="B227">
        <f t="shared" si="73"/>
        <v>13011.657013382248</v>
      </c>
      <c r="C227">
        <f t="shared" si="73"/>
        <v>96106.262155673132</v>
      </c>
      <c r="D227">
        <f t="shared" si="73"/>
        <v>106590.01540106481</v>
      </c>
      <c r="E227">
        <f t="shared" si="73"/>
        <v>159339.79393817898</v>
      </c>
      <c r="F227">
        <f t="shared" si="73"/>
        <v>71095.843324951507</v>
      </c>
      <c r="G227">
        <f t="shared" si="73"/>
        <v>42116.061620550659</v>
      </c>
      <c r="H227">
        <f t="shared" si="73"/>
        <v>133555.4553194413</v>
      </c>
      <c r="I227">
        <f t="shared" si="74"/>
        <v>53455.973337366995</v>
      </c>
      <c r="J227">
        <f t="shared" si="75"/>
        <v>675271.06211060961</v>
      </c>
      <c r="N227" t="s">
        <v>129</v>
      </c>
      <c r="O227" s="105">
        <v>13011.657013382248</v>
      </c>
      <c r="P227" s="105">
        <v>96106.262155673132</v>
      </c>
      <c r="Q227" s="105">
        <v>106590.01540106481</v>
      </c>
      <c r="R227" s="105">
        <v>159339.79393817898</v>
      </c>
      <c r="S227" s="105">
        <v>71095.843324951507</v>
      </c>
      <c r="T227" s="105">
        <v>42116.061620550659</v>
      </c>
      <c r="U227" s="105">
        <v>133555.4553194413</v>
      </c>
      <c r="V227" s="105">
        <v>53455.973337366995</v>
      </c>
      <c r="W227">
        <f t="shared" si="76"/>
        <v>675271.06211060961</v>
      </c>
    </row>
    <row r="228" spans="1:23" x14ac:dyDescent="0.2">
      <c r="A228" t="s">
        <v>130</v>
      </c>
      <c r="B228">
        <f t="shared" si="73"/>
        <v>326651.82025562815</v>
      </c>
      <c r="C228">
        <f t="shared" si="73"/>
        <v>71005.290990960741</v>
      </c>
      <c r="D228">
        <f t="shared" si="73"/>
        <v>74026.362880427929</v>
      </c>
      <c r="E228">
        <f t="shared" si="73"/>
        <v>108650.65275020065</v>
      </c>
      <c r="F228">
        <f t="shared" si="73"/>
        <v>37917.399082670017</v>
      </c>
      <c r="G228">
        <f t="shared" si="73"/>
        <v>24469.337726108715</v>
      </c>
      <c r="H228">
        <f t="shared" si="73"/>
        <v>111483.11302373855</v>
      </c>
      <c r="I228">
        <f t="shared" si="74"/>
        <v>52505.400990264556</v>
      </c>
      <c r="J228">
        <f t="shared" si="75"/>
        <v>806709.37769999926</v>
      </c>
      <c r="N228" t="s">
        <v>130</v>
      </c>
      <c r="O228" s="105">
        <v>326651.82025562815</v>
      </c>
      <c r="P228" s="105">
        <v>71005.290990960741</v>
      </c>
      <c r="Q228" s="105">
        <v>74026.362880427929</v>
      </c>
      <c r="R228" s="105">
        <v>108650.65275020065</v>
      </c>
      <c r="S228" s="105">
        <v>37917.399082670017</v>
      </c>
      <c r="T228" s="105">
        <v>24469.337726108715</v>
      </c>
      <c r="U228" s="105">
        <v>111483.11302373855</v>
      </c>
      <c r="V228" s="105">
        <v>52505.400990264556</v>
      </c>
      <c r="W228">
        <f t="shared" si="76"/>
        <v>806709.37769999926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D238" si="77">O232*$B$1</f>
        <v>6310.6728405271078</v>
      </c>
      <c r="C232">
        <f t="shared" si="77"/>
        <v>48716.785922968898</v>
      </c>
      <c r="D232">
        <f t="shared" si="77"/>
        <v>45448.464775090528</v>
      </c>
      <c r="E232">
        <f t="shared" ref="E232:E238" si="78">R232*$B$1</f>
        <v>167496.5911233676</v>
      </c>
      <c r="F232">
        <f t="shared" ref="F232:F238" si="79">S232*$B$1</f>
        <v>267972.51466195413</v>
      </c>
      <c r="N232" t="s">
        <v>210</v>
      </c>
      <c r="O232" s="105">
        <v>6310.6728405271078</v>
      </c>
      <c r="P232" s="105">
        <v>48716.785922968898</v>
      </c>
      <c r="Q232" s="105">
        <v>45448.464775090528</v>
      </c>
      <c r="R232" s="105">
        <v>167496.5911233676</v>
      </c>
      <c r="S232">
        <f>SUM(O232:R232)</f>
        <v>267972.51466195413</v>
      </c>
    </row>
    <row r="233" spans="1:23" x14ac:dyDescent="0.2">
      <c r="A233" t="s">
        <v>211</v>
      </c>
      <c r="B233">
        <f t="shared" si="77"/>
        <v>8117.1426763396685</v>
      </c>
      <c r="C233">
        <f t="shared" si="77"/>
        <v>22595.202036422452</v>
      </c>
      <c r="D233">
        <f t="shared" si="77"/>
        <v>15452.872968111578</v>
      </c>
      <c r="E233">
        <f t="shared" si="78"/>
        <v>56777.097979728213</v>
      </c>
      <c r="F233">
        <f t="shared" si="79"/>
        <v>102942.31566060192</v>
      </c>
      <c r="N233" t="s">
        <v>211</v>
      </c>
      <c r="O233" s="105">
        <v>8117.1426763396685</v>
      </c>
      <c r="P233" s="105">
        <v>22595.202036422452</v>
      </c>
      <c r="Q233" s="105">
        <v>15452.872968111578</v>
      </c>
      <c r="R233" s="105">
        <v>56777.097979728213</v>
      </c>
      <c r="S233">
        <f t="shared" ref="S233:S238" si="80">SUM(O233:R233)</f>
        <v>102942.31566060192</v>
      </c>
    </row>
    <row r="234" spans="1:23" x14ac:dyDescent="0.2">
      <c r="A234" t="s">
        <v>212</v>
      </c>
      <c r="B234">
        <f t="shared" si="77"/>
        <v>17073.265430877538</v>
      </c>
      <c r="C234">
        <f t="shared" si="77"/>
        <v>84134.719831105147</v>
      </c>
      <c r="D234">
        <f t="shared" si="77"/>
        <v>86067.228151057876</v>
      </c>
      <c r="E234">
        <f t="shared" si="78"/>
        <v>318179.43519915856</v>
      </c>
      <c r="F234">
        <f t="shared" si="79"/>
        <v>505454.64861219912</v>
      </c>
      <c r="N234" t="s">
        <v>212</v>
      </c>
      <c r="O234" s="105">
        <v>17073.265430877538</v>
      </c>
      <c r="P234" s="105">
        <v>84134.719831105147</v>
      </c>
      <c r="Q234" s="105">
        <v>86067.228151057876</v>
      </c>
      <c r="R234" s="105">
        <v>318179.43519915856</v>
      </c>
      <c r="S234">
        <f t="shared" si="80"/>
        <v>505454.64861219912</v>
      </c>
    </row>
    <row r="235" spans="1:23" x14ac:dyDescent="0.2">
      <c r="A235" t="s">
        <v>36</v>
      </c>
      <c r="B235">
        <f t="shared" si="77"/>
        <v>76703.480208576046</v>
      </c>
      <c r="C235">
        <f t="shared" si="77"/>
        <v>291065.91469137999</v>
      </c>
      <c r="D235">
        <f t="shared" si="77"/>
        <v>195652.65774013527</v>
      </c>
      <c r="E235">
        <f t="shared" si="78"/>
        <v>593601.08569358301</v>
      </c>
      <c r="F235">
        <f t="shared" si="79"/>
        <v>1157023.1383336745</v>
      </c>
      <c r="N235" t="s">
        <v>36</v>
      </c>
      <c r="O235" s="105">
        <v>76703.480208576046</v>
      </c>
      <c r="P235" s="105">
        <v>291065.91469137999</v>
      </c>
      <c r="Q235" s="105">
        <v>195652.65774013527</v>
      </c>
      <c r="R235" s="105">
        <v>593601.08569358301</v>
      </c>
      <c r="S235">
        <f t="shared" si="80"/>
        <v>1157023.1383336745</v>
      </c>
    </row>
    <row r="236" spans="1:23" x14ac:dyDescent="0.2">
      <c r="A236" t="s">
        <v>214</v>
      </c>
      <c r="B236">
        <f t="shared" si="77"/>
        <v>100201.92167389551</v>
      </c>
      <c r="C236">
        <f t="shared" si="77"/>
        <v>361783.08012733946</v>
      </c>
      <c r="D236">
        <f t="shared" si="77"/>
        <v>259391.8743154585</v>
      </c>
      <c r="E236">
        <f t="shared" si="78"/>
        <v>800832.23382812261</v>
      </c>
      <c r="F236">
        <f t="shared" si="79"/>
        <v>1522209.1099448162</v>
      </c>
      <c r="N236" t="s">
        <v>214</v>
      </c>
      <c r="O236" s="105">
        <v>100201.92167389551</v>
      </c>
      <c r="P236" s="105">
        <v>361783.08012733946</v>
      </c>
      <c r="Q236" s="105">
        <v>259391.8743154585</v>
      </c>
      <c r="R236" s="105">
        <v>800832.23382812261</v>
      </c>
      <c r="S236">
        <f t="shared" si="80"/>
        <v>1522209.1099448162</v>
      </c>
    </row>
    <row r="237" spans="1:23" x14ac:dyDescent="0.2">
      <c r="A237" t="s">
        <v>129</v>
      </c>
      <c r="B237">
        <f t="shared" si="77"/>
        <v>52692.100265297595</v>
      </c>
      <c r="C237">
        <f t="shared" si="77"/>
        <v>177926.13433700602</v>
      </c>
      <c r="D237">
        <f t="shared" si="77"/>
        <v>116131.55924816604</v>
      </c>
      <c r="E237">
        <f t="shared" si="78"/>
        <v>328521.26826013997</v>
      </c>
      <c r="F237">
        <f t="shared" si="79"/>
        <v>675271.06211060961</v>
      </c>
      <c r="N237" t="s">
        <v>129</v>
      </c>
      <c r="O237" s="105">
        <v>52692.100265297595</v>
      </c>
      <c r="P237" s="105">
        <v>177926.13433700602</v>
      </c>
      <c r="Q237" s="105">
        <v>116131.55924816604</v>
      </c>
      <c r="R237" s="105">
        <v>328521.26826013997</v>
      </c>
      <c r="S237">
        <f t="shared" si="80"/>
        <v>675271.06211060961</v>
      </c>
    </row>
    <row r="238" spans="1:23" x14ac:dyDescent="0.2">
      <c r="A238" t="s">
        <v>130</v>
      </c>
      <c r="B238">
        <f t="shared" si="77"/>
        <v>34848.869219545762</v>
      </c>
      <c r="C238">
        <f t="shared" si="77"/>
        <v>165928.89119740884</v>
      </c>
      <c r="D238">
        <f t="shared" si="77"/>
        <v>135445.89585597345</v>
      </c>
      <c r="E238">
        <f t="shared" si="78"/>
        <v>470485.72142707132</v>
      </c>
      <c r="F238">
        <f t="shared" si="79"/>
        <v>806709.37769999937</v>
      </c>
      <c r="N238" t="s">
        <v>130</v>
      </c>
      <c r="O238" s="105">
        <v>34848.869219545762</v>
      </c>
      <c r="P238" s="105">
        <v>165928.89119740884</v>
      </c>
      <c r="Q238" s="105">
        <v>135445.89585597345</v>
      </c>
      <c r="R238" s="105">
        <v>470485.72142707132</v>
      </c>
      <c r="S238">
        <f t="shared" si="80"/>
        <v>806709.37769999937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D248" si="81">O242*$B$1</f>
        <v>8478.4635537988415</v>
      </c>
      <c r="C242">
        <f t="shared" si="81"/>
        <v>65087.130220379157</v>
      </c>
      <c r="D242">
        <f t="shared" si="81"/>
        <v>149629.3524394189</v>
      </c>
      <c r="E242">
        <f t="shared" ref="E242:E248" si="82">R242*$B$1</f>
        <v>44777.56844835724</v>
      </c>
      <c r="F242">
        <f t="shared" ref="F242:F248" si="83">S242*$B$1</f>
        <v>267972.51466195413</v>
      </c>
      <c r="N242" t="s">
        <v>210</v>
      </c>
      <c r="O242" s="105">
        <v>8478.4635537988415</v>
      </c>
      <c r="P242" s="105">
        <v>65087.130220379157</v>
      </c>
      <c r="Q242" s="105">
        <v>149629.3524394189</v>
      </c>
      <c r="R242" s="105">
        <v>44777.56844835724</v>
      </c>
      <c r="S242">
        <f>SUM(O242:R242)</f>
        <v>267972.51466195413</v>
      </c>
    </row>
    <row r="243" spans="1:22" x14ac:dyDescent="0.2">
      <c r="A243" t="s">
        <v>211</v>
      </c>
      <c r="B243">
        <f t="shared" si="81"/>
        <v>4539.7029983875063</v>
      </c>
      <c r="C243">
        <f t="shared" si="81"/>
        <v>35373.341837323358</v>
      </c>
      <c r="D243">
        <f t="shared" si="81"/>
        <v>49955.141326502744</v>
      </c>
      <c r="E243">
        <f t="shared" si="82"/>
        <v>13074.129498388304</v>
      </c>
      <c r="F243">
        <f t="shared" si="83"/>
        <v>102942.3156606019</v>
      </c>
      <c r="N243" t="s">
        <v>211</v>
      </c>
      <c r="O243" s="105">
        <v>4539.7029983875063</v>
      </c>
      <c r="P243" s="105">
        <v>35373.341837323358</v>
      </c>
      <c r="Q243" s="105">
        <v>49955.141326502744</v>
      </c>
      <c r="R243" s="105">
        <v>13074.129498388304</v>
      </c>
      <c r="S243">
        <f t="shared" ref="S243:S248" si="84">SUM(O243:R243)</f>
        <v>102942.3156606019</v>
      </c>
    </row>
    <row r="244" spans="1:22" x14ac:dyDescent="0.2">
      <c r="A244" t="s">
        <v>212</v>
      </c>
      <c r="B244">
        <f t="shared" si="81"/>
        <v>10383.639907470948</v>
      </c>
      <c r="C244">
        <f t="shared" si="81"/>
        <v>139040.2876198552</v>
      </c>
      <c r="D244">
        <f t="shared" si="81"/>
        <v>277145.64927370241</v>
      </c>
      <c r="E244">
        <f t="shared" si="82"/>
        <v>78885.071811170536</v>
      </c>
      <c r="F244">
        <f t="shared" si="83"/>
        <v>505454.64861219912</v>
      </c>
      <c r="N244" t="s">
        <v>212</v>
      </c>
      <c r="O244" s="105">
        <v>10383.639907470948</v>
      </c>
      <c r="P244" s="105">
        <v>139040.2876198552</v>
      </c>
      <c r="Q244" s="105">
        <v>277145.64927370241</v>
      </c>
      <c r="R244" s="105">
        <v>78885.071811170536</v>
      </c>
      <c r="S244">
        <f t="shared" si="84"/>
        <v>505454.64861219912</v>
      </c>
    </row>
    <row r="245" spans="1:22" x14ac:dyDescent="0.2">
      <c r="A245" t="s">
        <v>36</v>
      </c>
      <c r="B245">
        <f t="shared" si="81"/>
        <v>48489.249123861235</v>
      </c>
      <c r="C245">
        <f t="shared" si="81"/>
        <v>292033.08141005569</v>
      </c>
      <c r="D245">
        <f t="shared" si="81"/>
        <v>636850.71412995958</v>
      </c>
      <c r="E245">
        <f t="shared" si="82"/>
        <v>179650.09366979785</v>
      </c>
      <c r="F245">
        <f t="shared" si="83"/>
        <v>1157023.1383336743</v>
      </c>
      <c r="N245" t="s">
        <v>36</v>
      </c>
      <c r="O245" s="105">
        <v>48489.249123861235</v>
      </c>
      <c r="P245" s="105">
        <v>292033.08141005569</v>
      </c>
      <c r="Q245" s="105">
        <v>636850.71412995958</v>
      </c>
      <c r="R245" s="105">
        <v>179650.09366979785</v>
      </c>
      <c r="S245">
        <f t="shared" si="84"/>
        <v>1157023.1383336743</v>
      </c>
    </row>
    <row r="246" spans="1:22" x14ac:dyDescent="0.2">
      <c r="A246" t="s">
        <v>214</v>
      </c>
      <c r="B246">
        <f t="shared" si="81"/>
        <v>64638.72795369391</v>
      </c>
      <c r="C246">
        <f t="shared" si="81"/>
        <v>392340.55261358747</v>
      </c>
      <c r="D246">
        <f t="shared" si="81"/>
        <v>829748.9030046023</v>
      </c>
      <c r="E246">
        <f t="shared" si="82"/>
        <v>235480.92637293239</v>
      </c>
      <c r="F246">
        <f t="shared" si="83"/>
        <v>1522209.1099448162</v>
      </c>
      <c r="N246" t="s">
        <v>214</v>
      </c>
      <c r="O246" s="105">
        <v>64638.72795369391</v>
      </c>
      <c r="P246" s="105">
        <v>392340.55261358747</v>
      </c>
      <c r="Q246" s="105">
        <v>829748.9030046023</v>
      </c>
      <c r="R246" s="105">
        <v>235480.92637293239</v>
      </c>
      <c r="S246">
        <f t="shared" si="84"/>
        <v>1522209.1099448162</v>
      </c>
    </row>
    <row r="247" spans="1:22" x14ac:dyDescent="0.2">
      <c r="A247" t="s">
        <v>129</v>
      </c>
      <c r="B247">
        <f t="shared" si="81"/>
        <v>32107.790485353242</v>
      </c>
      <c r="C247">
        <f t="shared" si="81"/>
        <v>216652.87019943772</v>
      </c>
      <c r="D247">
        <f t="shared" si="81"/>
        <v>335419.58472387341</v>
      </c>
      <c r="E247">
        <f t="shared" si="82"/>
        <v>91090.816701945238</v>
      </c>
      <c r="F247">
        <f t="shared" si="83"/>
        <v>675271.06211060961</v>
      </c>
      <c r="N247" t="s">
        <v>129</v>
      </c>
      <c r="O247" s="105">
        <v>32107.790485353242</v>
      </c>
      <c r="P247" s="105">
        <v>216652.87019943772</v>
      </c>
      <c r="Q247" s="105">
        <v>335419.58472387341</v>
      </c>
      <c r="R247" s="105">
        <v>91090.816701945238</v>
      </c>
      <c r="S247">
        <f t="shared" si="84"/>
        <v>675271.06211060961</v>
      </c>
    </row>
    <row r="248" spans="1:22" x14ac:dyDescent="0.2">
      <c r="A248" t="s">
        <v>130</v>
      </c>
      <c r="B248">
        <f t="shared" si="81"/>
        <v>23132.674923936891</v>
      </c>
      <c r="C248">
        <f t="shared" si="81"/>
        <v>199262.11207321039</v>
      </c>
      <c r="D248">
        <f t="shared" si="81"/>
        <v>452102.1387344519</v>
      </c>
      <c r="E248">
        <f t="shared" si="82"/>
        <v>132212.45196840013</v>
      </c>
      <c r="F248">
        <f t="shared" si="83"/>
        <v>806709.37769999937</v>
      </c>
      <c r="N248" t="s">
        <v>130</v>
      </c>
      <c r="O248" s="105">
        <v>23132.674923936891</v>
      </c>
      <c r="P248" s="105">
        <v>199262.11207321039</v>
      </c>
      <c r="Q248" s="105">
        <v>452102.1387344519</v>
      </c>
      <c r="R248" s="105">
        <v>132212.45196840013</v>
      </c>
      <c r="S248">
        <f t="shared" si="84"/>
        <v>806709.37769999937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10861</v>
      </c>
      <c r="C251" t="s">
        <v>10862</v>
      </c>
      <c r="D251" t="s">
        <v>10863</v>
      </c>
      <c r="E251" t="s">
        <v>10864</v>
      </c>
      <c r="F251" t="s">
        <v>1688</v>
      </c>
      <c r="G251" t="s">
        <v>10865</v>
      </c>
      <c r="H251" t="s">
        <v>10866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F258" si="85">O252*$B$1</f>
        <v>11462.5</v>
      </c>
      <c r="C252">
        <f t="shared" si="85"/>
        <v>886.5</v>
      </c>
      <c r="D252">
        <f t="shared" si="85"/>
        <v>10801.25</v>
      </c>
      <c r="E252">
        <f t="shared" si="85"/>
        <v>8330.75</v>
      </c>
      <c r="F252">
        <f t="shared" si="85"/>
        <v>54500.316307860019</v>
      </c>
      <c r="G252">
        <f t="shared" ref="G252:G258" si="86">T252*$B$1</f>
        <v>5886.8401226915412</v>
      </c>
      <c r="H252">
        <f t="shared" ref="H252:I258" si="87">U252*$B$1</f>
        <v>176104.35823140258</v>
      </c>
      <c r="I252">
        <f t="shared" si="87"/>
        <v>267972.51466195413</v>
      </c>
      <c r="N252" t="s">
        <v>210</v>
      </c>
      <c r="O252" s="105">
        <v>11462.5</v>
      </c>
      <c r="P252" s="105">
        <v>886.5</v>
      </c>
      <c r="Q252" s="105">
        <v>10801.25</v>
      </c>
      <c r="R252" s="105">
        <v>8330.75</v>
      </c>
      <c r="S252">
        <v>54500.316307860019</v>
      </c>
      <c r="T252">
        <v>5886.8401226915412</v>
      </c>
      <c r="U252">
        <v>176104.35823140258</v>
      </c>
      <c r="V252">
        <f>SUM(O252:U252)</f>
        <v>267972.51466195413</v>
      </c>
    </row>
    <row r="253" spans="1:22" x14ac:dyDescent="0.2">
      <c r="A253" t="s">
        <v>211</v>
      </c>
      <c r="B253">
        <f t="shared" si="85"/>
        <v>5259.25</v>
      </c>
      <c r="C253">
        <f t="shared" si="85"/>
        <v>171.25</v>
      </c>
      <c r="D253">
        <f t="shared" si="85"/>
        <v>4170</v>
      </c>
      <c r="E253">
        <f t="shared" si="85"/>
        <v>3472.5</v>
      </c>
      <c r="F253">
        <f t="shared" si="85"/>
        <v>18456.167609592147</v>
      </c>
      <c r="G253">
        <f t="shared" si="86"/>
        <v>913.31136127264722</v>
      </c>
      <c r="H253">
        <f t="shared" si="87"/>
        <v>70499.836689737116</v>
      </c>
      <c r="I253">
        <f t="shared" si="87"/>
        <v>102942.31566060192</v>
      </c>
      <c r="N253" t="s">
        <v>211</v>
      </c>
      <c r="O253" s="105">
        <v>5259.25</v>
      </c>
      <c r="P253" s="105">
        <v>171.25</v>
      </c>
      <c r="Q253" s="105">
        <v>4170</v>
      </c>
      <c r="R253" s="105">
        <v>3472.5</v>
      </c>
      <c r="S253">
        <v>18456.167609592147</v>
      </c>
      <c r="T253">
        <v>913.31136127264722</v>
      </c>
      <c r="U253">
        <v>70499.836689737116</v>
      </c>
      <c r="V253">
        <f t="shared" ref="V253:V258" si="88">SUM(O253:U253)</f>
        <v>102942.31566060192</v>
      </c>
    </row>
    <row r="254" spans="1:22" x14ac:dyDescent="0.2">
      <c r="A254" t="s">
        <v>212</v>
      </c>
      <c r="B254">
        <f t="shared" si="85"/>
        <v>22959</v>
      </c>
      <c r="C254">
        <f t="shared" si="85"/>
        <v>1031</v>
      </c>
      <c r="D254">
        <f t="shared" si="85"/>
        <v>19773</v>
      </c>
      <c r="E254">
        <f t="shared" si="85"/>
        <v>16159.5</v>
      </c>
      <c r="F254">
        <f t="shared" si="85"/>
        <v>84561.834494391864</v>
      </c>
      <c r="G254">
        <f t="shared" si="86"/>
        <v>5233.4471904798047</v>
      </c>
      <c r="H254">
        <f t="shared" si="87"/>
        <v>355736.86692732741</v>
      </c>
      <c r="I254">
        <f t="shared" si="87"/>
        <v>505454.64861219912</v>
      </c>
      <c r="N254" t="s">
        <v>212</v>
      </c>
      <c r="O254" s="105">
        <v>22959</v>
      </c>
      <c r="P254" s="105">
        <v>1031</v>
      </c>
      <c r="Q254" s="105">
        <v>19773</v>
      </c>
      <c r="R254" s="105">
        <v>16159.5</v>
      </c>
      <c r="S254">
        <v>84561.834494391864</v>
      </c>
      <c r="T254">
        <v>5233.4471904798047</v>
      </c>
      <c r="U254">
        <v>355736.86692732741</v>
      </c>
      <c r="V254">
        <f t="shared" si="88"/>
        <v>505454.64861219912</v>
      </c>
    </row>
    <row r="255" spans="1:22" x14ac:dyDescent="0.2">
      <c r="A255" t="s">
        <v>36</v>
      </c>
      <c r="B255">
        <f t="shared" si="85"/>
        <v>50277.75</v>
      </c>
      <c r="C255">
        <f t="shared" si="85"/>
        <v>3535</v>
      </c>
      <c r="D255">
        <f t="shared" si="85"/>
        <v>44748.25</v>
      </c>
      <c r="E255">
        <f t="shared" si="85"/>
        <v>35024.75</v>
      </c>
      <c r="F255">
        <f t="shared" si="85"/>
        <v>206198.08545134496</v>
      </c>
      <c r="G255">
        <f t="shared" si="86"/>
        <v>20415.374974346621</v>
      </c>
      <c r="H255">
        <f t="shared" si="87"/>
        <v>796823.92790798272</v>
      </c>
      <c r="I255">
        <f t="shared" si="87"/>
        <v>1157023.1383336743</v>
      </c>
      <c r="N255" t="s">
        <v>36</v>
      </c>
      <c r="O255" s="105">
        <v>50277.75</v>
      </c>
      <c r="P255" s="105">
        <v>3535</v>
      </c>
      <c r="Q255" s="105">
        <v>44748.25</v>
      </c>
      <c r="R255" s="105">
        <v>35024.75</v>
      </c>
      <c r="S255">
        <v>206198.08545134496</v>
      </c>
      <c r="T255">
        <v>20415.374974346621</v>
      </c>
      <c r="U255">
        <v>796823.92790798272</v>
      </c>
      <c r="V255">
        <f t="shared" si="88"/>
        <v>1157023.1383336743</v>
      </c>
    </row>
    <row r="256" spans="1:22" x14ac:dyDescent="0.2">
      <c r="A256" t="s">
        <v>214</v>
      </c>
      <c r="B256">
        <f t="shared" si="85"/>
        <v>66192</v>
      </c>
      <c r="C256">
        <f t="shared" si="85"/>
        <v>4783.25</v>
      </c>
      <c r="D256">
        <f t="shared" si="85"/>
        <v>58573.75</v>
      </c>
      <c r="E256">
        <f t="shared" si="85"/>
        <v>45981.75</v>
      </c>
      <c r="F256">
        <f t="shared" si="85"/>
        <v>274832.36491567775</v>
      </c>
      <c r="G256">
        <f t="shared" si="86"/>
        <v>27324.66947600873</v>
      </c>
      <c r="H256">
        <f t="shared" si="87"/>
        <v>1044521.3255531297</v>
      </c>
      <c r="I256">
        <f t="shared" si="87"/>
        <v>1522209.1099448162</v>
      </c>
      <c r="N256" t="s">
        <v>214</v>
      </c>
      <c r="O256" s="105">
        <v>66192</v>
      </c>
      <c r="P256" s="105">
        <v>4783.25</v>
      </c>
      <c r="Q256" s="105">
        <v>58573.75</v>
      </c>
      <c r="R256" s="105">
        <v>45981.75</v>
      </c>
      <c r="S256">
        <v>274832.36491567775</v>
      </c>
      <c r="T256">
        <v>27324.66947600873</v>
      </c>
      <c r="U256">
        <v>1044521.3255531297</v>
      </c>
      <c r="V256">
        <f t="shared" si="88"/>
        <v>1522209.1099448162</v>
      </c>
    </row>
    <row r="257" spans="1:23" x14ac:dyDescent="0.2">
      <c r="A257" t="s">
        <v>129</v>
      </c>
      <c r="B257">
        <f t="shared" si="85"/>
        <v>34750.75</v>
      </c>
      <c r="C257">
        <f t="shared" si="85"/>
        <v>2094.5</v>
      </c>
      <c r="D257">
        <f t="shared" si="85"/>
        <v>28334.5</v>
      </c>
      <c r="E257">
        <f t="shared" si="85"/>
        <v>21912</v>
      </c>
      <c r="F257">
        <f t="shared" si="85"/>
        <v>129673.74353289096</v>
      </c>
      <c r="G257">
        <f t="shared" si="86"/>
        <v>10317.366088362032</v>
      </c>
      <c r="H257">
        <f t="shared" si="87"/>
        <v>448188.20248935663</v>
      </c>
      <c r="I257">
        <f t="shared" si="87"/>
        <v>675271.06211060961</v>
      </c>
      <c r="N257" t="s">
        <v>129</v>
      </c>
      <c r="O257" s="105">
        <v>34750.75</v>
      </c>
      <c r="P257" s="105">
        <v>2094.5</v>
      </c>
      <c r="Q257" s="105">
        <v>28334.5</v>
      </c>
      <c r="R257" s="105">
        <v>21912</v>
      </c>
      <c r="S257">
        <v>129673.74353289096</v>
      </c>
      <c r="T257">
        <v>10317.366088362032</v>
      </c>
      <c r="U257">
        <v>448188.20248935663</v>
      </c>
      <c r="V257">
        <f t="shared" si="88"/>
        <v>675271.06211060961</v>
      </c>
    </row>
    <row r="258" spans="1:23" x14ac:dyDescent="0.2">
      <c r="A258" t="s">
        <v>130</v>
      </c>
      <c r="B258">
        <f t="shared" si="85"/>
        <v>36933.75</v>
      </c>
      <c r="C258">
        <f t="shared" si="85"/>
        <v>2323.25</v>
      </c>
      <c r="D258">
        <f t="shared" si="85"/>
        <v>32337.75</v>
      </c>
      <c r="E258">
        <f t="shared" si="85"/>
        <v>26140.75</v>
      </c>
      <c r="F258">
        <f t="shared" si="85"/>
        <v>143963.48213334623</v>
      </c>
      <c r="G258">
        <f t="shared" si="86"/>
        <v>12359.302210496899</v>
      </c>
      <c r="H258">
        <f t="shared" si="87"/>
        <v>552651.09335615614</v>
      </c>
      <c r="I258">
        <f t="shared" si="87"/>
        <v>806709.37769999926</v>
      </c>
      <c r="N258" t="s">
        <v>130</v>
      </c>
      <c r="O258" s="105">
        <v>36933.75</v>
      </c>
      <c r="P258" s="105">
        <v>2323.25</v>
      </c>
      <c r="Q258" s="105">
        <v>32337.75</v>
      </c>
      <c r="R258" s="105">
        <v>26140.75</v>
      </c>
      <c r="S258">
        <v>143963.48213334623</v>
      </c>
      <c r="T258">
        <v>12359.302210496899</v>
      </c>
      <c r="U258">
        <v>552651.09335615614</v>
      </c>
      <c r="V258">
        <f t="shared" si="88"/>
        <v>806709.37769999926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H269" si="89">O262*$B$1</f>
        <v>1793287.0869403062</v>
      </c>
      <c r="C262">
        <f t="shared" si="89"/>
        <v>318787.25069839793</v>
      </c>
      <c r="D262">
        <f t="shared" si="89"/>
        <v>0</v>
      </c>
      <c r="E262">
        <f t="shared" si="89"/>
        <v>0</v>
      </c>
      <c r="F262">
        <f t="shared" si="89"/>
        <v>116082.05943507643</v>
      </c>
      <c r="G262">
        <f t="shared" si="89"/>
        <v>2861.2096394430669</v>
      </c>
      <c r="H262">
        <f t="shared" si="89"/>
        <v>0</v>
      </c>
      <c r="I262">
        <f t="shared" ref="I262:I269" si="90">V262*$B$1</f>
        <v>0</v>
      </c>
      <c r="J262">
        <f t="shared" ref="J262:J269" si="91">W262*$B$1</f>
        <v>2231017.6067132237</v>
      </c>
      <c r="N262" t="s">
        <v>210</v>
      </c>
      <c r="O262" s="105">
        <v>1793287.0869403062</v>
      </c>
      <c r="P262" s="105">
        <v>318787.25069839793</v>
      </c>
      <c r="Q262" s="105">
        <v>0</v>
      </c>
      <c r="R262" s="105">
        <v>0</v>
      </c>
      <c r="S262" s="105">
        <v>116082.05943507643</v>
      </c>
      <c r="T262" s="105">
        <v>2861.2096394430669</v>
      </c>
      <c r="U262" s="105">
        <v>0</v>
      </c>
      <c r="V262" s="105">
        <v>0</v>
      </c>
      <c r="W262">
        <f>SUM(O262:V262)</f>
        <v>2231017.6067132237</v>
      </c>
    </row>
    <row r="263" spans="1:23" x14ac:dyDescent="0.2">
      <c r="A263" t="s">
        <v>211</v>
      </c>
      <c r="B263">
        <f t="shared" si="89"/>
        <v>31849.916565230404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165487.82818203955</v>
      </c>
      <c r="G263">
        <f t="shared" si="89"/>
        <v>117414.65293506917</v>
      </c>
      <c r="H263">
        <f t="shared" si="89"/>
        <v>481783.05012027553</v>
      </c>
      <c r="I263">
        <f t="shared" si="90"/>
        <v>41152.653704413016</v>
      </c>
      <c r="J263">
        <f t="shared" si="91"/>
        <v>837688.10150702763</v>
      </c>
      <c r="N263" t="s">
        <v>211</v>
      </c>
      <c r="O263" s="105">
        <v>31849.916565230404</v>
      </c>
      <c r="P263" s="105">
        <v>0</v>
      </c>
      <c r="Q263" s="105">
        <v>0</v>
      </c>
      <c r="R263" s="105">
        <v>0</v>
      </c>
      <c r="S263" s="105">
        <v>165487.82818203955</v>
      </c>
      <c r="T263" s="105">
        <v>117414.65293506917</v>
      </c>
      <c r="U263" s="105">
        <v>481783.05012027553</v>
      </c>
      <c r="V263" s="105">
        <v>41152.653704413016</v>
      </c>
      <c r="W263">
        <f t="shared" ref="W263:W269" si="92">SUM(O263:V263)</f>
        <v>837688.10150702763</v>
      </c>
    </row>
    <row r="264" spans="1:23" x14ac:dyDescent="0.2">
      <c r="A264" t="s">
        <v>212</v>
      </c>
      <c r="B264">
        <f t="shared" si="89"/>
        <v>479134.77952023136</v>
      </c>
      <c r="C264">
        <f t="shared" si="89"/>
        <v>120014.79081511276</v>
      </c>
      <c r="D264">
        <f t="shared" si="89"/>
        <v>102217.30322126037</v>
      </c>
      <c r="E264">
        <f t="shared" si="89"/>
        <v>283513.43740212987</v>
      </c>
      <c r="F264">
        <f t="shared" si="89"/>
        <v>45612.975899797915</v>
      </c>
      <c r="G264">
        <f t="shared" si="89"/>
        <v>14634.226436286985</v>
      </c>
      <c r="H264">
        <f t="shared" si="89"/>
        <v>102211.09888181309</v>
      </c>
      <c r="I264">
        <f t="shared" si="90"/>
        <v>90157.441923434075</v>
      </c>
      <c r="J264">
        <f t="shared" si="91"/>
        <v>1237496.0541000664</v>
      </c>
      <c r="N264" t="s">
        <v>212</v>
      </c>
      <c r="O264" s="105">
        <v>479134.77952023136</v>
      </c>
      <c r="P264" s="105">
        <v>120014.79081511276</v>
      </c>
      <c r="Q264" s="105">
        <v>102217.30322126037</v>
      </c>
      <c r="R264" s="105">
        <v>283513.43740212987</v>
      </c>
      <c r="S264" s="105">
        <v>45612.975899797915</v>
      </c>
      <c r="T264" s="105">
        <v>14634.226436286985</v>
      </c>
      <c r="U264" s="105">
        <v>102211.09888181309</v>
      </c>
      <c r="V264" s="105">
        <v>90157.441923434075</v>
      </c>
      <c r="W264">
        <f t="shared" si="92"/>
        <v>1237496.0541000664</v>
      </c>
    </row>
    <row r="265" spans="1:23" x14ac:dyDescent="0.2">
      <c r="A265" t="s">
        <v>36</v>
      </c>
      <c r="B265">
        <f t="shared" si="89"/>
        <v>575749.00413458969</v>
      </c>
      <c r="C265">
        <f t="shared" si="89"/>
        <v>180107.43483033293</v>
      </c>
      <c r="D265">
        <f t="shared" si="89"/>
        <v>312471.95621100464</v>
      </c>
      <c r="E265">
        <f t="shared" si="89"/>
        <v>388436.47596055066</v>
      </c>
      <c r="F265">
        <f t="shared" si="89"/>
        <v>48705.588666791271</v>
      </c>
      <c r="G265">
        <f t="shared" si="89"/>
        <v>26874.052033076121</v>
      </c>
      <c r="H265">
        <f t="shared" si="89"/>
        <v>149085.59182772756</v>
      </c>
      <c r="I265">
        <f t="shared" si="90"/>
        <v>168922.3697264423</v>
      </c>
      <c r="J265">
        <f t="shared" si="91"/>
        <v>1850352.4733905152</v>
      </c>
      <c r="N265" t="s">
        <v>36</v>
      </c>
      <c r="O265" s="105">
        <v>575749.00413458969</v>
      </c>
      <c r="P265" s="105">
        <v>180107.43483033293</v>
      </c>
      <c r="Q265" s="105">
        <v>312471.95621100464</v>
      </c>
      <c r="R265" s="105">
        <v>388436.47596055066</v>
      </c>
      <c r="S265" s="105">
        <v>48705.588666791271</v>
      </c>
      <c r="T265" s="105">
        <v>26874.052033076121</v>
      </c>
      <c r="U265" s="105">
        <v>149085.59182772756</v>
      </c>
      <c r="V265" s="105">
        <v>168922.3697264423</v>
      </c>
      <c r="W265">
        <f t="shared" si="92"/>
        <v>1850352.4733905152</v>
      </c>
    </row>
    <row r="266" spans="1:23" x14ac:dyDescent="0.2">
      <c r="A266" t="s">
        <v>214</v>
      </c>
      <c r="B266">
        <f t="shared" si="89"/>
        <v>641999.21164250385</v>
      </c>
      <c r="C266">
        <f t="shared" si="89"/>
        <v>183786.79232642861</v>
      </c>
      <c r="D266">
        <f t="shared" si="89"/>
        <v>323825.31795544678</v>
      </c>
      <c r="E266">
        <f t="shared" si="89"/>
        <v>391061.27254064463</v>
      </c>
      <c r="F266">
        <f t="shared" si="89"/>
        <v>72090.300895248787</v>
      </c>
      <c r="G266">
        <f t="shared" si="89"/>
        <v>30596.022346381345</v>
      </c>
      <c r="H266">
        <f t="shared" si="89"/>
        <v>190153.35353670473</v>
      </c>
      <c r="I266">
        <f t="shared" si="90"/>
        <v>198681.12188557838</v>
      </c>
      <c r="J266">
        <f t="shared" si="91"/>
        <v>2032193.3931289371</v>
      </c>
      <c r="N266" t="s">
        <v>214</v>
      </c>
      <c r="O266" s="105">
        <v>641999.21164250385</v>
      </c>
      <c r="P266" s="105">
        <v>183786.79232642861</v>
      </c>
      <c r="Q266" s="105">
        <v>323825.31795544678</v>
      </c>
      <c r="R266" s="105">
        <v>391061.27254064463</v>
      </c>
      <c r="S266" s="105">
        <v>72090.300895248787</v>
      </c>
      <c r="T266" s="105">
        <v>30596.022346381345</v>
      </c>
      <c r="U266" s="105">
        <v>190153.35353670473</v>
      </c>
      <c r="V266" s="105">
        <v>198681.12188557838</v>
      </c>
      <c r="W266">
        <f t="shared" si="92"/>
        <v>2032193.3931289371</v>
      </c>
    </row>
    <row r="267" spans="1:23" x14ac:dyDescent="0.2">
      <c r="A267" t="s">
        <v>129</v>
      </c>
      <c r="B267">
        <f t="shared" si="89"/>
        <v>19703.518511312905</v>
      </c>
      <c r="C267">
        <f t="shared" si="89"/>
        <v>137408.25318362706</v>
      </c>
      <c r="D267">
        <f t="shared" si="89"/>
        <v>131424.63969779748</v>
      </c>
      <c r="E267">
        <f t="shared" si="89"/>
        <v>194780.27554439264</v>
      </c>
      <c r="F267">
        <f t="shared" si="89"/>
        <v>80869.245009067468</v>
      </c>
      <c r="G267">
        <f t="shared" si="89"/>
        <v>43396.451368780698</v>
      </c>
      <c r="H267">
        <f t="shared" si="89"/>
        <v>143771.72740013196</v>
      </c>
      <c r="I267">
        <f t="shared" si="90"/>
        <v>59434.489570281119</v>
      </c>
      <c r="J267">
        <f t="shared" si="91"/>
        <v>810788.60028539132</v>
      </c>
      <c r="N267" t="s">
        <v>129</v>
      </c>
      <c r="O267" s="105">
        <v>19703.518511312905</v>
      </c>
      <c r="P267" s="105">
        <v>137408.25318362706</v>
      </c>
      <c r="Q267" s="105">
        <v>131424.63969779748</v>
      </c>
      <c r="R267" s="105">
        <v>194780.27554439264</v>
      </c>
      <c r="S267" s="105">
        <v>80869.245009067468</v>
      </c>
      <c r="T267" s="105">
        <v>43396.451368780698</v>
      </c>
      <c r="U267" s="105">
        <v>143771.72740013196</v>
      </c>
      <c r="V267" s="105">
        <v>59434.489570281119</v>
      </c>
      <c r="W267">
        <f t="shared" si="92"/>
        <v>810788.60028539132</v>
      </c>
    </row>
    <row r="268" spans="1:23" x14ac:dyDescent="0.2">
      <c r="A268" t="s">
        <v>130</v>
      </c>
      <c r="B268">
        <f t="shared" si="89"/>
        <v>570049.03374715394</v>
      </c>
      <c r="C268">
        <f t="shared" si="89"/>
        <v>169031.0603923426</v>
      </c>
      <c r="D268">
        <f t="shared" si="89"/>
        <v>217946.43697198917</v>
      </c>
      <c r="E268">
        <f t="shared" si="89"/>
        <v>330308.75072034256</v>
      </c>
      <c r="F268">
        <f t="shared" si="89"/>
        <v>50556.758899698725</v>
      </c>
      <c r="G268">
        <f t="shared" si="89"/>
        <v>44306.535282233657</v>
      </c>
      <c r="H268">
        <f t="shared" si="89"/>
        <v>201656.4704322273</v>
      </c>
      <c r="I268">
        <f t="shared" si="90"/>
        <v>127383.25692964537</v>
      </c>
      <c r="J268">
        <f t="shared" si="91"/>
        <v>1711238.3033756334</v>
      </c>
      <c r="N268" t="s">
        <v>130</v>
      </c>
      <c r="O268" s="105">
        <v>570049.03374715394</v>
      </c>
      <c r="P268" s="105">
        <v>169031.0603923426</v>
      </c>
      <c r="Q268" s="105">
        <v>217946.43697198917</v>
      </c>
      <c r="R268" s="105">
        <v>330308.75072034256</v>
      </c>
      <c r="S268" s="105">
        <v>50556.758899698725</v>
      </c>
      <c r="T268" s="105">
        <v>44306.535282233657</v>
      </c>
      <c r="U268" s="105">
        <v>201656.4704322273</v>
      </c>
      <c r="V268" s="105">
        <v>127383.25692964537</v>
      </c>
      <c r="W268">
        <f t="shared" si="92"/>
        <v>1711238.3033756334</v>
      </c>
    </row>
    <row r="269" spans="1:23" x14ac:dyDescent="0.2">
      <c r="A269" t="s">
        <v>145</v>
      </c>
      <c r="B269">
        <f t="shared" si="89"/>
        <v>2135323.845427915</v>
      </c>
      <c r="C269">
        <f t="shared" si="89"/>
        <v>546042.55100937479</v>
      </c>
      <c r="D269">
        <f t="shared" si="89"/>
        <v>591332.33587738348</v>
      </c>
      <c r="E269">
        <f t="shared" si="89"/>
        <v>902755.1186707851</v>
      </c>
      <c r="F269">
        <f t="shared" si="89"/>
        <v>282311.14451337693</v>
      </c>
      <c r="G269">
        <f t="shared" si="89"/>
        <v>166018.01704295</v>
      </c>
      <c r="H269">
        <f t="shared" si="89"/>
        <v>798050.01182711055</v>
      </c>
      <c r="I269">
        <f t="shared" si="90"/>
        <v>384587.217551585</v>
      </c>
      <c r="J269">
        <f t="shared" si="91"/>
        <v>5806420.2419204805</v>
      </c>
      <c r="N269" t="s">
        <v>145</v>
      </c>
      <c r="O269" s="105">
        <v>2135323.845427915</v>
      </c>
      <c r="P269" s="105">
        <v>546042.55100937479</v>
      </c>
      <c r="Q269" s="105">
        <v>591332.33587738348</v>
      </c>
      <c r="R269" s="105">
        <v>902755.1186707851</v>
      </c>
      <c r="S269" s="105">
        <v>282311.14451337693</v>
      </c>
      <c r="T269" s="105">
        <v>166018.01704295</v>
      </c>
      <c r="U269" s="105">
        <v>798050.01182711055</v>
      </c>
      <c r="V269" s="105">
        <v>384587.217551585</v>
      </c>
      <c r="W269">
        <f t="shared" si="92"/>
        <v>5806420.2419204805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D280" si="93">O273*$B$1</f>
        <v>52770.162985076677</v>
      </c>
      <c r="C273">
        <f t="shared" si="93"/>
        <v>413931.61423981469</v>
      </c>
      <c r="D273">
        <f t="shared" si="93"/>
        <v>386221.79155538115</v>
      </c>
      <c r="E273">
        <f t="shared" ref="E273:E280" si="94">R273*$B$1</f>
        <v>1378094.037932951</v>
      </c>
      <c r="F273">
        <f t="shared" ref="F273:F280" si="95">S273*$B$1</f>
        <v>2231017.6067132233</v>
      </c>
      <c r="N273" t="s">
        <v>210</v>
      </c>
      <c r="O273" s="105">
        <v>52770.162985076677</v>
      </c>
      <c r="P273" s="105">
        <v>413931.61423981469</v>
      </c>
      <c r="Q273" s="105">
        <v>386221.79155538115</v>
      </c>
      <c r="R273" s="105">
        <v>1378094.037932951</v>
      </c>
      <c r="S273">
        <f>SUM(O273:R273)</f>
        <v>2231017.6067132233</v>
      </c>
    </row>
    <row r="274" spans="1:19" x14ac:dyDescent="0.2">
      <c r="A274" t="s">
        <v>211</v>
      </c>
      <c r="B274">
        <f t="shared" si="93"/>
        <v>68376.789269426052</v>
      </c>
      <c r="C274">
        <f t="shared" si="93"/>
        <v>187608.54483721964</v>
      </c>
      <c r="D274">
        <f t="shared" si="93"/>
        <v>130444.49561298297</v>
      </c>
      <c r="E274">
        <f t="shared" si="94"/>
        <v>451258.27178739902</v>
      </c>
      <c r="F274">
        <f t="shared" si="95"/>
        <v>837688.10150702763</v>
      </c>
      <c r="N274" t="s">
        <v>211</v>
      </c>
      <c r="O274" s="105">
        <v>68376.789269426052</v>
      </c>
      <c r="P274" s="105">
        <v>187608.54483721964</v>
      </c>
      <c r="Q274" s="105">
        <v>130444.49561298297</v>
      </c>
      <c r="R274" s="105">
        <v>451258.27178739902</v>
      </c>
      <c r="S274">
        <f t="shared" ref="S274:S280" si="96">SUM(O274:R274)</f>
        <v>837688.10150702763</v>
      </c>
    </row>
    <row r="275" spans="1:19" x14ac:dyDescent="0.2">
      <c r="A275" t="s">
        <v>212</v>
      </c>
      <c r="B275">
        <f t="shared" si="93"/>
        <v>60699.161759527793</v>
      </c>
      <c r="C275">
        <f t="shared" si="93"/>
        <v>240281.54709038165</v>
      </c>
      <c r="D275">
        <f t="shared" si="93"/>
        <v>217587.08407529446</v>
      </c>
      <c r="E275">
        <f t="shared" si="94"/>
        <v>718928.26117486239</v>
      </c>
      <c r="F275">
        <f t="shared" si="95"/>
        <v>1237496.0541000664</v>
      </c>
      <c r="N275" t="s">
        <v>212</v>
      </c>
      <c r="O275" s="105">
        <v>60699.161759527793</v>
      </c>
      <c r="P275" s="105">
        <v>240281.54709038165</v>
      </c>
      <c r="Q275" s="105">
        <v>217587.08407529446</v>
      </c>
      <c r="R275" s="105">
        <v>718928.26117486239</v>
      </c>
      <c r="S275">
        <f t="shared" si="96"/>
        <v>1237496.0541000664</v>
      </c>
    </row>
    <row r="276" spans="1:19" x14ac:dyDescent="0.2">
      <c r="A276" t="s">
        <v>36</v>
      </c>
      <c r="B276">
        <f t="shared" si="93"/>
        <v>145619.96202557127</v>
      </c>
      <c r="C276">
        <f t="shared" si="93"/>
        <v>505046.34021975542</v>
      </c>
      <c r="D276">
        <f t="shared" si="93"/>
        <v>318494.21027882438</v>
      </c>
      <c r="E276">
        <f t="shared" si="94"/>
        <v>881191.96086636407</v>
      </c>
      <c r="F276">
        <f t="shared" si="95"/>
        <v>1850352.473390515</v>
      </c>
      <c r="N276" t="s">
        <v>36</v>
      </c>
      <c r="O276" s="105">
        <v>145619.96202557127</v>
      </c>
      <c r="P276" s="105">
        <v>505046.34021975542</v>
      </c>
      <c r="Q276" s="105">
        <v>318494.21027882438</v>
      </c>
      <c r="R276" s="105">
        <v>881191.96086636407</v>
      </c>
      <c r="S276">
        <f t="shared" si="96"/>
        <v>1850352.473390515</v>
      </c>
    </row>
    <row r="277" spans="1:19" x14ac:dyDescent="0.2">
      <c r="A277" t="s">
        <v>214</v>
      </c>
      <c r="B277">
        <f t="shared" si="93"/>
        <v>156648.85978353713</v>
      </c>
      <c r="C277">
        <f t="shared" si="93"/>
        <v>519691.69264186267</v>
      </c>
      <c r="D277">
        <f t="shared" si="93"/>
        <v>351662.05149110645</v>
      </c>
      <c r="E277">
        <f t="shared" si="94"/>
        <v>1004190.7892124307</v>
      </c>
      <c r="F277">
        <f t="shared" si="95"/>
        <v>2032193.3931289371</v>
      </c>
      <c r="N277" t="s">
        <v>214</v>
      </c>
      <c r="O277" s="105">
        <v>156648.85978353713</v>
      </c>
      <c r="P277" s="105">
        <v>519691.69264186267</v>
      </c>
      <c r="Q277" s="105">
        <v>351662.05149110645</v>
      </c>
      <c r="R277" s="105">
        <v>1004190.7892124307</v>
      </c>
      <c r="S277">
        <f t="shared" si="96"/>
        <v>2032193.3931289371</v>
      </c>
    </row>
    <row r="278" spans="1:19" x14ac:dyDescent="0.2">
      <c r="A278" t="s">
        <v>129</v>
      </c>
      <c r="B278">
        <f t="shared" si="93"/>
        <v>63236.159057995923</v>
      </c>
      <c r="C278">
        <f t="shared" si="93"/>
        <v>217133.03714985921</v>
      </c>
      <c r="D278">
        <f t="shared" si="93"/>
        <v>140727.76857006928</v>
      </c>
      <c r="E278">
        <f t="shared" si="94"/>
        <v>389691.63550746697</v>
      </c>
      <c r="F278">
        <f t="shared" si="95"/>
        <v>810788.60028539132</v>
      </c>
      <c r="N278" t="s">
        <v>129</v>
      </c>
      <c r="O278" s="105">
        <v>63236.159057995923</v>
      </c>
      <c r="P278" s="105">
        <v>217133.03714985921</v>
      </c>
      <c r="Q278" s="105">
        <v>140727.76857006928</v>
      </c>
      <c r="R278" s="105">
        <v>389691.63550746697</v>
      </c>
      <c r="S278">
        <f t="shared" si="96"/>
        <v>810788.60028539132</v>
      </c>
    </row>
    <row r="279" spans="1:19" x14ac:dyDescent="0.2">
      <c r="A279" t="s">
        <v>130</v>
      </c>
      <c r="B279">
        <f t="shared" si="93"/>
        <v>86914.561627212184</v>
      </c>
      <c r="C279">
        <f t="shared" si="93"/>
        <v>382769.39698002732</v>
      </c>
      <c r="D279">
        <f t="shared" si="93"/>
        <v>294538.70055611525</v>
      </c>
      <c r="E279">
        <f t="shared" si="94"/>
        <v>947015.64421227842</v>
      </c>
      <c r="F279">
        <f t="shared" si="95"/>
        <v>1711238.3033756332</v>
      </c>
      <c r="N279" t="s">
        <v>130</v>
      </c>
      <c r="O279" s="105">
        <v>86914.561627212184</v>
      </c>
      <c r="P279" s="105">
        <v>382769.39698002732</v>
      </c>
      <c r="Q279" s="105">
        <v>294538.70055611525</v>
      </c>
      <c r="R279" s="105">
        <v>947015.64421227842</v>
      </c>
      <c r="S279">
        <f t="shared" si="96"/>
        <v>1711238.3033756332</v>
      </c>
    </row>
    <row r="280" spans="1:19" x14ac:dyDescent="0.2">
      <c r="A280" t="s">
        <v>145</v>
      </c>
      <c r="B280">
        <f t="shared" si="93"/>
        <v>359188.10332041467</v>
      </c>
      <c r="C280">
        <f t="shared" si="93"/>
        <v>1355205.2294221853</v>
      </c>
      <c r="D280">
        <f t="shared" si="93"/>
        <v>1006147.7762262744</v>
      </c>
      <c r="E280">
        <f t="shared" si="94"/>
        <v>3085879.1329516089</v>
      </c>
      <c r="F280">
        <f t="shared" si="95"/>
        <v>5806420.2419204833</v>
      </c>
      <c r="N280" t="s">
        <v>145</v>
      </c>
      <c r="O280" s="105">
        <v>359188.10332041467</v>
      </c>
      <c r="P280" s="105">
        <v>1355205.2294221853</v>
      </c>
      <c r="Q280" s="105">
        <v>1006147.7762262744</v>
      </c>
      <c r="R280" s="105">
        <v>3085879.1329516089</v>
      </c>
      <c r="S280">
        <f t="shared" si="96"/>
        <v>5806420.2419204833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D291" si="97">O284*$B$1</f>
        <v>66505.784702896039</v>
      </c>
      <c r="C284">
        <f t="shared" si="97"/>
        <v>556367.51515470888</v>
      </c>
      <c r="D284">
        <f t="shared" si="97"/>
        <v>1239601.7830070104</v>
      </c>
      <c r="E284">
        <f t="shared" ref="E284:E291" si="98">R284*$B$1</f>
        <v>368542.52384860866</v>
      </c>
      <c r="F284">
        <f t="shared" ref="F284:F291" si="99">S284*$B$1</f>
        <v>2231017.6067132237</v>
      </c>
      <c r="N284" t="s">
        <v>210</v>
      </c>
      <c r="O284" s="105">
        <v>66505.784702896039</v>
      </c>
      <c r="P284" s="105">
        <v>556367.51515470888</v>
      </c>
      <c r="Q284" s="105">
        <v>1239601.7830070104</v>
      </c>
      <c r="R284" s="105">
        <v>368542.52384860866</v>
      </c>
      <c r="S284">
        <f>SUM(O284:R284)</f>
        <v>2231017.6067132237</v>
      </c>
    </row>
    <row r="285" spans="1:19" x14ac:dyDescent="0.2">
      <c r="A285" t="s">
        <v>211</v>
      </c>
      <c r="B285">
        <f t="shared" si="97"/>
        <v>36931.980226160609</v>
      </c>
      <c r="C285">
        <f t="shared" si="97"/>
        <v>281699.01721959334</v>
      </c>
      <c r="D285">
        <f t="shared" si="97"/>
        <v>411283.21019163565</v>
      </c>
      <c r="E285">
        <f t="shared" si="98"/>
        <v>107773.89386963804</v>
      </c>
      <c r="F285">
        <f t="shared" si="99"/>
        <v>837688.10150702763</v>
      </c>
      <c r="N285" t="s">
        <v>211</v>
      </c>
      <c r="O285" s="105">
        <v>36931.980226160609</v>
      </c>
      <c r="P285" s="105">
        <v>281699.01721959334</v>
      </c>
      <c r="Q285" s="105">
        <v>411283.21019163565</v>
      </c>
      <c r="R285" s="105">
        <v>107773.89386963804</v>
      </c>
      <c r="S285">
        <f t="shared" ref="S285:S291" si="100">SUM(O285:R285)</f>
        <v>837688.10150702763</v>
      </c>
    </row>
    <row r="286" spans="1:19" x14ac:dyDescent="0.2">
      <c r="A286" t="s">
        <v>212</v>
      </c>
      <c r="B286">
        <f t="shared" si="97"/>
        <v>31810.476798591579</v>
      </c>
      <c r="C286">
        <f t="shared" si="97"/>
        <v>364882.07501971384</v>
      </c>
      <c r="D286">
        <f t="shared" si="97"/>
        <v>658523.48767264117</v>
      </c>
      <c r="E286">
        <f t="shared" si="98"/>
        <v>182280.01460911971</v>
      </c>
      <c r="F286">
        <f t="shared" si="99"/>
        <v>1237496.0541000662</v>
      </c>
      <c r="N286" t="s">
        <v>212</v>
      </c>
      <c r="O286" s="105">
        <v>31810.476798591579</v>
      </c>
      <c r="P286" s="105">
        <v>364882.07501971384</v>
      </c>
      <c r="Q286" s="105">
        <v>658523.48767264117</v>
      </c>
      <c r="R286" s="105">
        <v>182280.01460911971</v>
      </c>
      <c r="S286">
        <f t="shared" si="100"/>
        <v>1237496.0541000662</v>
      </c>
    </row>
    <row r="287" spans="1:19" x14ac:dyDescent="0.2">
      <c r="A287" t="s">
        <v>36</v>
      </c>
      <c r="B287">
        <f t="shared" si="97"/>
        <v>93541.818685600476</v>
      </c>
      <c r="C287">
        <f t="shared" si="97"/>
        <v>462099.10488387418</v>
      </c>
      <c r="D287">
        <f t="shared" si="97"/>
        <v>1015571.5369904465</v>
      </c>
      <c r="E287">
        <f t="shared" si="98"/>
        <v>279140.01283059415</v>
      </c>
      <c r="F287">
        <f t="shared" si="99"/>
        <v>1850352.4733905152</v>
      </c>
      <c r="N287" t="s">
        <v>36</v>
      </c>
      <c r="O287" s="105">
        <v>93541.818685600476</v>
      </c>
      <c r="P287" s="105">
        <v>462099.10488387418</v>
      </c>
      <c r="Q287" s="105">
        <v>1015571.5369904465</v>
      </c>
      <c r="R287" s="105">
        <v>279140.01283059415</v>
      </c>
      <c r="S287">
        <f t="shared" si="100"/>
        <v>1850352.4733905152</v>
      </c>
    </row>
    <row r="288" spans="1:19" x14ac:dyDescent="0.2">
      <c r="A288" t="s">
        <v>214</v>
      </c>
      <c r="B288">
        <f t="shared" si="97"/>
        <v>107003.59526477598</v>
      </c>
      <c r="C288">
        <f t="shared" si="97"/>
        <v>517395.90364220663</v>
      </c>
      <c r="D288">
        <f t="shared" si="97"/>
        <v>1099285.0490433369</v>
      </c>
      <c r="E288">
        <f t="shared" si="98"/>
        <v>308508.84517861763</v>
      </c>
      <c r="F288">
        <f t="shared" si="99"/>
        <v>2032193.3931289371</v>
      </c>
      <c r="N288" t="s">
        <v>214</v>
      </c>
      <c r="O288" s="105">
        <v>107003.59526477598</v>
      </c>
      <c r="P288" s="105">
        <v>517395.90364220663</v>
      </c>
      <c r="Q288" s="105">
        <v>1099285.0490433369</v>
      </c>
      <c r="R288" s="105">
        <v>308508.84517861763</v>
      </c>
      <c r="S288">
        <f t="shared" si="100"/>
        <v>2032193.3931289371</v>
      </c>
    </row>
    <row r="289" spans="1:22" x14ac:dyDescent="0.2">
      <c r="A289" t="s">
        <v>129</v>
      </c>
      <c r="B289">
        <f t="shared" si="97"/>
        <v>38255.196657789711</v>
      </c>
      <c r="C289">
        <f t="shared" si="97"/>
        <v>260615.50412948674</v>
      </c>
      <c r="D289">
        <f t="shared" si="97"/>
        <v>403050.28735414485</v>
      </c>
      <c r="E289">
        <f t="shared" si="98"/>
        <v>108867.61214397007</v>
      </c>
      <c r="F289">
        <f t="shared" si="99"/>
        <v>810788.60028539132</v>
      </c>
      <c r="N289" t="s">
        <v>129</v>
      </c>
      <c r="O289" s="105">
        <v>38255.196657789711</v>
      </c>
      <c r="P289" s="105">
        <v>260615.50412948674</v>
      </c>
      <c r="Q289" s="105">
        <v>403050.28735414485</v>
      </c>
      <c r="R289" s="105">
        <v>108867.61214397007</v>
      </c>
      <c r="S289">
        <f t="shared" si="100"/>
        <v>810788.60028539132</v>
      </c>
    </row>
    <row r="290" spans="1:22" x14ac:dyDescent="0.2">
      <c r="A290" t="s">
        <v>130</v>
      </c>
      <c r="B290">
        <f t="shared" si="97"/>
        <v>56449.429326307756</v>
      </c>
      <c r="C290">
        <f t="shared" si="97"/>
        <v>415830.30908280099</v>
      </c>
      <c r="D290">
        <f t="shared" si="97"/>
        <v>959027.14844325674</v>
      </c>
      <c r="E290">
        <f t="shared" si="98"/>
        <v>279931.41652326786</v>
      </c>
      <c r="F290">
        <f t="shared" si="99"/>
        <v>1711238.3033756334</v>
      </c>
      <c r="N290" t="s">
        <v>130</v>
      </c>
      <c r="O290" s="105">
        <v>56449.429326307756</v>
      </c>
      <c r="P290" s="105">
        <v>415830.30908280099</v>
      </c>
      <c r="Q290" s="105">
        <v>959027.14844325674</v>
      </c>
      <c r="R290" s="105">
        <v>279931.41652326786</v>
      </c>
      <c r="S290">
        <f t="shared" si="100"/>
        <v>1711238.3033756334</v>
      </c>
    </row>
    <row r="291" spans="1:22" x14ac:dyDescent="0.2">
      <c r="A291" t="s">
        <v>145</v>
      </c>
      <c r="B291">
        <f t="shared" si="97"/>
        <v>257329.3466027774</v>
      </c>
      <c r="C291">
        <f t="shared" si="97"/>
        <v>1537640.4272402276</v>
      </c>
      <c r="D291">
        <f t="shared" si="97"/>
        <v>3127417.0720424713</v>
      </c>
      <c r="E291">
        <f t="shared" si="98"/>
        <v>884033.39603500534</v>
      </c>
      <c r="F291">
        <f t="shared" si="99"/>
        <v>5806420.2419204814</v>
      </c>
      <c r="N291" t="s">
        <v>145</v>
      </c>
      <c r="O291" s="105">
        <v>257329.3466027774</v>
      </c>
      <c r="P291" s="105">
        <v>1537640.4272402276</v>
      </c>
      <c r="Q291" s="105">
        <v>3127417.0720424713</v>
      </c>
      <c r="R291" s="105">
        <v>884033.39603500534</v>
      </c>
      <c r="S291">
        <f t="shared" si="100"/>
        <v>5806420.2419204814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10861</v>
      </c>
      <c r="C294" t="s">
        <v>10862</v>
      </c>
      <c r="D294" t="s">
        <v>10863</v>
      </c>
      <c r="E294" t="s">
        <v>10864</v>
      </c>
      <c r="F294" t="s">
        <v>1688</v>
      </c>
      <c r="G294" t="s">
        <v>10865</v>
      </c>
      <c r="H294" t="s">
        <v>10866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101">O295*$B$1</f>
        <v>112345.96652217892</v>
      </c>
      <c r="C295">
        <f t="shared" si="101"/>
        <v>13626.100306700651</v>
      </c>
      <c r="D295">
        <f t="shared" si="101"/>
        <v>93364.828031560217</v>
      </c>
      <c r="E295">
        <f t="shared" si="101"/>
        <v>70899.438811258762</v>
      </c>
      <c r="F295">
        <f t="shared" si="101"/>
        <v>435786.2595740871</v>
      </c>
      <c r="G295">
        <f t="shared" ref="G295:G302" si="102">T295*$B$1</f>
        <v>88385.153315891555</v>
      </c>
      <c r="H295">
        <f t="shared" ref="H295:I302" si="103">U295*$B$1</f>
        <v>1378486.4390562251</v>
      </c>
      <c r="I295">
        <f t="shared" si="103"/>
        <v>2192894.1856179023</v>
      </c>
      <c r="N295" t="s">
        <v>210</v>
      </c>
      <c r="O295" s="105">
        <v>112345.96652217892</v>
      </c>
      <c r="P295" s="105">
        <v>13626.100306700651</v>
      </c>
      <c r="Q295" s="105">
        <v>93364.828031560217</v>
      </c>
      <c r="R295" s="105">
        <v>70899.438811258762</v>
      </c>
      <c r="S295">
        <v>435786.2595740871</v>
      </c>
      <c r="T295">
        <v>88385.153315891555</v>
      </c>
      <c r="U295">
        <v>1378486.4390562251</v>
      </c>
      <c r="V295">
        <f>SUM(O295:U295)</f>
        <v>2192894.1856179023</v>
      </c>
    </row>
    <row r="296" spans="1:22" x14ac:dyDescent="0.2">
      <c r="A296" t="s">
        <v>211</v>
      </c>
      <c r="B296">
        <f t="shared" si="101"/>
        <v>41981.752896054633</v>
      </c>
      <c r="C296">
        <f t="shared" si="101"/>
        <v>1540.6875382026908</v>
      </c>
      <c r="D296">
        <f t="shared" si="101"/>
        <v>34415.996258677558</v>
      </c>
      <c r="E296">
        <f t="shared" si="101"/>
        <v>26354.294072803379</v>
      </c>
      <c r="F296">
        <f t="shared" si="101"/>
        <v>137814.29990299323</v>
      </c>
      <c r="G296">
        <f t="shared" si="102"/>
        <v>7122.0257743337734</v>
      </c>
      <c r="H296">
        <f t="shared" si="103"/>
        <v>588430.84278958954</v>
      </c>
      <c r="I296">
        <f t="shared" si="103"/>
        <v>837659.89923265483</v>
      </c>
      <c r="N296" t="s">
        <v>211</v>
      </c>
      <c r="O296" s="105">
        <v>41981.752896054633</v>
      </c>
      <c r="P296" s="105">
        <v>1540.6875382026908</v>
      </c>
      <c r="Q296" s="105">
        <v>34415.996258677558</v>
      </c>
      <c r="R296" s="105">
        <v>26354.294072803379</v>
      </c>
      <c r="S296">
        <v>137814.29990299323</v>
      </c>
      <c r="T296">
        <v>7122.0257743337734</v>
      </c>
      <c r="U296">
        <v>588430.84278958954</v>
      </c>
      <c r="V296">
        <f t="shared" ref="V296:V302" si="104">SUM(O296:U296)</f>
        <v>837659.89923265483</v>
      </c>
    </row>
    <row r="297" spans="1:22" x14ac:dyDescent="0.2">
      <c r="A297" t="s">
        <v>212</v>
      </c>
      <c r="B297">
        <f t="shared" si="101"/>
        <v>63149.209540115306</v>
      </c>
      <c r="C297">
        <f t="shared" si="101"/>
        <v>5741.0234360752047</v>
      </c>
      <c r="D297">
        <f t="shared" si="101"/>
        <v>50692.543459653672</v>
      </c>
      <c r="E297">
        <f t="shared" si="101"/>
        <v>40617.808510904513</v>
      </c>
      <c r="F297">
        <f t="shared" si="101"/>
        <v>189000.2165931958</v>
      </c>
      <c r="G297">
        <f t="shared" si="102"/>
        <v>28202.489472793342</v>
      </c>
      <c r="H297">
        <f t="shared" si="103"/>
        <v>859167.9235777111</v>
      </c>
      <c r="I297">
        <f t="shared" si="103"/>
        <v>1236571.2145904489</v>
      </c>
      <c r="N297" t="s">
        <v>212</v>
      </c>
      <c r="O297" s="105">
        <v>63149.209540115306</v>
      </c>
      <c r="P297" s="105">
        <v>5741.0234360752047</v>
      </c>
      <c r="Q297" s="105">
        <v>50692.543459653672</v>
      </c>
      <c r="R297" s="105">
        <v>40617.808510904513</v>
      </c>
      <c r="S297">
        <v>189000.2165931958</v>
      </c>
      <c r="T297">
        <v>28202.489472793342</v>
      </c>
      <c r="U297">
        <v>859167.9235777111</v>
      </c>
      <c r="V297">
        <f t="shared" si="104"/>
        <v>1236571.2145904489</v>
      </c>
    </row>
    <row r="298" spans="1:22" x14ac:dyDescent="0.2">
      <c r="A298" t="s">
        <v>36</v>
      </c>
      <c r="B298">
        <f t="shared" si="101"/>
        <v>87123.521201184834</v>
      </c>
      <c r="C298">
        <f t="shared" si="101"/>
        <v>10718.884262539596</v>
      </c>
      <c r="D298">
        <f t="shared" si="101"/>
        <v>73511.409858413666</v>
      </c>
      <c r="E298">
        <f t="shared" si="101"/>
        <v>56323.764888871156</v>
      </c>
      <c r="F298">
        <f t="shared" si="101"/>
        <v>308522.98058585514</v>
      </c>
      <c r="G298">
        <f t="shared" si="102"/>
        <v>57309.562852521754</v>
      </c>
      <c r="H298">
        <f t="shared" si="103"/>
        <v>1254678.7296158841</v>
      </c>
      <c r="I298">
        <f t="shared" si="103"/>
        <v>1848188.8532652701</v>
      </c>
      <c r="N298" t="s">
        <v>36</v>
      </c>
      <c r="O298" s="105">
        <v>87123.521201184834</v>
      </c>
      <c r="P298" s="105">
        <v>10718.884262539596</v>
      </c>
      <c r="Q298" s="105">
        <v>73511.409858413666</v>
      </c>
      <c r="R298" s="105">
        <v>56323.764888871156</v>
      </c>
      <c r="S298">
        <v>308522.98058585514</v>
      </c>
      <c r="T298">
        <v>57309.562852521754</v>
      </c>
      <c r="U298">
        <v>1254678.7296158841</v>
      </c>
      <c r="V298">
        <f t="shared" si="104"/>
        <v>1848188.8532652701</v>
      </c>
    </row>
    <row r="299" spans="1:22" x14ac:dyDescent="0.2">
      <c r="A299" t="s">
        <v>214</v>
      </c>
      <c r="B299">
        <f t="shared" si="101"/>
        <v>90659.553316619393</v>
      </c>
      <c r="C299">
        <f t="shared" si="101"/>
        <v>14158.103478306866</v>
      </c>
      <c r="D299">
        <f t="shared" si="101"/>
        <v>74819.705096206133</v>
      </c>
      <c r="E299">
        <f t="shared" si="101"/>
        <v>59739.943995202353</v>
      </c>
      <c r="F299">
        <f t="shared" si="101"/>
        <v>317083.79434274993</v>
      </c>
      <c r="G299">
        <f t="shared" si="102"/>
        <v>73861.402259343173</v>
      </c>
      <c r="H299">
        <f t="shared" si="103"/>
        <v>1397450.321097495</v>
      </c>
      <c r="I299">
        <f t="shared" si="103"/>
        <v>2027772.8235859228</v>
      </c>
      <c r="N299" t="s">
        <v>214</v>
      </c>
      <c r="O299" s="105">
        <v>90659.553316619393</v>
      </c>
      <c r="P299" s="105">
        <v>14158.103478306866</v>
      </c>
      <c r="Q299" s="105">
        <v>74819.705096206133</v>
      </c>
      <c r="R299" s="105">
        <v>59739.943995202353</v>
      </c>
      <c r="S299">
        <v>317083.79434274993</v>
      </c>
      <c r="T299">
        <v>73861.402259343173</v>
      </c>
      <c r="U299">
        <v>1397450.321097495</v>
      </c>
      <c r="V299">
        <f t="shared" si="104"/>
        <v>2027772.8235859228</v>
      </c>
    </row>
    <row r="300" spans="1:22" x14ac:dyDescent="0.2">
      <c r="A300" t="s">
        <v>129</v>
      </c>
      <c r="B300">
        <f t="shared" si="101"/>
        <v>44633.947654194679</v>
      </c>
      <c r="C300">
        <f t="shared" si="101"/>
        <v>5308.2735600020578</v>
      </c>
      <c r="D300">
        <f t="shared" si="101"/>
        <v>36662.778269940434</v>
      </c>
      <c r="E300">
        <f t="shared" si="101"/>
        <v>26703.914490747742</v>
      </c>
      <c r="F300">
        <f t="shared" si="101"/>
        <v>148610.47132013217</v>
      </c>
      <c r="G300">
        <f t="shared" si="102"/>
        <v>24854.523524904809</v>
      </c>
      <c r="H300">
        <f t="shared" si="103"/>
        <v>523782.56253278704</v>
      </c>
      <c r="I300">
        <f t="shared" si="103"/>
        <v>810556.47135270899</v>
      </c>
      <c r="N300" t="s">
        <v>129</v>
      </c>
      <c r="O300" s="105">
        <v>44633.947654194679</v>
      </c>
      <c r="P300" s="105">
        <v>5308.2735600020578</v>
      </c>
      <c r="Q300" s="105">
        <v>36662.778269940434</v>
      </c>
      <c r="R300" s="105">
        <v>26703.914490747742</v>
      </c>
      <c r="S300">
        <v>148610.47132013217</v>
      </c>
      <c r="T300">
        <v>24854.523524904809</v>
      </c>
      <c r="U300">
        <v>523782.56253278704</v>
      </c>
      <c r="V300">
        <f t="shared" si="104"/>
        <v>810556.47135270899</v>
      </c>
    </row>
    <row r="301" spans="1:22" x14ac:dyDescent="0.2">
      <c r="A301" t="s">
        <v>130</v>
      </c>
      <c r="B301">
        <f t="shared" si="101"/>
        <v>84636.266876862632</v>
      </c>
      <c r="C301">
        <f t="shared" si="101"/>
        <v>9077.6525035486029</v>
      </c>
      <c r="D301">
        <f t="shared" si="101"/>
        <v>71497.685669571365</v>
      </c>
      <c r="E301">
        <f t="shared" si="101"/>
        <v>55662.42837193366</v>
      </c>
      <c r="F301">
        <f t="shared" si="101"/>
        <v>300312.91605637572</v>
      </c>
      <c r="G301">
        <f t="shared" si="102"/>
        <v>47245.604872379117</v>
      </c>
      <c r="H301">
        <f t="shared" si="103"/>
        <v>1140898.042357729</v>
      </c>
      <c r="I301">
        <f t="shared" si="103"/>
        <v>1709330.5967084002</v>
      </c>
      <c r="N301" t="s">
        <v>130</v>
      </c>
      <c r="O301" s="105">
        <v>84636.266876862632</v>
      </c>
      <c r="P301" s="105">
        <v>9077.6525035486029</v>
      </c>
      <c r="Q301" s="105">
        <v>71497.685669571365</v>
      </c>
      <c r="R301" s="105">
        <v>55662.42837193366</v>
      </c>
      <c r="S301">
        <v>300312.91605637572</v>
      </c>
      <c r="T301">
        <v>47245.604872379117</v>
      </c>
      <c r="U301">
        <v>1140898.042357729</v>
      </c>
      <c r="V301">
        <f t="shared" si="104"/>
        <v>1709330.5967084002</v>
      </c>
    </row>
    <row r="302" spans="1:22" x14ac:dyDescent="0.2">
      <c r="A302" t="s">
        <v>145</v>
      </c>
      <c r="B302">
        <f t="shared" si="101"/>
        <v>295534.4760543633</v>
      </c>
      <c r="C302">
        <f t="shared" si="101"/>
        <v>45148.605365764102</v>
      </c>
      <c r="D302">
        <f t="shared" si="101"/>
        <v>248346.7594672711</v>
      </c>
      <c r="E302">
        <f t="shared" si="101"/>
        <v>175220.17687216209</v>
      </c>
      <c r="F302">
        <f t="shared" si="101"/>
        <v>963950.16844831128</v>
      </c>
      <c r="G302">
        <f t="shared" si="102"/>
        <v>215331.75117579536</v>
      </c>
      <c r="H302">
        <f t="shared" si="103"/>
        <v>3837037.5047056968</v>
      </c>
      <c r="I302">
        <f t="shared" si="103"/>
        <v>5780569.4420893639</v>
      </c>
      <c r="N302" t="s">
        <v>145</v>
      </c>
      <c r="O302" s="105">
        <v>295534.4760543633</v>
      </c>
      <c r="P302" s="105">
        <v>45148.605365764102</v>
      </c>
      <c r="Q302" s="105">
        <v>248346.7594672711</v>
      </c>
      <c r="R302" s="105">
        <v>175220.17687216209</v>
      </c>
      <c r="S302">
        <v>963950.16844831128</v>
      </c>
      <c r="T302">
        <v>215331.75117579536</v>
      </c>
      <c r="U302">
        <v>3837037.5047056968</v>
      </c>
      <c r="V302">
        <f t="shared" si="104"/>
        <v>5780569.4420893639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5">O306*$B$1</f>
        <v>1410222.3792541239</v>
      </c>
      <c r="N306" t="s">
        <v>21</v>
      </c>
      <c r="O306" s="105">
        <v>1410222.3792541239</v>
      </c>
    </row>
    <row r="307" spans="1:15" x14ac:dyDescent="0.2">
      <c r="A307" t="s">
        <v>22</v>
      </c>
      <c r="B307">
        <f t="shared" si="105"/>
        <v>330587.79410013492</v>
      </c>
      <c r="N307" t="s">
        <v>22</v>
      </c>
      <c r="O307" s="105">
        <v>330587.79410013492</v>
      </c>
    </row>
    <row r="308" spans="1:15" x14ac:dyDescent="0.2">
      <c r="A308" t="s">
        <v>148</v>
      </c>
      <c r="B308">
        <f t="shared" si="105"/>
        <v>393707.17935026012</v>
      </c>
      <c r="N308" t="s">
        <v>148</v>
      </c>
      <c r="O308" s="105">
        <v>393707.17935026012</v>
      </c>
    </row>
    <row r="309" spans="1:15" x14ac:dyDescent="0.2">
      <c r="A309" t="s">
        <v>243</v>
      </c>
      <c r="B309">
        <f t="shared" si="105"/>
        <v>573902.57800400315</v>
      </c>
      <c r="N309" t="s">
        <v>243</v>
      </c>
      <c r="O309" s="105">
        <v>573902.57800400315</v>
      </c>
    </row>
    <row r="310" spans="1:15" x14ac:dyDescent="0.2">
      <c r="A310" t="s">
        <v>23</v>
      </c>
      <c r="B310">
        <f t="shared" si="105"/>
        <v>175566.13317979188</v>
      </c>
      <c r="N310" t="s">
        <v>23</v>
      </c>
      <c r="O310" s="105">
        <v>175566.13317979188</v>
      </c>
    </row>
    <row r="311" spans="1:15" x14ac:dyDescent="0.2">
      <c r="A311" t="s">
        <v>24</v>
      </c>
      <c r="B311">
        <f t="shared" si="105"/>
        <v>119540.37697423306</v>
      </c>
      <c r="N311" t="s">
        <v>24</v>
      </c>
      <c r="O311" s="105">
        <v>119540.37697423306</v>
      </c>
    </row>
    <row r="312" spans="1:15" x14ac:dyDescent="0.2">
      <c r="A312" t="s">
        <v>25</v>
      </c>
      <c r="B312">
        <f t="shared" si="105"/>
        <v>503887.95581699541</v>
      </c>
      <c r="N312" t="s">
        <v>25</v>
      </c>
      <c r="O312" s="105">
        <v>503887.95581699541</v>
      </c>
    </row>
    <row r="313" spans="1:15" x14ac:dyDescent="0.2">
      <c r="A313" t="s">
        <v>26</v>
      </c>
      <c r="B313">
        <f t="shared" si="105"/>
        <v>235060.42178434858</v>
      </c>
      <c r="N313" t="s">
        <v>26</v>
      </c>
      <c r="O313" s="105">
        <v>235060.42178434858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229472.39050954158</v>
      </c>
      <c r="N317" t="s">
        <v>296</v>
      </c>
      <c r="O317" s="105">
        <v>229472.39050954158</v>
      </c>
    </row>
    <row r="318" spans="1:15" x14ac:dyDescent="0.2">
      <c r="A318" t="s">
        <v>297</v>
      </c>
      <c r="B318">
        <f>O318*$B$1</f>
        <v>870027.32078039099</v>
      </c>
      <c r="N318" t="s">
        <v>297</v>
      </c>
      <c r="O318" s="105">
        <v>870027.32078039099</v>
      </c>
    </row>
    <row r="319" spans="1:15" x14ac:dyDescent="0.2">
      <c r="A319" t="s">
        <v>298</v>
      </c>
      <c r="B319">
        <f>O319*$B$1</f>
        <v>650117.12699459423</v>
      </c>
      <c r="N319" t="s">
        <v>298</v>
      </c>
      <c r="O319" s="105">
        <v>650117.12699459423</v>
      </c>
    </row>
    <row r="320" spans="1:15" x14ac:dyDescent="0.2">
      <c r="A320" t="s">
        <v>299</v>
      </c>
      <c r="B320">
        <f>O320*$B$1</f>
        <v>1992857.9801793641</v>
      </c>
      <c r="N320" t="s">
        <v>299</v>
      </c>
      <c r="O320" s="105">
        <v>1992857.9801793641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166519.15446434621</v>
      </c>
      <c r="N324" t="s">
        <v>98</v>
      </c>
      <c r="O324" s="105">
        <v>166519.15446434621</v>
      </c>
    </row>
    <row r="325" spans="1:16" x14ac:dyDescent="0.2">
      <c r="A325" t="s">
        <v>281</v>
      </c>
      <c r="B325">
        <f>O325*$B$1</f>
        <v>1016199.0154796486</v>
      </c>
      <c r="N325" t="s">
        <v>281</v>
      </c>
      <c r="O325" s="105">
        <v>1016199.0154796486</v>
      </c>
    </row>
    <row r="326" spans="1:16" x14ac:dyDescent="0.2">
      <c r="A326" t="s">
        <v>282</v>
      </c>
      <c r="B326">
        <f>O326*$B$1</f>
        <v>1994914.1750800051</v>
      </c>
      <c r="N326" t="s">
        <v>282</v>
      </c>
      <c r="O326" s="105">
        <v>1994914.1750800051</v>
      </c>
    </row>
    <row r="327" spans="1:16" x14ac:dyDescent="0.2">
      <c r="A327" t="s">
        <v>283</v>
      </c>
      <c r="B327">
        <f>O327*$B$1</f>
        <v>564842.47343989101</v>
      </c>
      <c r="N327" t="s">
        <v>283</v>
      </c>
      <c r="O327" s="105">
        <v>564842.47343989101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10861</v>
      </c>
      <c r="B331">
        <f>O331*$B$1</f>
        <v>152941.5</v>
      </c>
      <c r="N331">
        <v>1</v>
      </c>
      <c r="O331" s="105">
        <v>152941.5</v>
      </c>
    </row>
    <row r="332" spans="1:16" x14ac:dyDescent="0.2">
      <c r="A332" t="s">
        <v>10862</v>
      </c>
      <c r="B332">
        <f>O332*$B$1</f>
        <v>9701</v>
      </c>
      <c r="N332">
        <v>2</v>
      </c>
      <c r="O332" s="105">
        <v>9701</v>
      </c>
    </row>
    <row r="333" spans="1:16" x14ac:dyDescent="0.2">
      <c r="A333" t="s">
        <v>10863</v>
      </c>
      <c r="B333">
        <f>O333*$B$1</f>
        <v>135841.5</v>
      </c>
      <c r="N333">
        <v>3</v>
      </c>
      <c r="O333" s="105">
        <v>135841.5</v>
      </c>
    </row>
    <row r="334" spans="1:16" x14ac:dyDescent="0.2">
      <c r="A334" t="s">
        <v>10864</v>
      </c>
      <c r="B334">
        <f>O334*$B$1</f>
        <v>108932</v>
      </c>
      <c r="N334">
        <v>4</v>
      </c>
      <c r="O334" s="105">
        <v>108932</v>
      </c>
    </row>
    <row r="335" spans="1:16" x14ac:dyDescent="0.2">
      <c r="A335" t="s">
        <v>1688</v>
      </c>
      <c r="B335">
        <f t="shared" ref="B335:B337" si="106">O335*$B$1</f>
        <v>623275.53186630248</v>
      </c>
      <c r="N335">
        <v>5</v>
      </c>
      <c r="O335">
        <v>623275.53186630248</v>
      </c>
    </row>
    <row r="336" spans="1:16" x14ac:dyDescent="0.2">
      <c r="A336" t="s">
        <v>10865</v>
      </c>
      <c r="B336">
        <f t="shared" si="106"/>
        <v>54870.858576608582</v>
      </c>
      <c r="N336">
        <v>6</v>
      </c>
      <c r="O336">
        <v>54870.858576608582</v>
      </c>
    </row>
    <row r="337" spans="1:15" x14ac:dyDescent="0.2">
      <c r="A337" t="s">
        <v>10866</v>
      </c>
      <c r="B337">
        <f t="shared" si="106"/>
        <v>2656912.4280209807</v>
      </c>
      <c r="O337">
        <v>2656912.4280209807</v>
      </c>
    </row>
  </sheetData>
  <phoneticPr fontId="5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133589.2432</v>
      </c>
      <c r="C4">
        <f t="shared" si="0"/>
        <v>52345.508900000001</v>
      </c>
      <c r="D4">
        <f t="shared" si="0"/>
        <v>98804.242599999998</v>
      </c>
      <c r="E4">
        <f t="shared" si="0"/>
        <v>138794.01149999999</v>
      </c>
      <c r="F4">
        <f t="shared" si="0"/>
        <v>14349.929399999999</v>
      </c>
      <c r="G4">
        <f t="shared" si="0"/>
        <v>10939.2585</v>
      </c>
      <c r="H4">
        <f t="shared" si="0"/>
        <v>73420.644700000004</v>
      </c>
      <c r="I4">
        <f t="shared" si="0"/>
        <v>75248.821500000005</v>
      </c>
      <c r="J4">
        <f t="shared" si="0"/>
        <v>597491.66029999999</v>
      </c>
      <c r="N4">
        <v>0</v>
      </c>
      <c r="O4">
        <v>133589.2432</v>
      </c>
      <c r="P4">
        <v>52345.508900000001</v>
      </c>
      <c r="Q4">
        <v>98804.242599999998</v>
      </c>
      <c r="R4">
        <v>138794.01149999999</v>
      </c>
      <c r="S4">
        <v>14349.929399999999</v>
      </c>
      <c r="T4">
        <v>10939.2585</v>
      </c>
      <c r="U4">
        <v>73420.644700000004</v>
      </c>
      <c r="V4">
        <v>75248.821500000005</v>
      </c>
      <c r="W4">
        <f>SUM(O4:V4)</f>
        <v>597491.66029999999</v>
      </c>
    </row>
    <row r="5" spans="1:23" x14ac:dyDescent="0.2">
      <c r="A5">
        <v>1</v>
      </c>
      <c r="B5">
        <f t="shared" si="0"/>
        <v>841078.6716</v>
      </c>
      <c r="C5">
        <f t="shared" si="0"/>
        <v>151297.4866</v>
      </c>
      <c r="D5">
        <f t="shared" si="0"/>
        <v>169643.10519999999</v>
      </c>
      <c r="E5">
        <f t="shared" si="0"/>
        <v>233293.49830000001</v>
      </c>
      <c r="F5">
        <f t="shared" si="0"/>
        <v>60544.9401</v>
      </c>
      <c r="G5">
        <f t="shared" si="0"/>
        <v>52315.058900000004</v>
      </c>
      <c r="H5">
        <f t="shared" si="0"/>
        <v>293269.97470000002</v>
      </c>
      <c r="I5">
        <f t="shared" si="0"/>
        <v>120674.7025</v>
      </c>
      <c r="J5">
        <f t="shared" si="0"/>
        <v>1922117.4379</v>
      </c>
      <c r="N5">
        <v>1</v>
      </c>
      <c r="O5">
        <v>841078.6716</v>
      </c>
      <c r="P5">
        <v>151297.4866</v>
      </c>
      <c r="Q5">
        <v>169643.10519999999</v>
      </c>
      <c r="R5">
        <v>233293.49830000001</v>
      </c>
      <c r="S5">
        <v>60544.9401</v>
      </c>
      <c r="T5">
        <v>52315.058900000004</v>
      </c>
      <c r="U5">
        <v>293269.97470000002</v>
      </c>
      <c r="V5">
        <v>120674.7025</v>
      </c>
      <c r="W5">
        <f>SUM(O5:V5)</f>
        <v>1922117.4379</v>
      </c>
    </row>
    <row r="6" spans="1:23" x14ac:dyDescent="0.2">
      <c r="A6">
        <v>2</v>
      </c>
      <c r="B6">
        <f t="shared" si="0"/>
        <v>344297.10820000002</v>
      </c>
      <c r="C6">
        <f t="shared" si="0"/>
        <v>88542.419299999994</v>
      </c>
      <c r="D6">
        <f t="shared" si="0"/>
        <v>87984.228799999997</v>
      </c>
      <c r="E6">
        <f t="shared" si="0"/>
        <v>133133.39629999999</v>
      </c>
      <c r="F6">
        <f t="shared" si="0"/>
        <v>25108.126700000001</v>
      </c>
      <c r="G6">
        <f t="shared" si="0"/>
        <v>12935.2233</v>
      </c>
      <c r="H6">
        <f t="shared" si="0"/>
        <v>128967.9434</v>
      </c>
      <c r="I6">
        <f t="shared" si="0"/>
        <v>60024.7399</v>
      </c>
      <c r="J6">
        <f t="shared" si="0"/>
        <v>880993.18590000004</v>
      </c>
      <c r="N6">
        <v>2</v>
      </c>
      <c r="O6">
        <v>344297.10820000002</v>
      </c>
      <c r="P6">
        <v>88542.419299999994</v>
      </c>
      <c r="Q6">
        <v>87984.228799999997</v>
      </c>
      <c r="R6">
        <v>133133.39629999999</v>
      </c>
      <c r="S6">
        <v>25108.126700000001</v>
      </c>
      <c r="T6">
        <v>12935.2233</v>
      </c>
      <c r="U6">
        <v>128967.9434</v>
      </c>
      <c r="V6">
        <v>60024.7399</v>
      </c>
      <c r="W6">
        <f>SUM(O6:V6)</f>
        <v>880993.18590000004</v>
      </c>
    </row>
    <row r="7" spans="1:23" x14ac:dyDescent="0.2">
      <c r="A7">
        <v>3</v>
      </c>
      <c r="B7">
        <f t="shared" si="0"/>
        <v>93624.719400000002</v>
      </c>
      <c r="C7">
        <f t="shared" si="0"/>
        <v>48770.2673</v>
      </c>
      <c r="D7">
        <f t="shared" si="0"/>
        <v>28660.4018</v>
      </c>
      <c r="E7">
        <f t="shared" si="0"/>
        <v>87067.762300000002</v>
      </c>
      <c r="F7">
        <f t="shared" si="0"/>
        <v>11475.939399999999</v>
      </c>
      <c r="G7">
        <f t="shared" si="0"/>
        <v>2310.0034999999998</v>
      </c>
      <c r="H7">
        <f t="shared" si="0"/>
        <v>20257.363099999999</v>
      </c>
      <c r="I7">
        <f t="shared" si="0"/>
        <v>15749.225700000001</v>
      </c>
      <c r="J7">
        <f t="shared" si="0"/>
        <v>307915.6825</v>
      </c>
      <c r="N7">
        <v>3</v>
      </c>
      <c r="O7">
        <v>93624.719400000002</v>
      </c>
      <c r="P7">
        <v>48770.2673</v>
      </c>
      <c r="Q7">
        <v>28660.4018</v>
      </c>
      <c r="R7">
        <v>87067.762300000002</v>
      </c>
      <c r="S7">
        <v>11475.939399999999</v>
      </c>
      <c r="T7">
        <v>2310.0034999999998</v>
      </c>
      <c r="U7">
        <v>20257.363099999999</v>
      </c>
      <c r="V7">
        <v>15749.225700000001</v>
      </c>
      <c r="W7">
        <f>SUM(O7:V7)</f>
        <v>307915.6825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J23" si="1">O11*$B$1</f>
        <v>133589.2432</v>
      </c>
      <c r="C11">
        <f t="shared" si="1"/>
        <v>52345.508900000001</v>
      </c>
      <c r="D11">
        <f t="shared" si="1"/>
        <v>98804.242599999998</v>
      </c>
      <c r="E11">
        <f t="shared" si="1"/>
        <v>138794.01149999999</v>
      </c>
      <c r="F11">
        <f t="shared" si="1"/>
        <v>14349.929399999999</v>
      </c>
      <c r="G11">
        <f t="shared" si="1"/>
        <v>10939.2585</v>
      </c>
      <c r="H11">
        <f t="shared" si="1"/>
        <v>73420.644700000004</v>
      </c>
      <c r="I11">
        <f t="shared" si="1"/>
        <v>75248.821500000005</v>
      </c>
      <c r="J11">
        <f t="shared" si="1"/>
        <v>597491.66029999999</v>
      </c>
      <c r="N11" t="s">
        <v>226</v>
      </c>
      <c r="O11">
        <v>133589.2432</v>
      </c>
      <c r="P11">
        <v>52345.508900000001</v>
      </c>
      <c r="Q11">
        <v>98804.242599999998</v>
      </c>
      <c r="R11">
        <v>138794.01149999999</v>
      </c>
      <c r="S11">
        <v>14349.929399999999</v>
      </c>
      <c r="T11">
        <v>10939.2585</v>
      </c>
      <c r="U11">
        <v>73420.644700000004</v>
      </c>
      <c r="V11">
        <v>75248.821500000005</v>
      </c>
      <c r="W11">
        <f>SUM(O11:V11)</f>
        <v>597491.66029999999</v>
      </c>
    </row>
    <row r="12" spans="1:23" x14ac:dyDescent="0.2">
      <c r="A12" s="95" t="s">
        <v>231</v>
      </c>
      <c r="B12">
        <f t="shared" si="1"/>
        <v>377747.32630000002</v>
      </c>
      <c r="C12">
        <f t="shared" si="1"/>
        <v>58587.577599999997</v>
      </c>
      <c r="D12">
        <f t="shared" si="1"/>
        <v>66169.390400000004</v>
      </c>
      <c r="E12">
        <f t="shared" si="1"/>
        <v>114436.3297</v>
      </c>
      <c r="F12">
        <f t="shared" si="1"/>
        <v>21088.5406</v>
      </c>
      <c r="G12">
        <f t="shared" si="1"/>
        <v>42364.337099999997</v>
      </c>
      <c r="H12">
        <f t="shared" si="1"/>
        <v>198849.9216</v>
      </c>
      <c r="I12">
        <f t="shared" si="1"/>
        <v>69193.017699999997</v>
      </c>
      <c r="J12">
        <f t="shared" si="1"/>
        <v>948436.44099999999</v>
      </c>
      <c r="N12" s="95" t="s">
        <v>231</v>
      </c>
      <c r="O12">
        <v>377747.32630000002</v>
      </c>
      <c r="P12">
        <v>58587.577599999997</v>
      </c>
      <c r="Q12">
        <v>66169.390400000004</v>
      </c>
      <c r="R12">
        <v>114436.3297</v>
      </c>
      <c r="S12">
        <v>21088.5406</v>
      </c>
      <c r="T12">
        <v>42364.337099999997</v>
      </c>
      <c r="U12">
        <v>198849.9216</v>
      </c>
      <c r="V12">
        <v>69193.017699999997</v>
      </c>
      <c r="W12">
        <f t="shared" ref="W12:W23" si="2">SUM(O12:V12)</f>
        <v>948436.44099999999</v>
      </c>
    </row>
    <row r="13" spans="1:23" x14ac:dyDescent="0.2">
      <c r="A13" s="93" t="s">
        <v>232</v>
      </c>
      <c r="B13">
        <f t="shared" si="1"/>
        <v>200024.98610000001</v>
      </c>
      <c r="C13">
        <f t="shared" si="1"/>
        <v>41779.876799999998</v>
      </c>
      <c r="D13">
        <f t="shared" si="1"/>
        <v>35920.774700000002</v>
      </c>
      <c r="E13">
        <f t="shared" si="1"/>
        <v>60051.396500000003</v>
      </c>
      <c r="F13">
        <f t="shared" si="1"/>
        <v>15567.2601</v>
      </c>
      <c r="G13">
        <f t="shared" si="1"/>
        <v>6553.0110999999997</v>
      </c>
      <c r="H13">
        <f t="shared" si="1"/>
        <v>40574.814700000003</v>
      </c>
      <c r="I13">
        <f t="shared" si="1"/>
        <v>28176.842100000002</v>
      </c>
      <c r="J13">
        <f t="shared" si="1"/>
        <v>428648.96210000006</v>
      </c>
      <c r="N13" s="93" t="s">
        <v>232</v>
      </c>
      <c r="O13">
        <v>200024.98610000001</v>
      </c>
      <c r="P13">
        <v>41779.876799999998</v>
      </c>
      <c r="Q13">
        <v>35920.774700000002</v>
      </c>
      <c r="R13">
        <v>60051.396500000003</v>
      </c>
      <c r="S13">
        <v>15567.2601</v>
      </c>
      <c r="T13">
        <v>6553.0110999999997</v>
      </c>
      <c r="U13">
        <v>40574.814700000003</v>
      </c>
      <c r="V13">
        <v>28176.842100000002</v>
      </c>
      <c r="W13">
        <f t="shared" si="2"/>
        <v>428648.96210000006</v>
      </c>
    </row>
    <row r="14" spans="1:23" x14ac:dyDescent="0.2">
      <c r="A14" s="93" t="s">
        <v>207</v>
      </c>
      <c r="B14">
        <f t="shared" si="1"/>
        <v>142675.4374</v>
      </c>
      <c r="C14">
        <f t="shared" si="1"/>
        <v>25557.249100000001</v>
      </c>
      <c r="D14">
        <f t="shared" si="1"/>
        <v>32191.101699999999</v>
      </c>
      <c r="E14">
        <f t="shared" si="1"/>
        <v>27161.731800000001</v>
      </c>
      <c r="F14">
        <f t="shared" si="1"/>
        <v>11732.017400000001</v>
      </c>
      <c r="G14">
        <f t="shared" si="1"/>
        <v>1867.7065</v>
      </c>
      <c r="H14">
        <f t="shared" si="1"/>
        <v>37721.159599999999</v>
      </c>
      <c r="I14">
        <f t="shared" si="1"/>
        <v>12199.2299</v>
      </c>
      <c r="J14">
        <f t="shared" si="1"/>
        <v>291105.63339999999</v>
      </c>
      <c r="N14" s="93" t="s">
        <v>207</v>
      </c>
      <c r="O14">
        <v>142675.4374</v>
      </c>
      <c r="P14">
        <v>25557.249100000001</v>
      </c>
      <c r="Q14">
        <v>32191.101699999999</v>
      </c>
      <c r="R14">
        <v>27161.731800000001</v>
      </c>
      <c r="S14">
        <v>11732.017400000001</v>
      </c>
      <c r="T14">
        <v>1867.7065</v>
      </c>
      <c r="U14">
        <v>37721.159599999999</v>
      </c>
      <c r="V14">
        <v>12199.2299</v>
      </c>
      <c r="W14">
        <f t="shared" si="2"/>
        <v>291105.63339999999</v>
      </c>
    </row>
    <row r="15" spans="1:23" x14ac:dyDescent="0.2">
      <c r="A15" t="s">
        <v>9</v>
      </c>
      <c r="B15">
        <f t="shared" si="1"/>
        <v>120630.9218</v>
      </c>
      <c r="C15">
        <f t="shared" si="1"/>
        <v>25372.783100000001</v>
      </c>
      <c r="D15">
        <f t="shared" si="1"/>
        <v>35361.838400000001</v>
      </c>
      <c r="E15">
        <f t="shared" si="1"/>
        <v>31644.040300000001</v>
      </c>
      <c r="F15">
        <f t="shared" si="1"/>
        <v>12157.121999999999</v>
      </c>
      <c r="G15">
        <f t="shared" si="1"/>
        <v>1530.0042000000001</v>
      </c>
      <c r="H15">
        <f t="shared" si="1"/>
        <v>16124.078800000001</v>
      </c>
      <c r="I15">
        <f t="shared" si="1"/>
        <v>11105.612800000001</v>
      </c>
      <c r="J15">
        <f t="shared" si="1"/>
        <v>253926.4014</v>
      </c>
      <c r="N15" t="s">
        <v>9</v>
      </c>
      <c r="O15">
        <v>120630.9218</v>
      </c>
      <c r="P15">
        <v>25372.783100000001</v>
      </c>
      <c r="Q15">
        <v>35361.838400000001</v>
      </c>
      <c r="R15">
        <v>31644.040300000001</v>
      </c>
      <c r="S15">
        <v>12157.121999999999</v>
      </c>
      <c r="T15">
        <v>1530.0042000000001</v>
      </c>
      <c r="U15">
        <v>16124.078800000001</v>
      </c>
      <c r="V15">
        <v>11105.612800000001</v>
      </c>
      <c r="W15">
        <f t="shared" si="2"/>
        <v>253926.4014</v>
      </c>
    </row>
    <row r="16" spans="1:23" x14ac:dyDescent="0.2">
      <c r="A16" s="95" t="s">
        <v>233</v>
      </c>
      <c r="B16">
        <f t="shared" si="1"/>
        <v>128582.4902</v>
      </c>
      <c r="C16">
        <f t="shared" si="1"/>
        <v>31988.435600000001</v>
      </c>
      <c r="D16">
        <f t="shared" si="1"/>
        <v>33327.541499999999</v>
      </c>
      <c r="E16">
        <f t="shared" si="1"/>
        <v>44108.813199999997</v>
      </c>
      <c r="F16">
        <f t="shared" si="1"/>
        <v>7189.4974000000002</v>
      </c>
      <c r="G16">
        <f t="shared" si="1"/>
        <v>6343.6036000000004</v>
      </c>
      <c r="H16">
        <f t="shared" si="1"/>
        <v>71646.120899999994</v>
      </c>
      <c r="I16">
        <f t="shared" si="1"/>
        <v>20279.749499999998</v>
      </c>
      <c r="J16">
        <f t="shared" si="1"/>
        <v>343466.25189999997</v>
      </c>
      <c r="N16" s="95" t="s">
        <v>233</v>
      </c>
      <c r="O16">
        <v>128582.4902</v>
      </c>
      <c r="P16">
        <v>31988.435600000001</v>
      </c>
      <c r="Q16">
        <v>33327.541499999999</v>
      </c>
      <c r="R16">
        <v>44108.813199999997</v>
      </c>
      <c r="S16">
        <v>7189.4974000000002</v>
      </c>
      <c r="T16">
        <v>6343.6036000000004</v>
      </c>
      <c r="U16">
        <v>71646.120899999994</v>
      </c>
      <c r="V16">
        <v>20279.749499999998</v>
      </c>
      <c r="W16">
        <f t="shared" si="2"/>
        <v>343466.25189999997</v>
      </c>
    </row>
    <row r="17" spans="1:23" x14ac:dyDescent="0.2">
      <c r="A17" s="93" t="s">
        <v>234</v>
      </c>
      <c r="B17">
        <f t="shared" si="1"/>
        <v>83277.632100000003</v>
      </c>
      <c r="C17">
        <f t="shared" si="1"/>
        <v>20990.624</v>
      </c>
      <c r="D17">
        <f t="shared" si="1"/>
        <v>18624.7988</v>
      </c>
      <c r="E17">
        <f t="shared" si="1"/>
        <v>31855.793700000002</v>
      </c>
      <c r="F17">
        <f t="shared" si="1"/>
        <v>7361.0712000000003</v>
      </c>
      <c r="G17">
        <f t="shared" si="1"/>
        <v>3671.1267000000003</v>
      </c>
      <c r="H17">
        <f t="shared" si="1"/>
        <v>33107.998200000002</v>
      </c>
      <c r="I17">
        <f t="shared" si="1"/>
        <v>16527.154900000001</v>
      </c>
      <c r="J17">
        <f t="shared" si="1"/>
        <v>215416.19959999999</v>
      </c>
      <c r="N17" s="93" t="s">
        <v>234</v>
      </c>
      <c r="O17">
        <v>83277.632100000003</v>
      </c>
      <c r="P17">
        <v>20990.624</v>
      </c>
      <c r="Q17">
        <v>18624.7988</v>
      </c>
      <c r="R17">
        <v>31855.793700000002</v>
      </c>
      <c r="S17">
        <v>7361.0712000000003</v>
      </c>
      <c r="T17">
        <v>3671.1267000000003</v>
      </c>
      <c r="U17">
        <v>33107.998200000002</v>
      </c>
      <c r="V17">
        <v>16527.154900000001</v>
      </c>
      <c r="W17">
        <f t="shared" si="2"/>
        <v>215416.19959999999</v>
      </c>
    </row>
    <row r="18" spans="1:23" x14ac:dyDescent="0.2">
      <c r="A18" s="93" t="s">
        <v>208</v>
      </c>
      <c r="B18">
        <f t="shared" si="1"/>
        <v>63249.097000000002</v>
      </c>
      <c r="C18">
        <f t="shared" si="1"/>
        <v>15951.5651</v>
      </c>
      <c r="D18">
        <f t="shared" si="1"/>
        <v>15731.315000000001</v>
      </c>
      <c r="E18">
        <f t="shared" si="1"/>
        <v>21410.5121</v>
      </c>
      <c r="F18">
        <f t="shared" si="1"/>
        <v>4448.7123000000001</v>
      </c>
      <c r="G18">
        <f t="shared" si="1"/>
        <v>716.88099999999997</v>
      </c>
      <c r="H18">
        <f t="shared" si="1"/>
        <v>16365.447399999999</v>
      </c>
      <c r="I18">
        <f t="shared" si="1"/>
        <v>9447.9115000000002</v>
      </c>
      <c r="J18">
        <f t="shared" si="1"/>
        <v>147321.44139999998</v>
      </c>
      <c r="N18" s="93" t="s">
        <v>208</v>
      </c>
      <c r="O18">
        <v>63249.097000000002</v>
      </c>
      <c r="P18">
        <v>15951.5651</v>
      </c>
      <c r="Q18">
        <v>15731.315000000001</v>
      </c>
      <c r="R18">
        <v>21410.5121</v>
      </c>
      <c r="S18">
        <v>4448.7123000000001</v>
      </c>
      <c r="T18">
        <v>716.88099999999997</v>
      </c>
      <c r="U18">
        <v>16365.447399999999</v>
      </c>
      <c r="V18">
        <v>9447.9115000000002</v>
      </c>
      <c r="W18">
        <f t="shared" si="2"/>
        <v>147321.44139999998</v>
      </c>
    </row>
    <row r="19" spans="1:23" x14ac:dyDescent="0.2">
      <c r="A19" t="s">
        <v>10</v>
      </c>
      <c r="B19">
        <f t="shared" si="1"/>
        <v>69187.888900000005</v>
      </c>
      <c r="C19">
        <f t="shared" si="1"/>
        <v>19611.794600000001</v>
      </c>
      <c r="D19">
        <f t="shared" si="1"/>
        <v>20300.573499999999</v>
      </c>
      <c r="E19">
        <f t="shared" si="1"/>
        <v>35758.277300000002</v>
      </c>
      <c r="F19">
        <f t="shared" si="1"/>
        <v>6108.8458000000001</v>
      </c>
      <c r="G19">
        <f t="shared" si="1"/>
        <v>2203.6120000000001</v>
      </c>
      <c r="H19">
        <f t="shared" si="1"/>
        <v>7848.3769000000002</v>
      </c>
      <c r="I19">
        <f t="shared" si="1"/>
        <v>13769.924000000001</v>
      </c>
      <c r="J19">
        <f t="shared" si="1"/>
        <v>174789.29300000001</v>
      </c>
      <c r="N19" t="s">
        <v>10</v>
      </c>
      <c r="O19">
        <v>69187.888900000005</v>
      </c>
      <c r="P19">
        <v>19611.794600000001</v>
      </c>
      <c r="Q19">
        <v>20300.573499999999</v>
      </c>
      <c r="R19">
        <v>35758.277300000002</v>
      </c>
      <c r="S19">
        <v>6108.8458000000001</v>
      </c>
      <c r="T19">
        <v>2203.6120000000001</v>
      </c>
      <c r="U19">
        <v>7848.3769000000002</v>
      </c>
      <c r="V19">
        <v>13769.924000000001</v>
      </c>
      <c r="W19">
        <f t="shared" si="2"/>
        <v>174789.29300000001</v>
      </c>
    </row>
    <row r="20" spans="1:23" x14ac:dyDescent="0.2">
      <c r="A20" s="95" t="s">
        <v>227</v>
      </c>
      <c r="B20">
        <f t="shared" si="1"/>
        <v>30193.672299999998</v>
      </c>
      <c r="C20">
        <f t="shared" si="1"/>
        <v>13044.925800000001</v>
      </c>
      <c r="D20">
        <f t="shared" si="1"/>
        <v>10862.3963</v>
      </c>
      <c r="E20">
        <f t="shared" si="1"/>
        <v>31364.203399999999</v>
      </c>
      <c r="F20">
        <f t="shared" si="1"/>
        <v>2919.1940999999997</v>
      </c>
      <c r="G20">
        <f t="shared" si="1"/>
        <v>1276.2311</v>
      </c>
      <c r="H20">
        <f t="shared" si="1"/>
        <v>8200.3914000000004</v>
      </c>
      <c r="I20">
        <f t="shared" si="1"/>
        <v>3920.2066</v>
      </c>
      <c r="J20">
        <f t="shared" si="1"/>
        <v>101781.22099999999</v>
      </c>
      <c r="N20" s="95" t="s">
        <v>227</v>
      </c>
      <c r="O20">
        <v>30193.672299999998</v>
      </c>
      <c r="P20">
        <v>13044.925800000001</v>
      </c>
      <c r="Q20">
        <v>10862.3963</v>
      </c>
      <c r="R20">
        <v>31364.203399999999</v>
      </c>
      <c r="S20">
        <v>2919.1940999999997</v>
      </c>
      <c r="T20">
        <v>1276.2311</v>
      </c>
      <c r="U20">
        <v>8200.3914000000004</v>
      </c>
      <c r="V20">
        <v>3920.2066</v>
      </c>
      <c r="W20">
        <f t="shared" si="2"/>
        <v>101781.22099999999</v>
      </c>
    </row>
    <row r="21" spans="1:23" x14ac:dyDescent="0.2">
      <c r="A21" s="93" t="s">
        <v>230</v>
      </c>
      <c r="B21">
        <f t="shared" si="1"/>
        <v>26638.0461</v>
      </c>
      <c r="C21">
        <f t="shared" si="1"/>
        <v>13930.504300000001</v>
      </c>
      <c r="D21">
        <f t="shared" si="1"/>
        <v>6443.3931999999995</v>
      </c>
      <c r="E21">
        <f t="shared" si="1"/>
        <v>18856.1813</v>
      </c>
      <c r="F21">
        <f t="shared" si="1"/>
        <v>2026.6964</v>
      </c>
      <c r="G21">
        <f t="shared" si="1"/>
        <v>624.63400000000001</v>
      </c>
      <c r="H21">
        <f t="shared" si="1"/>
        <v>7619.9182000000001</v>
      </c>
      <c r="I21">
        <f t="shared" si="1"/>
        <v>2962.8834000000002</v>
      </c>
      <c r="J21">
        <f t="shared" si="1"/>
        <v>79102.256900000008</v>
      </c>
      <c r="N21" s="93" t="s">
        <v>230</v>
      </c>
      <c r="O21">
        <v>26638.0461</v>
      </c>
      <c r="P21">
        <v>13930.504300000001</v>
      </c>
      <c r="Q21">
        <v>6443.3931999999995</v>
      </c>
      <c r="R21">
        <v>18856.1813</v>
      </c>
      <c r="S21">
        <v>2026.6964</v>
      </c>
      <c r="T21">
        <v>624.63400000000001</v>
      </c>
      <c r="U21">
        <v>7619.9182000000001</v>
      </c>
      <c r="V21">
        <v>2962.8834000000002</v>
      </c>
      <c r="W21">
        <f t="shared" si="2"/>
        <v>79102.256900000008</v>
      </c>
    </row>
    <row r="22" spans="1:23" x14ac:dyDescent="0.2">
      <c r="A22" s="93" t="s">
        <v>11</v>
      </c>
      <c r="B22">
        <f t="shared" si="1"/>
        <v>11933.115600000001</v>
      </c>
      <c r="C22">
        <f t="shared" si="1"/>
        <v>6204.84</v>
      </c>
      <c r="D22">
        <f t="shared" si="1"/>
        <v>4497.2606999999998</v>
      </c>
      <c r="E22">
        <f t="shared" si="1"/>
        <v>10571.4203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4361.8217999999997</v>
      </c>
      <c r="J22">
        <f t="shared" si="1"/>
        <v>42122.259700000002</v>
      </c>
      <c r="N22" s="93" t="s">
        <v>11</v>
      </c>
      <c r="O22">
        <v>11933.115600000001</v>
      </c>
      <c r="P22">
        <v>6204.84</v>
      </c>
      <c r="Q22">
        <v>4497.2606999999998</v>
      </c>
      <c r="R22">
        <v>10571.4203</v>
      </c>
      <c r="S22">
        <v>2807.8681000000001</v>
      </c>
      <c r="T22">
        <v>409.13839999999999</v>
      </c>
      <c r="U22">
        <v>1336.7948000000001</v>
      </c>
      <c r="V22">
        <v>4361.8217999999997</v>
      </c>
      <c r="W22">
        <f t="shared" si="2"/>
        <v>42122.259700000002</v>
      </c>
    </row>
    <row r="23" spans="1:23" x14ac:dyDescent="0.2">
      <c r="A23" t="s">
        <v>206</v>
      </c>
      <c r="B23">
        <f t="shared" si="1"/>
        <v>24859.885399999999</v>
      </c>
      <c r="C23">
        <f t="shared" si="1"/>
        <v>15589.9972</v>
      </c>
      <c r="D23">
        <f t="shared" si="1"/>
        <v>6857.3516</v>
      </c>
      <c r="E23">
        <f t="shared" si="1"/>
        <v>26275.957299999998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84909.944900000002</v>
      </c>
      <c r="N23" t="s">
        <v>206</v>
      </c>
      <c r="O23">
        <v>24859.885399999999</v>
      </c>
      <c r="P23">
        <v>15589.9972</v>
      </c>
      <c r="Q23">
        <v>6857.3516</v>
      </c>
      <c r="R23">
        <v>26275.957299999998</v>
      </c>
      <c r="S23">
        <v>3722.1808000000001</v>
      </c>
      <c r="T23">
        <v>0</v>
      </c>
      <c r="U23">
        <v>3100.2586999999999</v>
      </c>
      <c r="V23">
        <v>4504.3139000000001</v>
      </c>
      <c r="W23">
        <f t="shared" si="2"/>
        <v>84909.944900000002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J32" si="3">O29*$B$1</f>
        <v>309978.09000000003</v>
      </c>
      <c r="C29">
        <f t="shared" si="3"/>
        <v>192987.40669999999</v>
      </c>
      <c r="D29">
        <f t="shared" si="3"/>
        <v>371501.76870000002</v>
      </c>
      <c r="E29">
        <f t="shared" si="3"/>
        <v>567106.41650000005</v>
      </c>
      <c r="F29">
        <f t="shared" si="3"/>
        <v>58277.5726</v>
      </c>
      <c r="G29">
        <f t="shared" si="3"/>
        <v>75735.547900000005</v>
      </c>
      <c r="H29">
        <f t="shared" si="3"/>
        <v>514385.86489999999</v>
      </c>
      <c r="I29">
        <f t="shared" si="3"/>
        <v>271129.36839999998</v>
      </c>
      <c r="J29">
        <f t="shared" si="3"/>
        <v>2361102.0357000004</v>
      </c>
      <c r="N29" t="s">
        <v>226</v>
      </c>
      <c r="O29">
        <v>309978.09000000003</v>
      </c>
      <c r="P29">
        <v>192987.40669999999</v>
      </c>
      <c r="Q29">
        <v>371501.76870000002</v>
      </c>
      <c r="R29">
        <v>567106.41650000005</v>
      </c>
      <c r="S29">
        <v>58277.5726</v>
      </c>
      <c r="T29">
        <v>75735.547900000005</v>
      </c>
      <c r="U29">
        <v>514385.86489999999</v>
      </c>
      <c r="V29">
        <v>271129.36839999998</v>
      </c>
      <c r="W29">
        <f>SUM(O29:V29)</f>
        <v>2361102.0357000004</v>
      </c>
    </row>
    <row r="30" spans="1:23" x14ac:dyDescent="0.2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10609.2641</v>
      </c>
      <c r="G30">
        <f t="shared" si="3"/>
        <v>1120.2595999999999</v>
      </c>
      <c r="H30">
        <f t="shared" si="3"/>
        <v>309.71820000000002</v>
      </c>
      <c r="I30">
        <f t="shared" si="3"/>
        <v>191.50479999999999</v>
      </c>
      <c r="J30">
        <f t="shared" si="3"/>
        <v>12230.7467</v>
      </c>
      <c r="N30" t="s">
        <v>235</v>
      </c>
      <c r="O30">
        <v>0</v>
      </c>
      <c r="P30">
        <v>0</v>
      </c>
      <c r="Q30">
        <v>0</v>
      </c>
      <c r="R30">
        <v>0</v>
      </c>
      <c r="S30">
        <v>10609.2641</v>
      </c>
      <c r="T30">
        <v>1120.2595999999999</v>
      </c>
      <c r="U30">
        <v>309.71820000000002</v>
      </c>
      <c r="V30">
        <v>191.50479999999999</v>
      </c>
      <c r="W30">
        <f>SUM(O30:V30)</f>
        <v>12230.7467</v>
      </c>
    </row>
    <row r="31" spans="1:23" x14ac:dyDescent="0.2">
      <c r="A31" t="s">
        <v>236</v>
      </c>
      <c r="B31">
        <f t="shared" si="3"/>
        <v>938366.50230000005</v>
      </c>
      <c r="C31">
        <f t="shared" si="3"/>
        <v>130109.1422</v>
      </c>
      <c r="D31">
        <f t="shared" si="3"/>
        <v>11032.9881</v>
      </c>
      <c r="E31">
        <f t="shared" si="3"/>
        <v>18927.109400000001</v>
      </c>
      <c r="F31">
        <f t="shared" si="3"/>
        <v>33301.330500000004</v>
      </c>
      <c r="G31">
        <f t="shared" si="3"/>
        <v>1643.7366999999999</v>
      </c>
      <c r="H31">
        <f t="shared" si="3"/>
        <v>1220.3427999999999</v>
      </c>
      <c r="I31">
        <f t="shared" si="3"/>
        <v>376.6164</v>
      </c>
      <c r="J31">
        <f t="shared" si="3"/>
        <v>1134977.7683999997</v>
      </c>
      <c r="N31" t="s">
        <v>236</v>
      </c>
      <c r="O31">
        <v>938366.50230000005</v>
      </c>
      <c r="P31">
        <v>130109.1422</v>
      </c>
      <c r="Q31">
        <v>11032.9881</v>
      </c>
      <c r="R31">
        <v>18927.109400000001</v>
      </c>
      <c r="S31">
        <v>33301.330500000004</v>
      </c>
      <c r="T31">
        <v>1643.7366999999999</v>
      </c>
      <c r="U31">
        <v>1220.3427999999999</v>
      </c>
      <c r="V31">
        <v>376.6164</v>
      </c>
      <c r="W31">
        <f>SUM(O31:V31)</f>
        <v>1134977.7683999997</v>
      </c>
    </row>
    <row r="32" spans="1:23" x14ac:dyDescent="0.2">
      <c r="A32" t="s">
        <v>173</v>
      </c>
      <c r="B32">
        <f t="shared" si="3"/>
        <v>164245.1501</v>
      </c>
      <c r="C32">
        <f t="shared" si="3"/>
        <v>17859.1332</v>
      </c>
      <c r="D32">
        <f t="shared" si="3"/>
        <v>2557.2215999999999</v>
      </c>
      <c r="E32">
        <f t="shared" si="3"/>
        <v>6255.1424999999999</v>
      </c>
      <c r="F32">
        <f t="shared" si="3"/>
        <v>9290.768399999999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200207.41579999999</v>
      </c>
      <c r="N32" t="s">
        <v>173</v>
      </c>
      <c r="O32">
        <v>164245.1501</v>
      </c>
      <c r="P32">
        <v>17859.1332</v>
      </c>
      <c r="Q32">
        <v>2557.2215999999999</v>
      </c>
      <c r="R32">
        <v>6255.1424999999999</v>
      </c>
      <c r="S32">
        <v>9290.768399999999</v>
      </c>
      <c r="T32">
        <v>0</v>
      </c>
      <c r="U32">
        <v>0</v>
      </c>
      <c r="V32">
        <v>0</v>
      </c>
      <c r="W32">
        <f>SUM(O32:V32)</f>
        <v>200207.41579999999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J39" si="4">O36*$B$1</f>
        <v>1402310.6379</v>
      </c>
      <c r="C36">
        <f t="shared" si="4"/>
        <v>311406.7513</v>
      </c>
      <c r="D36">
        <f t="shared" si="4"/>
        <v>383947.18560000003</v>
      </c>
      <c r="E36">
        <f t="shared" si="4"/>
        <v>546066.64709999994</v>
      </c>
      <c r="F36">
        <f t="shared" si="4"/>
        <v>74268.934800000003</v>
      </c>
      <c r="G36">
        <f t="shared" si="4"/>
        <v>18109.356500000002</v>
      </c>
      <c r="H36">
        <f t="shared" si="4"/>
        <v>128576.4286</v>
      </c>
      <c r="I36">
        <f t="shared" si="4"/>
        <v>221739.19380000001</v>
      </c>
      <c r="J36">
        <f t="shared" si="4"/>
        <v>3086425.1356000006</v>
      </c>
      <c r="N36" t="s">
        <v>226</v>
      </c>
      <c r="O36">
        <v>1402310.6379</v>
      </c>
      <c r="P36">
        <v>311406.7513</v>
      </c>
      <c r="Q36">
        <v>383947.18560000003</v>
      </c>
      <c r="R36">
        <v>546066.64709999994</v>
      </c>
      <c r="S36">
        <v>74268.934800000003</v>
      </c>
      <c r="T36">
        <v>18109.356500000002</v>
      </c>
      <c r="U36">
        <v>128576.4286</v>
      </c>
      <c r="V36">
        <v>221739.19380000001</v>
      </c>
      <c r="W36">
        <f>SUM(O36:V36)</f>
        <v>3086425.1356000006</v>
      </c>
    </row>
    <row r="37" spans="1:23" x14ac:dyDescent="0.2">
      <c r="A37" t="s">
        <v>235</v>
      </c>
      <c r="B37">
        <f t="shared" si="4"/>
        <v>4389.9489000000003</v>
      </c>
      <c r="C37">
        <f t="shared" si="4"/>
        <v>1908.1568</v>
      </c>
      <c r="D37">
        <f t="shared" si="4"/>
        <v>0</v>
      </c>
      <c r="E37">
        <f t="shared" si="4"/>
        <v>909.55520000000001</v>
      </c>
      <c r="F37">
        <f t="shared" si="4"/>
        <v>1240.1602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8447.8210999999992</v>
      </c>
      <c r="N37" t="s">
        <v>235</v>
      </c>
      <c r="O37">
        <v>4389.9489000000003</v>
      </c>
      <c r="P37">
        <v>1908.1568</v>
      </c>
      <c r="Q37">
        <v>0</v>
      </c>
      <c r="R37">
        <v>909.55520000000001</v>
      </c>
      <c r="S37">
        <v>1240.1602</v>
      </c>
      <c r="T37">
        <v>0</v>
      </c>
      <c r="U37">
        <v>0</v>
      </c>
      <c r="V37">
        <v>0</v>
      </c>
      <c r="W37">
        <f>SUM(O37:V37)</f>
        <v>8447.8210999999992</v>
      </c>
    </row>
    <row r="38" spans="1:23" x14ac:dyDescent="0.2">
      <c r="A38" t="s">
        <v>236</v>
      </c>
      <c r="B38">
        <f t="shared" si="4"/>
        <v>5889.1556</v>
      </c>
      <c r="C38">
        <f t="shared" si="4"/>
        <v>23084.378000000001</v>
      </c>
      <c r="D38">
        <f t="shared" si="4"/>
        <v>1144.7927999999999</v>
      </c>
      <c r="E38">
        <f t="shared" si="4"/>
        <v>43075.839699999997</v>
      </c>
      <c r="F38">
        <f t="shared" si="4"/>
        <v>28988.1702</v>
      </c>
      <c r="G38">
        <f t="shared" si="4"/>
        <v>58515.546199999997</v>
      </c>
      <c r="H38">
        <f t="shared" si="4"/>
        <v>367602.43810000003</v>
      </c>
      <c r="I38">
        <f t="shared" si="4"/>
        <v>49958.2958</v>
      </c>
      <c r="J38">
        <f t="shared" si="4"/>
        <v>578258.61639999994</v>
      </c>
      <c r="N38" t="s">
        <v>236</v>
      </c>
      <c r="O38">
        <v>5889.1556</v>
      </c>
      <c r="P38">
        <v>23084.378000000001</v>
      </c>
      <c r="Q38">
        <v>1144.7927999999999</v>
      </c>
      <c r="R38">
        <v>43075.839699999997</v>
      </c>
      <c r="S38">
        <v>28988.1702</v>
      </c>
      <c r="T38">
        <v>58515.546199999997</v>
      </c>
      <c r="U38">
        <v>367602.43810000003</v>
      </c>
      <c r="V38">
        <v>49958.2958</v>
      </c>
      <c r="W38">
        <f>SUM(O38:V38)</f>
        <v>578258.61639999994</v>
      </c>
    </row>
    <row r="39" spans="1:23" x14ac:dyDescent="0.2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6981.6704</v>
      </c>
      <c r="G39">
        <f t="shared" si="4"/>
        <v>1874.6415</v>
      </c>
      <c r="H39">
        <f t="shared" si="4"/>
        <v>19737.0592</v>
      </c>
      <c r="I39">
        <f t="shared" si="4"/>
        <v>0</v>
      </c>
      <c r="J39">
        <f t="shared" si="4"/>
        <v>35386.393499999998</v>
      </c>
      <c r="N39" t="s">
        <v>173</v>
      </c>
      <c r="O39">
        <v>0</v>
      </c>
      <c r="P39">
        <v>4556.3959999999997</v>
      </c>
      <c r="Q39">
        <v>0</v>
      </c>
      <c r="R39">
        <v>2236.6264000000001</v>
      </c>
      <c r="S39">
        <v>6981.6704</v>
      </c>
      <c r="T39">
        <v>1874.6415</v>
      </c>
      <c r="U39">
        <v>19737.0592</v>
      </c>
      <c r="V39">
        <v>0</v>
      </c>
      <c r="W39">
        <f>SUM(O39:V39)</f>
        <v>35386.393499999998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J46" si="5">O43*$B$1</f>
        <v>1170786.4288000001</v>
      </c>
      <c r="C43">
        <f t="shared" si="5"/>
        <v>269877.15750000003</v>
      </c>
      <c r="D43">
        <f t="shared" si="5"/>
        <v>343819.14360000001</v>
      </c>
      <c r="E43">
        <f t="shared" si="5"/>
        <v>472909.28409999999</v>
      </c>
      <c r="F43">
        <f t="shared" si="5"/>
        <v>97324.167700000005</v>
      </c>
      <c r="G43">
        <f t="shared" si="5"/>
        <v>70802.5196</v>
      </c>
      <c r="H43">
        <f t="shared" si="5"/>
        <v>451128.91239999997</v>
      </c>
      <c r="I43">
        <f t="shared" si="5"/>
        <v>229554.15270000001</v>
      </c>
      <c r="J43">
        <f t="shared" si="5"/>
        <v>3106201.7663999996</v>
      </c>
      <c r="N43" t="s">
        <v>226</v>
      </c>
      <c r="O43">
        <v>1170786.4288000001</v>
      </c>
      <c r="P43">
        <v>269877.15750000003</v>
      </c>
      <c r="Q43">
        <v>343819.14360000001</v>
      </c>
      <c r="R43">
        <v>472909.28409999999</v>
      </c>
      <c r="S43">
        <v>97324.167700000005</v>
      </c>
      <c r="T43">
        <v>70802.5196</v>
      </c>
      <c r="U43">
        <v>451128.91239999997</v>
      </c>
      <c r="V43">
        <v>229554.15270000001</v>
      </c>
      <c r="W43">
        <f>SUM(O43:V43)</f>
        <v>3106201.7663999996</v>
      </c>
    </row>
    <row r="44" spans="1:23" x14ac:dyDescent="0.2">
      <c r="A44" t="s">
        <v>235</v>
      </c>
      <c r="B44">
        <f t="shared" si="5"/>
        <v>131806.09890000001</v>
      </c>
      <c r="C44">
        <f t="shared" si="5"/>
        <v>19671.083999999999</v>
      </c>
      <c r="D44">
        <f t="shared" si="5"/>
        <v>1185.3100999999999</v>
      </c>
      <c r="E44">
        <f t="shared" si="5"/>
        <v>8263.1383000000005</v>
      </c>
      <c r="F44">
        <f t="shared" si="5"/>
        <v>6225.4962999999998</v>
      </c>
      <c r="G44">
        <f t="shared" si="5"/>
        <v>1787.0099</v>
      </c>
      <c r="H44">
        <f t="shared" si="5"/>
        <v>40902.989000000001</v>
      </c>
      <c r="I44">
        <f t="shared" si="5"/>
        <v>9318.4874</v>
      </c>
      <c r="J44">
        <f t="shared" si="5"/>
        <v>219159.61390000003</v>
      </c>
      <c r="N44" t="s">
        <v>235</v>
      </c>
      <c r="O44">
        <v>131806.09890000001</v>
      </c>
      <c r="P44">
        <v>19671.083999999999</v>
      </c>
      <c r="Q44">
        <v>1185.3100999999999</v>
      </c>
      <c r="R44">
        <v>8263.1383000000005</v>
      </c>
      <c r="S44">
        <v>6225.4962999999998</v>
      </c>
      <c r="T44">
        <v>1787.0099</v>
      </c>
      <c r="U44">
        <v>40902.989000000001</v>
      </c>
      <c r="V44">
        <v>9318.4874</v>
      </c>
      <c r="W44">
        <f>SUM(O44:V44)</f>
        <v>219159.61390000003</v>
      </c>
    </row>
    <row r="45" spans="1:23" x14ac:dyDescent="0.2">
      <c r="A45" t="s">
        <v>236</v>
      </c>
      <c r="B45">
        <f t="shared" si="5"/>
        <v>75780.759099999996</v>
      </c>
      <c r="C45">
        <f t="shared" si="5"/>
        <v>34084.678999999996</v>
      </c>
      <c r="D45">
        <f t="shared" si="5"/>
        <v>29365.375499999998</v>
      </c>
      <c r="E45">
        <f t="shared" si="5"/>
        <v>79650.944799999997</v>
      </c>
      <c r="F45">
        <f t="shared" si="5"/>
        <v>5316.4103999999998</v>
      </c>
      <c r="G45">
        <f t="shared" si="5"/>
        <v>5008.3037999999997</v>
      </c>
      <c r="H45">
        <f t="shared" si="5"/>
        <v>19176.989000000001</v>
      </c>
      <c r="I45">
        <f t="shared" si="5"/>
        <v>20526.135399999999</v>
      </c>
      <c r="J45">
        <f t="shared" si="5"/>
        <v>268909.59699999995</v>
      </c>
      <c r="N45" t="s">
        <v>236</v>
      </c>
      <c r="O45">
        <v>75780.759099999996</v>
      </c>
      <c r="P45">
        <v>34084.678999999996</v>
      </c>
      <c r="Q45">
        <v>29365.375499999998</v>
      </c>
      <c r="R45">
        <v>79650.944799999997</v>
      </c>
      <c r="S45">
        <v>5316.4103999999998</v>
      </c>
      <c r="T45">
        <v>5008.3037999999997</v>
      </c>
      <c r="U45">
        <v>19176.989000000001</v>
      </c>
      <c r="V45">
        <v>20526.135399999999</v>
      </c>
      <c r="W45">
        <f>SUM(O45:V45)</f>
        <v>268909.59699999995</v>
      </c>
    </row>
    <row r="46" spans="1:23" x14ac:dyDescent="0.2">
      <c r="A46" t="s">
        <v>173</v>
      </c>
      <c r="B46">
        <f t="shared" si="5"/>
        <v>34216.455600000001</v>
      </c>
      <c r="C46">
        <f t="shared" si="5"/>
        <v>17322.761600000002</v>
      </c>
      <c r="D46">
        <f t="shared" si="5"/>
        <v>10722.1492</v>
      </c>
      <c r="E46">
        <f t="shared" si="5"/>
        <v>31465.301200000002</v>
      </c>
      <c r="F46">
        <f t="shared" si="5"/>
        <v>2612.8611999999998</v>
      </c>
      <c r="G46">
        <f t="shared" si="5"/>
        <v>901.71090000000004</v>
      </c>
      <c r="H46">
        <f t="shared" si="5"/>
        <v>4707.0355</v>
      </c>
      <c r="I46">
        <f t="shared" si="5"/>
        <v>12298.714099999999</v>
      </c>
      <c r="J46">
        <f t="shared" si="5"/>
        <v>114246.9893</v>
      </c>
      <c r="N46" t="s">
        <v>173</v>
      </c>
      <c r="O46">
        <v>34216.455600000001</v>
      </c>
      <c r="P46">
        <v>17322.761600000002</v>
      </c>
      <c r="Q46">
        <v>10722.1492</v>
      </c>
      <c r="R46">
        <v>31465.301200000002</v>
      </c>
      <c r="S46">
        <v>2612.8611999999998</v>
      </c>
      <c r="T46">
        <v>901.71090000000004</v>
      </c>
      <c r="U46">
        <v>4707.0355</v>
      </c>
      <c r="V46">
        <v>12298.714099999999</v>
      </c>
      <c r="W46">
        <f>SUM(O46:V46)</f>
        <v>114246.9893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J53" si="6">O50*$B$1</f>
        <v>1113272.6473000001</v>
      </c>
      <c r="C50">
        <f t="shared" si="6"/>
        <v>232288.56830000001</v>
      </c>
      <c r="D50">
        <f t="shared" si="6"/>
        <v>222352.8186</v>
      </c>
      <c r="E50">
        <f t="shared" si="6"/>
        <v>384193.6262</v>
      </c>
      <c r="F50">
        <f t="shared" si="6"/>
        <v>81730.876399999994</v>
      </c>
      <c r="G50">
        <f t="shared" si="6"/>
        <v>68610.821299999996</v>
      </c>
      <c r="H50">
        <f t="shared" si="6"/>
        <v>416335.38909999997</v>
      </c>
      <c r="I50">
        <f t="shared" si="6"/>
        <v>198513.9712</v>
      </c>
      <c r="J50">
        <f t="shared" si="6"/>
        <v>2717298.7184000001</v>
      </c>
      <c r="N50" t="s">
        <v>226</v>
      </c>
      <c r="O50">
        <v>1113272.6473000001</v>
      </c>
      <c r="P50">
        <v>232288.56830000001</v>
      </c>
      <c r="Q50">
        <v>222352.8186</v>
      </c>
      <c r="R50">
        <v>384193.6262</v>
      </c>
      <c r="S50">
        <v>81730.876399999994</v>
      </c>
      <c r="T50">
        <v>68610.821299999996</v>
      </c>
      <c r="U50">
        <v>416335.38909999997</v>
      </c>
      <c r="V50">
        <v>198513.9712</v>
      </c>
      <c r="W50">
        <f>SUM(O50:V50)</f>
        <v>2717298.7184000001</v>
      </c>
    </row>
    <row r="51" spans="1:23" x14ac:dyDescent="0.2">
      <c r="A51" t="s">
        <v>235</v>
      </c>
      <c r="B51">
        <f t="shared" si="6"/>
        <v>193981.12059999999</v>
      </c>
      <c r="C51">
        <f t="shared" si="6"/>
        <v>56784.45</v>
      </c>
      <c r="D51">
        <f t="shared" si="6"/>
        <v>54669.329100000003</v>
      </c>
      <c r="E51">
        <f t="shared" si="6"/>
        <v>81491.540200000003</v>
      </c>
      <c r="F51">
        <f t="shared" si="6"/>
        <v>18112.385200000001</v>
      </c>
      <c r="G51">
        <f t="shared" si="6"/>
        <v>5902.9106000000002</v>
      </c>
      <c r="H51">
        <f t="shared" si="6"/>
        <v>55315.3796</v>
      </c>
      <c r="I51">
        <f t="shared" si="6"/>
        <v>31902.856900000002</v>
      </c>
      <c r="J51">
        <f t="shared" si="6"/>
        <v>498159.97219999996</v>
      </c>
      <c r="N51" t="s">
        <v>235</v>
      </c>
      <c r="O51">
        <v>193981.12059999999</v>
      </c>
      <c r="P51">
        <v>56784.45</v>
      </c>
      <c r="Q51">
        <v>54669.329100000003</v>
      </c>
      <c r="R51">
        <v>81491.540200000003</v>
      </c>
      <c r="S51">
        <v>18112.385200000001</v>
      </c>
      <c r="T51">
        <v>5902.9106000000002</v>
      </c>
      <c r="U51">
        <v>55315.3796</v>
      </c>
      <c r="V51">
        <v>31902.856900000002</v>
      </c>
      <c r="W51">
        <f>SUM(O51:V51)</f>
        <v>498159.97219999996</v>
      </c>
    </row>
    <row r="52" spans="1:23" x14ac:dyDescent="0.2">
      <c r="A52" t="s">
        <v>236</v>
      </c>
      <c r="B52">
        <f t="shared" si="6"/>
        <v>73458.005000000005</v>
      </c>
      <c r="C52">
        <f t="shared" si="6"/>
        <v>31320.718700000001</v>
      </c>
      <c r="D52">
        <f t="shared" si="6"/>
        <v>67024.686900000001</v>
      </c>
      <c r="E52">
        <f t="shared" si="6"/>
        <v>85683.5288</v>
      </c>
      <c r="F52">
        <f t="shared" si="6"/>
        <v>8286.1494000000002</v>
      </c>
      <c r="G52">
        <f t="shared" si="6"/>
        <v>3167.3186999999998</v>
      </c>
      <c r="H52">
        <f t="shared" si="6"/>
        <v>34455.658600000002</v>
      </c>
      <c r="I52">
        <f t="shared" si="6"/>
        <v>26144.924800000001</v>
      </c>
      <c r="J52">
        <f t="shared" si="6"/>
        <v>329540.99090000003</v>
      </c>
      <c r="N52" t="s">
        <v>236</v>
      </c>
      <c r="O52">
        <v>73458.005000000005</v>
      </c>
      <c r="P52">
        <v>31320.718700000001</v>
      </c>
      <c r="Q52">
        <v>67024.686900000001</v>
      </c>
      <c r="R52">
        <v>85683.5288</v>
      </c>
      <c r="S52">
        <v>8286.1494000000002</v>
      </c>
      <c r="T52">
        <v>3167.3186999999998</v>
      </c>
      <c r="U52">
        <v>34455.658600000002</v>
      </c>
      <c r="V52">
        <v>26144.924800000001</v>
      </c>
      <c r="W52">
        <f>SUM(O52:V52)</f>
        <v>329540.99090000003</v>
      </c>
    </row>
    <row r="53" spans="1:23" x14ac:dyDescent="0.2">
      <c r="A53" t="s">
        <v>173</v>
      </c>
      <c r="B53">
        <f t="shared" si="6"/>
        <v>31877.969499999999</v>
      </c>
      <c r="C53">
        <f t="shared" si="6"/>
        <v>20561.945100000001</v>
      </c>
      <c r="D53">
        <f t="shared" si="6"/>
        <v>41045.143799999998</v>
      </c>
      <c r="E53">
        <f t="shared" si="6"/>
        <v>40919.9732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15135.736699999999</v>
      </c>
      <c r="J53">
        <f t="shared" si="6"/>
        <v>163518.28510000001</v>
      </c>
      <c r="N53" t="s">
        <v>173</v>
      </c>
      <c r="O53">
        <v>31877.969499999999</v>
      </c>
      <c r="P53">
        <v>20561.945100000001</v>
      </c>
      <c r="Q53">
        <v>41045.143799999998</v>
      </c>
      <c r="R53">
        <v>40919.9732</v>
      </c>
      <c r="S53">
        <v>3349.5245999999997</v>
      </c>
      <c r="T53">
        <v>818.49360000000001</v>
      </c>
      <c r="U53">
        <v>9809.498599999999</v>
      </c>
      <c r="V53">
        <v>15135.736699999999</v>
      </c>
      <c r="W53">
        <f>SUM(O53:V53)</f>
        <v>163518.28510000001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J60" si="7">O57*$B$1</f>
        <v>1024698.9209</v>
      </c>
      <c r="C57">
        <f t="shared" si="7"/>
        <v>221575.80220000001</v>
      </c>
      <c r="D57">
        <f t="shared" si="7"/>
        <v>222412.003</v>
      </c>
      <c r="E57">
        <f t="shared" si="7"/>
        <v>343842.96279999998</v>
      </c>
      <c r="F57">
        <f t="shared" si="7"/>
        <v>76340.894700000004</v>
      </c>
      <c r="G57">
        <f t="shared" si="7"/>
        <v>74524.907000000007</v>
      </c>
      <c r="H57">
        <f t="shared" si="7"/>
        <v>444213.38170000003</v>
      </c>
      <c r="I57">
        <f t="shared" si="7"/>
        <v>182785.78539999999</v>
      </c>
      <c r="J57">
        <f t="shared" si="7"/>
        <v>2590394.6576999999</v>
      </c>
      <c r="N57" t="s">
        <v>226</v>
      </c>
      <c r="O57">
        <v>1024698.9209</v>
      </c>
      <c r="P57">
        <v>221575.80220000001</v>
      </c>
      <c r="Q57">
        <v>222412.003</v>
      </c>
      <c r="R57">
        <v>343842.96279999998</v>
      </c>
      <c r="S57">
        <v>76340.894700000004</v>
      </c>
      <c r="T57">
        <v>74524.907000000007</v>
      </c>
      <c r="U57">
        <v>444213.38170000003</v>
      </c>
      <c r="V57">
        <v>182785.78539999999</v>
      </c>
      <c r="W57">
        <f>SUM(O57:V57)</f>
        <v>2590394.6576999999</v>
      </c>
    </row>
    <row r="58" spans="1:23" x14ac:dyDescent="0.2">
      <c r="A58" t="s">
        <v>235</v>
      </c>
      <c r="B58">
        <f t="shared" si="7"/>
        <v>269815.44959999999</v>
      </c>
      <c r="C58">
        <f t="shared" si="7"/>
        <v>66949.157000000007</v>
      </c>
      <c r="D58">
        <f t="shared" si="7"/>
        <v>64869.167699999998</v>
      </c>
      <c r="E58">
        <f t="shared" si="7"/>
        <v>95490.977199999994</v>
      </c>
      <c r="F58">
        <f t="shared" si="7"/>
        <v>21641.47</v>
      </c>
      <c r="G58">
        <f t="shared" si="7"/>
        <v>3236.4888000000001</v>
      </c>
      <c r="H58">
        <f t="shared" si="7"/>
        <v>46208.358200000002</v>
      </c>
      <c r="I58">
        <f t="shared" si="7"/>
        <v>33029.441400000003</v>
      </c>
      <c r="J58">
        <f t="shared" si="7"/>
        <v>601240.50989999995</v>
      </c>
      <c r="N58" t="s">
        <v>235</v>
      </c>
      <c r="O58">
        <v>269815.44959999999</v>
      </c>
      <c r="P58">
        <v>66949.157000000007</v>
      </c>
      <c r="Q58">
        <v>64869.167699999998</v>
      </c>
      <c r="R58">
        <v>95490.977199999994</v>
      </c>
      <c r="S58">
        <v>21641.47</v>
      </c>
      <c r="T58">
        <v>3236.4888000000001</v>
      </c>
      <c r="U58">
        <v>46208.358200000002</v>
      </c>
      <c r="V58">
        <v>33029.441400000003</v>
      </c>
      <c r="W58">
        <f>SUM(O58:V58)</f>
        <v>601240.50989999995</v>
      </c>
    </row>
    <row r="59" spans="1:23" x14ac:dyDescent="0.2">
      <c r="A59" t="s">
        <v>236</v>
      </c>
      <c r="B59">
        <f t="shared" si="7"/>
        <v>80204.026899999997</v>
      </c>
      <c r="C59">
        <f t="shared" si="7"/>
        <v>26294.175200000001</v>
      </c>
      <c r="D59">
        <f t="shared" si="7"/>
        <v>58513.545700000002</v>
      </c>
      <c r="E59">
        <f t="shared" si="7"/>
        <v>103383.83620000001</v>
      </c>
      <c r="F59">
        <f t="shared" si="7"/>
        <v>7364.5722999999998</v>
      </c>
      <c r="G59">
        <f t="shared" si="7"/>
        <v>738.14840000000004</v>
      </c>
      <c r="H59">
        <f t="shared" si="7"/>
        <v>20535.034500000002</v>
      </c>
      <c r="I59">
        <f t="shared" si="7"/>
        <v>32286.611100000002</v>
      </c>
      <c r="J59">
        <f t="shared" si="7"/>
        <v>329319.95030000003</v>
      </c>
      <c r="N59" t="s">
        <v>236</v>
      </c>
      <c r="O59">
        <v>80204.026899999997</v>
      </c>
      <c r="P59">
        <v>26294.175200000001</v>
      </c>
      <c r="Q59">
        <v>58513.545700000002</v>
      </c>
      <c r="R59">
        <v>103383.83620000001</v>
      </c>
      <c r="S59">
        <v>7364.5722999999998</v>
      </c>
      <c r="T59">
        <v>738.14840000000004</v>
      </c>
      <c r="U59">
        <v>20535.034500000002</v>
      </c>
      <c r="V59">
        <v>32286.611100000002</v>
      </c>
      <c r="W59">
        <f>SUM(O59:V59)</f>
        <v>329319.95030000003</v>
      </c>
    </row>
    <row r="60" spans="1:23" x14ac:dyDescent="0.2">
      <c r="A60" t="s">
        <v>173</v>
      </c>
      <c r="B60">
        <f t="shared" si="7"/>
        <v>37871.345000000001</v>
      </c>
      <c r="C60">
        <f t="shared" si="7"/>
        <v>26136.547699999999</v>
      </c>
      <c r="D60">
        <f t="shared" si="7"/>
        <v>39297.262000000002</v>
      </c>
      <c r="E60">
        <f t="shared" si="7"/>
        <v>49570.892200000002</v>
      </c>
      <c r="F60">
        <f t="shared" si="7"/>
        <v>6131.9985999999999</v>
      </c>
      <c r="G60">
        <f t="shared" si="7"/>
        <v>0</v>
      </c>
      <c r="H60">
        <f t="shared" si="7"/>
        <v>4959.1514999999999</v>
      </c>
      <c r="I60">
        <f t="shared" si="7"/>
        <v>23595.651699999999</v>
      </c>
      <c r="J60">
        <f t="shared" si="7"/>
        <v>187562.8487</v>
      </c>
      <c r="N60" t="s">
        <v>173</v>
      </c>
      <c r="O60">
        <v>37871.345000000001</v>
      </c>
      <c r="P60">
        <v>26136.547699999999</v>
      </c>
      <c r="Q60">
        <v>39297.262000000002</v>
      </c>
      <c r="R60">
        <v>49570.892200000002</v>
      </c>
      <c r="S60">
        <v>6131.9985999999999</v>
      </c>
      <c r="T60">
        <v>0</v>
      </c>
      <c r="U60">
        <v>4959.1514999999999</v>
      </c>
      <c r="V60">
        <v>23595.651699999999</v>
      </c>
      <c r="W60">
        <f>SUM(O60:V60)</f>
        <v>187562.8487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J67" si="8">O64*$B$1</f>
        <v>1160986.6899000001</v>
      </c>
      <c r="C64">
        <f t="shared" si="8"/>
        <v>283988.239</v>
      </c>
      <c r="D64">
        <f t="shared" si="8"/>
        <v>317009.45600000001</v>
      </c>
      <c r="E64">
        <f t="shared" si="8"/>
        <v>485455.98259999999</v>
      </c>
      <c r="F64">
        <f t="shared" si="8"/>
        <v>90074.873300000007</v>
      </c>
      <c r="G64">
        <f t="shared" si="8"/>
        <v>74132.851200000005</v>
      </c>
      <c r="H64">
        <f t="shared" si="8"/>
        <v>483799.28100000002</v>
      </c>
      <c r="I64">
        <f t="shared" si="8"/>
        <v>246178.72589999999</v>
      </c>
      <c r="J64">
        <f t="shared" si="8"/>
        <v>3141626.0989000001</v>
      </c>
      <c r="N64" t="s">
        <v>226</v>
      </c>
      <c r="O64">
        <v>1160986.6899000001</v>
      </c>
      <c r="P64">
        <v>283988.239</v>
      </c>
      <c r="Q64">
        <v>317009.45600000001</v>
      </c>
      <c r="R64">
        <v>485455.98259999999</v>
      </c>
      <c r="S64">
        <v>90074.873300000007</v>
      </c>
      <c r="T64">
        <v>74132.851200000005</v>
      </c>
      <c r="U64">
        <v>483799.28100000002</v>
      </c>
      <c r="V64">
        <v>246178.72589999999</v>
      </c>
      <c r="W64">
        <f>SUM(O64:V64)</f>
        <v>3141626.0989000001</v>
      </c>
    </row>
    <row r="65" spans="1:23" x14ac:dyDescent="0.2">
      <c r="A65" t="s">
        <v>235</v>
      </c>
      <c r="B65">
        <f t="shared" si="8"/>
        <v>194510.7476</v>
      </c>
      <c r="C65">
        <f t="shared" si="8"/>
        <v>41898.851499999997</v>
      </c>
      <c r="D65">
        <f t="shared" si="8"/>
        <v>37388.003799999999</v>
      </c>
      <c r="E65">
        <f t="shared" si="8"/>
        <v>61610.771000000001</v>
      </c>
      <c r="F65">
        <f t="shared" si="8"/>
        <v>15918.462100000001</v>
      </c>
      <c r="G65">
        <f t="shared" si="8"/>
        <v>4366.6930000000002</v>
      </c>
      <c r="H65">
        <f t="shared" si="8"/>
        <v>20842.0085</v>
      </c>
      <c r="I65">
        <f t="shared" si="8"/>
        <v>19674.477699999999</v>
      </c>
      <c r="J65">
        <f t="shared" si="8"/>
        <v>396210.01520000002</v>
      </c>
      <c r="N65" t="s">
        <v>235</v>
      </c>
      <c r="O65">
        <v>194510.7476</v>
      </c>
      <c r="P65">
        <v>41898.851499999997</v>
      </c>
      <c r="Q65">
        <v>37388.003799999999</v>
      </c>
      <c r="R65">
        <v>61610.771000000001</v>
      </c>
      <c r="S65">
        <v>15918.462100000001</v>
      </c>
      <c r="T65">
        <v>4366.6930000000002</v>
      </c>
      <c r="U65">
        <v>20842.0085</v>
      </c>
      <c r="V65">
        <v>19674.477699999999</v>
      </c>
      <c r="W65">
        <f>SUM(O65:V65)</f>
        <v>396210.01520000002</v>
      </c>
    </row>
    <row r="66" spans="1:23" x14ac:dyDescent="0.2">
      <c r="A66" t="s">
        <v>236</v>
      </c>
      <c r="B66">
        <f t="shared" si="8"/>
        <v>46765.183899999996</v>
      </c>
      <c r="C66">
        <f t="shared" si="8"/>
        <v>13416.2698</v>
      </c>
      <c r="D66">
        <f t="shared" si="8"/>
        <v>27935.698499999999</v>
      </c>
      <c r="E66">
        <f t="shared" si="8"/>
        <v>37695.944100000001</v>
      </c>
      <c r="F66">
        <f t="shared" si="8"/>
        <v>4004.7819999999997</v>
      </c>
      <c r="G66">
        <f t="shared" si="8"/>
        <v>0</v>
      </c>
      <c r="H66">
        <f t="shared" si="8"/>
        <v>9419.7792000000009</v>
      </c>
      <c r="I66">
        <f t="shared" si="8"/>
        <v>5613.5671000000002</v>
      </c>
      <c r="J66">
        <f t="shared" si="8"/>
        <v>144851.22460000002</v>
      </c>
      <c r="N66" t="s">
        <v>236</v>
      </c>
      <c r="O66">
        <v>46765.183899999996</v>
      </c>
      <c r="P66">
        <v>13416.2698</v>
      </c>
      <c r="Q66">
        <v>27935.698499999999</v>
      </c>
      <c r="R66">
        <v>37695.944100000001</v>
      </c>
      <c r="S66">
        <v>4004.7819999999997</v>
      </c>
      <c r="T66">
        <v>0</v>
      </c>
      <c r="U66">
        <v>9419.7792000000009</v>
      </c>
      <c r="V66">
        <v>5613.5671000000002</v>
      </c>
      <c r="W66">
        <f>SUM(O66:V66)</f>
        <v>144851.22460000002</v>
      </c>
    </row>
    <row r="67" spans="1:23" x14ac:dyDescent="0.2">
      <c r="A67" t="s">
        <v>173</v>
      </c>
      <c r="B67">
        <f t="shared" si="8"/>
        <v>10327.120999999999</v>
      </c>
      <c r="C67">
        <f t="shared" si="8"/>
        <v>1652.3217999999999</v>
      </c>
      <c r="D67">
        <f t="shared" si="8"/>
        <v>2758.8200999999999</v>
      </c>
      <c r="E67">
        <f t="shared" si="8"/>
        <v>7525.9706999999999</v>
      </c>
      <c r="F67">
        <f t="shared" si="8"/>
        <v>1480.8181999999999</v>
      </c>
      <c r="G67">
        <f t="shared" si="8"/>
        <v>0</v>
      </c>
      <c r="H67">
        <f t="shared" si="8"/>
        <v>1854.8571999999999</v>
      </c>
      <c r="I67">
        <f t="shared" si="8"/>
        <v>230.71889999999999</v>
      </c>
      <c r="J67">
        <f t="shared" si="8"/>
        <v>25830.627899999999</v>
      </c>
      <c r="N67" t="s">
        <v>173</v>
      </c>
      <c r="O67">
        <v>10327.120999999999</v>
      </c>
      <c r="P67">
        <v>1652.3217999999999</v>
      </c>
      <c r="Q67">
        <v>2758.8200999999999</v>
      </c>
      <c r="R67">
        <v>7525.9706999999999</v>
      </c>
      <c r="S67">
        <v>1480.8181999999999</v>
      </c>
      <c r="T67">
        <v>0</v>
      </c>
      <c r="U67">
        <v>1854.8571999999999</v>
      </c>
      <c r="V67">
        <v>230.71889999999999</v>
      </c>
      <c r="W67">
        <f>SUM(O67:V67)</f>
        <v>25830.627899999999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J74" si="9">O71*$B$1</f>
        <v>1066130.7389</v>
      </c>
      <c r="C71">
        <f t="shared" si="9"/>
        <v>235920.698</v>
      </c>
      <c r="D71">
        <f t="shared" si="9"/>
        <v>262344.42749999999</v>
      </c>
      <c r="E71">
        <f t="shared" si="9"/>
        <v>389155.25099999999</v>
      </c>
      <c r="F71">
        <f t="shared" si="9"/>
        <v>84292.914300000004</v>
      </c>
      <c r="G71">
        <f t="shared" si="9"/>
        <v>64742.405500000001</v>
      </c>
      <c r="H71">
        <f t="shared" si="9"/>
        <v>375350.43459999998</v>
      </c>
      <c r="I71">
        <f t="shared" si="9"/>
        <v>184503.02910000001</v>
      </c>
      <c r="J71">
        <f t="shared" si="9"/>
        <v>2662439.8988999999</v>
      </c>
      <c r="N71" t="s">
        <v>226</v>
      </c>
      <c r="O71">
        <v>1066130.7389</v>
      </c>
      <c r="P71">
        <v>235920.698</v>
      </c>
      <c r="Q71">
        <v>262344.42749999999</v>
      </c>
      <c r="R71">
        <v>389155.25099999999</v>
      </c>
      <c r="S71">
        <v>84292.914300000004</v>
      </c>
      <c r="T71">
        <v>64742.405500000001</v>
      </c>
      <c r="U71">
        <v>375350.43459999998</v>
      </c>
      <c r="V71">
        <v>184503.02910000001</v>
      </c>
      <c r="W71">
        <f>SUM(O71:V71)</f>
        <v>2662439.8988999999</v>
      </c>
    </row>
    <row r="72" spans="1:23" x14ac:dyDescent="0.2">
      <c r="A72" t="s">
        <v>235</v>
      </c>
      <c r="B72">
        <f t="shared" si="9"/>
        <v>136094.36319999999</v>
      </c>
      <c r="C72">
        <f t="shared" si="9"/>
        <v>28036.0105</v>
      </c>
      <c r="D72">
        <f t="shared" si="9"/>
        <v>21024.740600000001</v>
      </c>
      <c r="E72">
        <f t="shared" si="9"/>
        <v>40655.946400000001</v>
      </c>
      <c r="F72">
        <f t="shared" si="9"/>
        <v>10308.7971</v>
      </c>
      <c r="G72">
        <f t="shared" si="9"/>
        <v>4029.8694</v>
      </c>
      <c r="H72">
        <f t="shared" si="9"/>
        <v>43043.366600000001</v>
      </c>
      <c r="I72">
        <f t="shared" si="9"/>
        <v>9319.4100999999991</v>
      </c>
      <c r="J72">
        <f t="shared" si="9"/>
        <v>292512.50389999995</v>
      </c>
      <c r="N72" t="s">
        <v>235</v>
      </c>
      <c r="O72">
        <v>136094.36319999999</v>
      </c>
      <c r="P72">
        <v>28036.0105</v>
      </c>
      <c r="Q72">
        <v>21024.740600000001</v>
      </c>
      <c r="R72">
        <v>40655.946400000001</v>
      </c>
      <c r="S72">
        <v>10308.7971</v>
      </c>
      <c r="T72">
        <v>4029.8694</v>
      </c>
      <c r="U72">
        <v>43043.366600000001</v>
      </c>
      <c r="V72">
        <v>9319.4100999999991</v>
      </c>
      <c r="W72">
        <f>SUM(O72:V72)</f>
        <v>292512.50389999995</v>
      </c>
    </row>
    <row r="73" spans="1:23" x14ac:dyDescent="0.2">
      <c r="A73" t="s">
        <v>236</v>
      </c>
      <c r="B73">
        <f t="shared" si="9"/>
        <v>185501.5773</v>
      </c>
      <c r="C73">
        <f t="shared" si="9"/>
        <v>65174.660400000001</v>
      </c>
      <c r="D73">
        <f t="shared" si="9"/>
        <v>82733.957699999999</v>
      </c>
      <c r="E73">
        <f t="shared" si="9"/>
        <v>135830.89000000001</v>
      </c>
      <c r="F73">
        <f t="shared" si="9"/>
        <v>13655.1072</v>
      </c>
      <c r="G73">
        <f t="shared" si="9"/>
        <v>9727.2692999999999</v>
      </c>
      <c r="H73">
        <f t="shared" si="9"/>
        <v>88272.691800000001</v>
      </c>
      <c r="I73">
        <f t="shared" si="9"/>
        <v>66825.039199999999</v>
      </c>
      <c r="J73">
        <f t="shared" si="9"/>
        <v>647721.19290000002</v>
      </c>
      <c r="N73" t="s">
        <v>236</v>
      </c>
      <c r="O73">
        <v>185501.5773</v>
      </c>
      <c r="P73">
        <v>65174.660400000001</v>
      </c>
      <c r="Q73">
        <v>82733.957699999999</v>
      </c>
      <c r="R73">
        <v>135830.89000000001</v>
      </c>
      <c r="S73">
        <v>13655.1072</v>
      </c>
      <c r="T73">
        <v>9727.2692999999999</v>
      </c>
      <c r="U73">
        <v>88272.691800000001</v>
      </c>
      <c r="V73">
        <v>66825.039199999999</v>
      </c>
      <c r="W73">
        <f>SUM(O73:V73)</f>
        <v>647721.19290000002</v>
      </c>
    </row>
    <row r="74" spans="1:23" x14ac:dyDescent="0.2">
      <c r="A74" t="s">
        <v>173</v>
      </c>
      <c r="B74">
        <f t="shared" si="9"/>
        <v>24863.062999999998</v>
      </c>
      <c r="C74">
        <f t="shared" si="9"/>
        <v>11824.313200000001</v>
      </c>
      <c r="D74">
        <f t="shared" si="9"/>
        <v>18988.852599999998</v>
      </c>
      <c r="E74">
        <f t="shared" si="9"/>
        <v>26646.580999999998</v>
      </c>
      <c r="F74">
        <f t="shared" si="9"/>
        <v>3222.1170000000002</v>
      </c>
      <c r="G74">
        <f t="shared" si="9"/>
        <v>0</v>
      </c>
      <c r="H74">
        <f t="shared" si="9"/>
        <v>9249.4328999999998</v>
      </c>
      <c r="I74">
        <f t="shared" si="9"/>
        <v>11050.011200000001</v>
      </c>
      <c r="J74">
        <f t="shared" si="9"/>
        <v>105844.37089999998</v>
      </c>
      <c r="N74" t="s">
        <v>173</v>
      </c>
      <c r="O74">
        <v>24863.062999999998</v>
      </c>
      <c r="P74">
        <v>11824.313200000001</v>
      </c>
      <c r="Q74">
        <v>18988.852599999998</v>
      </c>
      <c r="R74">
        <v>26646.580999999998</v>
      </c>
      <c r="S74">
        <v>3222.1170000000002</v>
      </c>
      <c r="T74">
        <v>0</v>
      </c>
      <c r="U74">
        <v>9249.4328999999998</v>
      </c>
      <c r="V74">
        <v>11050.011200000001</v>
      </c>
      <c r="W74">
        <f>SUM(O74:V74)</f>
        <v>105844.37089999998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309978.09000000003</v>
      </c>
      <c r="C80">
        <f t="shared" si="10"/>
        <v>192987.40669999999</v>
      </c>
      <c r="D80">
        <f t="shared" si="10"/>
        <v>371501.76870000002</v>
      </c>
      <c r="E80">
        <f t="shared" si="10"/>
        <v>567106.41650000005</v>
      </c>
      <c r="F80">
        <f t="shared" si="10"/>
        <v>68886.8367</v>
      </c>
      <c r="G80">
        <f t="shared" si="10"/>
        <v>76855.807499999995</v>
      </c>
      <c r="H80">
        <f t="shared" si="10"/>
        <v>514695.58309999999</v>
      </c>
      <c r="I80">
        <f t="shared" si="10"/>
        <v>271320.87319999997</v>
      </c>
      <c r="J80">
        <f t="shared" si="10"/>
        <v>2373332.7823999999</v>
      </c>
      <c r="N80">
        <v>0</v>
      </c>
      <c r="O80">
        <v>309978.09000000003</v>
      </c>
      <c r="P80">
        <v>192987.40669999999</v>
      </c>
      <c r="Q80">
        <v>371501.76870000002</v>
      </c>
      <c r="R80">
        <v>567106.41650000005</v>
      </c>
      <c r="S80">
        <v>68886.8367</v>
      </c>
      <c r="T80">
        <v>76855.807499999995</v>
      </c>
      <c r="U80">
        <v>514695.58309999999</v>
      </c>
      <c r="V80">
        <v>271320.87319999997</v>
      </c>
      <c r="W80">
        <f>SUM(O80:V80)</f>
        <v>2373332.7823999999</v>
      </c>
    </row>
    <row r="81" spans="1:23" x14ac:dyDescent="0.2">
      <c r="A81">
        <v>1</v>
      </c>
      <c r="B81">
        <f t="shared" si="10"/>
        <v>1062549.9314999999</v>
      </c>
      <c r="C81">
        <f t="shared" si="10"/>
        <v>138671.49619999999</v>
      </c>
      <c r="D81">
        <f t="shared" si="10"/>
        <v>13297.178400000001</v>
      </c>
      <c r="E81">
        <f t="shared" si="10"/>
        <v>24357.343499999999</v>
      </c>
      <c r="F81">
        <f t="shared" si="10"/>
        <v>38204.534899999999</v>
      </c>
      <c r="G81">
        <f t="shared" si="10"/>
        <v>1643.7366999999999</v>
      </c>
      <c r="H81">
        <f t="shared" si="10"/>
        <v>1220.3427999999999</v>
      </c>
      <c r="I81">
        <f t="shared" si="10"/>
        <v>376.6164</v>
      </c>
      <c r="J81">
        <f t="shared" si="10"/>
        <v>1280321.1804</v>
      </c>
      <c r="N81">
        <v>1</v>
      </c>
      <c r="O81">
        <v>1062549.9314999999</v>
      </c>
      <c r="P81">
        <v>138671.49619999999</v>
      </c>
      <c r="Q81">
        <v>13297.178400000001</v>
      </c>
      <c r="R81">
        <v>24357.343499999999</v>
      </c>
      <c r="S81">
        <v>38204.534899999999</v>
      </c>
      <c r="T81">
        <v>1643.7366999999999</v>
      </c>
      <c r="U81">
        <v>1220.3427999999999</v>
      </c>
      <c r="V81">
        <v>376.6164</v>
      </c>
      <c r="W81">
        <f>SUM(O81:V81)</f>
        <v>1280321.1804</v>
      </c>
    </row>
    <row r="82" spans="1:23" x14ac:dyDescent="0.2">
      <c r="A82">
        <v>2</v>
      </c>
      <c r="B82">
        <f t="shared" si="10"/>
        <v>38602.193299999999</v>
      </c>
      <c r="C82">
        <f t="shared" si="10"/>
        <v>9203.8503999999994</v>
      </c>
      <c r="D82">
        <f t="shared" si="10"/>
        <v>293.03129999999999</v>
      </c>
      <c r="E82">
        <f t="shared" si="10"/>
        <v>566.16300000000001</v>
      </c>
      <c r="F82">
        <f t="shared" si="10"/>
        <v>3206.3818000000001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51871.6198</v>
      </c>
      <c r="N82">
        <v>2</v>
      </c>
      <c r="O82">
        <v>38602.193299999999</v>
      </c>
      <c r="P82">
        <v>9203.8503999999994</v>
      </c>
      <c r="Q82">
        <v>293.03129999999999</v>
      </c>
      <c r="R82">
        <v>566.16300000000001</v>
      </c>
      <c r="S82">
        <v>3206.3818000000001</v>
      </c>
      <c r="T82">
        <v>0</v>
      </c>
      <c r="U82">
        <v>0</v>
      </c>
      <c r="V82">
        <v>0</v>
      </c>
      <c r="W82">
        <f>SUM(O82:V82)</f>
        <v>51871.6198</v>
      </c>
    </row>
    <row r="83" spans="1:23" x14ac:dyDescent="0.2">
      <c r="A83" t="s">
        <v>116</v>
      </c>
      <c r="B83">
        <f t="shared" si="10"/>
        <v>1459.5275999999999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2992.384</v>
      </c>
      <c r="N83" t="s">
        <v>116</v>
      </c>
      <c r="O83">
        <v>1459.5275999999999</v>
      </c>
      <c r="P83">
        <v>92.928799999999995</v>
      </c>
      <c r="Q83">
        <v>0</v>
      </c>
      <c r="R83">
        <v>258.74540000000002</v>
      </c>
      <c r="S83">
        <v>1181.1822</v>
      </c>
      <c r="T83">
        <v>0</v>
      </c>
      <c r="U83">
        <v>0</v>
      </c>
      <c r="V83">
        <v>0</v>
      </c>
      <c r="W83">
        <f>SUM(O83:V83)</f>
        <v>2992.384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1406700.5867999999</v>
      </c>
      <c r="C87">
        <f t="shared" si="11"/>
        <v>313314.9081</v>
      </c>
      <c r="D87">
        <f t="shared" si="11"/>
        <v>383947.18560000003</v>
      </c>
      <c r="E87">
        <f t="shared" si="11"/>
        <v>546976.2023</v>
      </c>
      <c r="F87">
        <f t="shared" si="11"/>
        <v>75509.095000000001</v>
      </c>
      <c r="G87">
        <f t="shared" si="11"/>
        <v>18109.356500000002</v>
      </c>
      <c r="H87">
        <f t="shared" si="11"/>
        <v>128576.4286</v>
      </c>
      <c r="I87">
        <f t="shared" si="11"/>
        <v>221739.19380000001</v>
      </c>
      <c r="J87">
        <f t="shared" si="11"/>
        <v>3094872.9567000004</v>
      </c>
      <c r="N87">
        <v>0</v>
      </c>
      <c r="O87">
        <v>1406700.5867999999</v>
      </c>
      <c r="P87">
        <v>313314.9081</v>
      </c>
      <c r="Q87">
        <v>383947.18560000003</v>
      </c>
      <c r="R87">
        <v>546976.2023</v>
      </c>
      <c r="S87">
        <v>75509.095000000001</v>
      </c>
      <c r="T87">
        <v>18109.356500000002</v>
      </c>
      <c r="U87">
        <v>128576.4286</v>
      </c>
      <c r="V87">
        <v>221739.19380000001</v>
      </c>
      <c r="W87">
        <f>SUM(O87:V87)</f>
        <v>3094872.9567000004</v>
      </c>
    </row>
    <row r="88" spans="1:23" x14ac:dyDescent="0.2">
      <c r="A88">
        <v>1</v>
      </c>
      <c r="B88">
        <f t="shared" si="11"/>
        <v>5889.1556</v>
      </c>
      <c r="C88">
        <f t="shared" si="11"/>
        <v>26502.902600000001</v>
      </c>
      <c r="D88">
        <f t="shared" si="11"/>
        <v>1144.7927999999999</v>
      </c>
      <c r="E88">
        <f t="shared" si="11"/>
        <v>42613.266300000003</v>
      </c>
      <c r="F88">
        <f t="shared" si="11"/>
        <v>32428.623899999999</v>
      </c>
      <c r="G88">
        <f t="shared" si="11"/>
        <v>59582.183900000004</v>
      </c>
      <c r="H88">
        <f t="shared" si="11"/>
        <v>382414.44829999999</v>
      </c>
      <c r="I88">
        <f t="shared" si="11"/>
        <v>49199.931700000001</v>
      </c>
      <c r="J88">
        <f t="shared" si="11"/>
        <v>599775.3051</v>
      </c>
      <c r="N88">
        <v>1</v>
      </c>
      <c r="O88">
        <v>5889.1556</v>
      </c>
      <c r="P88">
        <v>26502.902600000001</v>
      </c>
      <c r="Q88">
        <v>1144.7927999999999</v>
      </c>
      <c r="R88">
        <v>42613.266300000003</v>
      </c>
      <c r="S88">
        <v>32428.623899999999</v>
      </c>
      <c r="T88">
        <v>59582.183900000004</v>
      </c>
      <c r="U88">
        <v>382414.44829999999</v>
      </c>
      <c r="V88">
        <v>49199.931700000001</v>
      </c>
      <c r="W88">
        <f>SUM(O88:V88)</f>
        <v>599775.3051</v>
      </c>
    </row>
    <row r="89" spans="1:23" x14ac:dyDescent="0.2">
      <c r="A89">
        <v>2</v>
      </c>
      <c r="B89">
        <f t="shared" si="11"/>
        <v>0</v>
      </c>
      <c r="C89">
        <f t="shared" si="11"/>
        <v>1137.8714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4925.049</v>
      </c>
      <c r="I89">
        <f t="shared" si="11"/>
        <v>437.35910000000001</v>
      </c>
      <c r="J89">
        <f t="shared" si="11"/>
        <v>12854.5018</v>
      </c>
      <c r="N89">
        <v>2</v>
      </c>
      <c r="O89">
        <v>0</v>
      </c>
      <c r="P89">
        <v>1137.8714</v>
      </c>
      <c r="Q89">
        <v>0</v>
      </c>
      <c r="R89">
        <v>2699.1997999999999</v>
      </c>
      <c r="S89">
        <v>2847.0187000000001</v>
      </c>
      <c r="T89">
        <v>808.00379999999996</v>
      </c>
      <c r="U89">
        <v>4925.049</v>
      </c>
      <c r="V89">
        <v>437.35910000000001</v>
      </c>
      <c r="W89">
        <f>SUM(O89:V89)</f>
        <v>12854.5018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>
        <v>0</v>
      </c>
      <c r="P90">
        <v>0</v>
      </c>
      <c r="Q90">
        <v>0</v>
      </c>
      <c r="R90">
        <v>0</v>
      </c>
      <c r="S90">
        <v>694.19799999999998</v>
      </c>
      <c r="T90">
        <v>0</v>
      </c>
      <c r="U90">
        <v>0</v>
      </c>
      <c r="V90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1302592.5277</v>
      </c>
      <c r="C94">
        <f t="shared" si="12"/>
        <v>289548.2415</v>
      </c>
      <c r="D94">
        <f t="shared" si="12"/>
        <v>345004.45370000001</v>
      </c>
      <c r="E94">
        <f t="shared" si="12"/>
        <v>481172.42239999998</v>
      </c>
      <c r="F94">
        <f t="shared" si="12"/>
        <v>103549.664</v>
      </c>
      <c r="G94">
        <f t="shared" si="12"/>
        <v>72589.529500000004</v>
      </c>
      <c r="H94">
        <f t="shared" si="12"/>
        <v>492031.90139999997</v>
      </c>
      <c r="I94">
        <f t="shared" si="12"/>
        <v>238872.64009999999</v>
      </c>
      <c r="J94">
        <f t="shared" si="12"/>
        <v>3325361.3802999998</v>
      </c>
      <c r="N94">
        <v>0</v>
      </c>
      <c r="O94">
        <v>1302592.5277</v>
      </c>
      <c r="P94">
        <v>289548.2415</v>
      </c>
      <c r="Q94">
        <v>345004.45370000001</v>
      </c>
      <c r="R94">
        <v>481172.42239999998</v>
      </c>
      <c r="S94">
        <v>103549.664</v>
      </c>
      <c r="T94">
        <v>72589.529500000004</v>
      </c>
      <c r="U94">
        <v>492031.90139999997</v>
      </c>
      <c r="V94">
        <v>238872.64009999999</v>
      </c>
      <c r="W94">
        <f>SUM(O94:V94)</f>
        <v>3325361.3802999998</v>
      </c>
    </row>
    <row r="95" spans="1:23" x14ac:dyDescent="0.2">
      <c r="A95">
        <v>1</v>
      </c>
      <c r="B95">
        <f t="shared" si="12"/>
        <v>77436.779399999999</v>
      </c>
      <c r="C95">
        <f t="shared" si="12"/>
        <v>29562.633600000001</v>
      </c>
      <c r="D95">
        <f t="shared" si="12"/>
        <v>35438.350299999998</v>
      </c>
      <c r="E95">
        <f t="shared" si="12"/>
        <v>63223.855499999998</v>
      </c>
      <c r="F95">
        <f t="shared" si="12"/>
        <v>6761.3572999999997</v>
      </c>
      <c r="G95">
        <f t="shared" si="12"/>
        <v>5500.8762999999999</v>
      </c>
      <c r="H95">
        <f t="shared" si="12"/>
        <v>22926.458600000002</v>
      </c>
      <c r="I95">
        <f t="shared" si="12"/>
        <v>30602.965499999998</v>
      </c>
      <c r="J95">
        <f t="shared" si="12"/>
        <v>271453.27650000004</v>
      </c>
      <c r="N95">
        <v>1</v>
      </c>
      <c r="O95">
        <v>77436.779399999999</v>
      </c>
      <c r="P95">
        <v>29562.633600000001</v>
      </c>
      <c r="Q95">
        <v>35438.350299999998</v>
      </c>
      <c r="R95">
        <v>63223.855499999998</v>
      </c>
      <c r="S95">
        <v>6761.3572999999997</v>
      </c>
      <c r="T95">
        <v>5500.8762999999999</v>
      </c>
      <c r="U95">
        <v>22926.458600000002</v>
      </c>
      <c r="V95">
        <v>30602.965499999998</v>
      </c>
      <c r="W95">
        <f>SUM(O95:V95)</f>
        <v>271453.27650000004</v>
      </c>
    </row>
    <row r="96" spans="1:23" x14ac:dyDescent="0.2">
      <c r="A96">
        <v>2</v>
      </c>
      <c r="B96">
        <f t="shared" si="12"/>
        <v>29857.371900000002</v>
      </c>
      <c r="C96">
        <f t="shared" si="12"/>
        <v>17732.657299999999</v>
      </c>
      <c r="D96">
        <f t="shared" si="12"/>
        <v>4384.6768000000002</v>
      </c>
      <c r="E96">
        <f t="shared" si="12"/>
        <v>34505.280200000001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2221.884</v>
      </c>
      <c r="J96">
        <f t="shared" si="12"/>
        <v>90970.236100000024</v>
      </c>
      <c r="N96">
        <v>2</v>
      </c>
      <c r="O96">
        <v>29857.371900000002</v>
      </c>
      <c r="P96">
        <v>17732.657299999999</v>
      </c>
      <c r="Q96">
        <v>4384.6768000000002</v>
      </c>
      <c r="R96">
        <v>34505.280200000001</v>
      </c>
      <c r="S96">
        <v>901.66160000000002</v>
      </c>
      <c r="T96">
        <v>409.13839999999999</v>
      </c>
      <c r="U96">
        <v>957.56590000000006</v>
      </c>
      <c r="V96">
        <v>2221.884</v>
      </c>
      <c r="W96">
        <f>SUM(O96:V96)</f>
        <v>90970.236100000024</v>
      </c>
    </row>
    <row r="97" spans="1:23" x14ac:dyDescent="0.2">
      <c r="A97" t="s">
        <v>116</v>
      </c>
      <c r="B97">
        <f t="shared" si="12"/>
        <v>2703.0634</v>
      </c>
      <c r="C97">
        <f t="shared" si="12"/>
        <v>4112.1496999999999</v>
      </c>
      <c r="D97">
        <f t="shared" si="12"/>
        <v>264.49760000000003</v>
      </c>
      <c r="E97">
        <f t="shared" si="12"/>
        <v>13387.1103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20733.073700000001</v>
      </c>
      <c r="N97" t="s">
        <v>116</v>
      </c>
      <c r="O97">
        <v>2703.0634</v>
      </c>
      <c r="P97">
        <v>4112.1496999999999</v>
      </c>
      <c r="Q97">
        <v>264.49760000000003</v>
      </c>
      <c r="R97">
        <v>13387.1103</v>
      </c>
      <c r="S97">
        <v>266.2527</v>
      </c>
      <c r="T97">
        <v>0</v>
      </c>
      <c r="U97">
        <v>0</v>
      </c>
      <c r="V97">
        <v>0</v>
      </c>
      <c r="W97">
        <f>SUM(O97:V97)</f>
        <v>20733.073700000001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1307253.7679000001</v>
      </c>
      <c r="C101">
        <f t="shared" si="13"/>
        <v>289073.0183</v>
      </c>
      <c r="D101">
        <f t="shared" si="13"/>
        <v>277022.14769999997</v>
      </c>
      <c r="E101">
        <f t="shared" si="13"/>
        <v>465685.16639999999</v>
      </c>
      <c r="F101">
        <f t="shared" si="13"/>
        <v>99843.261599999998</v>
      </c>
      <c r="G101">
        <f t="shared" si="13"/>
        <v>74513.731899999999</v>
      </c>
      <c r="H101">
        <f t="shared" si="13"/>
        <v>471650.76870000002</v>
      </c>
      <c r="I101">
        <f t="shared" si="13"/>
        <v>230416.82810000001</v>
      </c>
      <c r="J101">
        <f t="shared" si="13"/>
        <v>3215458.6905999999</v>
      </c>
      <c r="N101">
        <v>0</v>
      </c>
      <c r="O101">
        <v>1307253.7679000001</v>
      </c>
      <c r="P101">
        <v>289073.0183</v>
      </c>
      <c r="Q101">
        <v>277022.14769999997</v>
      </c>
      <c r="R101">
        <v>465685.16639999999</v>
      </c>
      <c r="S101">
        <v>99843.261599999998</v>
      </c>
      <c r="T101">
        <v>74513.731899999999</v>
      </c>
      <c r="U101">
        <v>471650.76870000002</v>
      </c>
      <c r="V101">
        <v>230416.82810000001</v>
      </c>
      <c r="W101">
        <f>SUM(O101:V101)</f>
        <v>3215458.6905999999</v>
      </c>
    </row>
    <row r="102" spans="1:23" x14ac:dyDescent="0.2">
      <c r="A102">
        <v>1</v>
      </c>
      <c r="B102">
        <f t="shared" si="13"/>
        <v>97614.944499999998</v>
      </c>
      <c r="C102">
        <f t="shared" si="13"/>
        <v>42991.531499999997</v>
      </c>
      <c r="D102">
        <f t="shared" si="13"/>
        <v>90653.794999999998</v>
      </c>
      <c r="E102">
        <f t="shared" si="13"/>
        <v>110835.7007</v>
      </c>
      <c r="F102">
        <f t="shared" si="13"/>
        <v>10976.9329</v>
      </c>
      <c r="G102">
        <f t="shared" si="13"/>
        <v>3953.6905999999999</v>
      </c>
      <c r="H102">
        <f t="shared" si="13"/>
        <v>38440.995600000002</v>
      </c>
      <c r="I102">
        <f t="shared" si="13"/>
        <v>32648.784800000001</v>
      </c>
      <c r="J102">
        <f t="shared" si="13"/>
        <v>428116.37560000003</v>
      </c>
      <c r="N102">
        <v>1</v>
      </c>
      <c r="O102">
        <v>97614.944499999998</v>
      </c>
      <c r="P102">
        <v>42991.531499999997</v>
      </c>
      <c r="Q102">
        <v>90653.794999999998</v>
      </c>
      <c r="R102">
        <v>110835.7007</v>
      </c>
      <c r="S102">
        <v>10976.9329</v>
      </c>
      <c r="T102">
        <v>3953.6905999999999</v>
      </c>
      <c r="U102">
        <v>38440.995600000002</v>
      </c>
      <c r="V102">
        <v>32648.784800000001</v>
      </c>
      <c r="W102">
        <f>SUM(O102:V102)</f>
        <v>428116.37560000003</v>
      </c>
    </row>
    <row r="103" spans="1:23" x14ac:dyDescent="0.2">
      <c r="A103">
        <v>2</v>
      </c>
      <c r="B103">
        <f t="shared" si="13"/>
        <v>6928.1251000000002</v>
      </c>
      <c r="C103">
        <f t="shared" si="13"/>
        <v>5791.0122000000001</v>
      </c>
      <c r="D103">
        <f t="shared" si="13"/>
        <v>14948.9519</v>
      </c>
      <c r="E103">
        <f t="shared" si="13"/>
        <v>13513.2983</v>
      </c>
      <c r="F103">
        <f t="shared" si="13"/>
        <v>537.34649999999999</v>
      </c>
      <c r="G103">
        <f t="shared" si="13"/>
        <v>32.121699999999997</v>
      </c>
      <c r="H103">
        <f t="shared" si="13"/>
        <v>3627.4007999999999</v>
      </c>
      <c r="I103">
        <f t="shared" si="13"/>
        <v>6828.0311999999994</v>
      </c>
      <c r="J103">
        <f t="shared" si="13"/>
        <v>52206.287700000008</v>
      </c>
      <c r="N103">
        <v>2</v>
      </c>
      <c r="O103">
        <v>6928.1251000000002</v>
      </c>
      <c r="P103">
        <v>5791.0122000000001</v>
      </c>
      <c r="Q103">
        <v>14948.9519</v>
      </c>
      <c r="R103">
        <v>13513.2983</v>
      </c>
      <c r="S103">
        <v>537.34649999999999</v>
      </c>
      <c r="T103">
        <v>32.121699999999997</v>
      </c>
      <c r="U103">
        <v>3627.4007999999999</v>
      </c>
      <c r="V103">
        <v>6828.0311999999994</v>
      </c>
      <c r="W103">
        <f>SUM(O103:V103)</f>
        <v>52206.287700000008</v>
      </c>
    </row>
    <row r="104" spans="1:23" x14ac:dyDescent="0.2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2467.0837999999999</v>
      </c>
      <c r="E104">
        <f t="shared" si="13"/>
        <v>2254.5029999999997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1803.8454999999999</v>
      </c>
      <c r="J104">
        <f t="shared" si="13"/>
        <v>12736.612699999998</v>
      </c>
      <c r="N104" t="s">
        <v>116</v>
      </c>
      <c r="O104">
        <v>792.9049</v>
      </c>
      <c r="P104">
        <v>3100.1201000000001</v>
      </c>
      <c r="Q104">
        <v>2467.0837999999999</v>
      </c>
      <c r="R104">
        <v>2254.5029999999997</v>
      </c>
      <c r="S104">
        <v>121.3946</v>
      </c>
      <c r="T104">
        <v>0</v>
      </c>
      <c r="U104">
        <v>2196.7608</v>
      </c>
      <c r="V104">
        <v>1803.8454999999999</v>
      </c>
      <c r="W104">
        <f>SUM(O104:V104)</f>
        <v>12736.612699999998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1294514.3705</v>
      </c>
      <c r="C108">
        <f t="shared" si="14"/>
        <v>288524.95919999998</v>
      </c>
      <c r="D108">
        <f t="shared" si="14"/>
        <v>287281.17070000002</v>
      </c>
      <c r="E108">
        <f t="shared" si="14"/>
        <v>439333.94</v>
      </c>
      <c r="F108">
        <f t="shared" si="14"/>
        <v>97982.364700000006</v>
      </c>
      <c r="G108">
        <f t="shared" si="14"/>
        <v>77761.395799999998</v>
      </c>
      <c r="H108">
        <f t="shared" si="14"/>
        <v>490421.73989999999</v>
      </c>
      <c r="I108">
        <f t="shared" si="14"/>
        <v>215815.2268</v>
      </c>
      <c r="J108">
        <f t="shared" si="14"/>
        <v>3191635.1675999993</v>
      </c>
      <c r="N108">
        <v>0</v>
      </c>
      <c r="O108">
        <v>1294514.3705</v>
      </c>
      <c r="P108">
        <v>288524.95919999998</v>
      </c>
      <c r="Q108">
        <v>287281.17070000002</v>
      </c>
      <c r="R108">
        <v>439333.94</v>
      </c>
      <c r="S108">
        <v>97982.364700000006</v>
      </c>
      <c r="T108">
        <v>77761.395799999998</v>
      </c>
      <c r="U108">
        <v>490421.73989999999</v>
      </c>
      <c r="V108">
        <v>215815.2268</v>
      </c>
      <c r="W108">
        <f>SUM(O108:V108)</f>
        <v>3191635.1675999993</v>
      </c>
    </row>
    <row r="109" spans="1:23" x14ac:dyDescent="0.2">
      <c r="A109">
        <v>1</v>
      </c>
      <c r="B109">
        <f t="shared" si="14"/>
        <v>110121.61</v>
      </c>
      <c r="C109">
        <f t="shared" si="14"/>
        <v>49271.663399999998</v>
      </c>
      <c r="D109">
        <f t="shared" si="14"/>
        <v>88392.359400000001</v>
      </c>
      <c r="E109">
        <f t="shared" si="14"/>
        <v>139573.2182</v>
      </c>
      <c r="F109">
        <f t="shared" si="14"/>
        <v>11909.3249</v>
      </c>
      <c r="G109">
        <f t="shared" si="14"/>
        <v>738.14840000000004</v>
      </c>
      <c r="H109">
        <f t="shared" si="14"/>
        <v>24935.952700000002</v>
      </c>
      <c r="I109">
        <f t="shared" si="14"/>
        <v>54386.484199999999</v>
      </c>
      <c r="J109">
        <f t="shared" si="14"/>
        <v>479328.76120000007</v>
      </c>
      <c r="N109">
        <v>1</v>
      </c>
      <c r="O109">
        <v>110121.61</v>
      </c>
      <c r="P109">
        <v>49271.663399999998</v>
      </c>
      <c r="Q109">
        <v>88392.359400000001</v>
      </c>
      <c r="R109">
        <v>139573.2182</v>
      </c>
      <c r="S109">
        <v>11909.3249</v>
      </c>
      <c r="T109">
        <v>738.14840000000004</v>
      </c>
      <c r="U109">
        <v>24935.952700000002</v>
      </c>
      <c r="V109">
        <v>54386.484199999999</v>
      </c>
      <c r="W109">
        <f>SUM(O109:V109)</f>
        <v>479328.76120000007</v>
      </c>
    </row>
    <row r="110" spans="1:23" x14ac:dyDescent="0.2">
      <c r="A110">
        <v>2</v>
      </c>
      <c r="B110">
        <f t="shared" si="14"/>
        <v>7451.8483999999999</v>
      </c>
      <c r="C110">
        <f t="shared" si="14"/>
        <v>3159.0594999999998</v>
      </c>
      <c r="D110">
        <f t="shared" si="14"/>
        <v>9418.4483</v>
      </c>
      <c r="E110">
        <f t="shared" si="14"/>
        <v>12962.8369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36386.683300000004</v>
      </c>
      <c r="N110">
        <v>2</v>
      </c>
      <c r="O110">
        <v>7451.8483999999999</v>
      </c>
      <c r="P110">
        <v>3159.0594999999998</v>
      </c>
      <c r="Q110">
        <v>9418.4483</v>
      </c>
      <c r="R110">
        <v>12962.8369</v>
      </c>
      <c r="S110">
        <v>1587.2460000000001</v>
      </c>
      <c r="T110">
        <v>0</v>
      </c>
      <c r="U110">
        <v>311.46559999999999</v>
      </c>
      <c r="V110">
        <v>1495.7786000000001</v>
      </c>
      <c r="W110">
        <f>SUM(O110:V110)</f>
        <v>36386.683300000004</v>
      </c>
    </row>
    <row r="111" spans="1:23" x14ac:dyDescent="0.2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418.67329999999998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1167.3544999999999</v>
      </c>
      <c r="N111" t="s">
        <v>116</v>
      </c>
      <c r="O111">
        <v>501.9135</v>
      </c>
      <c r="P111">
        <v>0</v>
      </c>
      <c r="Q111">
        <v>0</v>
      </c>
      <c r="R111">
        <v>418.67329999999998</v>
      </c>
      <c r="S111">
        <v>0</v>
      </c>
      <c r="T111">
        <v>0</v>
      </c>
      <c r="U111">
        <v>246.76769999999999</v>
      </c>
      <c r="V111">
        <v>0</v>
      </c>
      <c r="W111">
        <f>SUM(O111:V111)</f>
        <v>1167.3544999999999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1355497.4375</v>
      </c>
      <c r="C115">
        <f t="shared" si="15"/>
        <v>325887.09049999999</v>
      </c>
      <c r="D115">
        <f t="shared" si="15"/>
        <v>354397.45980000001</v>
      </c>
      <c r="E115">
        <f t="shared" si="15"/>
        <v>547066.75360000005</v>
      </c>
      <c r="F115">
        <f t="shared" si="15"/>
        <v>105993.3354</v>
      </c>
      <c r="G115">
        <f t="shared" si="15"/>
        <v>78499.544200000004</v>
      </c>
      <c r="H115">
        <f t="shared" si="15"/>
        <v>504641.28950000001</v>
      </c>
      <c r="I115">
        <f t="shared" si="15"/>
        <v>265853.20360000001</v>
      </c>
      <c r="J115">
        <f t="shared" si="15"/>
        <v>3537836.1141000004</v>
      </c>
      <c r="N115">
        <v>0</v>
      </c>
      <c r="O115">
        <v>1355497.4375</v>
      </c>
      <c r="P115">
        <v>325887.09049999999</v>
      </c>
      <c r="Q115">
        <v>354397.45980000001</v>
      </c>
      <c r="R115">
        <v>547066.75360000005</v>
      </c>
      <c r="S115">
        <v>105993.3354</v>
      </c>
      <c r="T115">
        <v>78499.544200000004</v>
      </c>
      <c r="U115">
        <v>504641.28950000001</v>
      </c>
      <c r="V115">
        <v>265853.20360000001</v>
      </c>
      <c r="W115">
        <f>SUM(O115:V115)</f>
        <v>3537836.1141000004</v>
      </c>
    </row>
    <row r="116" spans="1:23" x14ac:dyDescent="0.2">
      <c r="A116">
        <v>1</v>
      </c>
      <c r="B116">
        <f t="shared" si="15"/>
        <v>55954.385000000002</v>
      </c>
      <c r="C116">
        <f t="shared" si="15"/>
        <v>13600.0836</v>
      </c>
      <c r="D116">
        <f t="shared" si="15"/>
        <v>28889.490900000001</v>
      </c>
      <c r="E116">
        <f t="shared" si="15"/>
        <v>42300.472999999998</v>
      </c>
      <c r="F116">
        <f t="shared" si="15"/>
        <v>5375.8301999999994</v>
      </c>
      <c r="G116">
        <f t="shared" si="15"/>
        <v>0</v>
      </c>
      <c r="H116">
        <f t="shared" si="15"/>
        <v>11274.636399999999</v>
      </c>
      <c r="I116">
        <f t="shared" si="15"/>
        <v>5844.2860000000001</v>
      </c>
      <c r="J116">
        <f t="shared" si="15"/>
        <v>163239.18509999997</v>
      </c>
      <c r="N116">
        <v>1</v>
      </c>
      <c r="O116">
        <v>55954.385000000002</v>
      </c>
      <c r="P116">
        <v>13600.0836</v>
      </c>
      <c r="Q116">
        <v>28889.490900000001</v>
      </c>
      <c r="R116">
        <v>42300.472999999998</v>
      </c>
      <c r="S116">
        <v>5375.8301999999994</v>
      </c>
      <c r="T116">
        <v>0</v>
      </c>
      <c r="U116">
        <v>11274.636399999999</v>
      </c>
      <c r="V116">
        <v>5844.2860000000001</v>
      </c>
      <c r="W116">
        <f>SUM(O116:V116)</f>
        <v>163239.18509999997</v>
      </c>
    </row>
    <row r="117" spans="1:23" x14ac:dyDescent="0.2">
      <c r="A117">
        <v>2</v>
      </c>
      <c r="B117">
        <f t="shared" si="15"/>
        <v>1137.9198999999999</v>
      </c>
      <c r="C117">
        <f t="shared" si="15"/>
        <v>1468.508</v>
      </c>
      <c r="D117">
        <f t="shared" si="15"/>
        <v>1805.0276999999999</v>
      </c>
      <c r="E117">
        <f t="shared" si="15"/>
        <v>2921.4418000000001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7442.6674000000003</v>
      </c>
      <c r="N117">
        <v>2</v>
      </c>
      <c r="O117">
        <v>1137.9198999999999</v>
      </c>
      <c r="P117">
        <v>1468.508</v>
      </c>
      <c r="Q117">
        <v>1805.0276999999999</v>
      </c>
      <c r="R117">
        <v>2921.4418000000001</v>
      </c>
      <c r="S117">
        <v>109.77</v>
      </c>
      <c r="T117">
        <v>0</v>
      </c>
      <c r="U117">
        <v>0</v>
      </c>
      <c r="V117">
        <v>0</v>
      </c>
      <c r="W117">
        <f>SUM(O117:V117)</f>
        <v>7442.6674000000003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1202225.1021</v>
      </c>
      <c r="C122">
        <f t="shared" si="16"/>
        <v>263956.70850000001</v>
      </c>
      <c r="D122">
        <f t="shared" si="16"/>
        <v>283369.16810000001</v>
      </c>
      <c r="E122">
        <f t="shared" si="16"/>
        <v>429811.1974</v>
      </c>
      <c r="F122">
        <f t="shared" si="16"/>
        <v>94601.7114</v>
      </c>
      <c r="G122">
        <f t="shared" si="16"/>
        <v>68772.274900000004</v>
      </c>
      <c r="H122">
        <f t="shared" si="16"/>
        <v>418393.80119999999</v>
      </c>
      <c r="I122">
        <f t="shared" si="16"/>
        <v>193822.43919999999</v>
      </c>
      <c r="J122">
        <f t="shared" si="16"/>
        <v>2954952.4027999998</v>
      </c>
      <c r="N122">
        <v>0</v>
      </c>
      <c r="O122">
        <v>1202225.1021</v>
      </c>
      <c r="P122">
        <v>263956.70850000001</v>
      </c>
      <c r="Q122">
        <v>283369.16810000001</v>
      </c>
      <c r="R122">
        <v>429811.1974</v>
      </c>
      <c r="S122">
        <v>94601.7114</v>
      </c>
      <c r="T122">
        <v>68772.274900000004</v>
      </c>
      <c r="U122">
        <v>418393.80119999999</v>
      </c>
      <c r="V122">
        <v>193822.43919999999</v>
      </c>
      <c r="W122">
        <f>SUM(O122:V122)</f>
        <v>2954952.4027999998</v>
      </c>
    </row>
    <row r="123" spans="1:23" x14ac:dyDescent="0.2">
      <c r="A123">
        <v>1</v>
      </c>
      <c r="B123">
        <f t="shared" si="16"/>
        <v>182970.90150000001</v>
      </c>
      <c r="C123">
        <f t="shared" si="16"/>
        <v>61561.319000000003</v>
      </c>
      <c r="D123">
        <f t="shared" si="16"/>
        <v>91964.605800000005</v>
      </c>
      <c r="E123">
        <f t="shared" si="16"/>
        <v>138729.14079999999</v>
      </c>
      <c r="F123">
        <f t="shared" si="16"/>
        <v>14870.8604</v>
      </c>
      <c r="G123">
        <f t="shared" si="16"/>
        <v>7631.5523000000003</v>
      </c>
      <c r="H123">
        <f t="shared" si="16"/>
        <v>87320.081699999995</v>
      </c>
      <c r="I123">
        <f t="shared" si="16"/>
        <v>66774.047500000001</v>
      </c>
      <c r="J123">
        <f t="shared" si="16"/>
        <v>651822.50899999996</v>
      </c>
      <c r="N123">
        <v>1</v>
      </c>
      <c r="O123">
        <v>182970.90150000001</v>
      </c>
      <c r="P123">
        <v>61561.319000000003</v>
      </c>
      <c r="Q123">
        <v>91964.605800000005</v>
      </c>
      <c r="R123">
        <v>138729.14079999999</v>
      </c>
      <c r="S123">
        <v>14870.8604</v>
      </c>
      <c r="T123">
        <v>7631.5523000000003</v>
      </c>
      <c r="U123">
        <v>87320.081699999995</v>
      </c>
      <c r="V123">
        <v>66774.047500000001</v>
      </c>
      <c r="W123">
        <f>SUM(O123:V123)</f>
        <v>651822.50899999996</v>
      </c>
    </row>
    <row r="124" spans="1:23" x14ac:dyDescent="0.2">
      <c r="A124">
        <v>2</v>
      </c>
      <c r="B124">
        <f t="shared" si="16"/>
        <v>25393.6842</v>
      </c>
      <c r="C124">
        <f t="shared" si="16"/>
        <v>14047.1021</v>
      </c>
      <c r="D124">
        <f t="shared" si="16"/>
        <v>9544.2831000000006</v>
      </c>
      <c r="E124">
        <f t="shared" si="16"/>
        <v>20678.5128</v>
      </c>
      <c r="F124">
        <f t="shared" si="16"/>
        <v>1750.9271999999999</v>
      </c>
      <c r="G124">
        <f t="shared" si="16"/>
        <v>2095.7170000000001</v>
      </c>
      <c r="H124">
        <f t="shared" si="16"/>
        <v>8164.1266000000005</v>
      </c>
      <c r="I124">
        <f t="shared" si="16"/>
        <v>10950.9704</v>
      </c>
      <c r="J124">
        <f t="shared" si="16"/>
        <v>92625.323400000023</v>
      </c>
      <c r="N124">
        <v>2</v>
      </c>
      <c r="O124">
        <v>25393.6842</v>
      </c>
      <c r="P124">
        <v>14047.1021</v>
      </c>
      <c r="Q124">
        <v>9544.2831000000006</v>
      </c>
      <c r="R124">
        <v>20678.5128</v>
      </c>
      <c r="S124">
        <v>1750.9271999999999</v>
      </c>
      <c r="T124">
        <v>2095.7170000000001</v>
      </c>
      <c r="U124">
        <v>8164.1266000000005</v>
      </c>
      <c r="V124">
        <v>10950.9704</v>
      </c>
      <c r="W124">
        <f>SUM(O124:V124)</f>
        <v>92625.323400000023</v>
      </c>
    </row>
    <row r="125" spans="1:23" x14ac:dyDescent="0.2">
      <c r="A125" t="s">
        <v>116</v>
      </c>
      <c r="B125">
        <f t="shared" si="16"/>
        <v>2000.0545999999999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9117.7313999999988</v>
      </c>
      <c r="N125" t="s">
        <v>116</v>
      </c>
      <c r="O125">
        <v>2000.0545999999999</v>
      </c>
      <c r="P125">
        <v>1390.5525</v>
      </c>
      <c r="Q125">
        <v>213.92140000000001</v>
      </c>
      <c r="R125">
        <v>3069.8173999999999</v>
      </c>
      <c r="S125">
        <v>255.4366</v>
      </c>
      <c r="T125">
        <v>0</v>
      </c>
      <c r="U125">
        <v>2037.9164000000001</v>
      </c>
      <c r="V125">
        <v>150.0325</v>
      </c>
      <c r="W125">
        <f>SUM(O125:V125)</f>
        <v>9117.7313999999988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1292498.7388391215</v>
      </c>
      <c r="C129">
        <f t="shared" si="17"/>
        <v>306580.7553827535</v>
      </c>
      <c r="D129">
        <f t="shared" si="17"/>
        <v>1599079.494221875</v>
      </c>
      <c r="N129">
        <v>0</v>
      </c>
      <c r="O129">
        <v>1292498.7388391215</v>
      </c>
      <c r="P129">
        <v>306580.7553827535</v>
      </c>
      <c r="Q129">
        <f>SUM(O129:P129)</f>
        <v>1599079.494221875</v>
      </c>
    </row>
    <row r="130" spans="1:17" x14ac:dyDescent="0.2">
      <c r="A130">
        <v>1</v>
      </c>
      <c r="B130">
        <f t="shared" si="17"/>
        <v>137981.88574798559</v>
      </c>
      <c r="C130">
        <f t="shared" si="17"/>
        <v>10566.514708062001</v>
      </c>
      <c r="D130">
        <f t="shared" si="17"/>
        <v>148548.40045604759</v>
      </c>
      <c r="N130">
        <v>1</v>
      </c>
      <c r="O130">
        <v>137981.88574798559</v>
      </c>
      <c r="P130">
        <v>10566.514708062001</v>
      </c>
      <c r="Q130">
        <f>SUM(O130:P130)</f>
        <v>148548.40045604759</v>
      </c>
    </row>
    <row r="131" spans="1:17" x14ac:dyDescent="0.2">
      <c r="A131">
        <v>2</v>
      </c>
      <c r="B131">
        <f t="shared" si="17"/>
        <v>14708.445954918099</v>
      </c>
      <c r="C131">
        <f t="shared" si="17"/>
        <v>1031.9271690444</v>
      </c>
      <c r="D131">
        <f t="shared" si="17"/>
        <v>15740.373123962499</v>
      </c>
      <c r="N131">
        <v>2</v>
      </c>
      <c r="O131">
        <v>14708.445954918099</v>
      </c>
      <c r="P131">
        <v>1031.9271690444</v>
      </c>
      <c r="Q131">
        <f>SUM(O131:P131)</f>
        <v>15740.373123962499</v>
      </c>
    </row>
    <row r="132" spans="1:17" x14ac:dyDescent="0.2">
      <c r="A132" t="s">
        <v>116</v>
      </c>
      <c r="B132">
        <f t="shared" si="17"/>
        <v>1317.5793538109001</v>
      </c>
      <c r="C132">
        <f t="shared" si="17"/>
        <v>0</v>
      </c>
      <c r="D132">
        <f t="shared" si="17"/>
        <v>1317.5793538109001</v>
      </c>
      <c r="N132" t="s">
        <v>116</v>
      </c>
      <c r="O132">
        <v>1317.5793538109001</v>
      </c>
      <c r="P132">
        <v>0</v>
      </c>
      <c r="Q132">
        <f>SUM(O132:P132)</f>
        <v>1317.5793538109001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D142" si="18">O136*$B$1</f>
        <v>36654.401015437703</v>
      </c>
      <c r="C136">
        <f t="shared" si="18"/>
        <v>472.4928851121</v>
      </c>
      <c r="D136">
        <f t="shared" si="18"/>
        <v>37126.893900549803</v>
      </c>
      <c r="N136" t="s">
        <v>210</v>
      </c>
      <c r="O136">
        <v>36654.401015437703</v>
      </c>
      <c r="P136">
        <v>472.4928851121</v>
      </c>
      <c r="Q136">
        <f>SUM(O136:P136)</f>
        <v>37126.893900549803</v>
      </c>
    </row>
    <row r="137" spans="1:17" x14ac:dyDescent="0.2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>
        <v>0</v>
      </c>
      <c r="P137">
        <v>591.03222056499999</v>
      </c>
      <c r="Q137">
        <f t="shared" ref="Q137:Q142" si="19">SUM(O137:P137)</f>
        <v>591.03222056499999</v>
      </c>
    </row>
    <row r="138" spans="1:17" x14ac:dyDescent="0.2">
      <c r="A138" t="s">
        <v>212</v>
      </c>
      <c r="B138">
        <f t="shared" si="18"/>
        <v>4412.3882527593996</v>
      </c>
      <c r="C138">
        <f t="shared" si="18"/>
        <v>1144.2150675861001</v>
      </c>
      <c r="D138">
        <f t="shared" si="18"/>
        <v>5556.6033203454999</v>
      </c>
      <c r="N138" t="s">
        <v>212</v>
      </c>
      <c r="O138">
        <v>4412.3882527593996</v>
      </c>
      <c r="P138">
        <v>1144.2150675861001</v>
      </c>
      <c r="Q138">
        <f t="shared" si="19"/>
        <v>5556.6033203454999</v>
      </c>
    </row>
    <row r="139" spans="1:17" x14ac:dyDescent="0.2">
      <c r="A139" t="s">
        <v>36</v>
      </c>
      <c r="B139">
        <f t="shared" si="18"/>
        <v>17566.6386825552</v>
      </c>
      <c r="C139">
        <f t="shared" si="18"/>
        <v>1954.7555523542001</v>
      </c>
      <c r="D139">
        <f t="shared" si="18"/>
        <v>19521.3942349094</v>
      </c>
      <c r="N139" t="s">
        <v>36</v>
      </c>
      <c r="O139">
        <v>17566.6386825552</v>
      </c>
      <c r="P139">
        <v>1954.7555523542001</v>
      </c>
      <c r="Q139">
        <f t="shared" si="19"/>
        <v>19521.3942349094</v>
      </c>
    </row>
    <row r="140" spans="1:17" x14ac:dyDescent="0.2">
      <c r="A140" t="s">
        <v>214</v>
      </c>
      <c r="B140">
        <f t="shared" si="18"/>
        <v>18454.6077949467</v>
      </c>
      <c r="C140">
        <f t="shared" si="18"/>
        <v>2447.9891537814001</v>
      </c>
      <c r="D140">
        <f t="shared" si="18"/>
        <v>20902.5969487281</v>
      </c>
      <c r="N140" t="s">
        <v>214</v>
      </c>
      <c r="O140">
        <v>18454.6077949467</v>
      </c>
      <c r="P140">
        <v>2447.9891537814001</v>
      </c>
      <c r="Q140">
        <f t="shared" si="19"/>
        <v>20902.5969487281</v>
      </c>
    </row>
    <row r="141" spans="1:17" x14ac:dyDescent="0.2">
      <c r="A141" t="s">
        <v>129</v>
      </c>
      <c r="B141">
        <f t="shared" si="18"/>
        <v>74624.192465650296</v>
      </c>
      <c r="C141">
        <f t="shared" si="18"/>
        <v>5505.6302936890997</v>
      </c>
      <c r="D141">
        <f t="shared" si="18"/>
        <v>80129.822759339397</v>
      </c>
      <c r="N141" t="s">
        <v>129</v>
      </c>
      <c r="O141">
        <v>74624.192465650296</v>
      </c>
      <c r="P141">
        <v>5505.6302936890997</v>
      </c>
      <c r="Q141">
        <f t="shared" si="19"/>
        <v>80129.822759339397</v>
      </c>
    </row>
    <row r="142" spans="1:17" x14ac:dyDescent="0.2">
      <c r="A142" t="s">
        <v>130</v>
      </c>
      <c r="B142">
        <f t="shared" si="18"/>
        <v>19700.5681399241</v>
      </c>
      <c r="C142">
        <f t="shared" si="18"/>
        <v>514.25387306289997</v>
      </c>
      <c r="D142">
        <f t="shared" si="18"/>
        <v>20214.822012986999</v>
      </c>
      <c r="N142" t="s">
        <v>130</v>
      </c>
      <c r="O142">
        <v>19700.5681399241</v>
      </c>
      <c r="P142">
        <v>514.25387306289997</v>
      </c>
      <c r="Q142">
        <f t="shared" si="19"/>
        <v>20214.822012986999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>SUM(O148:U148)</f>
        <v>0</v>
      </c>
    </row>
    <row r="149" spans="1:22" x14ac:dyDescent="0.2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ref="V149:V154" si="21">SUM(O149:U149)</f>
        <v>0</v>
      </c>
    </row>
    <row r="150" spans="1:22" x14ac:dyDescent="0.2">
      <c r="A150">
        <v>2</v>
      </c>
      <c r="B150">
        <f t="shared" si="20"/>
        <v>850163.17855827289</v>
      </c>
      <c r="C150">
        <f t="shared" si="20"/>
        <v>555556.89067634055</v>
      </c>
      <c r="D150">
        <f t="shared" si="20"/>
        <v>366842.74715619418</v>
      </c>
      <c r="E150">
        <f t="shared" si="20"/>
        <v>492186.51275025128</v>
      </c>
      <c r="F150">
        <f t="shared" si="20"/>
        <v>406524.2417937576</v>
      </c>
      <c r="G150">
        <f t="shared" si="20"/>
        <v>220216.38766735839</v>
      </c>
      <c r="H150">
        <f t="shared" si="20"/>
        <v>817674.49637275969</v>
      </c>
      <c r="I150">
        <f t="shared" si="20"/>
        <v>3709164.4549749349</v>
      </c>
      <c r="N150">
        <v>2</v>
      </c>
      <c r="O150">
        <v>850163.17855827289</v>
      </c>
      <c r="P150">
        <v>555556.89067634055</v>
      </c>
      <c r="Q150">
        <v>366842.74715619418</v>
      </c>
      <c r="R150">
        <v>492186.51275025128</v>
      </c>
      <c r="S150">
        <v>406524.2417937576</v>
      </c>
      <c r="T150">
        <v>220216.38766735839</v>
      </c>
      <c r="U150">
        <v>817674.49637275969</v>
      </c>
      <c r="V150">
        <f t="shared" si="21"/>
        <v>3709164.4549749349</v>
      </c>
    </row>
    <row r="151" spans="1:22" x14ac:dyDescent="0.2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1"/>
        <v>0</v>
      </c>
    </row>
    <row r="152" spans="1:22" x14ac:dyDescent="0.2">
      <c r="A152">
        <v>4</v>
      </c>
      <c r="B152">
        <f t="shared" si="20"/>
        <v>416835.5918039112</v>
      </c>
      <c r="C152">
        <f t="shared" si="20"/>
        <v>122431.65521144291</v>
      </c>
      <c r="D152">
        <f t="shared" si="20"/>
        <v>109380.47835772041</v>
      </c>
      <c r="E152">
        <f t="shared" si="20"/>
        <v>122901.0787472137</v>
      </c>
      <c r="F152">
        <f t="shared" si="20"/>
        <v>166831.39521195189</v>
      </c>
      <c r="G152">
        <f t="shared" si="20"/>
        <v>42079.823639005503</v>
      </c>
      <c r="H152">
        <f t="shared" si="20"/>
        <v>180190.33592293461</v>
      </c>
      <c r="I152">
        <f t="shared" si="20"/>
        <v>1160650.3588941803</v>
      </c>
      <c r="N152">
        <v>4</v>
      </c>
      <c r="O152">
        <v>416835.5918039112</v>
      </c>
      <c r="P152">
        <v>122431.65521144291</v>
      </c>
      <c r="Q152">
        <v>109380.47835772041</v>
      </c>
      <c r="R152">
        <v>122901.0787472137</v>
      </c>
      <c r="S152">
        <v>166831.39521195189</v>
      </c>
      <c r="T152">
        <v>42079.823639005503</v>
      </c>
      <c r="U152">
        <v>180190.33592293461</v>
      </c>
      <c r="V152">
        <f t="shared" si="21"/>
        <v>1160650.3588941803</v>
      </c>
    </row>
    <row r="153" spans="1:22" x14ac:dyDescent="0.2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1"/>
        <v>0</v>
      </c>
    </row>
    <row r="154" spans="1:22" x14ac:dyDescent="0.2">
      <c r="A154" t="s">
        <v>209</v>
      </c>
      <c r="B154">
        <f t="shared" si="20"/>
        <v>497687.07679351198</v>
      </c>
      <c r="C154">
        <f t="shared" si="20"/>
        <v>127679.0113816044</v>
      </c>
      <c r="D154">
        <f t="shared" si="20"/>
        <v>178130.390904</v>
      </c>
      <c r="E154">
        <f t="shared" si="20"/>
        <v>122576.90796582621</v>
      </c>
      <c r="F154">
        <f t="shared" si="20"/>
        <v>149984.77525040691</v>
      </c>
      <c r="G154">
        <f t="shared" si="20"/>
        <v>43084.155179826499</v>
      </c>
      <c r="H154">
        <f t="shared" si="20"/>
        <v>112360.5903440359</v>
      </c>
      <c r="I154">
        <f t="shared" si="20"/>
        <v>1231502.9078192119</v>
      </c>
      <c r="N154" t="s">
        <v>209</v>
      </c>
      <c r="O154">
        <v>497687.07679351198</v>
      </c>
      <c r="P154">
        <v>127679.0113816044</v>
      </c>
      <c r="Q154">
        <v>178130.390904</v>
      </c>
      <c r="R154">
        <v>122576.90796582621</v>
      </c>
      <c r="S154">
        <v>149984.77525040691</v>
      </c>
      <c r="T154">
        <v>43084.155179826499</v>
      </c>
      <c r="U154">
        <v>112360.5903440359</v>
      </c>
      <c r="V154">
        <f t="shared" si="21"/>
        <v>1231502.9078192119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>SUM(O158:U158)</f>
        <v>0</v>
      </c>
    </row>
    <row r="159" spans="1:22" x14ac:dyDescent="0.2">
      <c r="A159">
        <v>1</v>
      </c>
      <c r="B159">
        <f t="shared" si="22"/>
        <v>1353578.9766182671</v>
      </c>
      <c r="C159">
        <f t="shared" si="22"/>
        <v>723621.18630806101</v>
      </c>
      <c r="D159">
        <f t="shared" si="22"/>
        <v>532627.96633201651</v>
      </c>
      <c r="E159">
        <f t="shared" si="22"/>
        <v>649573.33830771246</v>
      </c>
      <c r="F159">
        <f t="shared" si="22"/>
        <v>531670.63336025469</v>
      </c>
      <c r="G159">
        <f t="shared" si="22"/>
        <v>254894.64656995289</v>
      </c>
      <c r="H159">
        <f t="shared" si="22"/>
        <v>954490.24112322112</v>
      </c>
      <c r="I159">
        <f t="shared" si="22"/>
        <v>5000456.9886194859</v>
      </c>
      <c r="N159">
        <v>1</v>
      </c>
      <c r="O159">
        <v>1353578.9766182671</v>
      </c>
      <c r="P159">
        <v>723621.18630806101</v>
      </c>
      <c r="Q159">
        <v>532627.96633201651</v>
      </c>
      <c r="R159">
        <v>649573.33830771246</v>
      </c>
      <c r="S159">
        <v>531670.63336025469</v>
      </c>
      <c r="T159">
        <v>254894.64656995289</v>
      </c>
      <c r="U159">
        <v>954490.24112322112</v>
      </c>
      <c r="V159">
        <f t="shared" ref="V159:V164" si="23">SUM(O159:U159)</f>
        <v>5000456.9886194859</v>
      </c>
    </row>
    <row r="160" spans="1:22" x14ac:dyDescent="0.2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3"/>
        <v>0</v>
      </c>
    </row>
    <row r="161" spans="1:22" x14ac:dyDescent="0.2">
      <c r="A161">
        <v>3</v>
      </c>
      <c r="B161">
        <f t="shared" si="22"/>
        <v>310379.47150553821</v>
      </c>
      <c r="C161">
        <f t="shared" si="22"/>
        <v>63714.479996736503</v>
      </c>
      <c r="D161">
        <f t="shared" si="22"/>
        <v>63416.685790107404</v>
      </c>
      <c r="E161">
        <f t="shared" si="22"/>
        <v>58920.351676455197</v>
      </c>
      <c r="F161">
        <f t="shared" si="22"/>
        <v>130711.6812053507</v>
      </c>
      <c r="G161">
        <f t="shared" si="22"/>
        <v>28293.553434978101</v>
      </c>
      <c r="H161">
        <f t="shared" si="22"/>
        <v>116031.5814928582</v>
      </c>
      <c r="I161">
        <f t="shared" si="22"/>
        <v>771467.80510202434</v>
      </c>
      <c r="N161">
        <v>3</v>
      </c>
      <c r="O161">
        <v>310379.47150553821</v>
      </c>
      <c r="P161">
        <v>63714.479996736503</v>
      </c>
      <c r="Q161">
        <v>63416.685790107404</v>
      </c>
      <c r="R161">
        <v>58920.351676455197</v>
      </c>
      <c r="S161">
        <v>130711.6812053507</v>
      </c>
      <c r="T161">
        <v>28293.553434978101</v>
      </c>
      <c r="U161">
        <v>116031.5814928582</v>
      </c>
      <c r="V161">
        <f t="shared" si="23"/>
        <v>771467.80510202434</v>
      </c>
    </row>
    <row r="162" spans="1:22" x14ac:dyDescent="0.2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3"/>
        <v>0</v>
      </c>
    </row>
    <row r="163" spans="1:22" x14ac:dyDescent="0.2">
      <c r="A163">
        <v>5</v>
      </c>
      <c r="B163">
        <f t="shared" si="22"/>
        <v>66434.489085606605</v>
      </c>
      <c r="C163">
        <f t="shared" si="22"/>
        <v>10589.5168099973</v>
      </c>
      <c r="D163">
        <f t="shared" si="22"/>
        <v>24651.252896546299</v>
      </c>
      <c r="E163">
        <f t="shared" si="22"/>
        <v>19362.895843436399</v>
      </c>
      <c r="F163">
        <f t="shared" si="22"/>
        <v>36472.595666781002</v>
      </c>
      <c r="G163">
        <f t="shared" si="22"/>
        <v>13375.654605624</v>
      </c>
      <c r="H163">
        <f t="shared" si="22"/>
        <v>26988.078014195598</v>
      </c>
      <c r="I163">
        <f t="shared" si="22"/>
        <v>197874.48292218722</v>
      </c>
      <c r="N163">
        <v>5</v>
      </c>
      <c r="O163">
        <v>66434.489085606605</v>
      </c>
      <c r="P163">
        <v>10589.5168099973</v>
      </c>
      <c r="Q163">
        <v>24651.252896546299</v>
      </c>
      <c r="R163">
        <v>19362.895843436399</v>
      </c>
      <c r="S163">
        <v>36472.595666781002</v>
      </c>
      <c r="T163">
        <v>13375.654605624</v>
      </c>
      <c r="U163">
        <v>26988.078014195598</v>
      </c>
      <c r="V163">
        <f t="shared" si="23"/>
        <v>197874.48292218722</v>
      </c>
    </row>
    <row r="164" spans="1:22" x14ac:dyDescent="0.2">
      <c r="A164" t="s">
        <v>209</v>
      </c>
      <c r="B164">
        <f t="shared" si="22"/>
        <v>34292.909946284097</v>
      </c>
      <c r="C164">
        <f t="shared" si="22"/>
        <v>7742.3741545930998</v>
      </c>
      <c r="D164">
        <f t="shared" si="22"/>
        <v>33657.711399244399</v>
      </c>
      <c r="E164">
        <f t="shared" si="22"/>
        <v>9807.9136356871004</v>
      </c>
      <c r="F164">
        <f t="shared" si="22"/>
        <v>24485.502023729998</v>
      </c>
      <c r="G164">
        <f t="shared" si="22"/>
        <v>8816.5118756354004</v>
      </c>
      <c r="H164">
        <f t="shared" si="22"/>
        <v>12715.522009455301</v>
      </c>
      <c r="I164">
        <f t="shared" si="22"/>
        <v>131518.44504462939</v>
      </c>
      <c r="N164" t="s">
        <v>209</v>
      </c>
      <c r="O164">
        <v>34292.909946284097</v>
      </c>
      <c r="P164">
        <v>7742.3741545930998</v>
      </c>
      <c r="Q164">
        <v>33657.711399244399</v>
      </c>
      <c r="R164">
        <v>9807.9136356871004</v>
      </c>
      <c r="S164">
        <v>24485.502023729998</v>
      </c>
      <c r="T164">
        <v>8816.5118756354004</v>
      </c>
      <c r="U164">
        <v>12715.522009455301</v>
      </c>
      <c r="V164">
        <f t="shared" si="23"/>
        <v>131518.44504462939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>SUM(O168:U168)</f>
        <v>0</v>
      </c>
    </row>
    <row r="169" spans="1:22" x14ac:dyDescent="0.2">
      <c r="A169">
        <v>1</v>
      </c>
      <c r="B169">
        <f t="shared" si="24"/>
        <v>1006866.1643876479</v>
      </c>
      <c r="C169">
        <f t="shared" si="24"/>
        <v>590343.71804805694</v>
      </c>
      <c r="D169">
        <f t="shared" si="24"/>
        <v>441948.67661729018</v>
      </c>
      <c r="E169">
        <f t="shared" si="24"/>
        <v>532877.63366740977</v>
      </c>
      <c r="F169">
        <f t="shared" si="24"/>
        <v>526405.98105220206</v>
      </c>
      <c r="G169">
        <f t="shared" si="24"/>
        <v>250935.44001746021</v>
      </c>
      <c r="H169">
        <f t="shared" si="24"/>
        <v>920402.46608768881</v>
      </c>
      <c r="I169">
        <f t="shared" si="24"/>
        <v>4269780.0798777565</v>
      </c>
      <c r="N169">
        <v>1</v>
      </c>
      <c r="O169">
        <v>1006866.1643876479</v>
      </c>
      <c r="P169">
        <v>590343.71804805694</v>
      </c>
      <c r="Q169">
        <v>441948.67661729018</v>
      </c>
      <c r="R169">
        <v>532877.63366740977</v>
      </c>
      <c r="S169">
        <v>526405.98105220206</v>
      </c>
      <c r="T169">
        <v>250935.44001746021</v>
      </c>
      <c r="U169">
        <v>920402.46608768881</v>
      </c>
      <c r="V169">
        <f t="shared" ref="V169:V174" si="25">SUM(O169:U169)</f>
        <v>4269780.0798777565</v>
      </c>
    </row>
    <row r="170" spans="1:22" x14ac:dyDescent="0.2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5"/>
        <v>0</v>
      </c>
    </row>
    <row r="171" spans="1:22" x14ac:dyDescent="0.2">
      <c r="A171">
        <v>3</v>
      </c>
      <c r="B171">
        <f t="shared" si="24"/>
        <v>437011.86727682297</v>
      </c>
      <c r="C171">
        <f t="shared" si="24"/>
        <v>128201.490035583</v>
      </c>
      <c r="D171">
        <f t="shared" si="24"/>
        <v>94699.7286609125</v>
      </c>
      <c r="E171">
        <f t="shared" si="24"/>
        <v>129960.4586082343</v>
      </c>
      <c r="F171">
        <f t="shared" si="24"/>
        <v>135656.46358124079</v>
      </c>
      <c r="G171">
        <f t="shared" si="24"/>
        <v>37703.640686931103</v>
      </c>
      <c r="H171">
        <f t="shared" si="24"/>
        <v>141112.2164816194</v>
      </c>
      <c r="I171">
        <f t="shared" si="24"/>
        <v>1104345.8653313438</v>
      </c>
      <c r="N171">
        <v>3</v>
      </c>
      <c r="O171">
        <v>437011.86727682297</v>
      </c>
      <c r="P171">
        <v>128201.490035583</v>
      </c>
      <c r="Q171">
        <v>94699.7286609125</v>
      </c>
      <c r="R171">
        <v>129960.4586082343</v>
      </c>
      <c r="S171">
        <v>135656.46358124079</v>
      </c>
      <c r="T171">
        <v>37703.640686931103</v>
      </c>
      <c r="U171">
        <v>141112.2164816194</v>
      </c>
      <c r="V171">
        <f t="shared" si="25"/>
        <v>1104345.8653313438</v>
      </c>
    </row>
    <row r="172" spans="1:22" x14ac:dyDescent="0.2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5"/>
        <v>0</v>
      </c>
    </row>
    <row r="173" spans="1:22" x14ac:dyDescent="0.2">
      <c r="A173">
        <v>5</v>
      </c>
      <c r="B173">
        <f t="shared" si="24"/>
        <v>221154.7046470725</v>
      </c>
      <c r="C173">
        <f t="shared" si="24"/>
        <v>63150.179185809699</v>
      </c>
      <c r="D173">
        <f t="shared" si="24"/>
        <v>67432.067515017203</v>
      </c>
      <c r="E173">
        <f t="shared" si="24"/>
        <v>45194.760754001902</v>
      </c>
      <c r="F173">
        <f t="shared" si="24"/>
        <v>38478.596849287598</v>
      </c>
      <c r="G173">
        <f t="shared" si="24"/>
        <v>10855.2670758776</v>
      </c>
      <c r="H173">
        <f t="shared" si="24"/>
        <v>33144.076408098597</v>
      </c>
      <c r="I173">
        <f t="shared" si="24"/>
        <v>479409.65243516513</v>
      </c>
      <c r="N173">
        <v>5</v>
      </c>
      <c r="O173">
        <v>221154.7046470725</v>
      </c>
      <c r="P173">
        <v>63150.179185809699</v>
      </c>
      <c r="Q173">
        <v>67432.067515017203</v>
      </c>
      <c r="R173">
        <v>45194.760754001902</v>
      </c>
      <c r="S173">
        <v>38478.596849287598</v>
      </c>
      <c r="T173">
        <v>10855.2670758776</v>
      </c>
      <c r="U173">
        <v>33144.076408098597</v>
      </c>
      <c r="V173">
        <f t="shared" si="25"/>
        <v>479409.65243516513</v>
      </c>
    </row>
    <row r="174" spans="1:22" x14ac:dyDescent="0.2">
      <c r="A174" t="s">
        <v>209</v>
      </c>
      <c r="B174">
        <f t="shared" si="24"/>
        <v>99653.110844152703</v>
      </c>
      <c r="C174">
        <f t="shared" si="24"/>
        <v>23972.169999938302</v>
      </c>
      <c r="D174">
        <f t="shared" si="24"/>
        <v>50273.143624694698</v>
      </c>
      <c r="E174">
        <f t="shared" si="24"/>
        <v>29631.646433645201</v>
      </c>
      <c r="F174">
        <f t="shared" si="24"/>
        <v>22799.370773385901</v>
      </c>
      <c r="G174">
        <f t="shared" si="24"/>
        <v>5886.0187059215004</v>
      </c>
      <c r="H174">
        <f t="shared" si="24"/>
        <v>15566.663662323399</v>
      </c>
      <c r="I174">
        <f t="shared" si="24"/>
        <v>247782.1240440617</v>
      </c>
      <c r="N174" t="s">
        <v>209</v>
      </c>
      <c r="O174">
        <v>99653.110844152703</v>
      </c>
      <c r="P174">
        <v>23972.169999938302</v>
      </c>
      <c r="Q174">
        <v>50273.143624694698</v>
      </c>
      <c r="R174">
        <v>29631.646433645201</v>
      </c>
      <c r="S174">
        <v>22799.370773385901</v>
      </c>
      <c r="T174">
        <v>5886.0187059215004</v>
      </c>
      <c r="U174">
        <v>15566.663662323399</v>
      </c>
      <c r="V174">
        <f t="shared" si="25"/>
        <v>247782.1240440617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J185" si="26">O178*$B$1</f>
        <v>1409852.2488803985</v>
      </c>
      <c r="C178">
        <f t="shared" si="26"/>
        <v>197024.1172217548</v>
      </c>
      <c r="D178">
        <f t="shared" si="26"/>
        <v>17274.135335971201</v>
      </c>
      <c r="E178">
        <f t="shared" si="26"/>
        <v>36504.904088915901</v>
      </c>
      <c r="F178">
        <f t="shared" si="26"/>
        <v>62852.677853105903</v>
      </c>
      <c r="G178">
        <f t="shared" si="26"/>
        <v>2054.6708749999998</v>
      </c>
      <c r="H178">
        <f t="shared" si="26"/>
        <v>1525.4285</v>
      </c>
      <c r="I178">
        <f t="shared" si="26"/>
        <v>470.77049999999997</v>
      </c>
      <c r="J178">
        <f t="shared" si="26"/>
        <v>1727558.953255146</v>
      </c>
      <c r="N178" t="s">
        <v>210</v>
      </c>
      <c r="O178">
        <v>1409852.2488803985</v>
      </c>
      <c r="P178">
        <v>197024.1172217548</v>
      </c>
      <c r="Q178">
        <v>17274.135335971201</v>
      </c>
      <c r="R178">
        <v>36504.904088915901</v>
      </c>
      <c r="S178">
        <v>62852.677853105903</v>
      </c>
      <c r="T178">
        <v>2054.6708749999998</v>
      </c>
      <c r="U178">
        <v>1525.4285</v>
      </c>
      <c r="V178">
        <v>470.77049999999997</v>
      </c>
      <c r="W178">
        <f>SUM(O178:V178)</f>
        <v>1727558.953255146</v>
      </c>
    </row>
    <row r="179" spans="1:23" x14ac:dyDescent="0.2">
      <c r="A179" t="s">
        <v>211</v>
      </c>
      <c r="B179">
        <f t="shared" si="26"/>
        <v>7504.0738574372999</v>
      </c>
      <c r="C179">
        <f t="shared" si="26"/>
        <v>41458.994241735199</v>
      </c>
      <c r="D179">
        <f t="shared" si="26"/>
        <v>1402.1807139949999</v>
      </c>
      <c r="E179">
        <f t="shared" si="26"/>
        <v>71975.982674155399</v>
      </c>
      <c r="F179">
        <f t="shared" si="26"/>
        <v>51839.910811920003</v>
      </c>
      <c r="G179">
        <f t="shared" si="26"/>
        <v>76767.618749579997</v>
      </c>
      <c r="H179">
        <f t="shared" si="26"/>
        <v>490330.682875</v>
      </c>
      <c r="I179">
        <f t="shared" si="26"/>
        <v>63797.081124999997</v>
      </c>
      <c r="J179">
        <f t="shared" si="26"/>
        <v>805076.52504882286</v>
      </c>
      <c r="N179" t="s">
        <v>211</v>
      </c>
      <c r="O179">
        <v>7504.0738574372999</v>
      </c>
      <c r="P179">
        <v>41458.994241735199</v>
      </c>
      <c r="Q179">
        <v>1402.1807139949999</v>
      </c>
      <c r="R179">
        <v>71975.982674155399</v>
      </c>
      <c r="S179">
        <v>51839.910811920003</v>
      </c>
      <c r="T179">
        <v>76767.618749579997</v>
      </c>
      <c r="U179">
        <v>490330.682875</v>
      </c>
      <c r="V179">
        <v>63797.081124999997</v>
      </c>
      <c r="W179">
        <f t="shared" ref="W179:W185" si="27">SUM(O179:V179)</f>
        <v>805076.52504882286</v>
      </c>
    </row>
    <row r="180" spans="1:23" x14ac:dyDescent="0.2">
      <c r="A180" t="s">
        <v>212</v>
      </c>
      <c r="B180">
        <f t="shared" si="26"/>
        <v>175960.01260278179</v>
      </c>
      <c r="C180">
        <f t="shared" si="26"/>
        <v>95203.5709531881</v>
      </c>
      <c r="D180">
        <f t="shared" si="26"/>
        <v>56287.992597320299</v>
      </c>
      <c r="E180">
        <f t="shared" si="26"/>
        <v>226676.82404124251</v>
      </c>
      <c r="F180">
        <f t="shared" si="26"/>
        <v>11569.829231076399</v>
      </c>
      <c r="G180">
        <f t="shared" si="26"/>
        <v>8238.3787969599998</v>
      </c>
      <c r="H180">
        <f t="shared" si="26"/>
        <v>31051.988000000001</v>
      </c>
      <c r="I180">
        <f t="shared" si="26"/>
        <v>43808.416875000003</v>
      </c>
      <c r="J180">
        <f>W180*$B$1*1.2</f>
        <v>778556.41571708291</v>
      </c>
      <c r="N180" t="s">
        <v>212</v>
      </c>
      <c r="O180">
        <v>175960.01260278179</v>
      </c>
      <c r="P180">
        <v>95203.5709531881</v>
      </c>
      <c r="Q180">
        <v>56287.992597320299</v>
      </c>
      <c r="R180">
        <v>226676.82404124251</v>
      </c>
      <c r="S180">
        <v>11569.829231076399</v>
      </c>
      <c r="T180">
        <v>8238.3787969599998</v>
      </c>
      <c r="U180">
        <v>31051.988000000001</v>
      </c>
      <c r="V180">
        <v>43808.416875000003</v>
      </c>
      <c r="W180">
        <f t="shared" si="27"/>
        <v>648797.01309756911</v>
      </c>
    </row>
    <row r="181" spans="1:23" x14ac:dyDescent="0.2">
      <c r="A181" t="s">
        <v>36</v>
      </c>
      <c r="B181">
        <f t="shared" si="26"/>
        <v>139948.29881939929</v>
      </c>
      <c r="C181">
        <f t="shared" si="26"/>
        <v>78011.263471984406</v>
      </c>
      <c r="D181">
        <f t="shared" si="26"/>
        <v>160095.9780834032</v>
      </c>
      <c r="E181">
        <f t="shared" si="26"/>
        <v>187885.90913780901</v>
      </c>
      <c r="F181">
        <f t="shared" si="26"/>
        <v>15998.2777157859</v>
      </c>
      <c r="G181">
        <f t="shared" si="26"/>
        <v>5022.4174999999996</v>
      </c>
      <c r="H181">
        <f t="shared" si="26"/>
        <v>65357.599499999997</v>
      </c>
      <c r="I181">
        <f t="shared" si="26"/>
        <v>65823.361000000004</v>
      </c>
      <c r="J181">
        <f>W181*$B$1*1.2</f>
        <v>861771.72627405811</v>
      </c>
      <c r="N181" t="s">
        <v>36</v>
      </c>
      <c r="O181">
        <v>139948.29881939929</v>
      </c>
      <c r="P181">
        <v>78011.263471984406</v>
      </c>
      <c r="Q181">
        <v>160095.9780834032</v>
      </c>
      <c r="R181">
        <v>187885.90913780901</v>
      </c>
      <c r="S181">
        <v>15998.2777157859</v>
      </c>
      <c r="T181">
        <v>5022.4174999999996</v>
      </c>
      <c r="U181">
        <v>65357.599499999997</v>
      </c>
      <c r="V181">
        <v>65823.361000000004</v>
      </c>
      <c r="W181">
        <f t="shared" si="27"/>
        <v>718143.10522838181</v>
      </c>
    </row>
    <row r="182" spans="1:23" x14ac:dyDescent="0.2">
      <c r="A182" t="s">
        <v>214</v>
      </c>
      <c r="B182">
        <f t="shared" si="26"/>
        <v>155422.9852594453</v>
      </c>
      <c r="C182">
        <f t="shared" si="26"/>
        <v>69258.373600786697</v>
      </c>
      <c r="D182">
        <f t="shared" si="26"/>
        <v>132977.5494189795</v>
      </c>
      <c r="E182">
        <f t="shared" si="26"/>
        <v>219601.48351633549</v>
      </c>
      <c r="F182">
        <f t="shared" si="26"/>
        <v>19537.267189447299</v>
      </c>
      <c r="G182">
        <f t="shared" si="26"/>
        <v>1043.620822394</v>
      </c>
      <c r="H182">
        <f t="shared" si="26"/>
        <v>32873.983749999999</v>
      </c>
      <c r="I182">
        <f t="shared" si="26"/>
        <v>71722.551749999999</v>
      </c>
      <c r="J182">
        <f>W182*$B$1*1.2</f>
        <v>842925.37836886593</v>
      </c>
      <c r="N182" t="s">
        <v>214</v>
      </c>
      <c r="O182">
        <v>155422.9852594453</v>
      </c>
      <c r="P182">
        <v>69258.373600786697</v>
      </c>
      <c r="Q182">
        <v>132977.5494189795</v>
      </c>
      <c r="R182">
        <v>219601.48351633549</v>
      </c>
      <c r="S182">
        <v>19537.267189447299</v>
      </c>
      <c r="T182">
        <v>1043.620822394</v>
      </c>
      <c r="U182">
        <v>32873.983749999999</v>
      </c>
      <c r="V182">
        <v>71722.551749999999</v>
      </c>
      <c r="W182">
        <f t="shared" si="27"/>
        <v>702437.81530738831</v>
      </c>
    </row>
    <row r="183" spans="1:23" x14ac:dyDescent="0.2">
      <c r="A183" t="s">
        <v>129</v>
      </c>
      <c r="B183">
        <f t="shared" si="26"/>
        <v>72908.890458873895</v>
      </c>
      <c r="C183">
        <f t="shared" si="26"/>
        <v>20670.231697515501</v>
      </c>
      <c r="D183">
        <f t="shared" si="26"/>
        <v>40669.872001609103</v>
      </c>
      <c r="E183">
        <f t="shared" si="26"/>
        <v>62725.6534069314</v>
      </c>
      <c r="F183">
        <f t="shared" si="26"/>
        <v>6877.2431619211002</v>
      </c>
      <c r="G183">
        <f t="shared" si="26"/>
        <v>0</v>
      </c>
      <c r="H183">
        <f t="shared" si="26"/>
        <v>14093.2955</v>
      </c>
      <c r="I183">
        <f t="shared" si="26"/>
        <v>7305.3575000000001</v>
      </c>
      <c r="J183">
        <f>W183*$B$1*1.2</f>
        <v>270300.65247222123</v>
      </c>
      <c r="N183" t="s">
        <v>129</v>
      </c>
      <c r="O183">
        <v>72908.890458873895</v>
      </c>
      <c r="P183">
        <v>20670.231697515501</v>
      </c>
      <c r="Q183">
        <v>40669.872001609103</v>
      </c>
      <c r="R183">
        <v>62725.6534069314</v>
      </c>
      <c r="S183">
        <v>6877.2431619211002</v>
      </c>
      <c r="T183">
        <v>0</v>
      </c>
      <c r="U183">
        <v>14093.2955</v>
      </c>
      <c r="V183">
        <v>7305.3575000000001</v>
      </c>
      <c r="W183">
        <f t="shared" si="27"/>
        <v>225250.54372685103</v>
      </c>
    </row>
    <row r="184" spans="1:23" x14ac:dyDescent="0.2">
      <c r="A184" t="s">
        <v>130</v>
      </c>
      <c r="B184">
        <f t="shared" si="26"/>
        <v>298428.71659137728</v>
      </c>
      <c r="C184">
        <f t="shared" si="26"/>
        <v>116955.65387866209</v>
      </c>
      <c r="D184">
        <f t="shared" si="26"/>
        <v>139202.5364632381</v>
      </c>
      <c r="E184">
        <f t="shared" si="26"/>
        <v>247086.65098616161</v>
      </c>
      <c r="F184">
        <f t="shared" si="26"/>
        <v>24740.3139376461</v>
      </c>
      <c r="G184">
        <f t="shared" si="26"/>
        <v>14986.516394658</v>
      </c>
      <c r="H184">
        <f t="shared" si="26"/>
        <v>137202.605125</v>
      </c>
      <c r="I184">
        <f t="shared" si="26"/>
        <v>111407.60725</v>
      </c>
      <c r="J184">
        <f>W184*$B$1*1.2</f>
        <v>1308012.7207520921</v>
      </c>
      <c r="N184" t="s">
        <v>130</v>
      </c>
      <c r="O184">
        <v>298428.71659137728</v>
      </c>
      <c r="P184">
        <v>116955.65387866209</v>
      </c>
      <c r="Q184">
        <v>139202.5364632381</v>
      </c>
      <c r="R184">
        <v>247086.65098616161</v>
      </c>
      <c r="S184">
        <v>24740.3139376461</v>
      </c>
      <c r="T184">
        <v>14986.516394658</v>
      </c>
      <c r="U184">
        <v>137202.605125</v>
      </c>
      <c r="V184">
        <v>111407.60725</v>
      </c>
      <c r="W184">
        <f t="shared" si="27"/>
        <v>1090010.6006267434</v>
      </c>
    </row>
    <row r="185" spans="1:23" x14ac:dyDescent="0.2">
      <c r="A185" t="s">
        <v>247</v>
      </c>
      <c r="B185">
        <f t="shared" si="26"/>
        <v>171412.7963512734</v>
      </c>
      <c r="C185">
        <f t="shared" si="26"/>
        <v>6756.4626421812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184043.16539742419</v>
      </c>
      <c r="N185" t="s">
        <v>247</v>
      </c>
      <c r="O185">
        <v>171412.7963512734</v>
      </c>
      <c r="P185">
        <v>6756.4626421812</v>
      </c>
      <c r="Q185">
        <v>0</v>
      </c>
      <c r="R185">
        <v>0</v>
      </c>
      <c r="S185">
        <v>5873.9064039696004</v>
      </c>
      <c r="T185">
        <v>0</v>
      </c>
      <c r="U185">
        <v>0</v>
      </c>
      <c r="V185">
        <v>0</v>
      </c>
      <c r="W185">
        <f t="shared" si="27"/>
        <v>184043.16539742419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F196" si="28">O189*$B$1</f>
        <v>23973.1038806467</v>
      </c>
      <c r="C189">
        <f t="shared" si="28"/>
        <v>357867.5113332902</v>
      </c>
      <c r="D189">
        <f t="shared" si="28"/>
        <v>290869.97480684449</v>
      </c>
      <c r="E189">
        <f t="shared" si="28"/>
        <v>942766.21372491436</v>
      </c>
      <c r="F189">
        <f t="shared" si="28"/>
        <v>1615476.8037456959</v>
      </c>
      <c r="N189" t="s">
        <v>210</v>
      </c>
      <c r="O189">
        <v>23973.1038806467</v>
      </c>
      <c r="P189">
        <v>357867.5113332902</v>
      </c>
      <c r="Q189">
        <v>290869.97480684449</v>
      </c>
      <c r="R189">
        <v>942766.21372491436</v>
      </c>
      <c r="S189">
        <f>SUM(O189:R189)</f>
        <v>1615476.8037456959</v>
      </c>
    </row>
    <row r="190" spans="1:23" x14ac:dyDescent="0.2">
      <c r="A190" t="s">
        <v>211</v>
      </c>
      <c r="B190">
        <f t="shared" si="28"/>
        <v>32332.695402171001</v>
      </c>
      <c r="C190">
        <f t="shared" si="28"/>
        <v>125157.18571351509</v>
      </c>
      <c r="D190">
        <f t="shared" si="28"/>
        <v>102632.6406399655</v>
      </c>
      <c r="E190">
        <f t="shared" si="28"/>
        <v>469654.1482004784</v>
      </c>
      <c r="F190">
        <f t="shared" si="28"/>
        <v>729776.66995612998</v>
      </c>
      <c r="N190" t="s">
        <v>211</v>
      </c>
      <c r="O190">
        <v>32332.695402171001</v>
      </c>
      <c r="P190">
        <v>125157.18571351509</v>
      </c>
      <c r="Q190">
        <v>102632.6406399655</v>
      </c>
      <c r="R190">
        <v>469654.1482004784</v>
      </c>
      <c r="S190">
        <f t="shared" ref="S190:S196" si="29">SUM(O190:R190)</f>
        <v>729776.66995612998</v>
      </c>
    </row>
    <row r="191" spans="1:23" x14ac:dyDescent="0.2">
      <c r="A191" t="s">
        <v>212</v>
      </c>
      <c r="B191">
        <f t="shared" si="28"/>
        <v>12395.359192328</v>
      </c>
      <c r="C191">
        <f t="shared" si="28"/>
        <v>115137.03102640119</v>
      </c>
      <c r="D191">
        <f t="shared" si="28"/>
        <v>92875.6482897674</v>
      </c>
      <c r="E191">
        <f t="shared" si="28"/>
        <v>386915.6707161339</v>
      </c>
      <c r="F191">
        <f t="shared" si="28"/>
        <v>607323.7092246305</v>
      </c>
      <c r="N191" t="s">
        <v>212</v>
      </c>
      <c r="O191">
        <v>12395.359192328</v>
      </c>
      <c r="P191">
        <v>115137.03102640119</v>
      </c>
      <c r="Q191">
        <v>92875.6482897674</v>
      </c>
      <c r="R191">
        <v>386915.6707161339</v>
      </c>
      <c r="S191">
        <f t="shared" si="29"/>
        <v>607323.7092246305</v>
      </c>
    </row>
    <row r="192" spans="1:23" x14ac:dyDescent="0.2">
      <c r="A192" t="s">
        <v>36</v>
      </c>
      <c r="B192">
        <f t="shared" si="28"/>
        <v>29439.6744888787</v>
      </c>
      <c r="C192">
        <f t="shared" si="28"/>
        <v>223389.26797829839</v>
      </c>
      <c r="D192">
        <f t="shared" si="28"/>
        <v>110808.204528332</v>
      </c>
      <c r="E192">
        <f t="shared" si="28"/>
        <v>280900.6964128915</v>
      </c>
      <c r="F192">
        <f t="shared" si="28"/>
        <v>644537.84340840066</v>
      </c>
      <c r="N192" t="s">
        <v>36</v>
      </c>
      <c r="O192">
        <v>29439.6744888787</v>
      </c>
      <c r="P192">
        <v>223389.26797829839</v>
      </c>
      <c r="Q192">
        <v>110808.204528332</v>
      </c>
      <c r="R192">
        <v>280900.6964128915</v>
      </c>
      <c r="S192">
        <f t="shared" si="29"/>
        <v>644537.84340840066</v>
      </c>
    </row>
    <row r="193" spans="1:19" x14ac:dyDescent="0.2">
      <c r="A193" t="s">
        <v>214</v>
      </c>
      <c r="B193">
        <f t="shared" si="28"/>
        <v>44933.087407614599</v>
      </c>
      <c r="C193">
        <f t="shared" si="28"/>
        <v>217946.06335067839</v>
      </c>
      <c r="D193">
        <f t="shared" si="28"/>
        <v>109450.3372731321</v>
      </c>
      <c r="E193">
        <f t="shared" si="28"/>
        <v>259602.1523556851</v>
      </c>
      <c r="F193">
        <f t="shared" si="28"/>
        <v>631931.64038711018</v>
      </c>
      <c r="N193" t="s">
        <v>214</v>
      </c>
      <c r="O193">
        <v>44933.087407614599</v>
      </c>
      <c r="P193">
        <v>217946.06335067839</v>
      </c>
      <c r="Q193">
        <v>109450.3372731321</v>
      </c>
      <c r="R193">
        <v>259602.1523556851</v>
      </c>
      <c r="S193">
        <f t="shared" si="29"/>
        <v>631931.64038711018</v>
      </c>
    </row>
    <row r="194" spans="1:19" x14ac:dyDescent="0.2">
      <c r="A194" t="s">
        <v>129</v>
      </c>
      <c r="B194">
        <f t="shared" si="28"/>
        <v>13143.7339791591</v>
      </c>
      <c r="C194">
        <f t="shared" si="28"/>
        <v>49814.064367628001</v>
      </c>
      <c r="D194">
        <f t="shared" si="28"/>
        <v>42437.7007725203</v>
      </c>
      <c r="E194">
        <f t="shared" si="28"/>
        <v>102138.39791281951</v>
      </c>
      <c r="F194">
        <f t="shared" si="28"/>
        <v>207533.8970321269</v>
      </c>
      <c r="N194" t="s">
        <v>129</v>
      </c>
      <c r="O194">
        <v>13143.7339791591</v>
      </c>
      <c r="P194">
        <v>49814.064367628001</v>
      </c>
      <c r="Q194">
        <v>42437.7007725203</v>
      </c>
      <c r="R194">
        <v>102138.39791281951</v>
      </c>
      <c r="S194">
        <f t="shared" si="29"/>
        <v>207533.8970321269</v>
      </c>
    </row>
    <row r="195" spans="1:19" x14ac:dyDescent="0.2">
      <c r="A195" t="s">
        <v>130</v>
      </c>
      <c r="B195">
        <f t="shared" si="28"/>
        <v>31184.264254218</v>
      </c>
      <c r="C195">
        <f t="shared" si="28"/>
        <v>219310.85452634661</v>
      </c>
      <c r="D195">
        <f t="shared" si="28"/>
        <v>218476.79083731989</v>
      </c>
      <c r="E195">
        <f t="shared" si="28"/>
        <v>549344.97051413718</v>
      </c>
      <c r="F195">
        <f t="shared" si="28"/>
        <v>1018316.8801320216</v>
      </c>
      <c r="N195" t="s">
        <v>130</v>
      </c>
      <c r="O195">
        <v>31184.264254218</v>
      </c>
      <c r="P195">
        <v>219310.85452634661</v>
      </c>
      <c r="Q195">
        <v>218476.79083731989</v>
      </c>
      <c r="R195">
        <v>549344.97051413718</v>
      </c>
      <c r="S195">
        <f t="shared" si="29"/>
        <v>1018316.8801320216</v>
      </c>
    </row>
    <row r="196" spans="1:19" x14ac:dyDescent="0.2">
      <c r="A196" t="s">
        <v>247</v>
      </c>
      <c r="B196">
        <f t="shared" si="28"/>
        <v>1218.068316504</v>
      </c>
      <c r="C196">
        <f t="shared" si="28"/>
        <v>33725.786522540198</v>
      </c>
      <c r="D196">
        <f t="shared" si="28"/>
        <v>26178.468096921599</v>
      </c>
      <c r="E196">
        <f t="shared" si="28"/>
        <v>110356.1492992104</v>
      </c>
      <c r="F196">
        <f t="shared" si="28"/>
        <v>171478.47223517619</v>
      </c>
      <c r="N196" t="s">
        <v>247</v>
      </c>
      <c r="O196">
        <v>1218.068316504</v>
      </c>
      <c r="P196">
        <v>33725.786522540198</v>
      </c>
      <c r="Q196">
        <v>26178.468096921599</v>
      </c>
      <c r="R196">
        <v>110356.1492992104</v>
      </c>
      <c r="S196">
        <f t="shared" si="29"/>
        <v>171478.47223517619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F207" si="30">O200*$B$1</f>
        <v>60280.514200637401</v>
      </c>
      <c r="C200">
        <f t="shared" si="30"/>
        <v>391349.90256017592</v>
      </c>
      <c r="D200">
        <f t="shared" si="30"/>
        <v>925814.18518766505</v>
      </c>
      <c r="E200">
        <f t="shared" si="30"/>
        <v>350114.35130666802</v>
      </c>
      <c r="F200">
        <f t="shared" si="30"/>
        <v>1727558.9532551463</v>
      </c>
      <c r="N200" t="s">
        <v>210</v>
      </c>
      <c r="O200">
        <v>60280.514200637401</v>
      </c>
      <c r="P200">
        <v>391349.90256017592</v>
      </c>
      <c r="Q200">
        <v>925814.18518766505</v>
      </c>
      <c r="R200">
        <v>350114.35130666802</v>
      </c>
      <c r="S200">
        <f>SUM(O200:R200)</f>
        <v>1727558.9532551463</v>
      </c>
    </row>
    <row r="201" spans="1:19" x14ac:dyDescent="0.2">
      <c r="A201" t="s">
        <v>211</v>
      </c>
      <c r="B201">
        <f t="shared" si="30"/>
        <v>30743.897198667699</v>
      </c>
      <c r="C201">
        <f t="shared" si="30"/>
        <v>192782.48298951349</v>
      </c>
      <c r="D201">
        <f t="shared" si="30"/>
        <v>425818.83063079568</v>
      </c>
      <c r="E201">
        <f t="shared" si="30"/>
        <v>155731.314229846</v>
      </c>
      <c r="F201">
        <f t="shared" si="30"/>
        <v>805076.52504882286</v>
      </c>
      <c r="N201" t="s">
        <v>211</v>
      </c>
      <c r="O201">
        <v>30743.897198667699</v>
      </c>
      <c r="P201">
        <v>192782.48298951349</v>
      </c>
      <c r="Q201">
        <v>425818.83063079568</v>
      </c>
      <c r="R201">
        <v>155731.314229846</v>
      </c>
      <c r="S201">
        <f t="shared" ref="S201:S207" si="31">SUM(O201:R201)</f>
        <v>805076.52504882286</v>
      </c>
    </row>
    <row r="202" spans="1:19" x14ac:dyDescent="0.2">
      <c r="A202" t="s">
        <v>212</v>
      </c>
      <c r="B202">
        <f t="shared" si="30"/>
        <v>2121.520120229</v>
      </c>
      <c r="C202">
        <f t="shared" si="30"/>
        <v>172596.5724439226</v>
      </c>
      <c r="D202">
        <f t="shared" si="30"/>
        <v>379105.21711695648</v>
      </c>
      <c r="E202">
        <f t="shared" si="30"/>
        <v>94973.703416460994</v>
      </c>
      <c r="F202">
        <f t="shared" si="30"/>
        <v>648797.01309756911</v>
      </c>
      <c r="N202" t="s">
        <v>212</v>
      </c>
      <c r="O202">
        <v>2121.520120229</v>
      </c>
      <c r="P202">
        <v>172596.5724439226</v>
      </c>
      <c r="Q202">
        <v>379105.21711695648</v>
      </c>
      <c r="R202">
        <v>94973.703416460994</v>
      </c>
      <c r="S202">
        <f t="shared" si="31"/>
        <v>648797.01309756911</v>
      </c>
    </row>
    <row r="203" spans="1:19" x14ac:dyDescent="0.2">
      <c r="A203" t="s">
        <v>36</v>
      </c>
      <c r="B203">
        <f t="shared" si="30"/>
        <v>44053.570156906397</v>
      </c>
      <c r="C203">
        <f t="shared" si="30"/>
        <v>158707.9126729001</v>
      </c>
      <c r="D203">
        <f t="shared" si="30"/>
        <v>370361.55323061289</v>
      </c>
      <c r="E203">
        <f t="shared" si="30"/>
        <v>145020.06916796241</v>
      </c>
      <c r="F203">
        <f t="shared" si="30"/>
        <v>718143.10522838181</v>
      </c>
      <c r="N203" t="s">
        <v>36</v>
      </c>
      <c r="O203">
        <v>44053.570156906397</v>
      </c>
      <c r="P203">
        <v>158707.9126729001</v>
      </c>
      <c r="Q203">
        <v>370361.55323061289</v>
      </c>
      <c r="R203">
        <v>145020.06916796241</v>
      </c>
      <c r="S203">
        <f t="shared" si="31"/>
        <v>718143.10522838181</v>
      </c>
    </row>
    <row r="204" spans="1:19" x14ac:dyDescent="0.2">
      <c r="A204" t="s">
        <v>214</v>
      </c>
      <c r="B204">
        <f t="shared" si="30"/>
        <v>70390.809119538695</v>
      </c>
      <c r="C204">
        <f t="shared" si="30"/>
        <v>171550.67889519571</v>
      </c>
      <c r="D204">
        <f t="shared" si="30"/>
        <v>338030.03311831591</v>
      </c>
      <c r="E204">
        <f t="shared" si="30"/>
        <v>122466.29417433801</v>
      </c>
      <c r="F204">
        <f t="shared" si="30"/>
        <v>702437.81530738831</v>
      </c>
      <c r="N204" t="s">
        <v>214</v>
      </c>
      <c r="O204">
        <v>70390.809119538695</v>
      </c>
      <c r="P204">
        <v>171550.67889519571</v>
      </c>
      <c r="Q204">
        <v>338030.03311831591</v>
      </c>
      <c r="R204">
        <v>122466.29417433801</v>
      </c>
      <c r="S204">
        <f t="shared" si="31"/>
        <v>702437.81530738831</v>
      </c>
    </row>
    <row r="205" spans="1:19" x14ac:dyDescent="0.2">
      <c r="A205" t="s">
        <v>129</v>
      </c>
      <c r="B205">
        <f t="shared" si="30"/>
        <v>24127.762738625999</v>
      </c>
      <c r="C205">
        <f t="shared" si="30"/>
        <v>39489.0092153812</v>
      </c>
      <c r="D205">
        <f t="shared" si="30"/>
        <v>119708.27903641311</v>
      </c>
      <c r="E205">
        <f t="shared" si="30"/>
        <v>41925.4927364307</v>
      </c>
      <c r="F205">
        <f t="shared" si="30"/>
        <v>225250.543726851</v>
      </c>
      <c r="N205" t="s">
        <v>129</v>
      </c>
      <c r="O205">
        <v>24127.762738625999</v>
      </c>
      <c r="P205">
        <v>39489.0092153812</v>
      </c>
      <c r="Q205">
        <v>119708.27903641311</v>
      </c>
      <c r="R205">
        <v>41925.4927364307</v>
      </c>
      <c r="S205">
        <f t="shared" si="31"/>
        <v>225250.543726851</v>
      </c>
    </row>
    <row r="206" spans="1:19" x14ac:dyDescent="0.2">
      <c r="A206" t="s">
        <v>130</v>
      </c>
      <c r="B206">
        <f t="shared" si="30"/>
        <v>34881.266744015404</v>
      </c>
      <c r="C206">
        <f t="shared" si="30"/>
        <v>228331.0271530441</v>
      </c>
      <c r="D206">
        <f t="shared" si="30"/>
        <v>657983.59176856664</v>
      </c>
      <c r="E206">
        <f t="shared" si="30"/>
        <v>168814.7149611171</v>
      </c>
      <c r="F206">
        <f t="shared" si="30"/>
        <v>1090010.6006267432</v>
      </c>
      <c r="N206" t="s">
        <v>130</v>
      </c>
      <c r="O206">
        <v>34881.266744015404</v>
      </c>
      <c r="P206">
        <v>228331.0271530441</v>
      </c>
      <c r="Q206">
        <v>657983.59176856664</v>
      </c>
      <c r="R206">
        <v>168814.7149611171</v>
      </c>
      <c r="S206">
        <f t="shared" si="31"/>
        <v>1090010.6006267432</v>
      </c>
    </row>
    <row r="207" spans="1:19" x14ac:dyDescent="0.2">
      <c r="A207" t="s">
        <v>247</v>
      </c>
      <c r="B207">
        <f t="shared" si="30"/>
        <v>9709.3602703451998</v>
      </c>
      <c r="C207">
        <f t="shared" si="30"/>
        <v>46663.354949858702</v>
      </c>
      <c r="D207">
        <f t="shared" si="30"/>
        <v>99043.818484483505</v>
      </c>
      <c r="E207">
        <f t="shared" si="30"/>
        <v>28626.631692736799</v>
      </c>
      <c r="F207">
        <f t="shared" si="30"/>
        <v>184043.16539742419</v>
      </c>
      <c r="N207" t="s">
        <v>247</v>
      </c>
      <c r="O207">
        <v>9709.3602703451998</v>
      </c>
      <c r="P207">
        <v>46663.354949858702</v>
      </c>
      <c r="Q207">
        <v>99043.818484483505</v>
      </c>
      <c r="R207">
        <v>28626.631692736799</v>
      </c>
      <c r="S207">
        <f t="shared" si="31"/>
        <v>184043.16539742419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10861</v>
      </c>
      <c r="C210" t="s">
        <v>10862</v>
      </c>
      <c r="D210" t="s">
        <v>10863</v>
      </c>
      <c r="E210" t="s">
        <v>10864</v>
      </c>
      <c r="F210" t="s">
        <v>1688</v>
      </c>
      <c r="G210" t="s">
        <v>10865</v>
      </c>
      <c r="H210" t="s">
        <v>10866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1727558.9532551463</v>
      </c>
      <c r="N211" t="s">
        <v>210</v>
      </c>
      <c r="O211">
        <v>79037.6401089188</v>
      </c>
      <c r="P211">
        <v>6027.8099673173001</v>
      </c>
      <c r="Q211">
        <v>70900.655516414394</v>
      </c>
      <c r="R211">
        <v>50371.362533848602</v>
      </c>
      <c r="S211">
        <v>366865.11869293661</v>
      </c>
      <c r="T211">
        <v>40389.307369103197</v>
      </c>
      <c r="U211">
        <v>1113967.0590666074</v>
      </c>
      <c r="V211">
        <f>SUM(O211:U211)</f>
        <v>1727558.9532551463</v>
      </c>
    </row>
    <row r="212" spans="1:23" x14ac:dyDescent="0.2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805076.52504882298</v>
      </c>
      <c r="N212" t="s">
        <v>211</v>
      </c>
      <c r="O212">
        <v>34613.001160360101</v>
      </c>
      <c r="P212">
        <v>789.45598320570002</v>
      </c>
      <c r="Q212">
        <v>28160.228371058001</v>
      </c>
      <c r="R212">
        <v>35343.089765855999</v>
      </c>
      <c r="S212">
        <v>128049.85788342191</v>
      </c>
      <c r="T212">
        <v>3679.5907776108002</v>
      </c>
      <c r="U212">
        <v>574441.30110731046</v>
      </c>
      <c r="V212">
        <f t="shared" ref="V212:V218" si="36">SUM(O212:U212)</f>
        <v>805076.52504882298</v>
      </c>
    </row>
    <row r="213" spans="1:23" x14ac:dyDescent="0.2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648797.01309756911</v>
      </c>
      <c r="N213" t="s">
        <v>212</v>
      </c>
      <c r="O213">
        <v>34061.977706629201</v>
      </c>
      <c r="P213">
        <v>462.67095220929997</v>
      </c>
      <c r="Q213">
        <v>31876.0289466779</v>
      </c>
      <c r="R213">
        <v>34571.719632258399</v>
      </c>
      <c r="S213">
        <v>92579.880363555902</v>
      </c>
      <c r="T213">
        <v>2611.1811652474998</v>
      </c>
      <c r="U213">
        <v>452633.55433099088</v>
      </c>
      <c r="V213">
        <f t="shared" si="36"/>
        <v>648797.01309756911</v>
      </c>
    </row>
    <row r="214" spans="1:23" x14ac:dyDescent="0.2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24559.552869661002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718143.10522838181</v>
      </c>
      <c r="N214" t="s">
        <v>36</v>
      </c>
      <c r="O214">
        <v>24933.076938066599</v>
      </c>
      <c r="P214">
        <v>485.76884120250003</v>
      </c>
      <c r="Q214">
        <v>30369.740848877998</v>
      </c>
      <c r="R214">
        <v>24559.552869661002</v>
      </c>
      <c r="S214">
        <v>110186.080294496</v>
      </c>
      <c r="T214">
        <v>10687.5900859625</v>
      </c>
      <c r="U214">
        <v>516921.29535011522</v>
      </c>
      <c r="V214">
        <f t="shared" si="36"/>
        <v>718143.10522838181</v>
      </c>
    </row>
    <row r="215" spans="1:23" x14ac:dyDescent="0.2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702437.81530738831</v>
      </c>
      <c r="N215" t="s">
        <v>214</v>
      </c>
      <c r="O215">
        <v>17968.983954022002</v>
      </c>
      <c r="P215">
        <v>1607.070992965</v>
      </c>
      <c r="Q215">
        <v>20932.738866469499</v>
      </c>
      <c r="R215">
        <v>19696.594297641499</v>
      </c>
      <c r="S215">
        <v>105114.46815625941</v>
      </c>
      <c r="T215">
        <v>12804.510940579499</v>
      </c>
      <c r="U215">
        <v>524313.44809945137</v>
      </c>
      <c r="V215">
        <f t="shared" si="36"/>
        <v>702437.81530738831</v>
      </c>
    </row>
    <row r="216" spans="1:23" x14ac:dyDescent="0.2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225250.543726851</v>
      </c>
      <c r="N216" t="s">
        <v>129</v>
      </c>
      <c r="O216">
        <v>11939.972133858801</v>
      </c>
      <c r="P216">
        <v>488.07562926700001</v>
      </c>
      <c r="Q216">
        <v>4287.132606657</v>
      </c>
      <c r="R216">
        <v>11946.260995394001</v>
      </c>
      <c r="S216">
        <v>51316.740136362801</v>
      </c>
      <c r="T216">
        <v>6574.4430957761997</v>
      </c>
      <c r="U216">
        <v>138697.91912953521</v>
      </c>
      <c r="V216">
        <f t="shared" si="36"/>
        <v>225250.543726851</v>
      </c>
    </row>
    <row r="217" spans="1:23" x14ac:dyDescent="0.2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1090010.6006267432</v>
      </c>
      <c r="N217" t="s">
        <v>130</v>
      </c>
      <c r="O217">
        <v>45357.532431543703</v>
      </c>
      <c r="P217">
        <v>2552.9661731877</v>
      </c>
      <c r="Q217">
        <v>32411.710559707601</v>
      </c>
      <c r="R217">
        <v>39687.352662972</v>
      </c>
      <c r="S217">
        <v>218949.4684907874</v>
      </c>
      <c r="T217">
        <v>20280.583342895599</v>
      </c>
      <c r="U217">
        <v>730770.98696564918</v>
      </c>
      <c r="V217">
        <f t="shared" si="36"/>
        <v>1090010.6006267432</v>
      </c>
    </row>
    <row r="218" spans="1:23" x14ac:dyDescent="0.2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184043.16539742419</v>
      </c>
      <c r="N218" t="s">
        <v>247</v>
      </c>
      <c r="O218">
        <v>5113.9959560066</v>
      </c>
      <c r="P218">
        <v>811.99076192229995</v>
      </c>
      <c r="Q218">
        <v>8000.7828230945006</v>
      </c>
      <c r="R218">
        <v>8435.7198634551005</v>
      </c>
      <c r="S218">
        <v>49565.2087046374</v>
      </c>
      <c r="T218">
        <v>8562.5809054546007</v>
      </c>
      <c r="U218">
        <v>103552.8863828537</v>
      </c>
      <c r="V218">
        <f t="shared" si="36"/>
        <v>184043.16539742419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J228" si="37">O222*$B$1</f>
        <v>250075.8413</v>
      </c>
      <c r="C222">
        <f t="shared" si="37"/>
        <v>26046.423600000002</v>
      </c>
      <c r="D222">
        <f t="shared" si="37"/>
        <v>3695.3521000000001</v>
      </c>
      <c r="E222">
        <f t="shared" si="37"/>
        <v>9623.4645999999993</v>
      </c>
      <c r="F222">
        <f t="shared" si="37"/>
        <v>26115.8714</v>
      </c>
      <c r="G222">
        <f t="shared" si="37"/>
        <v>1120.2595999999999</v>
      </c>
      <c r="H222">
        <f t="shared" si="37"/>
        <v>309.71820000000002</v>
      </c>
      <c r="I222">
        <f t="shared" si="37"/>
        <v>191.50479999999999</v>
      </c>
      <c r="J222">
        <f t="shared" si="37"/>
        <v>317178.43560000003</v>
      </c>
      <c r="N222" t="s">
        <v>210</v>
      </c>
      <c r="O222" s="104">
        <v>250075.8413</v>
      </c>
      <c r="P222" s="104">
        <v>26046.423600000002</v>
      </c>
      <c r="Q222" s="104">
        <v>3695.3521000000001</v>
      </c>
      <c r="R222" s="104">
        <v>9623.4645999999993</v>
      </c>
      <c r="S222" s="104">
        <v>26115.8714</v>
      </c>
      <c r="T222" s="104">
        <v>1120.2595999999999</v>
      </c>
      <c r="U222" s="104">
        <v>309.71820000000002</v>
      </c>
      <c r="V222">
        <v>191.50479999999999</v>
      </c>
      <c r="W222" s="104">
        <f>SUM(O222:V222)</f>
        <v>317178.43560000003</v>
      </c>
    </row>
    <row r="223" spans="1:23" x14ac:dyDescent="0.2">
      <c r="A223" t="s">
        <v>211</v>
      </c>
      <c r="B223">
        <f t="shared" si="37"/>
        <v>4523.5419000000002</v>
      </c>
      <c r="C223">
        <f t="shared" si="37"/>
        <v>6911.4877999999999</v>
      </c>
      <c r="D223">
        <f t="shared" si="37"/>
        <v>0</v>
      </c>
      <c r="E223">
        <f t="shared" si="37"/>
        <v>3468.9843000000001</v>
      </c>
      <c r="F223">
        <f t="shared" si="37"/>
        <v>12918.3516</v>
      </c>
      <c r="G223">
        <f t="shared" si="37"/>
        <v>2645.8099000000002</v>
      </c>
      <c r="H223">
        <f t="shared" si="37"/>
        <v>20731.526399999999</v>
      </c>
      <c r="I223">
        <f t="shared" si="37"/>
        <v>0</v>
      </c>
      <c r="J223">
        <f t="shared" si="37"/>
        <v>51199.7019</v>
      </c>
      <c r="N223" t="s">
        <v>211</v>
      </c>
      <c r="O223" s="104">
        <v>4523.5419000000002</v>
      </c>
      <c r="P223" s="104">
        <v>6911.4877999999999</v>
      </c>
      <c r="Q223" s="104">
        <v>0</v>
      </c>
      <c r="R223" s="104">
        <v>3468.9843000000001</v>
      </c>
      <c r="S223" s="104">
        <v>12918.3516</v>
      </c>
      <c r="T223" s="104">
        <v>2645.8099000000002</v>
      </c>
      <c r="U223" s="104">
        <v>20731.526399999999</v>
      </c>
      <c r="V223">
        <v>0</v>
      </c>
      <c r="W223" s="104">
        <f t="shared" ref="W223:W228" si="38">SUM(O223:V223)</f>
        <v>51199.7019</v>
      </c>
    </row>
    <row r="224" spans="1:23" x14ac:dyDescent="0.2">
      <c r="A224" t="s">
        <v>212</v>
      </c>
      <c r="B224">
        <f t="shared" si="37"/>
        <v>258953.26190000001</v>
      </c>
      <c r="C224">
        <f t="shared" si="37"/>
        <v>50365.078000000001</v>
      </c>
      <c r="D224">
        <f t="shared" si="37"/>
        <v>14575.7464</v>
      </c>
      <c r="E224">
        <f t="shared" si="37"/>
        <v>56325.4948</v>
      </c>
      <c r="F224">
        <f t="shared" si="37"/>
        <v>12863.8066</v>
      </c>
      <c r="G224">
        <f t="shared" si="37"/>
        <v>2984.3738000000003</v>
      </c>
      <c r="H224">
        <f t="shared" si="37"/>
        <v>49023.294200000004</v>
      </c>
      <c r="I224">
        <f t="shared" si="37"/>
        <v>34883.820899999999</v>
      </c>
      <c r="J224">
        <f t="shared" si="37"/>
        <v>479974.87660000002</v>
      </c>
      <c r="N224" t="s">
        <v>212</v>
      </c>
      <c r="O224" s="104">
        <v>258953.26190000001</v>
      </c>
      <c r="P224" s="104">
        <v>50365.078000000001</v>
      </c>
      <c r="Q224" s="104">
        <v>14575.7464</v>
      </c>
      <c r="R224" s="104">
        <v>56325.4948</v>
      </c>
      <c r="S224" s="104">
        <v>12863.8066</v>
      </c>
      <c r="T224" s="104">
        <v>2984.3738000000003</v>
      </c>
      <c r="U224" s="104">
        <v>49023.294200000004</v>
      </c>
      <c r="V224">
        <v>34883.820899999999</v>
      </c>
      <c r="W224" s="104">
        <f t="shared" si="38"/>
        <v>479974.87660000002</v>
      </c>
    </row>
    <row r="225" spans="1:23" x14ac:dyDescent="0.2">
      <c r="A225" t="s">
        <v>36</v>
      </c>
      <c r="B225">
        <f t="shared" si="37"/>
        <v>296124.28149999998</v>
      </c>
      <c r="C225">
        <f t="shared" si="37"/>
        <v>100810.35189999999</v>
      </c>
      <c r="D225">
        <f t="shared" si="37"/>
        <v>142343.75649999999</v>
      </c>
      <c r="E225">
        <f t="shared" si="37"/>
        <v>177472.20550000001</v>
      </c>
      <c r="F225">
        <f t="shared" si="37"/>
        <v>32635.4974</v>
      </c>
      <c r="G225">
        <f t="shared" si="37"/>
        <v>8743.7734999999993</v>
      </c>
      <c r="H225">
        <f t="shared" si="37"/>
        <v>77077.590200000006</v>
      </c>
      <c r="I225">
        <f t="shared" si="37"/>
        <v>66528.124899999995</v>
      </c>
      <c r="J225">
        <f t="shared" si="37"/>
        <v>901735.58140000002</v>
      </c>
      <c r="N225" t="s">
        <v>36</v>
      </c>
      <c r="O225" s="104">
        <v>296124.28149999998</v>
      </c>
      <c r="P225" s="104">
        <v>100810.35189999999</v>
      </c>
      <c r="Q225" s="104">
        <v>142343.75649999999</v>
      </c>
      <c r="R225" s="104">
        <v>177472.20550000001</v>
      </c>
      <c r="S225" s="104">
        <v>32635.4974</v>
      </c>
      <c r="T225" s="104">
        <v>8743.7734999999993</v>
      </c>
      <c r="U225" s="104">
        <v>77077.590200000006</v>
      </c>
      <c r="V225">
        <v>66528.124899999995</v>
      </c>
      <c r="W225" s="104">
        <f t="shared" si="38"/>
        <v>901735.58140000002</v>
      </c>
    </row>
    <row r="226" spans="1:23" x14ac:dyDescent="0.2">
      <c r="A226" t="s">
        <v>214</v>
      </c>
      <c r="B226">
        <f t="shared" si="37"/>
        <v>390974.17910000001</v>
      </c>
      <c r="C226">
        <f t="shared" si="37"/>
        <v>135854.54620000001</v>
      </c>
      <c r="D226">
        <f t="shared" si="37"/>
        <v>163320.2421</v>
      </c>
      <c r="E226">
        <f t="shared" si="37"/>
        <v>209052.5955</v>
      </c>
      <c r="F226">
        <f t="shared" si="37"/>
        <v>41543.5645</v>
      </c>
      <c r="G226">
        <f t="shared" si="37"/>
        <v>4572.2660000000005</v>
      </c>
      <c r="H226">
        <f t="shared" si="37"/>
        <v>59605.488100000002</v>
      </c>
      <c r="I226">
        <f t="shared" si="37"/>
        <v>69632.557400000005</v>
      </c>
      <c r="J226">
        <f t="shared" si="37"/>
        <v>1074555.4389</v>
      </c>
      <c r="N226" t="s">
        <v>214</v>
      </c>
      <c r="O226" s="104">
        <v>390974.17910000001</v>
      </c>
      <c r="P226" s="104">
        <v>135854.54620000001</v>
      </c>
      <c r="Q226" s="104">
        <v>163320.2421</v>
      </c>
      <c r="R226" s="104">
        <v>209052.5955</v>
      </c>
      <c r="S226" s="104">
        <v>41543.5645</v>
      </c>
      <c r="T226" s="104">
        <v>4572.2660000000005</v>
      </c>
      <c r="U226" s="104">
        <v>59605.488100000002</v>
      </c>
      <c r="V226">
        <v>69632.557400000005</v>
      </c>
      <c r="W226" s="104">
        <f t="shared" si="38"/>
        <v>1074555.4389</v>
      </c>
    </row>
    <row r="227" spans="1:23" x14ac:dyDescent="0.2">
      <c r="A227" t="s">
        <v>129</v>
      </c>
      <c r="B227">
        <f t="shared" si="37"/>
        <v>235806.9326</v>
      </c>
      <c r="C227">
        <f t="shared" si="37"/>
        <v>49290.2304</v>
      </c>
      <c r="D227">
        <f t="shared" si="37"/>
        <v>46714.241900000001</v>
      </c>
      <c r="E227">
        <f t="shared" si="37"/>
        <v>76092.9326</v>
      </c>
      <c r="F227">
        <f t="shared" si="37"/>
        <v>20415.510299999998</v>
      </c>
      <c r="G227">
        <f t="shared" si="37"/>
        <v>5501.6325999999999</v>
      </c>
      <c r="H227">
        <f t="shared" si="37"/>
        <v>23327.257399999999</v>
      </c>
      <c r="I227">
        <f t="shared" si="37"/>
        <v>20135.915499999999</v>
      </c>
      <c r="J227">
        <f t="shared" si="37"/>
        <v>477284.65330000006</v>
      </c>
      <c r="N227" t="s">
        <v>129</v>
      </c>
      <c r="O227" s="104">
        <v>235806.9326</v>
      </c>
      <c r="P227" s="104">
        <v>49290.2304</v>
      </c>
      <c r="Q227" s="104">
        <v>46714.241900000001</v>
      </c>
      <c r="R227" s="104">
        <v>76092.9326</v>
      </c>
      <c r="S227" s="104">
        <v>20415.510299999998</v>
      </c>
      <c r="T227" s="104">
        <v>5501.6325999999999</v>
      </c>
      <c r="U227" s="104">
        <v>23327.257399999999</v>
      </c>
      <c r="V227">
        <v>20135.915499999999</v>
      </c>
      <c r="W227" s="104">
        <f t="shared" si="38"/>
        <v>477284.65330000006</v>
      </c>
    </row>
    <row r="228" spans="1:23" x14ac:dyDescent="0.2">
      <c r="A228" t="s">
        <v>130</v>
      </c>
      <c r="B228">
        <f t="shared" si="37"/>
        <v>192394.38690000001</v>
      </c>
      <c r="C228">
        <f t="shared" si="37"/>
        <v>48520.614399999999</v>
      </c>
      <c r="D228">
        <f t="shared" si="37"/>
        <v>51253.290800000002</v>
      </c>
      <c r="E228">
        <f t="shared" si="37"/>
        <v>100849.0634</v>
      </c>
      <c r="F228">
        <f t="shared" si="37"/>
        <v>16398.062300000001</v>
      </c>
      <c r="G228">
        <f t="shared" si="37"/>
        <v>5304.2622999999994</v>
      </c>
      <c r="H228">
        <f t="shared" si="37"/>
        <v>56621.2785</v>
      </c>
      <c r="I228">
        <f t="shared" si="37"/>
        <v>23936.415300000001</v>
      </c>
      <c r="J228">
        <f t="shared" si="37"/>
        <v>495277.37390000001</v>
      </c>
      <c r="N228" t="s">
        <v>130</v>
      </c>
      <c r="O228" s="104">
        <v>192394.38690000001</v>
      </c>
      <c r="P228" s="104">
        <v>48520.614399999999</v>
      </c>
      <c r="Q228" s="104">
        <v>51253.290800000002</v>
      </c>
      <c r="R228" s="104">
        <v>100849.0634</v>
      </c>
      <c r="S228" s="104">
        <v>16398.062300000001</v>
      </c>
      <c r="T228" s="104">
        <v>5304.2622999999994</v>
      </c>
      <c r="U228" s="104">
        <v>56621.2785</v>
      </c>
      <c r="V228">
        <v>23936.415300000001</v>
      </c>
      <c r="W228" s="104">
        <f t="shared" si="38"/>
        <v>495277.37390000001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F238" si="39">O232*$B$1</f>
        <v>2485.2287000000001</v>
      </c>
      <c r="C232">
        <f t="shared" si="39"/>
        <v>86538.9329</v>
      </c>
      <c r="D232">
        <f t="shared" si="39"/>
        <v>44027.546900000001</v>
      </c>
      <c r="E232">
        <f t="shared" si="39"/>
        <v>164733.38039999999</v>
      </c>
      <c r="F232">
        <f t="shared" si="39"/>
        <v>297785.08889999997</v>
      </c>
      <c r="N232" t="s">
        <v>210</v>
      </c>
      <c r="O232" s="104">
        <v>2485.2287000000001</v>
      </c>
      <c r="P232" s="104">
        <v>86538.9329</v>
      </c>
      <c r="Q232" s="104">
        <v>44027.546900000001</v>
      </c>
      <c r="R232" s="104">
        <v>164733.38039999999</v>
      </c>
      <c r="S232" s="104">
        <f>SUM(O232:R232)</f>
        <v>297785.08889999997</v>
      </c>
    </row>
    <row r="233" spans="1:23" x14ac:dyDescent="0.2">
      <c r="A233" t="s">
        <v>211</v>
      </c>
      <c r="B233">
        <f t="shared" si="39"/>
        <v>2299.152</v>
      </c>
      <c r="C233">
        <f t="shared" si="39"/>
        <v>8519.1494999999995</v>
      </c>
      <c r="D233">
        <f t="shared" si="39"/>
        <v>3941.2957999999999</v>
      </c>
      <c r="E233">
        <f t="shared" si="39"/>
        <v>24467.006600000001</v>
      </c>
      <c r="F233">
        <f t="shared" si="39"/>
        <v>39226.603900000002</v>
      </c>
      <c r="N233" t="s">
        <v>211</v>
      </c>
      <c r="O233" s="104">
        <v>2299.152</v>
      </c>
      <c r="P233" s="104">
        <v>8519.1494999999995</v>
      </c>
      <c r="Q233" s="104">
        <v>3941.2957999999999</v>
      </c>
      <c r="R233" s="104">
        <v>24467.006600000001</v>
      </c>
      <c r="S233" s="104">
        <f t="shared" ref="S233:S238" si="40">SUM(O233:R233)</f>
        <v>39226.603900000002</v>
      </c>
    </row>
    <row r="234" spans="1:23" x14ac:dyDescent="0.2">
      <c r="A234" t="s">
        <v>212</v>
      </c>
      <c r="B234">
        <f t="shared" si="39"/>
        <v>9201.5738999999994</v>
      </c>
      <c r="C234">
        <f t="shared" si="39"/>
        <v>74539.947199999995</v>
      </c>
      <c r="D234">
        <f t="shared" si="39"/>
        <v>66793.489000000001</v>
      </c>
      <c r="E234">
        <f t="shared" si="39"/>
        <v>294244.41509999998</v>
      </c>
      <c r="F234">
        <f t="shared" si="39"/>
        <v>444779.4252</v>
      </c>
      <c r="N234" t="s">
        <v>212</v>
      </c>
      <c r="O234" s="104">
        <v>9201.5738999999994</v>
      </c>
      <c r="P234" s="104">
        <v>74539.947199999995</v>
      </c>
      <c r="Q234" s="104">
        <v>66793.489000000001</v>
      </c>
      <c r="R234" s="104">
        <v>294244.41509999998</v>
      </c>
      <c r="S234" s="104">
        <f t="shared" si="40"/>
        <v>444779.4252</v>
      </c>
    </row>
    <row r="235" spans="1:23" x14ac:dyDescent="0.2">
      <c r="A235" t="s">
        <v>36</v>
      </c>
      <c r="B235">
        <f t="shared" si="39"/>
        <v>40875.726600000002</v>
      </c>
      <c r="C235">
        <f t="shared" si="39"/>
        <v>266857.96419999999</v>
      </c>
      <c r="D235">
        <f t="shared" si="39"/>
        <v>137884.7164</v>
      </c>
      <c r="E235">
        <f t="shared" si="39"/>
        <v>356679.21500000003</v>
      </c>
      <c r="F235">
        <f t="shared" si="39"/>
        <v>802297.6222000001</v>
      </c>
      <c r="N235" t="s">
        <v>36</v>
      </c>
      <c r="O235" s="104">
        <v>40875.726600000002</v>
      </c>
      <c r="P235" s="104">
        <v>266857.96419999999</v>
      </c>
      <c r="Q235" s="104">
        <v>137884.7164</v>
      </c>
      <c r="R235" s="104">
        <v>356679.21500000003</v>
      </c>
      <c r="S235" s="104">
        <f t="shared" si="40"/>
        <v>802297.6222000001</v>
      </c>
    </row>
    <row r="236" spans="1:23" x14ac:dyDescent="0.2">
      <c r="A236" t="s">
        <v>214</v>
      </c>
      <c r="B236">
        <f t="shared" si="39"/>
        <v>38726.070599999999</v>
      </c>
      <c r="C236">
        <f t="shared" si="39"/>
        <v>320920.20299999998</v>
      </c>
      <c r="D236">
        <f t="shared" si="39"/>
        <v>162743.34700000001</v>
      </c>
      <c r="E236">
        <f t="shared" si="39"/>
        <v>462006.85369999998</v>
      </c>
      <c r="F236">
        <f t="shared" si="39"/>
        <v>984396.47429999989</v>
      </c>
      <c r="N236" t="s">
        <v>214</v>
      </c>
      <c r="O236" s="104">
        <v>38726.070599999999</v>
      </c>
      <c r="P236" s="104">
        <v>320920.20299999998</v>
      </c>
      <c r="Q236" s="104">
        <v>162743.34700000001</v>
      </c>
      <c r="R236" s="104">
        <v>462006.85369999998</v>
      </c>
      <c r="S236" s="104">
        <f t="shared" si="40"/>
        <v>984396.47429999989</v>
      </c>
    </row>
    <row r="237" spans="1:23" x14ac:dyDescent="0.2">
      <c r="A237" t="s">
        <v>129</v>
      </c>
      <c r="B237">
        <f t="shared" si="39"/>
        <v>14801.2716</v>
      </c>
      <c r="C237">
        <f t="shared" si="39"/>
        <v>115979.33840000001</v>
      </c>
      <c r="D237">
        <f t="shared" si="39"/>
        <v>79532.120500000005</v>
      </c>
      <c r="E237">
        <f t="shared" si="39"/>
        <v>233216.42989999999</v>
      </c>
      <c r="F237">
        <f t="shared" si="39"/>
        <v>443529.16039999999</v>
      </c>
      <c r="N237" t="s">
        <v>129</v>
      </c>
      <c r="O237" s="104">
        <v>14801.2716</v>
      </c>
      <c r="P237" s="104">
        <v>115979.33840000001</v>
      </c>
      <c r="Q237" s="104">
        <v>79532.120500000005</v>
      </c>
      <c r="R237" s="104">
        <v>233216.42989999999</v>
      </c>
      <c r="S237" s="104">
        <f t="shared" si="40"/>
        <v>443529.16039999999</v>
      </c>
    </row>
    <row r="238" spans="1:23" x14ac:dyDescent="0.2">
      <c r="A238" t="s">
        <v>130</v>
      </c>
      <c r="B238">
        <f t="shared" si="39"/>
        <v>11926.9622</v>
      </c>
      <c r="C238">
        <f t="shared" si="39"/>
        <v>91677.203500000003</v>
      </c>
      <c r="D238">
        <f t="shared" si="39"/>
        <v>78208.240900000004</v>
      </c>
      <c r="E238">
        <f t="shared" si="39"/>
        <v>256161.74799999999</v>
      </c>
      <c r="F238">
        <f t="shared" si="39"/>
        <v>437974.15460000001</v>
      </c>
      <c r="N238" t="s">
        <v>130</v>
      </c>
      <c r="O238" s="104">
        <v>11926.9622</v>
      </c>
      <c r="P238" s="104">
        <v>91677.203500000003</v>
      </c>
      <c r="Q238" s="104">
        <v>78208.240900000004</v>
      </c>
      <c r="R238" s="104">
        <v>256161.74799999999</v>
      </c>
      <c r="S238" s="104">
        <f t="shared" si="40"/>
        <v>437974.15460000001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F248" si="41">O242*$B$1</f>
        <v>8100.7168000000001</v>
      </c>
      <c r="C242">
        <f t="shared" si="41"/>
        <v>51651.133600000001</v>
      </c>
      <c r="D242">
        <f t="shared" si="41"/>
        <v>183995.62539999999</v>
      </c>
      <c r="E242">
        <f t="shared" si="41"/>
        <v>73430.959799999997</v>
      </c>
      <c r="F242">
        <f t="shared" si="41"/>
        <v>317178.43559999997</v>
      </c>
      <c r="N242" t="s">
        <v>210</v>
      </c>
      <c r="O242" s="104">
        <v>8100.7168000000001</v>
      </c>
      <c r="P242" s="104">
        <v>51651.133600000001</v>
      </c>
      <c r="Q242" s="104">
        <v>183995.62539999999</v>
      </c>
      <c r="R242" s="104">
        <v>73430.959799999997</v>
      </c>
      <c r="S242" s="104">
        <f>SUM(O242:R242)</f>
        <v>317178.43559999997</v>
      </c>
    </row>
    <row r="243" spans="1:22" x14ac:dyDescent="0.2">
      <c r="A243" t="s">
        <v>211</v>
      </c>
      <c r="B243">
        <f t="shared" si="41"/>
        <v>10103.864799999999</v>
      </c>
      <c r="C243">
        <f t="shared" si="41"/>
        <v>9937.6767</v>
      </c>
      <c r="D243">
        <f t="shared" si="41"/>
        <v>25743.243299999998</v>
      </c>
      <c r="E243">
        <f t="shared" si="41"/>
        <v>5414.9170999999997</v>
      </c>
      <c r="F243">
        <f t="shared" si="41"/>
        <v>51199.701899999993</v>
      </c>
      <c r="N243" t="s">
        <v>211</v>
      </c>
      <c r="O243" s="104">
        <v>10103.864799999999</v>
      </c>
      <c r="P243" s="104">
        <v>9937.6767</v>
      </c>
      <c r="Q243" s="104">
        <v>25743.243299999998</v>
      </c>
      <c r="R243" s="104">
        <v>5414.9170999999997</v>
      </c>
      <c r="S243" s="104">
        <f t="shared" ref="S243:S248" si="42">SUM(O243:R243)</f>
        <v>51199.701899999993</v>
      </c>
    </row>
    <row r="244" spans="1:22" x14ac:dyDescent="0.2">
      <c r="A244" t="s">
        <v>212</v>
      </c>
      <c r="B244">
        <f t="shared" si="41"/>
        <v>1728.5329000000002</v>
      </c>
      <c r="C244">
        <f t="shared" si="41"/>
        <v>97484.4035</v>
      </c>
      <c r="D244">
        <f t="shared" si="41"/>
        <v>306216.32150000002</v>
      </c>
      <c r="E244">
        <f t="shared" si="41"/>
        <v>74545.618700000006</v>
      </c>
      <c r="F244">
        <f t="shared" si="41"/>
        <v>479974.87660000002</v>
      </c>
      <c r="N244" t="s">
        <v>212</v>
      </c>
      <c r="O244" s="104">
        <v>1728.5329000000002</v>
      </c>
      <c r="P244" s="104">
        <v>97484.4035</v>
      </c>
      <c r="Q244" s="104">
        <v>306216.32150000002</v>
      </c>
      <c r="R244" s="104">
        <v>74545.618700000006</v>
      </c>
      <c r="S244" s="104">
        <f t="shared" si="42"/>
        <v>479974.87660000002</v>
      </c>
    </row>
    <row r="245" spans="1:22" x14ac:dyDescent="0.2">
      <c r="A245" t="s">
        <v>36</v>
      </c>
      <c r="B245">
        <f t="shared" si="41"/>
        <v>41604.058299999997</v>
      </c>
      <c r="C245">
        <f t="shared" si="41"/>
        <v>177124.9871</v>
      </c>
      <c r="D245">
        <f t="shared" si="41"/>
        <v>516472.0294</v>
      </c>
      <c r="E245">
        <f t="shared" si="41"/>
        <v>166534.50659999999</v>
      </c>
      <c r="F245">
        <f t="shared" si="41"/>
        <v>901735.58140000002</v>
      </c>
      <c r="N245" t="s">
        <v>36</v>
      </c>
      <c r="O245" s="104">
        <v>41604.058299999997</v>
      </c>
      <c r="P245" s="104">
        <v>177124.9871</v>
      </c>
      <c r="Q245" s="104">
        <v>516472.0294</v>
      </c>
      <c r="R245" s="104">
        <v>166534.50659999999</v>
      </c>
      <c r="S245" s="104">
        <f t="shared" si="42"/>
        <v>901735.58140000002</v>
      </c>
    </row>
    <row r="246" spans="1:22" x14ac:dyDescent="0.2">
      <c r="A246" t="s">
        <v>214</v>
      </c>
      <c r="B246">
        <f t="shared" si="41"/>
        <v>52649.452599999997</v>
      </c>
      <c r="C246">
        <f t="shared" si="41"/>
        <v>216442.99590000001</v>
      </c>
      <c r="D246">
        <f t="shared" si="41"/>
        <v>615209.38340000005</v>
      </c>
      <c r="E246">
        <f t="shared" si="41"/>
        <v>190253.60699999999</v>
      </c>
      <c r="F246">
        <f t="shared" si="41"/>
        <v>1074555.4389000002</v>
      </c>
      <c r="N246" t="s">
        <v>214</v>
      </c>
      <c r="O246" s="104">
        <v>52649.452599999997</v>
      </c>
      <c r="P246" s="104">
        <v>216442.99590000001</v>
      </c>
      <c r="Q246" s="104">
        <v>615209.38340000005</v>
      </c>
      <c r="R246" s="104">
        <v>190253.60699999999</v>
      </c>
      <c r="S246" s="104">
        <f t="shared" si="42"/>
        <v>1074555.4389000002</v>
      </c>
    </row>
    <row r="247" spans="1:22" x14ac:dyDescent="0.2">
      <c r="A247" t="s">
        <v>129</v>
      </c>
      <c r="B247">
        <f t="shared" si="41"/>
        <v>28415.916300000001</v>
      </c>
      <c r="C247">
        <f t="shared" si="41"/>
        <v>129191.2453</v>
      </c>
      <c r="D247">
        <f t="shared" si="41"/>
        <v>247110.8651</v>
      </c>
      <c r="E247">
        <f t="shared" si="41"/>
        <v>72566.626600000003</v>
      </c>
      <c r="F247">
        <f t="shared" si="41"/>
        <v>477284.65330000001</v>
      </c>
      <c r="N247" t="s">
        <v>129</v>
      </c>
      <c r="O247" s="104">
        <v>28415.916300000001</v>
      </c>
      <c r="P247" s="104">
        <v>129191.2453</v>
      </c>
      <c r="Q247" s="104">
        <v>247110.8651</v>
      </c>
      <c r="R247" s="104">
        <v>72566.626600000003</v>
      </c>
      <c r="S247" s="104">
        <f t="shared" si="42"/>
        <v>477284.65330000001</v>
      </c>
    </row>
    <row r="248" spans="1:22" x14ac:dyDescent="0.2">
      <c r="A248" t="s">
        <v>130</v>
      </c>
      <c r="B248">
        <f t="shared" si="41"/>
        <v>15999.9439</v>
      </c>
      <c r="C248">
        <f t="shared" si="41"/>
        <v>82060.3</v>
      </c>
      <c r="D248">
        <f t="shared" si="41"/>
        <v>322602.35399999999</v>
      </c>
      <c r="E248">
        <f t="shared" si="41"/>
        <v>74614.775999999998</v>
      </c>
      <c r="F248">
        <f t="shared" si="41"/>
        <v>495277.37390000001</v>
      </c>
      <c r="N248" t="s">
        <v>130</v>
      </c>
      <c r="O248" s="104">
        <v>15999.9439</v>
      </c>
      <c r="P248" s="104">
        <v>82060.3</v>
      </c>
      <c r="Q248" s="104">
        <v>322602.35399999999</v>
      </c>
      <c r="R248" s="104">
        <v>74614.775999999998</v>
      </c>
      <c r="S248" s="104">
        <f t="shared" si="42"/>
        <v>495277.37390000001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10861</v>
      </c>
      <c r="C251" t="s">
        <v>10862</v>
      </c>
      <c r="D251" t="s">
        <v>10863</v>
      </c>
      <c r="E251" t="s">
        <v>10864</v>
      </c>
      <c r="F251" t="s">
        <v>1688</v>
      </c>
      <c r="G251" t="s">
        <v>10865</v>
      </c>
      <c r="H251" t="s">
        <v>10866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317178.43559999997</v>
      </c>
      <c r="N252" t="s">
        <v>210</v>
      </c>
      <c r="O252" s="104">
        <v>6923.8131999999996</v>
      </c>
      <c r="P252" s="104">
        <v>1080.2171000000001</v>
      </c>
      <c r="Q252" s="104">
        <v>12381.686400000001</v>
      </c>
      <c r="R252" s="104">
        <v>5648.2267000000002</v>
      </c>
      <c r="S252" s="104">
        <v>78157.741699999999</v>
      </c>
      <c r="T252" s="104">
        <v>6283.9052000000001</v>
      </c>
      <c r="U252" s="104">
        <v>206702.84529999999</v>
      </c>
      <c r="V252" s="104">
        <f>SUM(O252:U252)</f>
        <v>317178.43559999997</v>
      </c>
    </row>
    <row r="253" spans="1:22" x14ac:dyDescent="0.2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51199.7019</v>
      </c>
      <c r="N253" t="s">
        <v>211</v>
      </c>
      <c r="O253" s="104">
        <v>1646.5905</v>
      </c>
      <c r="P253" s="104">
        <v>32.201999999999998</v>
      </c>
      <c r="Q253" s="104">
        <v>2191.0479</v>
      </c>
      <c r="R253" s="104">
        <v>496.8381</v>
      </c>
      <c r="S253" s="104">
        <v>22018.809600000001</v>
      </c>
      <c r="T253" s="104">
        <v>524.40599999999995</v>
      </c>
      <c r="U253" s="104">
        <v>24289.807799999999</v>
      </c>
      <c r="V253" s="104">
        <f t="shared" ref="V253:V258" si="47">SUM(O253:U253)</f>
        <v>51199.7019</v>
      </c>
    </row>
    <row r="254" spans="1:22" x14ac:dyDescent="0.2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479974.87660000002</v>
      </c>
      <c r="N254" t="s">
        <v>212</v>
      </c>
      <c r="O254" s="104">
        <v>30462.906999999999</v>
      </c>
      <c r="P254" s="104">
        <v>431.32029999999997</v>
      </c>
      <c r="Q254" s="104">
        <v>20026.817600000002</v>
      </c>
      <c r="R254" s="104">
        <v>17693.594000000001</v>
      </c>
      <c r="S254" s="104">
        <v>82251.821299999996</v>
      </c>
      <c r="T254" s="104">
        <v>1801.1107</v>
      </c>
      <c r="U254" s="104">
        <v>327307.30570000003</v>
      </c>
      <c r="V254" s="104">
        <f t="shared" si="47"/>
        <v>479974.87660000002</v>
      </c>
    </row>
    <row r="255" spans="1:22" x14ac:dyDescent="0.2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901735.58140000002</v>
      </c>
      <c r="N255" t="s">
        <v>36</v>
      </c>
      <c r="O255" s="104">
        <v>26310.457399999999</v>
      </c>
      <c r="P255" s="104">
        <v>1648.1524999999999</v>
      </c>
      <c r="Q255" s="104">
        <v>24141.128799999999</v>
      </c>
      <c r="R255" s="104">
        <v>21889.563099999999</v>
      </c>
      <c r="S255" s="104">
        <v>157948.239</v>
      </c>
      <c r="T255" s="104">
        <v>12457.092699999999</v>
      </c>
      <c r="U255" s="104">
        <v>657340.94790000003</v>
      </c>
      <c r="V255" s="104">
        <f t="shared" si="47"/>
        <v>901735.58140000002</v>
      </c>
    </row>
    <row r="256" spans="1:22" x14ac:dyDescent="0.2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1074555.4389</v>
      </c>
      <c r="N256" t="s">
        <v>214</v>
      </c>
      <c r="O256" s="104">
        <v>38577.354899999998</v>
      </c>
      <c r="P256" s="104">
        <v>1723.5217</v>
      </c>
      <c r="Q256" s="104">
        <v>38740.460500000001</v>
      </c>
      <c r="R256" s="104">
        <v>29042.2399</v>
      </c>
      <c r="S256" s="104">
        <v>186320.94380000001</v>
      </c>
      <c r="T256" s="104">
        <v>16772.111199999999</v>
      </c>
      <c r="U256" s="104">
        <v>763378.80689999997</v>
      </c>
      <c r="V256" s="104">
        <f t="shared" si="47"/>
        <v>1074555.4389</v>
      </c>
    </row>
    <row r="257" spans="1:23" x14ac:dyDescent="0.2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477284.65329999995</v>
      </c>
      <c r="N257" t="s">
        <v>129</v>
      </c>
      <c r="O257" s="104">
        <v>15798.5699</v>
      </c>
      <c r="P257" s="104">
        <v>931.07539999999995</v>
      </c>
      <c r="Q257" s="104">
        <v>9291.6589000000004</v>
      </c>
      <c r="R257" s="104">
        <v>25828.3236</v>
      </c>
      <c r="S257" s="104">
        <v>99797.627999999997</v>
      </c>
      <c r="T257" s="104">
        <v>15433.157800000001</v>
      </c>
      <c r="U257" s="104">
        <v>310204.23969999998</v>
      </c>
      <c r="V257" s="104">
        <f t="shared" si="47"/>
        <v>477284.65329999995</v>
      </c>
    </row>
    <row r="258" spans="1:23" x14ac:dyDescent="0.2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495277.37390000001</v>
      </c>
      <c r="N258" t="s">
        <v>130</v>
      </c>
      <c r="O258" s="104">
        <v>21874.137500000001</v>
      </c>
      <c r="P258" s="104">
        <v>394.45179999999999</v>
      </c>
      <c r="Q258" s="104">
        <v>12859.3099</v>
      </c>
      <c r="R258" s="104">
        <v>26672.872100000001</v>
      </c>
      <c r="S258" s="104">
        <v>114111.53170000001</v>
      </c>
      <c r="T258" s="104">
        <v>8336.0727999999999</v>
      </c>
      <c r="U258" s="104">
        <v>311028.99810000003</v>
      </c>
      <c r="V258" s="104">
        <f t="shared" si="47"/>
        <v>495277.37390000001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J269" si="48">O262*$B$1</f>
        <v>1882637.104251564</v>
      </c>
      <c r="C262">
        <f t="shared" si="48"/>
        <v>234494.7700699605</v>
      </c>
      <c r="D262">
        <f t="shared" si="48"/>
        <v>21819.047668798099</v>
      </c>
      <c r="E262">
        <f t="shared" si="48"/>
        <v>49778.948362793402</v>
      </c>
      <c r="F262">
        <f t="shared" si="48"/>
        <v>103237.59271916401</v>
      </c>
      <c r="G262">
        <f t="shared" si="48"/>
        <v>3454.995375</v>
      </c>
      <c r="H262">
        <f t="shared" si="48"/>
        <v>1912.5762499999998</v>
      </c>
      <c r="I262">
        <f t="shared" si="48"/>
        <v>916.36924999999997</v>
      </c>
      <c r="J262">
        <f t="shared" si="48"/>
        <v>2298251.4039472798</v>
      </c>
      <c r="N262" t="s">
        <v>210</v>
      </c>
      <c r="O262">
        <v>1882637.104251564</v>
      </c>
      <c r="P262">
        <v>234494.7700699605</v>
      </c>
      <c r="Q262">
        <v>21819.047668798099</v>
      </c>
      <c r="R262">
        <v>49778.948362793402</v>
      </c>
      <c r="S262">
        <v>103237.59271916401</v>
      </c>
      <c r="T262">
        <v>3454.995375</v>
      </c>
      <c r="U262">
        <v>1912.5762499999998</v>
      </c>
      <c r="V262">
        <v>916.36924999999997</v>
      </c>
      <c r="W262">
        <f>SUM(O262:V262)</f>
        <v>2298251.4039472798</v>
      </c>
    </row>
    <row r="263" spans="1:23" x14ac:dyDescent="0.2">
      <c r="A263" t="s">
        <v>211</v>
      </c>
      <c r="B263">
        <f t="shared" si="48"/>
        <v>13216.3521083552</v>
      </c>
      <c r="C263">
        <f t="shared" si="48"/>
        <v>52646.016471054303</v>
      </c>
      <c r="D263">
        <f t="shared" si="48"/>
        <v>1402.1807139949999</v>
      </c>
      <c r="E263">
        <f t="shared" si="48"/>
        <v>77386.515796188294</v>
      </c>
      <c r="F263">
        <f t="shared" si="48"/>
        <v>68188.028325767096</v>
      </c>
      <c r="G263">
        <f t="shared" si="48"/>
        <v>80074.881124580003</v>
      </c>
      <c r="H263">
        <f t="shared" si="48"/>
        <v>518281.29412500001</v>
      </c>
      <c r="I263">
        <f t="shared" si="48"/>
        <v>63797.081124999997</v>
      </c>
      <c r="J263">
        <f t="shared" si="48"/>
        <v>874992.34978993994</v>
      </c>
      <c r="N263" t="s">
        <v>211</v>
      </c>
      <c r="O263">
        <v>13216.3521083552</v>
      </c>
      <c r="P263">
        <v>52646.016471054303</v>
      </c>
      <c r="Q263">
        <v>1402.1807139949999</v>
      </c>
      <c r="R263">
        <v>77386.515796188294</v>
      </c>
      <c r="S263">
        <v>68188.028325767096</v>
      </c>
      <c r="T263">
        <v>80074.881124580003</v>
      </c>
      <c r="U263">
        <v>518281.29412500001</v>
      </c>
      <c r="V263">
        <v>63797.081124999997</v>
      </c>
      <c r="W263">
        <f t="shared" ref="W263:W269" si="49">SUM(O263:V263)</f>
        <v>874992.34978993994</v>
      </c>
    </row>
    <row r="264" spans="1:23" x14ac:dyDescent="0.2">
      <c r="A264" t="s">
        <v>212</v>
      </c>
      <c r="B264">
        <f t="shared" si="48"/>
        <v>492148.23910684302</v>
      </c>
      <c r="C264">
        <f t="shared" si="48"/>
        <v>157793.97888876311</v>
      </c>
      <c r="D264">
        <f t="shared" si="48"/>
        <v>74447.560782668093</v>
      </c>
      <c r="E264">
        <f t="shared" si="48"/>
        <v>300731.38909281947</v>
      </c>
      <c r="F264">
        <f t="shared" si="48"/>
        <v>28975.10060862</v>
      </c>
      <c r="G264">
        <f t="shared" si="48"/>
        <v>11968.84604696</v>
      </c>
      <c r="H264">
        <f t="shared" si="48"/>
        <v>92331.105750000002</v>
      </c>
      <c r="I264">
        <f t="shared" si="48"/>
        <v>87413.192999999999</v>
      </c>
      <c r="J264">
        <f t="shared" ref="J264:J269" si="50">W264*$B$1</f>
        <v>1245809.4132766738</v>
      </c>
      <c r="N264" t="s">
        <v>212</v>
      </c>
      <c r="O264">
        <v>492148.23910684302</v>
      </c>
      <c r="P264">
        <v>157793.97888876311</v>
      </c>
      <c r="Q264">
        <v>74447.560782668093</v>
      </c>
      <c r="R264">
        <v>300731.38909281947</v>
      </c>
      <c r="S264">
        <v>28975.10060862</v>
      </c>
      <c r="T264">
        <v>11968.84604696</v>
      </c>
      <c r="U264">
        <v>92331.105750000002</v>
      </c>
      <c r="V264">
        <v>87413.192999999999</v>
      </c>
      <c r="W264">
        <f t="shared" si="49"/>
        <v>1245809.4132766738</v>
      </c>
    </row>
    <row r="265" spans="1:23" x14ac:dyDescent="0.2">
      <c r="A265" t="s">
        <v>36</v>
      </c>
      <c r="B265">
        <f t="shared" si="48"/>
        <v>503090.24165628297</v>
      </c>
      <c r="C265">
        <f t="shared" si="48"/>
        <v>203956.1181323682</v>
      </c>
      <c r="D265">
        <f t="shared" si="48"/>
        <v>336872.84540896118</v>
      </c>
      <c r="E265">
        <f t="shared" si="48"/>
        <v>417831.0454963611</v>
      </c>
      <c r="F265">
        <f t="shared" si="48"/>
        <v>57633.854780504204</v>
      </c>
      <c r="G265">
        <f t="shared" si="48"/>
        <v>15952.134375</v>
      </c>
      <c r="H265">
        <f t="shared" si="48"/>
        <v>161805.522375</v>
      </c>
      <c r="I265">
        <f t="shared" si="48"/>
        <v>149084.45225</v>
      </c>
      <c r="J265">
        <f t="shared" si="50"/>
        <v>1846226.2144744776</v>
      </c>
      <c r="N265" t="s">
        <v>36</v>
      </c>
      <c r="O265">
        <v>503090.24165628297</v>
      </c>
      <c r="P265">
        <v>203956.1181323682</v>
      </c>
      <c r="Q265">
        <v>336872.84540896118</v>
      </c>
      <c r="R265">
        <v>417831.0454963611</v>
      </c>
      <c r="S265">
        <v>57633.854780504204</v>
      </c>
      <c r="T265">
        <v>15952.134375</v>
      </c>
      <c r="U265">
        <v>161805.522375</v>
      </c>
      <c r="V265">
        <v>149084.45225</v>
      </c>
      <c r="W265">
        <f t="shared" si="49"/>
        <v>1846226.2144744776</v>
      </c>
    </row>
    <row r="266" spans="1:23" x14ac:dyDescent="0.2">
      <c r="A266" t="s">
        <v>214</v>
      </c>
      <c r="B266">
        <f t="shared" si="48"/>
        <v>633307.49862378545</v>
      </c>
      <c r="C266">
        <f t="shared" si="48"/>
        <v>236707.7546520952</v>
      </c>
      <c r="D266">
        <f t="shared" si="48"/>
        <v>336041.82314902107</v>
      </c>
      <c r="E266">
        <f t="shared" si="48"/>
        <v>490310.14628425823</v>
      </c>
      <c r="F266">
        <f t="shared" si="48"/>
        <v>72874.106651743597</v>
      </c>
      <c r="G266">
        <f t="shared" si="48"/>
        <v>6758.9533223939998</v>
      </c>
      <c r="H266">
        <f t="shared" si="48"/>
        <v>107380.84387500001</v>
      </c>
      <c r="I266">
        <f t="shared" si="48"/>
        <v>158763.24849999999</v>
      </c>
      <c r="J266">
        <f t="shared" si="50"/>
        <v>2042144.3750582975</v>
      </c>
      <c r="N266" t="s">
        <v>214</v>
      </c>
      <c r="O266">
        <v>633307.49862378545</v>
      </c>
      <c r="P266">
        <v>236707.7546520952</v>
      </c>
      <c r="Q266">
        <v>336041.82314902107</v>
      </c>
      <c r="R266">
        <v>490310.14628425823</v>
      </c>
      <c r="S266">
        <v>72874.106651743597</v>
      </c>
      <c r="T266">
        <v>6758.9533223939998</v>
      </c>
      <c r="U266">
        <v>107380.84387500001</v>
      </c>
      <c r="V266">
        <v>158763.24849999999</v>
      </c>
      <c r="W266">
        <f t="shared" si="49"/>
        <v>2042144.3750582975</v>
      </c>
    </row>
    <row r="267" spans="1:23" x14ac:dyDescent="0.2">
      <c r="A267" t="s">
        <v>129</v>
      </c>
      <c r="B267">
        <f t="shared" si="48"/>
        <v>367084.79000479722</v>
      </c>
      <c r="C267">
        <f t="shared" si="48"/>
        <v>83181.423740284605</v>
      </c>
      <c r="D267">
        <f t="shared" si="48"/>
        <v>99173.737299580796</v>
      </c>
      <c r="E267">
        <f t="shared" si="48"/>
        <v>162143.82640126671</v>
      </c>
      <c r="F267">
        <f t="shared" si="48"/>
        <v>33916.577703929797</v>
      </c>
      <c r="G267">
        <f t="shared" si="48"/>
        <v>6877.0407500000001</v>
      </c>
      <c r="H267">
        <f t="shared" si="48"/>
        <v>43252.367250000003</v>
      </c>
      <c r="I267">
        <f t="shared" si="48"/>
        <v>32475.251875000002</v>
      </c>
      <c r="J267">
        <f t="shared" si="50"/>
        <v>828105.01502485911</v>
      </c>
      <c r="N267" t="s">
        <v>129</v>
      </c>
      <c r="O267">
        <v>367084.79000479722</v>
      </c>
      <c r="P267">
        <v>83181.423740284605</v>
      </c>
      <c r="Q267">
        <v>99173.737299580796</v>
      </c>
      <c r="R267">
        <v>162143.82640126671</v>
      </c>
      <c r="S267">
        <v>33916.577703929797</v>
      </c>
      <c r="T267">
        <v>6877.0407500000001</v>
      </c>
      <c r="U267">
        <v>43252.367250000003</v>
      </c>
      <c r="V267">
        <v>32475.251875000002</v>
      </c>
      <c r="W267">
        <f t="shared" si="49"/>
        <v>828105.01502485911</v>
      </c>
    </row>
    <row r="268" spans="1:23" x14ac:dyDescent="0.2">
      <c r="A268" t="s">
        <v>130</v>
      </c>
      <c r="B268">
        <f t="shared" si="48"/>
        <v>537293.30976057926</v>
      </c>
      <c r="C268">
        <f t="shared" si="48"/>
        <v>179404.36812362741</v>
      </c>
      <c r="D268">
        <f t="shared" si="48"/>
        <v>202815.14805023739</v>
      </c>
      <c r="E268">
        <f t="shared" si="48"/>
        <v>379141.66976063087</v>
      </c>
      <c r="F268">
        <f t="shared" si="48"/>
        <v>46320.502170605199</v>
      </c>
      <c r="G268">
        <f t="shared" si="48"/>
        <v>21616.844269657999</v>
      </c>
      <c r="H268">
        <f t="shared" si="48"/>
        <v>208062.59575000001</v>
      </c>
      <c r="I268">
        <f t="shared" si="48"/>
        <v>141492.62787500001</v>
      </c>
      <c r="J268">
        <f t="shared" si="50"/>
        <v>1716147.0657603382</v>
      </c>
      <c r="N268" t="s">
        <v>130</v>
      </c>
      <c r="O268">
        <v>537293.30976057926</v>
      </c>
      <c r="P268">
        <v>179404.36812362741</v>
      </c>
      <c r="Q268">
        <v>202815.14805023739</v>
      </c>
      <c r="R268">
        <v>379141.66976063087</v>
      </c>
      <c r="S268">
        <v>46320.502170605199</v>
      </c>
      <c r="T268">
        <v>21616.844269657999</v>
      </c>
      <c r="U268">
        <v>208062.59575000001</v>
      </c>
      <c r="V268">
        <v>141492.62787500001</v>
      </c>
      <c r="W268">
        <f t="shared" si="49"/>
        <v>1716147.0657603382</v>
      </c>
    </row>
    <row r="269" spans="1:23" x14ac:dyDescent="0.2">
      <c r="A269" t="s">
        <v>145</v>
      </c>
      <c r="B269">
        <f t="shared" si="48"/>
        <v>2252239.1619469607</v>
      </c>
      <c r="C269">
        <f t="shared" si="48"/>
        <v>615198.59191001416</v>
      </c>
      <c r="D269">
        <f t="shared" si="48"/>
        <v>547643.30129612843</v>
      </c>
      <c r="E269">
        <f t="shared" si="48"/>
        <v>1050057.9685095558</v>
      </c>
      <c r="F269">
        <f t="shared" si="48"/>
        <v>190437.4047858167</v>
      </c>
      <c r="G269">
        <f t="shared" si="48"/>
        <v>108113.223138592</v>
      </c>
      <c r="H269">
        <f t="shared" si="48"/>
        <v>770215.05237499997</v>
      </c>
      <c r="I269">
        <f t="shared" si="48"/>
        <v>363863.49162500002</v>
      </c>
      <c r="J269">
        <f t="shared" si="50"/>
        <v>5897768.1955870669</v>
      </c>
      <c r="N269" t="s">
        <v>145</v>
      </c>
      <c r="O269">
        <v>2252239.1619469607</v>
      </c>
      <c r="P269">
        <v>615198.59191001416</v>
      </c>
      <c r="Q269">
        <v>547643.30129612843</v>
      </c>
      <c r="R269">
        <v>1050057.9685095558</v>
      </c>
      <c r="S269">
        <v>190437.4047858167</v>
      </c>
      <c r="T269">
        <v>108113.223138592</v>
      </c>
      <c r="U269">
        <v>770215.05237499997</v>
      </c>
      <c r="V269">
        <v>363863.49162500002</v>
      </c>
      <c r="W269">
        <f t="shared" si="49"/>
        <v>5897768.1955870669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F280" si="51">O273*$B$1</f>
        <v>28498.140899397498</v>
      </c>
      <c r="C273">
        <f t="shared" si="51"/>
        <v>496824.41104277677</v>
      </c>
      <c r="D273">
        <f t="shared" si="51"/>
        <v>370052.8882844511</v>
      </c>
      <c r="E273">
        <f t="shared" si="51"/>
        <v>1253633.2342763571</v>
      </c>
      <c r="F273">
        <f t="shared" si="51"/>
        <v>2149008.6745029828</v>
      </c>
      <c r="N273" t="s">
        <v>210</v>
      </c>
      <c r="O273">
        <v>28498.140899397498</v>
      </c>
      <c r="P273">
        <v>496824.41104277677</v>
      </c>
      <c r="Q273">
        <v>370052.8882844511</v>
      </c>
      <c r="R273">
        <v>1253633.2342763571</v>
      </c>
      <c r="S273">
        <f>SUM(O273:R273)</f>
        <v>2149008.6745029828</v>
      </c>
    </row>
    <row r="274" spans="1:19" x14ac:dyDescent="0.2">
      <c r="A274" t="s">
        <v>211</v>
      </c>
      <c r="B274">
        <f t="shared" si="51"/>
        <v>36101.037549612003</v>
      </c>
      <c r="C274">
        <f t="shared" si="51"/>
        <v>139183.93195783929</v>
      </c>
      <c r="D274">
        <f t="shared" si="51"/>
        <v>107872.9074486196</v>
      </c>
      <c r="E274">
        <f t="shared" si="51"/>
        <v>501397.80388968613</v>
      </c>
      <c r="F274">
        <f t="shared" si="51"/>
        <v>784555.68084575702</v>
      </c>
      <c r="N274" t="s">
        <v>211</v>
      </c>
      <c r="O274">
        <v>36101.037549612003</v>
      </c>
      <c r="P274">
        <v>139183.93195783929</v>
      </c>
      <c r="Q274">
        <v>107872.9074486196</v>
      </c>
      <c r="R274">
        <v>501397.80388968613</v>
      </c>
      <c r="S274">
        <f t="shared" ref="S274:S280" si="52">SUM(O274:R274)</f>
        <v>784555.68084575702</v>
      </c>
    </row>
    <row r="275" spans="1:19" x14ac:dyDescent="0.2">
      <c r="A275" t="s">
        <v>212</v>
      </c>
      <c r="B275">
        <f t="shared" si="51"/>
        <v>24724.241933775</v>
      </c>
      <c r="C275">
        <f t="shared" si="51"/>
        <v>210454.6635120245</v>
      </c>
      <c r="D275">
        <f t="shared" si="51"/>
        <v>176418.47065998861</v>
      </c>
      <c r="E275">
        <f t="shared" si="51"/>
        <v>749186.73234488163</v>
      </c>
      <c r="F275">
        <f t="shared" si="51"/>
        <v>1160784.1084506698</v>
      </c>
      <c r="N275" t="s">
        <v>212</v>
      </c>
      <c r="O275">
        <v>24724.241933775</v>
      </c>
      <c r="P275">
        <v>210454.6635120245</v>
      </c>
      <c r="Q275">
        <v>176418.47065998861</v>
      </c>
      <c r="R275">
        <v>749186.73234488163</v>
      </c>
      <c r="S275">
        <f t="shared" si="52"/>
        <v>1160784.1084506698</v>
      </c>
    </row>
    <row r="276" spans="1:19" x14ac:dyDescent="0.2">
      <c r="A276" t="s">
        <v>36</v>
      </c>
      <c r="B276">
        <f t="shared" si="51"/>
        <v>81949.709491690999</v>
      </c>
      <c r="C276">
        <f t="shared" si="51"/>
        <v>558241.23235357867</v>
      </c>
      <c r="D276">
        <f t="shared" si="51"/>
        <v>283588.22591676551</v>
      </c>
      <c r="E276">
        <f t="shared" si="51"/>
        <v>725060.09350684483</v>
      </c>
      <c r="F276">
        <f t="shared" si="51"/>
        <v>1648839.26126888</v>
      </c>
      <c r="N276" t="s">
        <v>36</v>
      </c>
      <c r="O276">
        <v>81949.709491690999</v>
      </c>
      <c r="P276">
        <v>558241.23235357867</v>
      </c>
      <c r="Q276">
        <v>283588.22591676551</v>
      </c>
      <c r="R276">
        <v>725060.09350684483</v>
      </c>
      <c r="S276">
        <f t="shared" si="52"/>
        <v>1648839.26126888</v>
      </c>
    </row>
    <row r="277" spans="1:19" x14ac:dyDescent="0.2">
      <c r="A277" t="s">
        <v>214</v>
      </c>
      <c r="B277">
        <f t="shared" si="51"/>
        <v>96008.829298845696</v>
      </c>
      <c r="C277">
        <f t="shared" si="51"/>
        <v>621796.902857512</v>
      </c>
      <c r="D277">
        <f t="shared" si="51"/>
        <v>311175.03560368973</v>
      </c>
      <c r="E277">
        <f t="shared" si="51"/>
        <v>830860.56803235144</v>
      </c>
      <c r="F277">
        <f t="shared" si="51"/>
        <v>1859841.335792399</v>
      </c>
      <c r="N277" t="s">
        <v>214</v>
      </c>
      <c r="O277">
        <v>96008.829298845696</v>
      </c>
      <c r="P277">
        <v>621796.902857512</v>
      </c>
      <c r="Q277">
        <v>311175.03560368973</v>
      </c>
      <c r="R277">
        <v>830860.56803235144</v>
      </c>
      <c r="S277">
        <f t="shared" si="52"/>
        <v>1859841.335792399</v>
      </c>
    </row>
    <row r="278" spans="1:19" x14ac:dyDescent="0.2">
      <c r="A278" t="s">
        <v>129</v>
      </c>
      <c r="B278">
        <f t="shared" si="51"/>
        <v>33921.859150095697</v>
      </c>
      <c r="C278">
        <f t="shared" si="51"/>
        <v>198841.45258059521</v>
      </c>
      <c r="D278">
        <f t="shared" si="51"/>
        <v>142289.7327638336</v>
      </c>
      <c r="E278">
        <f t="shared" si="51"/>
        <v>392495.01564504579</v>
      </c>
      <c r="F278">
        <f t="shared" si="51"/>
        <v>767548.06013957027</v>
      </c>
      <c r="N278" t="s">
        <v>129</v>
      </c>
      <c r="O278">
        <v>33921.859150095697</v>
      </c>
      <c r="P278">
        <v>198841.45258059521</v>
      </c>
      <c r="Q278">
        <v>142289.7327638336</v>
      </c>
      <c r="R278">
        <v>392495.01564504579</v>
      </c>
      <c r="S278">
        <f t="shared" si="52"/>
        <v>767548.06013957027</v>
      </c>
    </row>
    <row r="279" spans="1:19" x14ac:dyDescent="0.2">
      <c r="A279" t="s">
        <v>130</v>
      </c>
      <c r="B279">
        <f t="shared" si="51"/>
        <v>47863.087056686796</v>
      </c>
      <c r="C279">
        <f t="shared" si="51"/>
        <v>337941.29553768778</v>
      </c>
      <c r="D279">
        <f t="shared" si="51"/>
        <v>316277.87750156928</v>
      </c>
      <c r="E279">
        <f t="shared" si="51"/>
        <v>871004.25252380385</v>
      </c>
      <c r="F279">
        <f t="shared" si="51"/>
        <v>1573086.5126197478</v>
      </c>
      <c r="N279" t="s">
        <v>130</v>
      </c>
      <c r="O279">
        <v>47863.087056686796</v>
      </c>
      <c r="P279">
        <v>337941.29553768778</v>
      </c>
      <c r="Q279">
        <v>316277.87750156928</v>
      </c>
      <c r="R279">
        <v>871004.25252380385</v>
      </c>
      <c r="S279">
        <f t="shared" si="52"/>
        <v>1573086.5126197478</v>
      </c>
    </row>
    <row r="280" spans="1:19" x14ac:dyDescent="0.2">
      <c r="A280" t="s">
        <v>145</v>
      </c>
      <c r="B280">
        <f t="shared" si="51"/>
        <v>186268.83885934309</v>
      </c>
      <c r="C280">
        <f t="shared" si="51"/>
        <v>1299712.6931240482</v>
      </c>
      <c r="D280">
        <f t="shared" si="51"/>
        <v>964979.23858593171</v>
      </c>
      <c r="E280">
        <f t="shared" si="51"/>
        <v>2986691.0302768489</v>
      </c>
      <c r="F280">
        <f t="shared" si="51"/>
        <v>5437651.8008461725</v>
      </c>
      <c r="N280" t="s">
        <v>145</v>
      </c>
      <c r="O280">
        <v>186268.83885934309</v>
      </c>
      <c r="P280">
        <v>1299712.6931240482</v>
      </c>
      <c r="Q280">
        <v>964979.23858593171</v>
      </c>
      <c r="R280">
        <v>2986691.0302768489</v>
      </c>
      <c r="S280">
        <f t="shared" si="52"/>
        <v>5437651.8008461725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F291" si="53">O284*$B$1</f>
        <v>80264.433645508107</v>
      </c>
      <c r="C284">
        <f t="shared" si="53"/>
        <v>501596.21011665161</v>
      </c>
      <c r="D284">
        <f t="shared" si="53"/>
        <v>1248260.4089752845</v>
      </c>
      <c r="E284">
        <f t="shared" si="53"/>
        <v>468130.35120983562</v>
      </c>
      <c r="F284">
        <f t="shared" si="53"/>
        <v>2298251.4039472798</v>
      </c>
      <c r="N284" t="s">
        <v>210</v>
      </c>
      <c r="O284">
        <v>80264.433645508107</v>
      </c>
      <c r="P284">
        <v>501596.21011665161</v>
      </c>
      <c r="Q284">
        <v>1248260.4089752845</v>
      </c>
      <c r="R284">
        <v>468130.35120983562</v>
      </c>
      <c r="S284">
        <f>SUM(O284:R284)</f>
        <v>2298251.4039472798</v>
      </c>
    </row>
    <row r="285" spans="1:19" x14ac:dyDescent="0.2">
      <c r="A285" t="s">
        <v>211</v>
      </c>
      <c r="B285">
        <f t="shared" si="53"/>
        <v>43818.857477205202</v>
      </c>
      <c r="C285">
        <f t="shared" si="53"/>
        <v>207413.5868679155</v>
      </c>
      <c r="D285">
        <f t="shared" si="53"/>
        <v>461098.36786125822</v>
      </c>
      <c r="E285">
        <f t="shared" si="53"/>
        <v>162661.537583561</v>
      </c>
      <c r="F285">
        <f t="shared" si="53"/>
        <v>874992.34978993994</v>
      </c>
      <c r="N285" t="s">
        <v>211</v>
      </c>
      <c r="O285">
        <v>43818.857477205202</v>
      </c>
      <c r="P285">
        <v>207413.5868679155</v>
      </c>
      <c r="Q285">
        <v>461098.36786125822</v>
      </c>
      <c r="R285">
        <v>162661.537583561</v>
      </c>
      <c r="S285">
        <f t="shared" ref="S285:S291" si="54">SUM(O285:R285)</f>
        <v>874992.34978993994</v>
      </c>
    </row>
    <row r="286" spans="1:19" x14ac:dyDescent="0.2">
      <c r="A286" t="s">
        <v>212</v>
      </c>
      <c r="B286">
        <f t="shared" si="53"/>
        <v>4474.8467739469997</v>
      </c>
      <c r="C286">
        <f t="shared" si="53"/>
        <v>297184.48398886871</v>
      </c>
      <c r="D286">
        <f t="shared" si="53"/>
        <v>756714.98131501593</v>
      </c>
      <c r="E286">
        <f t="shared" si="53"/>
        <v>187435.10119884211</v>
      </c>
      <c r="F286">
        <f t="shared" si="53"/>
        <v>1245809.4132766738</v>
      </c>
      <c r="N286" t="s">
        <v>212</v>
      </c>
      <c r="O286">
        <v>4474.8467739469997</v>
      </c>
      <c r="P286">
        <v>297184.48398886871</v>
      </c>
      <c r="Q286">
        <v>756714.98131501593</v>
      </c>
      <c r="R286">
        <v>187435.10119884211</v>
      </c>
      <c r="S286">
        <f t="shared" si="54"/>
        <v>1245809.4132766738</v>
      </c>
    </row>
    <row r="287" spans="1:19" x14ac:dyDescent="0.2">
      <c r="A287" t="s">
        <v>36</v>
      </c>
      <c r="B287">
        <f t="shared" si="53"/>
        <v>97623.201890102297</v>
      </c>
      <c r="C287">
        <f t="shared" si="53"/>
        <v>389660.59053870908</v>
      </c>
      <c r="D287">
        <f t="shared" si="53"/>
        <v>1010176.9386890318</v>
      </c>
      <c r="E287">
        <f t="shared" si="53"/>
        <v>348765.48335663462</v>
      </c>
      <c r="F287">
        <f t="shared" si="53"/>
        <v>1846226.2144744778</v>
      </c>
      <c r="N287" t="s">
        <v>36</v>
      </c>
      <c r="O287">
        <v>97623.201890102297</v>
      </c>
      <c r="P287">
        <v>389660.59053870908</v>
      </c>
      <c r="Q287">
        <v>1010176.9386890318</v>
      </c>
      <c r="R287">
        <v>348765.48335663462</v>
      </c>
      <c r="S287">
        <f t="shared" si="54"/>
        <v>1846226.2144744778</v>
      </c>
    </row>
    <row r="288" spans="1:19" x14ac:dyDescent="0.2">
      <c r="A288" t="s">
        <v>214</v>
      </c>
      <c r="B288">
        <f t="shared" si="53"/>
        <v>139524.45564470999</v>
      </c>
      <c r="C288">
        <f t="shared" si="53"/>
        <v>449224.41085105308</v>
      </c>
      <c r="D288">
        <f t="shared" si="53"/>
        <v>1097551.4490860666</v>
      </c>
      <c r="E288">
        <f t="shared" si="53"/>
        <v>355844.0594764679</v>
      </c>
      <c r="F288">
        <f t="shared" si="53"/>
        <v>2042144.3750582975</v>
      </c>
      <c r="N288" t="s">
        <v>214</v>
      </c>
      <c r="O288">
        <v>139524.45564470999</v>
      </c>
      <c r="P288">
        <v>449224.41085105308</v>
      </c>
      <c r="Q288">
        <v>1097551.4490860666</v>
      </c>
      <c r="R288">
        <v>355844.0594764679</v>
      </c>
      <c r="S288">
        <f t="shared" si="54"/>
        <v>2042144.3750582975</v>
      </c>
    </row>
    <row r="289" spans="1:22" x14ac:dyDescent="0.2">
      <c r="A289" t="s">
        <v>129</v>
      </c>
      <c r="B289">
        <f t="shared" si="53"/>
        <v>63273.131287787197</v>
      </c>
      <c r="C289">
        <f t="shared" si="53"/>
        <v>208456.54522700951</v>
      </c>
      <c r="D289">
        <f t="shared" si="53"/>
        <v>425136.33803920599</v>
      </c>
      <c r="E289">
        <f t="shared" si="53"/>
        <v>131239.00047085641</v>
      </c>
      <c r="F289">
        <f t="shared" si="53"/>
        <v>828105.01502485911</v>
      </c>
      <c r="N289" t="s">
        <v>129</v>
      </c>
      <c r="O289">
        <v>63273.131287787197</v>
      </c>
      <c r="P289">
        <v>208456.54522700951</v>
      </c>
      <c r="Q289">
        <v>425136.33803920599</v>
      </c>
      <c r="R289">
        <v>131239.00047085641</v>
      </c>
      <c r="S289">
        <f t="shared" si="54"/>
        <v>828105.01502485911</v>
      </c>
    </row>
    <row r="290" spans="1:22" x14ac:dyDescent="0.2">
      <c r="A290" t="s">
        <v>130</v>
      </c>
      <c r="B290">
        <f t="shared" si="53"/>
        <v>56409.451373268799</v>
      </c>
      <c r="C290">
        <f t="shared" si="53"/>
        <v>337075.60147807101</v>
      </c>
      <c r="D290">
        <f t="shared" si="53"/>
        <v>1061533.1201933629</v>
      </c>
      <c r="E290">
        <f t="shared" si="53"/>
        <v>261128.89271563551</v>
      </c>
      <c r="F290">
        <f t="shared" si="53"/>
        <v>1716147.0657603382</v>
      </c>
      <c r="N290" t="s">
        <v>130</v>
      </c>
      <c r="O290">
        <v>56409.451373268799</v>
      </c>
      <c r="P290">
        <v>337075.60147807101</v>
      </c>
      <c r="Q290">
        <v>1061533.1201933629</v>
      </c>
      <c r="R290">
        <v>261128.89271563551</v>
      </c>
      <c r="S290">
        <f t="shared" si="54"/>
        <v>1716147.0657603382</v>
      </c>
    </row>
    <row r="291" spans="1:22" x14ac:dyDescent="0.2">
      <c r="A291" t="s">
        <v>145</v>
      </c>
      <c r="B291">
        <f t="shared" si="53"/>
        <v>264158.0049878119</v>
      </c>
      <c r="C291">
        <f t="shared" si="53"/>
        <v>1352280.7709092938</v>
      </c>
      <c r="D291">
        <f t="shared" si="53"/>
        <v>3204483.4941770295</v>
      </c>
      <c r="E291">
        <f t="shared" si="53"/>
        <v>1076845.9255129325</v>
      </c>
      <c r="F291">
        <f t="shared" si="53"/>
        <v>5897768.1955870669</v>
      </c>
      <c r="N291" t="s">
        <v>145</v>
      </c>
      <c r="O291">
        <v>264158.0049878119</v>
      </c>
      <c r="P291">
        <v>1352280.7709092938</v>
      </c>
      <c r="Q291">
        <v>3204483.4941770295</v>
      </c>
      <c r="R291">
        <v>1076845.9255129325</v>
      </c>
      <c r="S291">
        <f t="shared" si="54"/>
        <v>5897768.1955870669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10861</v>
      </c>
      <c r="C294" t="s">
        <v>10862</v>
      </c>
      <c r="D294" t="s">
        <v>10863</v>
      </c>
      <c r="E294" t="s">
        <v>10864</v>
      </c>
      <c r="F294" t="s">
        <v>1688</v>
      </c>
      <c r="G294" t="s">
        <v>10865</v>
      </c>
      <c r="H294" t="s">
        <v>10866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55">O295*$B$1</f>
        <v>106929.0849276715</v>
      </c>
      <c r="C295">
        <f t="shared" si="55"/>
        <v>24754.6926149272</v>
      </c>
      <c r="D295">
        <f t="shared" si="55"/>
        <v>86448.595542202107</v>
      </c>
      <c r="E295">
        <f t="shared" si="55"/>
        <v>72172.644143710306</v>
      </c>
      <c r="F295">
        <f t="shared" si="55"/>
        <v>536928.68142426875</v>
      </c>
      <c r="G295">
        <f t="shared" ref="G295:G302" si="56">T295*$B$1</f>
        <v>132250.63393863311</v>
      </c>
      <c r="H295">
        <f t="shared" ref="H295:I302" si="57">U295*$B$1</f>
        <v>1338767.071355867</v>
      </c>
      <c r="I295">
        <f t="shared" si="57"/>
        <v>2298251.4039472798</v>
      </c>
      <c r="N295" t="s">
        <v>210</v>
      </c>
      <c r="O295">
        <v>106929.0849276715</v>
      </c>
      <c r="P295">
        <v>24754.6926149272</v>
      </c>
      <c r="Q295">
        <v>86448.595542202107</v>
      </c>
      <c r="R295">
        <v>72172.644143710306</v>
      </c>
      <c r="S295">
        <v>536928.68142426875</v>
      </c>
      <c r="T295">
        <v>132250.63393863311</v>
      </c>
      <c r="U295">
        <v>1338767.071355867</v>
      </c>
      <c r="V295">
        <f>SUM(O295:U295)</f>
        <v>2298251.4039472798</v>
      </c>
    </row>
    <row r="296" spans="1:22" x14ac:dyDescent="0.2">
      <c r="A296" t="s">
        <v>211</v>
      </c>
      <c r="B296">
        <f t="shared" si="55"/>
        <v>38466.117531986798</v>
      </c>
      <c r="C296">
        <f t="shared" si="55"/>
        <v>1406.8269816186</v>
      </c>
      <c r="D296">
        <f t="shared" si="55"/>
        <v>33032.756553621999</v>
      </c>
      <c r="E296">
        <f t="shared" si="55"/>
        <v>34422.242464117997</v>
      </c>
      <c r="F296">
        <f t="shared" si="55"/>
        <v>169100.3647460698</v>
      </c>
      <c r="G296">
        <f t="shared" si="56"/>
        <v>6575.6071729757005</v>
      </c>
      <c r="H296">
        <f t="shared" si="57"/>
        <v>591988.43433954904</v>
      </c>
      <c r="I296">
        <f t="shared" si="57"/>
        <v>874992.34978994005</v>
      </c>
      <c r="N296" t="s">
        <v>211</v>
      </c>
      <c r="O296">
        <v>38466.117531986798</v>
      </c>
      <c r="P296">
        <v>1406.8269816186</v>
      </c>
      <c r="Q296">
        <v>33032.756553621999</v>
      </c>
      <c r="R296">
        <v>34422.242464117997</v>
      </c>
      <c r="S296">
        <v>169100.3647460698</v>
      </c>
      <c r="T296">
        <v>6575.6071729757005</v>
      </c>
      <c r="U296">
        <v>591988.43433954904</v>
      </c>
      <c r="V296">
        <f t="shared" ref="V296:V302" si="58">SUM(O296:U296)</f>
        <v>874992.34978994005</v>
      </c>
    </row>
    <row r="297" spans="1:22" x14ac:dyDescent="0.2">
      <c r="A297" t="s">
        <v>212</v>
      </c>
      <c r="B297">
        <f t="shared" si="55"/>
        <v>70026.031617185494</v>
      </c>
      <c r="C297">
        <f t="shared" si="55"/>
        <v>9590.7289506468005</v>
      </c>
      <c r="D297">
        <f t="shared" si="55"/>
        <v>57117.033784888896</v>
      </c>
      <c r="E297">
        <f t="shared" si="55"/>
        <v>59810.472862319199</v>
      </c>
      <c r="F297">
        <f t="shared" si="55"/>
        <v>201421.86230743869</v>
      </c>
      <c r="G297">
        <f t="shared" si="56"/>
        <v>28115.7393296562</v>
      </c>
      <c r="H297">
        <f t="shared" si="57"/>
        <v>819727.54442453838</v>
      </c>
      <c r="I297">
        <f t="shared" si="57"/>
        <v>1245809.4132766738</v>
      </c>
      <c r="N297" t="s">
        <v>212</v>
      </c>
      <c r="O297">
        <v>70026.031617185494</v>
      </c>
      <c r="P297">
        <v>9590.7289506468005</v>
      </c>
      <c r="Q297">
        <v>57117.033784888896</v>
      </c>
      <c r="R297">
        <v>59810.472862319199</v>
      </c>
      <c r="S297">
        <v>201421.86230743869</v>
      </c>
      <c r="T297">
        <v>28115.7393296562</v>
      </c>
      <c r="U297">
        <v>819727.54442453838</v>
      </c>
      <c r="V297">
        <f t="shared" si="58"/>
        <v>1245809.4132766738</v>
      </c>
    </row>
    <row r="298" spans="1:22" x14ac:dyDescent="0.2">
      <c r="A298" t="s">
        <v>36</v>
      </c>
      <c r="B298">
        <f t="shared" si="55"/>
        <v>55292.872301563802</v>
      </c>
      <c r="C298">
        <f t="shared" si="55"/>
        <v>11941.9436546048</v>
      </c>
      <c r="D298">
        <f t="shared" si="55"/>
        <v>60941.5413613852</v>
      </c>
      <c r="E298">
        <f t="shared" si="55"/>
        <v>58794.195004650799</v>
      </c>
      <c r="F298">
        <f t="shared" si="55"/>
        <v>316259.57867141609</v>
      </c>
      <c r="G298">
        <f t="shared" si="56"/>
        <v>53976.252527494798</v>
      </c>
      <c r="H298">
        <f t="shared" si="57"/>
        <v>1289019.8309533622</v>
      </c>
      <c r="I298">
        <f t="shared" si="57"/>
        <v>1846226.2144744778</v>
      </c>
      <c r="N298" t="s">
        <v>36</v>
      </c>
      <c r="O298">
        <v>55292.872301563802</v>
      </c>
      <c r="P298">
        <v>11941.9436546048</v>
      </c>
      <c r="Q298">
        <v>60941.5413613852</v>
      </c>
      <c r="R298">
        <v>58794.195004650799</v>
      </c>
      <c r="S298">
        <v>316259.57867141609</v>
      </c>
      <c r="T298">
        <v>53976.252527494798</v>
      </c>
      <c r="U298">
        <v>1289019.8309533622</v>
      </c>
      <c r="V298">
        <f t="shared" si="58"/>
        <v>1846226.2144744778</v>
      </c>
    </row>
    <row r="299" spans="1:22" x14ac:dyDescent="0.2">
      <c r="A299" t="s">
        <v>214</v>
      </c>
      <c r="B299">
        <f t="shared" si="55"/>
        <v>66071.146098922196</v>
      </c>
      <c r="C299">
        <f t="shared" si="55"/>
        <v>15058.9825684676</v>
      </c>
      <c r="D299">
        <f t="shared" si="55"/>
        <v>73049.531360591995</v>
      </c>
      <c r="E299">
        <f t="shared" si="55"/>
        <v>59055.176237026099</v>
      </c>
      <c r="F299">
        <f t="shared" si="55"/>
        <v>341603.82782808488</v>
      </c>
      <c r="G299">
        <f t="shared" si="56"/>
        <v>83582.991327303898</v>
      </c>
      <c r="H299">
        <f t="shared" si="57"/>
        <v>1403722.7196379008</v>
      </c>
      <c r="I299">
        <f t="shared" si="57"/>
        <v>2042144.3750582975</v>
      </c>
      <c r="N299" t="s">
        <v>214</v>
      </c>
      <c r="O299">
        <v>66071.146098922196</v>
      </c>
      <c r="P299">
        <v>15058.9825684676</v>
      </c>
      <c r="Q299">
        <v>73049.531360591995</v>
      </c>
      <c r="R299">
        <v>59055.176237026099</v>
      </c>
      <c r="S299">
        <v>341603.82782808488</v>
      </c>
      <c r="T299">
        <v>83582.991327303898</v>
      </c>
      <c r="U299">
        <v>1403722.7196379008</v>
      </c>
      <c r="V299">
        <f t="shared" si="58"/>
        <v>2042144.3750582975</v>
      </c>
    </row>
    <row r="300" spans="1:22" x14ac:dyDescent="0.2">
      <c r="A300" t="s">
        <v>129</v>
      </c>
      <c r="B300">
        <f t="shared" si="55"/>
        <v>42106.779806808401</v>
      </c>
      <c r="C300">
        <f t="shared" si="55"/>
        <v>10385.803995926201</v>
      </c>
      <c r="D300">
        <f t="shared" si="55"/>
        <v>13490.268722328599</v>
      </c>
      <c r="E300">
        <f t="shared" si="55"/>
        <v>37115.394703387901</v>
      </c>
      <c r="F300">
        <f t="shared" si="55"/>
        <v>167218.32137992649</v>
      </c>
      <c r="G300">
        <f t="shared" si="56"/>
        <v>82584.158815259696</v>
      </c>
      <c r="H300">
        <f t="shared" si="57"/>
        <v>475204.28760122182</v>
      </c>
      <c r="I300">
        <f t="shared" si="57"/>
        <v>828105.01502485911</v>
      </c>
      <c r="N300" t="s">
        <v>129</v>
      </c>
      <c r="O300">
        <v>42106.779806808401</v>
      </c>
      <c r="P300">
        <v>10385.803995926201</v>
      </c>
      <c r="Q300">
        <v>13490.268722328599</v>
      </c>
      <c r="R300">
        <v>37115.394703387901</v>
      </c>
      <c r="S300">
        <v>167218.32137992649</v>
      </c>
      <c r="T300">
        <v>82584.158815259696</v>
      </c>
      <c r="U300">
        <v>475204.28760122182</v>
      </c>
      <c r="V300">
        <f t="shared" si="58"/>
        <v>828105.01502485911</v>
      </c>
    </row>
    <row r="301" spans="1:22" x14ac:dyDescent="0.2">
      <c r="A301" t="s">
        <v>130</v>
      </c>
      <c r="B301">
        <f t="shared" si="55"/>
        <v>72331.766635122098</v>
      </c>
      <c r="C301">
        <f t="shared" si="55"/>
        <v>10877.522436389399</v>
      </c>
      <c r="D301">
        <f t="shared" si="55"/>
        <v>49294.555866011797</v>
      </c>
      <c r="E301">
        <f t="shared" si="55"/>
        <v>59356.353783971601</v>
      </c>
      <c r="F301">
        <f t="shared" si="55"/>
        <v>369521.96244732628</v>
      </c>
      <c r="G301">
        <f t="shared" si="56"/>
        <v>67351.171172335104</v>
      </c>
      <c r="H301">
        <f t="shared" si="57"/>
        <v>1087413.733419182</v>
      </c>
      <c r="I301">
        <f t="shared" si="57"/>
        <v>1716147.0657603382</v>
      </c>
      <c r="N301" t="s">
        <v>130</v>
      </c>
      <c r="O301">
        <v>72331.766635122098</v>
      </c>
      <c r="P301">
        <v>10877.522436389399</v>
      </c>
      <c r="Q301">
        <v>49294.555866011797</v>
      </c>
      <c r="R301">
        <v>59356.353783971601</v>
      </c>
      <c r="S301">
        <v>369521.96244732628</v>
      </c>
      <c r="T301">
        <v>67351.171172335104</v>
      </c>
      <c r="U301">
        <v>1087413.733419182</v>
      </c>
      <c r="V301">
        <f t="shared" si="58"/>
        <v>1716147.0657603382</v>
      </c>
    </row>
    <row r="302" spans="1:22" x14ac:dyDescent="0.2">
      <c r="A302" t="s">
        <v>145</v>
      </c>
      <c r="B302">
        <f t="shared" si="55"/>
        <v>241769.65931290659</v>
      </c>
      <c r="C302">
        <f t="shared" si="55"/>
        <v>58553.092879586402</v>
      </c>
      <c r="D302">
        <f t="shared" si="55"/>
        <v>262977.97054264991</v>
      </c>
      <c r="E302">
        <f t="shared" si="55"/>
        <v>223892.79211616231</v>
      </c>
      <c r="F302">
        <f t="shared" si="55"/>
        <v>1060346.0925459838</v>
      </c>
      <c r="G302">
        <f t="shared" si="56"/>
        <v>288141.4278706219</v>
      </c>
      <c r="H302">
        <f t="shared" si="57"/>
        <v>3762087.1603191569</v>
      </c>
      <c r="I302">
        <f t="shared" si="57"/>
        <v>5897768.1955870679</v>
      </c>
      <c r="N302" t="s">
        <v>145</v>
      </c>
      <c r="O302">
        <v>241769.65931290659</v>
      </c>
      <c r="P302">
        <v>58553.092879586402</v>
      </c>
      <c r="Q302">
        <v>262977.97054264991</v>
      </c>
      <c r="R302">
        <v>223892.79211616231</v>
      </c>
      <c r="S302">
        <v>1060346.0925459838</v>
      </c>
      <c r="T302">
        <v>288141.4278706219</v>
      </c>
      <c r="U302">
        <v>3762087.1603191569</v>
      </c>
      <c r="V302">
        <f t="shared" si="58"/>
        <v>5897768.1955870679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9">O306*$B$1</f>
        <v>1412589.7424000001</v>
      </c>
      <c r="N306" t="s">
        <v>21</v>
      </c>
      <c r="O306">
        <v>1412589.7424000001</v>
      </c>
    </row>
    <row r="307" spans="1:15" x14ac:dyDescent="0.2">
      <c r="A307" t="s">
        <v>22</v>
      </c>
      <c r="B307">
        <f t="shared" si="59"/>
        <v>340955.68209999998</v>
      </c>
      <c r="N307" t="s">
        <v>22</v>
      </c>
      <c r="O307">
        <v>340955.68209999998</v>
      </c>
    </row>
    <row r="308" spans="1:15" x14ac:dyDescent="0.2">
      <c r="A308" t="s">
        <v>148</v>
      </c>
      <c r="B308">
        <f t="shared" si="59"/>
        <v>385091.97840000002</v>
      </c>
      <c r="N308" t="s">
        <v>148</v>
      </c>
      <c r="O308">
        <v>385091.97840000002</v>
      </c>
    </row>
    <row r="309" spans="1:15" x14ac:dyDescent="0.2">
      <c r="A309" t="s">
        <v>243</v>
      </c>
      <c r="B309">
        <f t="shared" si="59"/>
        <v>592288.66839999997</v>
      </c>
      <c r="N309" t="s">
        <v>243</v>
      </c>
      <c r="O309">
        <v>592288.66839999997</v>
      </c>
    </row>
    <row r="310" spans="1:15" x14ac:dyDescent="0.2">
      <c r="A310" t="s">
        <v>23</v>
      </c>
      <c r="B310">
        <f t="shared" si="59"/>
        <v>111478.9356</v>
      </c>
      <c r="N310" t="s">
        <v>23</v>
      </c>
      <c r="O310">
        <v>111478.9356</v>
      </c>
    </row>
    <row r="311" spans="1:15" x14ac:dyDescent="0.2">
      <c r="A311" t="s">
        <v>24</v>
      </c>
      <c r="B311">
        <f t="shared" si="59"/>
        <v>78499.544200000004</v>
      </c>
      <c r="N311" t="s">
        <v>24</v>
      </c>
      <c r="O311">
        <v>78499.544200000004</v>
      </c>
    </row>
    <row r="312" spans="1:15" x14ac:dyDescent="0.2">
      <c r="A312" t="s">
        <v>25</v>
      </c>
      <c r="B312">
        <f t="shared" si="59"/>
        <v>515915.92589999997</v>
      </c>
      <c r="N312" t="s">
        <v>25</v>
      </c>
      <c r="O312">
        <v>515915.92589999997</v>
      </c>
    </row>
    <row r="313" spans="1:15" x14ac:dyDescent="0.2">
      <c r="A313" t="s">
        <v>26</v>
      </c>
      <c r="B313">
        <f t="shared" si="59"/>
        <v>271697.48960000003</v>
      </c>
      <c r="N313" t="s">
        <v>26</v>
      </c>
      <c r="O313">
        <v>271697.48960000003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119572.32399999999</v>
      </c>
      <c r="N317" t="s">
        <v>296</v>
      </c>
      <c r="O317" s="104">
        <v>119572.32399999999</v>
      </c>
    </row>
    <row r="318" spans="1:15" x14ac:dyDescent="0.2">
      <c r="A318" t="s">
        <v>297</v>
      </c>
      <c r="B318">
        <f>O318*$B$1</f>
        <v>834810.03260000004</v>
      </c>
      <c r="N318" t="s">
        <v>297</v>
      </c>
      <c r="O318" s="104">
        <v>834810.03260000004</v>
      </c>
    </row>
    <row r="319" spans="1:15" x14ac:dyDescent="0.2">
      <c r="A319" t="s">
        <v>298</v>
      </c>
      <c r="B319">
        <f>O319*$B$1</f>
        <v>590147.33030000003</v>
      </c>
      <c r="N319" t="s">
        <v>298</v>
      </c>
      <c r="O319" s="104">
        <v>590147.33030000003</v>
      </c>
    </row>
    <row r="320" spans="1:15" x14ac:dyDescent="0.2">
      <c r="A320" t="s">
        <v>299</v>
      </c>
      <c r="B320">
        <f>O320*$B$1</f>
        <v>1852875.3618999999</v>
      </c>
      <c r="N320" t="s">
        <v>299</v>
      </c>
      <c r="O320" s="104">
        <v>1852875.3618999999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177389.8438</v>
      </c>
      <c r="N324" t="s">
        <v>98</v>
      </c>
      <c r="O324" s="104">
        <v>177389.8438</v>
      </c>
    </row>
    <row r="325" spans="1:16" x14ac:dyDescent="0.2">
      <c r="A325" t="s">
        <v>281</v>
      </c>
      <c r="B325">
        <f>O325*$B$1</f>
        <v>898293.45270000002</v>
      </c>
      <c r="N325" t="s">
        <v>281</v>
      </c>
      <c r="O325" s="104">
        <v>898293.45270000002</v>
      </c>
    </row>
    <row r="326" spans="1:16" x14ac:dyDescent="0.2">
      <c r="A326" t="s">
        <v>282</v>
      </c>
      <c r="B326">
        <f>O326*$B$1</f>
        <v>1927570.8387</v>
      </c>
      <c r="N326" t="s">
        <v>282</v>
      </c>
      <c r="O326" s="104">
        <v>1927570.8387</v>
      </c>
    </row>
    <row r="327" spans="1:16" x14ac:dyDescent="0.2">
      <c r="A327" t="s">
        <v>283</v>
      </c>
      <c r="B327">
        <f>O327*$B$1</f>
        <v>705263.83140000002</v>
      </c>
      <c r="N327" t="s">
        <v>283</v>
      </c>
      <c r="O327" s="104">
        <v>705263.83140000002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10861</v>
      </c>
      <c r="B331">
        <f>O331*$B$1</f>
        <v>151396.64790000001</v>
      </c>
      <c r="N331">
        <v>1</v>
      </c>
      <c r="O331" s="104">
        <v>151396.64790000001</v>
      </c>
    </row>
    <row r="332" spans="1:16" x14ac:dyDescent="0.2">
      <c r="A332" t="s">
        <v>10862</v>
      </c>
      <c r="B332">
        <f>O332*$B$1</f>
        <v>8845.8525000000009</v>
      </c>
      <c r="N332">
        <v>2</v>
      </c>
      <c r="O332" s="104">
        <v>8845.8525000000009</v>
      </c>
    </row>
    <row r="333" spans="1:16" x14ac:dyDescent="0.2">
      <c r="A333" t="s">
        <v>10863</v>
      </c>
      <c r="B333">
        <f>O333*$B$1</f>
        <v>131529.91500000001</v>
      </c>
      <c r="N333">
        <v>3</v>
      </c>
      <c r="O333" s="104">
        <v>131529.91500000001</v>
      </c>
    </row>
    <row r="334" spans="1:16" x14ac:dyDescent="0.2">
      <c r="A334" t="s">
        <v>10864</v>
      </c>
      <c r="B334">
        <f>O334*$B$1</f>
        <v>123832.13039999999</v>
      </c>
      <c r="N334">
        <v>4</v>
      </c>
      <c r="O334" s="104">
        <v>123832.13039999999</v>
      </c>
    </row>
    <row r="335" spans="1:16" x14ac:dyDescent="0.2">
      <c r="A335" t="s">
        <v>1688</v>
      </c>
      <c r="B335">
        <f t="shared" ref="B335:B337" si="60">O335*$B$1</f>
        <v>636827.67330000002</v>
      </c>
      <c r="N335">
        <v>5</v>
      </c>
      <c r="O335" s="104">
        <v>636827.67330000002</v>
      </c>
    </row>
    <row r="336" spans="1:16" x14ac:dyDescent="0.2">
      <c r="A336" t="s">
        <v>10865</v>
      </c>
      <c r="B336">
        <f t="shared" si="60"/>
        <v>54534.662199999999</v>
      </c>
      <c r="N336">
        <v>6</v>
      </c>
      <c r="O336" s="104">
        <v>54534.662199999999</v>
      </c>
    </row>
    <row r="337" spans="1:15" x14ac:dyDescent="0.2">
      <c r="A337" t="s">
        <v>10866</v>
      </c>
      <c r="B337">
        <f t="shared" si="60"/>
        <v>2601551.0852999999</v>
      </c>
      <c r="N337">
        <v>7</v>
      </c>
      <c r="O337">
        <v>2601551.0852999999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3"/>
  <sheetViews>
    <sheetView workbookViewId="0">
      <selection activeCell="I90" sqref="I90"/>
    </sheetView>
  </sheetViews>
  <sheetFormatPr defaultRowHeight="12.75" x14ac:dyDescent="0.2"/>
  <sheetData>
    <row r="1" spans="1:5" ht="15" x14ac:dyDescent="0.2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r="2" spans="1:5" ht="15" x14ac:dyDescent="0.2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r="3" spans="1:5" ht="15" x14ac:dyDescent="0.2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r="4" spans="1:5" ht="15" x14ac:dyDescent="0.2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r="5" spans="1:5" ht="15" x14ac:dyDescent="0.2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r="6" spans="1:5" ht="15" x14ac:dyDescent="0.2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r="7" spans="1:5" ht="15" x14ac:dyDescent="0.2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r="8" spans="1:5" ht="15" x14ac:dyDescent="0.2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r="9" spans="1:5" ht="15" x14ac:dyDescent="0.2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r="10" spans="1:5" ht="15" x14ac:dyDescent="0.2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r="11" spans="1:5" ht="15" x14ac:dyDescent="0.2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r="12" spans="1:5" ht="15" x14ac:dyDescent="0.2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r="13" spans="1:5" ht="15" x14ac:dyDescent="0.2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r="14" spans="1:5" ht="15" x14ac:dyDescent="0.2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r="15" spans="1:5" ht="15" x14ac:dyDescent="0.2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r="16" spans="1:5" ht="15" x14ac:dyDescent="0.2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r="17" spans="1:5" ht="15" x14ac:dyDescent="0.2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r="18" spans="1:5" ht="15" x14ac:dyDescent="0.2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r="19" spans="1:5" ht="15" x14ac:dyDescent="0.2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r="20" spans="1:5" ht="15" x14ac:dyDescent="0.2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r="21" spans="1:5" ht="15" x14ac:dyDescent="0.2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r="22" spans="1:5" ht="15" x14ac:dyDescent="0.2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r="23" spans="1:5" ht="15" x14ac:dyDescent="0.2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r="24" spans="1:5" ht="15" x14ac:dyDescent="0.2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r="25" spans="1:5" ht="15" x14ac:dyDescent="0.2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r="26" spans="1:5" ht="15" x14ac:dyDescent="0.2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r="27" spans="1:5" ht="15" x14ac:dyDescent="0.2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r="28" spans="1:5" ht="15" x14ac:dyDescent="0.2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r="29" spans="1:5" ht="15" x14ac:dyDescent="0.2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r="30" spans="1:5" ht="15" x14ac:dyDescent="0.25">
      <c r="A30" s="108"/>
      <c r="B30" s="108"/>
      <c r="C30" s="108"/>
      <c r="D30" s="109"/>
      <c r="E30" s="107" t="s">
        <v>377</v>
      </c>
    </row>
    <row r="31" spans="1:5" ht="15" x14ac:dyDescent="0.25">
      <c r="A31" s="108"/>
      <c r="B31" s="108"/>
      <c r="C31" s="108"/>
      <c r="D31" s="109"/>
      <c r="E31" s="107" t="s">
        <v>378</v>
      </c>
    </row>
    <row r="32" spans="1:5" ht="15" x14ac:dyDescent="0.25">
      <c r="A32" s="108"/>
      <c r="B32" s="108"/>
      <c r="C32" s="108"/>
      <c r="D32" s="109"/>
      <c r="E32" s="107" t="s">
        <v>379</v>
      </c>
    </row>
    <row r="33" spans="1:5" ht="15" x14ac:dyDescent="0.2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r="34" spans="1:5" ht="15" x14ac:dyDescent="0.2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r="35" spans="1:5" ht="15" x14ac:dyDescent="0.2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r="36" spans="1:5" ht="15" x14ac:dyDescent="0.2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r="37" spans="1:5" ht="15" x14ac:dyDescent="0.2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r="38" spans="1:5" ht="15" x14ac:dyDescent="0.2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r="39" spans="1:5" ht="15" x14ac:dyDescent="0.2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r="40" spans="1:5" ht="15" x14ac:dyDescent="0.2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r="41" spans="1:5" ht="15" x14ac:dyDescent="0.2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r="42" spans="1:5" ht="15" x14ac:dyDescent="0.2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r="43" spans="1:5" ht="15" x14ac:dyDescent="0.25">
      <c r="A43" s="108"/>
      <c r="B43" s="108"/>
      <c r="C43" s="108"/>
      <c r="D43" s="109"/>
      <c r="E43" s="107" t="s">
        <v>400</v>
      </c>
    </row>
    <row r="44" spans="1:5" ht="15" x14ac:dyDescent="0.2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r="45" spans="1:5" ht="15" x14ac:dyDescent="0.2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r="46" spans="1:5" ht="15" x14ac:dyDescent="0.2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r="47" spans="1:5" ht="15" x14ac:dyDescent="0.2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r="48" spans="1:5" ht="15" x14ac:dyDescent="0.2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r="49" spans="1:5" ht="15" x14ac:dyDescent="0.2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r="50" spans="1:5" ht="15" x14ac:dyDescent="0.2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r="51" spans="1:5" ht="15" x14ac:dyDescent="0.2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r="52" spans="1:5" ht="15" x14ac:dyDescent="0.2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r="53" spans="1:5" ht="15" x14ac:dyDescent="0.2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r="54" spans="1:5" ht="15" x14ac:dyDescent="0.2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r="55" spans="1:5" ht="15" x14ac:dyDescent="0.2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r="56" spans="1:5" ht="15" x14ac:dyDescent="0.2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r="57" spans="1:5" ht="15" x14ac:dyDescent="0.2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r="58" spans="1:5" ht="15" x14ac:dyDescent="0.2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r="59" spans="1:5" ht="15" x14ac:dyDescent="0.2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r="60" spans="1:5" ht="15" x14ac:dyDescent="0.2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r="61" spans="1:5" ht="15" x14ac:dyDescent="0.2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r="62" spans="1:5" ht="15" x14ac:dyDescent="0.2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r="63" spans="1:5" ht="15" x14ac:dyDescent="0.2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r="64" spans="1:5" ht="15" x14ac:dyDescent="0.2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r="65" spans="1:5" ht="15" x14ac:dyDescent="0.2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r="66" spans="1:5" ht="15" x14ac:dyDescent="0.2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r="67" spans="1:5" ht="15" x14ac:dyDescent="0.2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r="68" spans="1:5" ht="15" x14ac:dyDescent="0.2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r="69" spans="1:5" ht="15" x14ac:dyDescent="0.2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r="70" spans="1:5" ht="15" x14ac:dyDescent="0.2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r="71" spans="1:5" ht="15" x14ac:dyDescent="0.2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r="72" spans="1:5" ht="15" x14ac:dyDescent="0.2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r="73" spans="1:5" ht="15" x14ac:dyDescent="0.2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r="74" spans="1:5" ht="15" x14ac:dyDescent="0.25">
      <c r="A74" s="108"/>
      <c r="B74" s="108"/>
      <c r="C74" s="108"/>
      <c r="D74" s="109"/>
      <c r="E74" s="107" t="s">
        <v>459</v>
      </c>
    </row>
    <row r="75" spans="1:5" ht="15" x14ac:dyDescent="0.2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r="76" spans="1:5" ht="15" x14ac:dyDescent="0.2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r="77" spans="1:5" ht="15" x14ac:dyDescent="0.2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r="78" spans="1:5" ht="15" x14ac:dyDescent="0.2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r="79" spans="1:5" ht="15" x14ac:dyDescent="0.2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r="80" spans="1:5" ht="15" x14ac:dyDescent="0.2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r="81" spans="1:5" ht="15" x14ac:dyDescent="0.2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r="82" spans="1:5" ht="15" x14ac:dyDescent="0.2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r="83" spans="1:5" ht="15" x14ac:dyDescent="0.2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r="84" spans="1:5" ht="15" x14ac:dyDescent="0.2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r="85" spans="1:5" ht="15" x14ac:dyDescent="0.2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r="86" spans="1:5" ht="15" x14ac:dyDescent="0.2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r="87" spans="1:5" ht="15" x14ac:dyDescent="0.2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r="88" spans="1:5" ht="15" x14ac:dyDescent="0.2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r="89" spans="1:5" ht="15" x14ac:dyDescent="0.2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r="90" spans="1:5" ht="15" x14ac:dyDescent="0.2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r="91" spans="1:5" ht="15" x14ac:dyDescent="0.2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r="92" spans="1:5" ht="15" x14ac:dyDescent="0.2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r="93" spans="1:5" ht="15" x14ac:dyDescent="0.2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r="94" spans="1:5" ht="15" x14ac:dyDescent="0.2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r="95" spans="1:5" ht="15" x14ac:dyDescent="0.2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r="96" spans="1:5" ht="15" x14ac:dyDescent="0.2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r="97" spans="1:5" ht="15" x14ac:dyDescent="0.2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r="98" spans="1:5" ht="15" x14ac:dyDescent="0.2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r="99" spans="1:5" ht="15" x14ac:dyDescent="0.2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r="100" spans="1:5" ht="15" x14ac:dyDescent="0.2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r="101" spans="1:5" ht="15" x14ac:dyDescent="0.2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r="102" spans="1:5" ht="15" x14ac:dyDescent="0.2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r="103" spans="1:5" ht="15" x14ac:dyDescent="0.2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r="104" spans="1:5" ht="15" x14ac:dyDescent="0.2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r="105" spans="1:5" ht="15" x14ac:dyDescent="0.25">
      <c r="A105" s="108"/>
      <c r="B105" s="108"/>
      <c r="C105" s="108"/>
      <c r="D105" s="109"/>
      <c r="E105" s="107" t="s">
        <v>518</v>
      </c>
    </row>
    <row r="106" spans="1:5" ht="15" x14ac:dyDescent="0.2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r="107" spans="1:5" ht="15" x14ac:dyDescent="0.2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r="108" spans="1:5" ht="15" x14ac:dyDescent="0.2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r="109" spans="1:5" ht="15" x14ac:dyDescent="0.2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r="110" spans="1:5" ht="15" x14ac:dyDescent="0.2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r="111" spans="1:5" ht="15" x14ac:dyDescent="0.2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r="112" spans="1:5" ht="15" x14ac:dyDescent="0.2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r="113" spans="1:5" ht="15" x14ac:dyDescent="0.2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r="114" spans="1:5" ht="15" x14ac:dyDescent="0.2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r="115" spans="1:5" ht="15" x14ac:dyDescent="0.2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r="116" spans="1:5" ht="15" x14ac:dyDescent="0.2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r="117" spans="1:5" ht="15" x14ac:dyDescent="0.2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r="118" spans="1:5" ht="15" x14ac:dyDescent="0.2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r="119" spans="1:5" ht="15" x14ac:dyDescent="0.2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r="120" spans="1:5" ht="15" x14ac:dyDescent="0.2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r="121" spans="1:5" ht="15" x14ac:dyDescent="0.2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r="122" spans="1:5" ht="15" x14ac:dyDescent="0.2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r="123" spans="1:5" ht="15" x14ac:dyDescent="0.2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r="124" spans="1:5" ht="15" x14ac:dyDescent="0.2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r="125" spans="1:5" ht="15" x14ac:dyDescent="0.2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r="126" spans="1:5" ht="15" x14ac:dyDescent="0.2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r="127" spans="1:5" ht="15" x14ac:dyDescent="0.2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r="128" spans="1:5" ht="15" x14ac:dyDescent="0.2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r="129" spans="1:5" ht="15" x14ac:dyDescent="0.2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r="130" spans="1:5" ht="15" x14ac:dyDescent="0.2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r="131" spans="1:5" ht="15" x14ac:dyDescent="0.2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r="132" spans="1:5" ht="15" x14ac:dyDescent="0.2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r="133" spans="1:5" ht="15" x14ac:dyDescent="0.2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r="134" spans="1:5" ht="15" x14ac:dyDescent="0.2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r="135" spans="1:5" ht="15" x14ac:dyDescent="0.2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r="136" spans="1:5" ht="15" x14ac:dyDescent="0.25">
      <c r="A136" s="108"/>
      <c r="B136" s="108"/>
      <c r="C136" s="108"/>
      <c r="D136" s="109"/>
      <c r="E136" s="107" t="s">
        <v>577</v>
      </c>
    </row>
    <row r="137" spans="1:5" ht="15" x14ac:dyDescent="0.2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r="138" spans="1:5" ht="15" x14ac:dyDescent="0.2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r="139" spans="1:5" ht="15" x14ac:dyDescent="0.2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r="140" spans="1:5" ht="15" x14ac:dyDescent="0.2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r="141" spans="1:5" ht="15" x14ac:dyDescent="0.2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r="142" spans="1:5" ht="15" x14ac:dyDescent="0.2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r="143" spans="1:5" ht="15" x14ac:dyDescent="0.2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r="144" spans="1:5" ht="15" x14ac:dyDescent="0.2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r="145" spans="1:5" ht="15" x14ac:dyDescent="0.2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r="146" spans="1:5" ht="15" x14ac:dyDescent="0.2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r="147" spans="1:5" ht="15" x14ac:dyDescent="0.2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r="148" spans="1:5" ht="15" x14ac:dyDescent="0.2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r="149" spans="1:5" ht="15" x14ac:dyDescent="0.2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r="150" spans="1:5" ht="15" x14ac:dyDescent="0.2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r="151" spans="1:5" ht="15" x14ac:dyDescent="0.2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r="152" spans="1:5" ht="15" x14ac:dyDescent="0.2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r="153" spans="1:5" ht="15" x14ac:dyDescent="0.2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r="154" spans="1:5" ht="15" x14ac:dyDescent="0.2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r="155" spans="1:5" ht="15" x14ac:dyDescent="0.2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r="156" spans="1:5" ht="15" x14ac:dyDescent="0.2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r="157" spans="1:5" ht="15" x14ac:dyDescent="0.2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r="158" spans="1:5" ht="15" x14ac:dyDescent="0.2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r="159" spans="1:5" ht="15" x14ac:dyDescent="0.2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r="160" spans="1:5" ht="15" x14ac:dyDescent="0.2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r="161" spans="1:5" ht="15" x14ac:dyDescent="0.2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r="162" spans="1:5" ht="15" x14ac:dyDescent="0.2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r="163" spans="1:5" ht="15" x14ac:dyDescent="0.2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r="164" spans="1:5" ht="15" x14ac:dyDescent="0.2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r="165" spans="1:5" ht="15" x14ac:dyDescent="0.2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r="166" spans="1:5" ht="15" x14ac:dyDescent="0.2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r="167" spans="1:5" ht="15" x14ac:dyDescent="0.25">
      <c r="A167" s="108"/>
      <c r="B167" s="108"/>
      <c r="C167" s="108"/>
      <c r="D167" s="109"/>
      <c r="E167" s="107" t="s">
        <v>636</v>
      </c>
    </row>
    <row r="168" spans="1:5" ht="15" x14ac:dyDescent="0.2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r="169" spans="1:5" ht="15" x14ac:dyDescent="0.2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r="170" spans="1:5" ht="15" x14ac:dyDescent="0.2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r="171" spans="1:5" ht="15" x14ac:dyDescent="0.2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r="172" spans="1:5" ht="15" x14ac:dyDescent="0.2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r="173" spans="1:5" ht="15" x14ac:dyDescent="0.2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r="174" spans="1:5" ht="15" x14ac:dyDescent="0.2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r="175" spans="1:5" ht="15" x14ac:dyDescent="0.2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r="176" spans="1:5" ht="15" x14ac:dyDescent="0.2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r="177" spans="1:5" ht="15" x14ac:dyDescent="0.2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r="178" spans="1:5" ht="15" x14ac:dyDescent="0.2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r="179" spans="1:5" ht="15" x14ac:dyDescent="0.2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r="180" spans="1:5" ht="15" x14ac:dyDescent="0.2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r="181" spans="1:5" ht="15" x14ac:dyDescent="0.2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r="182" spans="1:5" ht="15" x14ac:dyDescent="0.2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r="183" spans="1:5" ht="15" x14ac:dyDescent="0.2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r="184" spans="1:5" ht="15" x14ac:dyDescent="0.2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r="185" spans="1:5" ht="15" x14ac:dyDescent="0.2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r="186" spans="1:5" ht="15" x14ac:dyDescent="0.2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r="187" spans="1:5" ht="15" x14ac:dyDescent="0.2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r="188" spans="1:5" ht="15" x14ac:dyDescent="0.2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r="189" spans="1:5" ht="15" x14ac:dyDescent="0.2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r="190" spans="1:5" ht="15" x14ac:dyDescent="0.2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r="191" spans="1:5" ht="15" x14ac:dyDescent="0.2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r="192" spans="1:5" ht="15" x14ac:dyDescent="0.2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r="193" spans="1:5" ht="15" x14ac:dyDescent="0.2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r="194" spans="1:5" ht="15" x14ac:dyDescent="0.2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r="195" spans="1:5" ht="15" x14ac:dyDescent="0.2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r="196" spans="1:5" ht="15" x14ac:dyDescent="0.2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r="197" spans="1:5" ht="15" x14ac:dyDescent="0.2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r="198" spans="1:5" ht="15" x14ac:dyDescent="0.25">
      <c r="A198" s="108"/>
      <c r="B198" s="108"/>
      <c r="C198" s="108"/>
      <c r="D198" s="109"/>
      <c r="E198" s="107" t="s">
        <v>695</v>
      </c>
    </row>
    <row r="199" spans="1:5" ht="15" x14ac:dyDescent="0.2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r="200" spans="1:5" ht="15" x14ac:dyDescent="0.2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r="201" spans="1:5" ht="15" x14ac:dyDescent="0.2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r="202" spans="1:5" ht="15" x14ac:dyDescent="0.2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r="203" spans="1:5" ht="15" x14ac:dyDescent="0.2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r="204" spans="1:5" ht="15" x14ac:dyDescent="0.2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r="205" spans="1:5" ht="15" x14ac:dyDescent="0.2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r="206" spans="1:5" ht="15" x14ac:dyDescent="0.2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r="207" spans="1:5" ht="15" x14ac:dyDescent="0.2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r="208" spans="1:5" ht="15" x14ac:dyDescent="0.2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r="209" spans="1:5" ht="15" x14ac:dyDescent="0.2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r="210" spans="1:5" ht="15" x14ac:dyDescent="0.2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r="211" spans="1:5" ht="15" x14ac:dyDescent="0.2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r="212" spans="1:5" ht="15" x14ac:dyDescent="0.2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r="213" spans="1:5" ht="15" x14ac:dyDescent="0.2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r="214" spans="1:5" ht="15" x14ac:dyDescent="0.2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r="215" spans="1:5" ht="15" x14ac:dyDescent="0.2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r="216" spans="1:5" ht="15" x14ac:dyDescent="0.2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r="217" spans="1:5" ht="15" x14ac:dyDescent="0.2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r="218" spans="1:5" ht="15" x14ac:dyDescent="0.2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r="219" spans="1:5" ht="15" x14ac:dyDescent="0.2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r="220" spans="1:5" ht="15" x14ac:dyDescent="0.2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r="221" spans="1:5" ht="15" x14ac:dyDescent="0.2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r="222" spans="1:5" ht="15" x14ac:dyDescent="0.2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r="223" spans="1:5" ht="15" x14ac:dyDescent="0.2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r="224" spans="1:5" ht="15" x14ac:dyDescent="0.2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r="225" spans="1:5" ht="15" x14ac:dyDescent="0.2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r="226" spans="1:5" ht="15" x14ac:dyDescent="0.2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r="227" spans="1:5" ht="15" x14ac:dyDescent="0.25">
      <c r="A227" s="108"/>
      <c r="B227" s="108"/>
      <c r="C227" s="108"/>
      <c r="D227" s="109"/>
      <c r="E227" s="107" t="s">
        <v>750</v>
      </c>
    </row>
    <row r="228" spans="1:5" ht="15" x14ac:dyDescent="0.2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r="229" spans="1:5" ht="15" x14ac:dyDescent="0.2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r="230" spans="1:5" ht="15" x14ac:dyDescent="0.2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r="231" spans="1:5" ht="15" x14ac:dyDescent="0.2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r="232" spans="1:5" ht="15" x14ac:dyDescent="0.2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r="233" spans="1:5" ht="15" x14ac:dyDescent="0.2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r="234" spans="1:5" ht="15" x14ac:dyDescent="0.2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r="235" spans="1:5" ht="15" x14ac:dyDescent="0.2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r="236" spans="1:5" ht="15" x14ac:dyDescent="0.2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r="237" spans="1:5" ht="15" x14ac:dyDescent="0.2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r="238" spans="1:5" ht="15" x14ac:dyDescent="0.2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r="239" spans="1:5" ht="15" x14ac:dyDescent="0.2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r="240" spans="1:5" ht="15" x14ac:dyDescent="0.2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r="241" spans="1:5" ht="15" x14ac:dyDescent="0.2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r="242" spans="1:5" ht="15" x14ac:dyDescent="0.2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r="243" spans="1:5" ht="15" x14ac:dyDescent="0.2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r="244" spans="1:5" ht="15" x14ac:dyDescent="0.2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r="245" spans="1:5" ht="15" x14ac:dyDescent="0.2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r="246" spans="1:5" ht="15" x14ac:dyDescent="0.2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r="247" spans="1:5" ht="15" x14ac:dyDescent="0.2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r="248" spans="1:5" ht="15" x14ac:dyDescent="0.2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r="249" spans="1:5" ht="15" x14ac:dyDescent="0.2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r="250" spans="1:5" ht="15" x14ac:dyDescent="0.2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r="251" spans="1:5" ht="15" x14ac:dyDescent="0.2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r="252" spans="1:5" ht="15" x14ac:dyDescent="0.2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r="253" spans="1:5" ht="15" x14ac:dyDescent="0.2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r="254" spans="1:5" ht="15" x14ac:dyDescent="0.25">
      <c r="A254" s="108"/>
      <c r="B254" s="108"/>
      <c r="C254" s="108"/>
      <c r="D254" s="109"/>
      <c r="E254" s="107" t="s">
        <v>803</v>
      </c>
    </row>
    <row r="255" spans="1:5" ht="15" x14ac:dyDescent="0.2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r="256" spans="1:5" ht="15" x14ac:dyDescent="0.2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r="257" spans="1:5" ht="15" x14ac:dyDescent="0.2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r="258" spans="1:5" ht="15" x14ac:dyDescent="0.2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r="259" spans="1:5" ht="15" x14ac:dyDescent="0.2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r="260" spans="1:5" ht="15" x14ac:dyDescent="0.2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r="261" spans="1:5" ht="15" x14ac:dyDescent="0.2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r="262" spans="1:5" ht="15" x14ac:dyDescent="0.2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r="263" spans="1:5" ht="15" x14ac:dyDescent="0.2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r="264" spans="1:5" ht="15" x14ac:dyDescent="0.2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r="265" spans="1:5" ht="15" x14ac:dyDescent="0.2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r="266" spans="1:5" ht="15" x14ac:dyDescent="0.2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r="267" spans="1:5" ht="15" x14ac:dyDescent="0.2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r="268" spans="1:5" ht="15" x14ac:dyDescent="0.2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r="269" spans="1:5" ht="15" x14ac:dyDescent="0.2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r="270" spans="1:5" ht="15" x14ac:dyDescent="0.2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r="271" spans="1:5" ht="15" x14ac:dyDescent="0.2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r="272" spans="1:5" ht="15" x14ac:dyDescent="0.2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r="273" spans="1:5" ht="15" x14ac:dyDescent="0.2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r="274" spans="1:5" ht="15" x14ac:dyDescent="0.2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r="275" spans="1:5" ht="15" x14ac:dyDescent="0.25">
      <c r="A275" s="108"/>
      <c r="B275" s="108"/>
      <c r="C275" s="108"/>
      <c r="D275" s="109"/>
      <c r="E275" s="107" t="s">
        <v>844</v>
      </c>
    </row>
    <row r="276" spans="1:5" ht="15" x14ac:dyDescent="0.2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r="277" spans="1:5" ht="15" x14ac:dyDescent="0.2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r="278" spans="1:5" ht="15" x14ac:dyDescent="0.2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r="279" spans="1:5" ht="15" x14ac:dyDescent="0.2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r="280" spans="1:5" ht="15" x14ac:dyDescent="0.2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r="281" spans="1:5" ht="15" x14ac:dyDescent="0.2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r="282" spans="1:5" ht="15" x14ac:dyDescent="0.2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r="283" spans="1:5" ht="15" x14ac:dyDescent="0.2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r="284" spans="1:5" ht="15" x14ac:dyDescent="0.2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r="285" spans="1:5" ht="15" x14ac:dyDescent="0.2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r="286" spans="1:5" ht="15" x14ac:dyDescent="0.2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r="287" spans="1:5" ht="15" x14ac:dyDescent="0.2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r="288" spans="1:5" ht="15" x14ac:dyDescent="0.2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r="289" spans="1:5" ht="15" x14ac:dyDescent="0.2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r="290" spans="1:5" ht="15" x14ac:dyDescent="0.2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r="291" spans="1:5" ht="15" x14ac:dyDescent="0.2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r="292" spans="1:5" ht="15" x14ac:dyDescent="0.2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r="293" spans="1:5" ht="15" x14ac:dyDescent="0.2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r="294" spans="1:5" ht="15" x14ac:dyDescent="0.2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r="295" spans="1:5" ht="15" x14ac:dyDescent="0.2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r="296" spans="1:5" ht="15" x14ac:dyDescent="0.2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r="297" spans="1:5" ht="15" x14ac:dyDescent="0.2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r="298" spans="1:5" ht="15" x14ac:dyDescent="0.2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r="299" spans="1:5" ht="15" x14ac:dyDescent="0.2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r="300" spans="1:5" ht="15" x14ac:dyDescent="0.2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r="301" spans="1:5" ht="15" x14ac:dyDescent="0.2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r="302" spans="1:5" ht="15" x14ac:dyDescent="0.2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r="303" spans="1:5" ht="15" x14ac:dyDescent="0.2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r="304" spans="1:5" ht="15" x14ac:dyDescent="0.2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r="305" spans="1:5" ht="15" x14ac:dyDescent="0.2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r="306" spans="1:5" ht="15" x14ac:dyDescent="0.2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r="307" spans="1:5" ht="15" x14ac:dyDescent="0.2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r="308" spans="1:5" ht="15" x14ac:dyDescent="0.2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r="309" spans="1:5" ht="15" x14ac:dyDescent="0.2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r="310" spans="1:5" ht="15" x14ac:dyDescent="0.2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r="311" spans="1:5" ht="15" x14ac:dyDescent="0.2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r="312" spans="1:5" ht="15" x14ac:dyDescent="0.2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r="313" spans="1:5" ht="15" x14ac:dyDescent="0.2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r="314" spans="1:5" ht="15" x14ac:dyDescent="0.2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r="315" spans="1:5" ht="15" x14ac:dyDescent="0.2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r="316" spans="1:5" ht="15" x14ac:dyDescent="0.2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r="317" spans="1:5" ht="15" x14ac:dyDescent="0.2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r="318" spans="1:5" ht="15" x14ac:dyDescent="0.2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r="319" spans="1:5" ht="15" x14ac:dyDescent="0.2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r="320" spans="1:5" ht="15" x14ac:dyDescent="0.2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r="321" spans="1:5" ht="15" x14ac:dyDescent="0.2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r="322" spans="1:5" ht="15" x14ac:dyDescent="0.2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r="323" spans="1:5" ht="15" x14ac:dyDescent="0.2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r="324" spans="1:5" ht="15" x14ac:dyDescent="0.2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r="325" spans="1:5" ht="15" x14ac:dyDescent="0.2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r="326" spans="1:5" ht="15" x14ac:dyDescent="0.2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r="327" spans="1:5" ht="15" x14ac:dyDescent="0.2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r="328" spans="1:5" ht="15" x14ac:dyDescent="0.2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r="329" spans="1:5" ht="15" x14ac:dyDescent="0.2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r="330" spans="1:5" ht="15" x14ac:dyDescent="0.2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r="331" spans="1:5" ht="15" x14ac:dyDescent="0.2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r="332" spans="1:5" ht="15" x14ac:dyDescent="0.2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r="333" spans="1:5" ht="15" x14ac:dyDescent="0.2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r="334" spans="1:5" ht="15" x14ac:dyDescent="0.2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r="335" spans="1:5" ht="15" x14ac:dyDescent="0.2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r="336" spans="1:5" ht="15" x14ac:dyDescent="0.2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r="337" spans="1:5" ht="15" x14ac:dyDescent="0.2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r="338" spans="1:5" ht="15" x14ac:dyDescent="0.2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r="339" spans="1:5" ht="15" x14ac:dyDescent="0.2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r="340" spans="1:5" ht="15" x14ac:dyDescent="0.2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r="341" spans="1:5" ht="15" x14ac:dyDescent="0.2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r="342" spans="1:5" ht="15" x14ac:dyDescent="0.2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r="343" spans="1:5" ht="15" x14ac:dyDescent="0.2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r="344" spans="1:5" ht="15" x14ac:dyDescent="0.2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r="345" spans="1:5" ht="15" x14ac:dyDescent="0.2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r="346" spans="1:5" ht="15" x14ac:dyDescent="0.2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r="347" spans="1:5" ht="15" x14ac:dyDescent="0.2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r="348" spans="1:5" ht="15" x14ac:dyDescent="0.2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r="349" spans="1:5" ht="15" x14ac:dyDescent="0.2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r="350" spans="1:5" ht="15" x14ac:dyDescent="0.2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r="351" spans="1:5" ht="15" x14ac:dyDescent="0.2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r="352" spans="1:5" ht="15" x14ac:dyDescent="0.2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r="353" spans="1:5" ht="15" x14ac:dyDescent="0.2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r="354" spans="1:5" ht="15" x14ac:dyDescent="0.2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r="355" spans="1:5" ht="15" x14ac:dyDescent="0.2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r="356" spans="1:5" ht="15" x14ac:dyDescent="0.2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r="357" spans="1:5" ht="15" x14ac:dyDescent="0.2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r="358" spans="1:5" ht="15" x14ac:dyDescent="0.2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r="359" spans="1:5" ht="15" x14ac:dyDescent="0.2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r="360" spans="1:5" ht="15" x14ac:dyDescent="0.2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r="361" spans="1:5" ht="15" x14ac:dyDescent="0.2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r="362" spans="1:5" ht="15" x14ac:dyDescent="0.2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r="363" spans="1:5" ht="15" x14ac:dyDescent="0.2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38"/>
  <sheetViews>
    <sheetView zoomScaleNormal="100" workbookViewId="0">
      <selection activeCell="P31" sqref="P31"/>
    </sheetView>
  </sheetViews>
  <sheetFormatPr defaultRowHeight="12.75" x14ac:dyDescent="0.2"/>
  <sheetData>
    <row r="1" spans="1:2" x14ac:dyDescent="0.2">
      <c r="A1" t="s">
        <v>10886</v>
      </c>
      <c r="B1" t="s">
        <v>10876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10887</v>
      </c>
      <c r="B10">
        <v>0</v>
      </c>
    </row>
    <row r="11" spans="1:2" x14ac:dyDescent="0.2">
      <c r="A11" t="s">
        <v>10878</v>
      </c>
      <c r="B11">
        <v>115733154.351</v>
      </c>
    </row>
    <row r="12" spans="1:2" x14ac:dyDescent="0.2">
      <c r="A12" t="s">
        <v>10879</v>
      </c>
      <c r="B12">
        <v>34088949.541500002</v>
      </c>
    </row>
    <row r="13" spans="1:2" x14ac:dyDescent="0.2">
      <c r="A13" t="s">
        <v>10880</v>
      </c>
      <c r="B13">
        <v>254693527.109</v>
      </c>
    </row>
    <row r="14" spans="1:2" x14ac:dyDescent="0.2">
      <c r="A14" t="s">
        <v>10881</v>
      </c>
      <c r="B14">
        <v>416644786.52100003</v>
      </c>
    </row>
    <row r="15" spans="1:2" x14ac:dyDescent="0.2">
      <c r="A15" t="s">
        <v>10882</v>
      </c>
      <c r="B15">
        <v>533698937.792</v>
      </c>
    </row>
    <row r="16" spans="1:2" x14ac:dyDescent="0.2">
      <c r="A16" t="s">
        <v>10883</v>
      </c>
      <c r="B16">
        <v>264163037.40000001</v>
      </c>
    </row>
    <row r="17" spans="1:2" x14ac:dyDescent="0.2">
      <c r="A17" t="s">
        <v>10884</v>
      </c>
      <c r="B17">
        <v>296578333.73299998</v>
      </c>
    </row>
    <row r="18" spans="1:2" x14ac:dyDescent="0.2">
      <c r="A18" t="s">
        <v>10877</v>
      </c>
      <c r="B18">
        <v>0</v>
      </c>
    </row>
    <row r="19" spans="1:2" x14ac:dyDescent="0.2">
      <c r="A19" t="s">
        <v>10885</v>
      </c>
      <c r="B19">
        <v>3708517.9665999999</v>
      </c>
    </row>
    <row r="20" spans="1:2" x14ac:dyDescent="0.2">
      <c r="A20" t="s">
        <v>10888</v>
      </c>
      <c r="B20" t="s">
        <v>10876</v>
      </c>
    </row>
    <row r="21" spans="1:2" x14ac:dyDescent="0.2">
      <c r="A21">
        <v>1</v>
      </c>
      <c r="B21">
        <v>431204.253463</v>
      </c>
    </row>
    <row r="22" spans="1:2" x14ac:dyDescent="0.2">
      <c r="A22">
        <v>2</v>
      </c>
      <c r="B22">
        <v>35537.934919200001</v>
      </c>
    </row>
    <row r="23" spans="1:2" x14ac:dyDescent="0.2">
      <c r="A23">
        <v>3</v>
      </c>
      <c r="B23">
        <v>577277.10542100004</v>
      </c>
    </row>
    <row r="24" spans="1:2" x14ac:dyDescent="0.2">
      <c r="A24">
        <v>4</v>
      </c>
      <c r="B24">
        <v>884862.73112600006</v>
      </c>
    </row>
    <row r="25" spans="1:2" x14ac:dyDescent="0.2">
      <c r="A25">
        <v>5</v>
      </c>
      <c r="B25">
        <v>942371.49674800003</v>
      </c>
    </row>
    <row r="26" spans="1:2" x14ac:dyDescent="0.2">
      <c r="A26">
        <v>6</v>
      </c>
      <c r="B26">
        <v>395456.09624500002</v>
      </c>
    </row>
    <row r="27" spans="1:2" x14ac:dyDescent="0.2">
      <c r="A27">
        <v>7</v>
      </c>
      <c r="B27">
        <v>378338.24656900001</v>
      </c>
    </row>
    <row r="28" spans="1:2" x14ac:dyDescent="0.2">
      <c r="A28">
        <v>10</v>
      </c>
      <c r="B28">
        <v>73213.777114500001</v>
      </c>
    </row>
    <row r="29" spans="1:2" x14ac:dyDescent="0.2">
      <c r="A29" t="s">
        <v>10889</v>
      </c>
      <c r="B29">
        <v>0</v>
      </c>
    </row>
    <row r="30" spans="1:2" x14ac:dyDescent="0.2">
      <c r="A30" t="s">
        <v>10878</v>
      </c>
      <c r="B30">
        <v>1921661.3233700001</v>
      </c>
    </row>
    <row r="31" spans="1:2" x14ac:dyDescent="0.2">
      <c r="A31" t="s">
        <v>10879</v>
      </c>
      <c r="B31">
        <v>311285.90311700001</v>
      </c>
    </row>
    <row r="32" spans="1:2" x14ac:dyDescent="0.2">
      <c r="A32" t="s">
        <v>10880</v>
      </c>
      <c r="B32">
        <v>2950479.2976099998</v>
      </c>
    </row>
    <row r="33" spans="1:2" x14ac:dyDescent="0.2">
      <c r="A33" t="s">
        <v>10881</v>
      </c>
      <c r="B33">
        <v>5413972.9533500001</v>
      </c>
    </row>
    <row r="34" spans="1:2" x14ac:dyDescent="0.2">
      <c r="A34" t="s">
        <v>10882</v>
      </c>
      <c r="B34">
        <v>6503361.5624799998</v>
      </c>
    </row>
    <row r="35" spans="1:2" x14ac:dyDescent="0.2">
      <c r="A35" t="s">
        <v>10883</v>
      </c>
      <c r="B35">
        <v>2964915.6510800002</v>
      </c>
    </row>
    <row r="36" spans="1:2" x14ac:dyDescent="0.2">
      <c r="A36" t="s">
        <v>10884</v>
      </c>
      <c r="B36">
        <v>3001243.90674</v>
      </c>
    </row>
    <row r="37" spans="1:2" x14ac:dyDescent="0.2">
      <c r="A37" t="s">
        <v>10877</v>
      </c>
      <c r="B37">
        <v>0</v>
      </c>
    </row>
    <row r="38" spans="1:2" x14ac:dyDescent="0.2">
      <c r="A38" t="s">
        <v>10885</v>
      </c>
      <c r="B38">
        <v>3742474.8184699998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O7294"/>
  <sheetViews>
    <sheetView zoomScaleNormal="100" workbookViewId="0">
      <selection activeCell="B12" sqref="B12"/>
    </sheetView>
  </sheetViews>
  <sheetFormatPr defaultRowHeight="15" x14ac:dyDescent="0.25"/>
  <cols>
    <col min="1" max="14" width="9" style="115" collapsed="1"/>
    <col min="15" max="15" width="14.5" style="115" customWidth="1" collapsed="1"/>
    <col min="16" max="16384" width="9" style="115" collapsed="1"/>
  </cols>
  <sheetData>
    <row r="1" spans="1: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25">
      <c r="A2" s="201">
        <v>1</v>
      </c>
      <c r="B2" s="202" t="s">
        <v>10833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2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25">
      <c r="A6" s="206" t="s">
        <v>10850</v>
      </c>
      <c r="B6" s="204" t="s">
        <v>10851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25">
      <c r="A8" s="115" t="s">
        <v>1689</v>
      </c>
      <c r="B8" s="115" t="s">
        <v>1690</v>
      </c>
      <c r="C8" s="115" t="s">
        <v>1691</v>
      </c>
      <c r="D8" s="115" t="s">
        <v>1692</v>
      </c>
    </row>
    <row r="9" spans="1:15" x14ac:dyDescent="0.25">
      <c r="A9" s="115" t="s">
        <v>1133</v>
      </c>
      <c r="B9" s="115" t="s">
        <v>1134</v>
      </c>
      <c r="C9" s="115" t="s">
        <v>1135</v>
      </c>
      <c r="D9" s="115" t="s">
        <v>1136</v>
      </c>
      <c r="E9" s="115" t="s">
        <v>1693</v>
      </c>
      <c r="F9" s="116"/>
    </row>
    <row r="10" spans="1:15" x14ac:dyDescent="0.25">
      <c r="A10" s="115" t="s">
        <v>316</v>
      </c>
    </row>
    <row r="11" spans="1:15" x14ac:dyDescent="0.2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2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2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2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2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2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2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2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2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2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2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2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2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2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2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2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2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2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2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2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2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2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2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2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2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2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2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2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2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2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2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2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2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2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2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2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2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2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2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2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2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2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2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2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2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2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2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2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2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2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2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2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2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2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2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2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2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2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2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2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2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2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2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2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2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2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2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2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2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2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2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2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2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2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2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2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2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2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2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2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2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2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2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2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2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2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2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2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2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2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2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2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2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2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2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2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2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2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2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2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2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2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2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2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2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2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2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2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2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2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2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2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2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2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2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2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2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2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2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2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2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2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2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2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2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2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2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2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2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2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2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2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2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2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2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2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2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2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2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2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2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2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2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2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2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2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2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2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2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2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2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2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2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2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2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2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2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2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2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2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2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2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2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2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2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2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2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2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2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2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2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2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2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2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2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2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2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2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2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2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2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2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2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2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2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2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2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2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2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2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2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2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2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2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2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2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2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2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2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2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2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2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2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2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2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2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2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2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2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2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2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2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2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2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2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2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2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2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2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2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2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2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2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2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2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2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2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2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2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2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2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2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2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2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2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2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2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2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2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2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2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2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2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2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2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2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2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2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2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2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2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2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2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2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2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2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2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2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2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2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2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2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2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2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2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2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2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2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2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2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2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2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2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2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2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2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2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2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2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2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2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2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2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2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2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2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2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2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2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2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2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2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2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2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2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2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2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2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2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2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2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2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2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2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2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2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2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2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2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2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2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2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2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2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2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2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2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2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2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2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2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2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2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2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2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2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2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2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2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2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2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2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2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2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2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2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2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2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2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2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2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2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2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2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2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2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2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2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2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2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25">
      <c r="A361" s="115">
        <v>-1</v>
      </c>
    </row>
    <row r="362" spans="1:5" x14ac:dyDescent="0.25">
      <c r="A362" s="115">
        <v>1</v>
      </c>
      <c r="B362" s="115" t="s">
        <v>1694</v>
      </c>
      <c r="C362" s="117">
        <v>952</v>
      </c>
      <c r="D362" s="117" t="s">
        <v>1695</v>
      </c>
      <c r="E362" s="117" t="s">
        <v>1696</v>
      </c>
    </row>
    <row r="363" spans="1:5" x14ac:dyDescent="0.25">
      <c r="A363" s="115">
        <v>4</v>
      </c>
      <c r="B363" s="115" t="s">
        <v>1697</v>
      </c>
      <c r="C363" s="115">
        <v>40</v>
      </c>
      <c r="D363" s="115" t="s">
        <v>1698</v>
      </c>
    </row>
    <row r="364" spans="1:5" x14ac:dyDescent="0.25">
      <c r="A364" s="115">
        <v>13</v>
      </c>
      <c r="B364" s="115" t="s">
        <v>1699</v>
      </c>
      <c r="C364" s="115" t="s">
        <v>1137</v>
      </c>
      <c r="D364" s="115" t="s">
        <v>1700</v>
      </c>
      <c r="E364" s="115" t="s">
        <v>1701</v>
      </c>
    </row>
    <row r="365" spans="1:5" x14ac:dyDescent="0.25">
      <c r="B365" s="115" t="s">
        <v>1138</v>
      </c>
      <c r="D365" s="115" t="s">
        <v>1702</v>
      </c>
      <c r="E365" s="115" t="s">
        <v>1703</v>
      </c>
    </row>
    <row r="366" spans="1:5" x14ac:dyDescent="0.25">
      <c r="B366" s="115" t="s">
        <v>1138</v>
      </c>
      <c r="D366" s="115" t="s">
        <v>1139</v>
      </c>
      <c r="E366" s="115" t="s">
        <v>1704</v>
      </c>
    </row>
    <row r="367" spans="1:5" x14ac:dyDescent="0.25">
      <c r="A367" s="115">
        <v>6</v>
      </c>
      <c r="B367" s="115" t="s">
        <v>1705</v>
      </c>
      <c r="D367" s="115" t="s">
        <v>1706</v>
      </c>
      <c r="E367" s="115" t="s">
        <v>1140</v>
      </c>
    </row>
    <row r="368" spans="1:5" x14ac:dyDescent="0.25">
      <c r="B368" s="115" t="s">
        <v>1138</v>
      </c>
      <c r="D368" s="115" t="s">
        <v>1139</v>
      </c>
      <c r="E368" s="115" t="s">
        <v>1140</v>
      </c>
    </row>
    <row r="369" spans="1:5" x14ac:dyDescent="0.25">
      <c r="B369" s="115" t="s">
        <v>1138</v>
      </c>
      <c r="D369" s="115" t="s">
        <v>1139</v>
      </c>
      <c r="E369" s="115" t="s">
        <v>1140</v>
      </c>
    </row>
    <row r="370" spans="1:5" x14ac:dyDescent="0.25">
      <c r="B370" s="115" t="s">
        <v>1138</v>
      </c>
      <c r="D370" s="115" t="s">
        <v>1139</v>
      </c>
      <c r="E370" s="115" t="s">
        <v>1707</v>
      </c>
    </row>
    <row r="371" spans="1:5" x14ac:dyDescent="0.25">
      <c r="B371" s="115" t="s">
        <v>1138</v>
      </c>
      <c r="D371" s="115" t="s">
        <v>1708</v>
      </c>
      <c r="E371" s="115" t="s">
        <v>1709</v>
      </c>
    </row>
    <row r="372" spans="1:5" x14ac:dyDescent="0.25">
      <c r="A372" s="115">
        <v>-8</v>
      </c>
      <c r="B372" s="115" t="s">
        <v>1710</v>
      </c>
      <c r="D372" s="115" t="s">
        <v>1409</v>
      </c>
      <c r="E372" s="115" t="s">
        <v>1711</v>
      </c>
    </row>
    <row r="373" spans="1:5" x14ac:dyDescent="0.25">
      <c r="A373" s="115">
        <v>-16</v>
      </c>
      <c r="B373" s="115" t="s">
        <v>1193</v>
      </c>
      <c r="D373" s="115" t="s">
        <v>1139</v>
      </c>
      <c r="E373" s="115" t="s">
        <v>1140</v>
      </c>
    </row>
    <row r="374" spans="1:5" x14ac:dyDescent="0.25">
      <c r="B374" s="115" t="s">
        <v>1138</v>
      </c>
      <c r="D374" s="115" t="s">
        <v>1139</v>
      </c>
      <c r="E374" s="115" t="s">
        <v>1140</v>
      </c>
    </row>
    <row r="375" spans="1:5" x14ac:dyDescent="0.25">
      <c r="B375" s="115" t="s">
        <v>1138</v>
      </c>
      <c r="D375" s="115" t="s">
        <v>1139</v>
      </c>
      <c r="E375" s="115" t="s">
        <v>1140</v>
      </c>
    </row>
    <row r="376" spans="1:5" x14ac:dyDescent="0.25">
      <c r="B376" s="115" t="s">
        <v>1138</v>
      </c>
      <c r="D376" s="115" t="s">
        <v>1139</v>
      </c>
      <c r="E376" s="115" t="s">
        <v>1140</v>
      </c>
    </row>
    <row r="377" spans="1:5" x14ac:dyDescent="0.25">
      <c r="B377" s="115" t="s">
        <v>1138</v>
      </c>
      <c r="D377" s="115" t="s">
        <v>1139</v>
      </c>
      <c r="E377" s="115" t="s">
        <v>1140</v>
      </c>
    </row>
    <row r="378" spans="1:5" x14ac:dyDescent="0.25">
      <c r="B378" s="115" t="s">
        <v>1138</v>
      </c>
      <c r="D378" s="115" t="s">
        <v>1139</v>
      </c>
      <c r="E378" s="115" t="s">
        <v>1140</v>
      </c>
    </row>
    <row r="379" spans="1:5" x14ac:dyDescent="0.25">
      <c r="B379" s="115" t="s">
        <v>1138</v>
      </c>
      <c r="D379" s="115" t="s">
        <v>1139</v>
      </c>
      <c r="E379" s="115" t="s">
        <v>1140</v>
      </c>
    </row>
    <row r="380" spans="1:5" x14ac:dyDescent="0.25">
      <c r="B380" s="115" t="s">
        <v>1138</v>
      </c>
      <c r="D380" s="115" t="s">
        <v>1139</v>
      </c>
      <c r="E380" s="115" t="s">
        <v>1140</v>
      </c>
    </row>
    <row r="381" spans="1:5" x14ac:dyDescent="0.25">
      <c r="B381" s="115" t="s">
        <v>1138</v>
      </c>
      <c r="D381" s="117" t="s">
        <v>1139</v>
      </c>
      <c r="E381" s="117" t="s">
        <v>1140</v>
      </c>
    </row>
    <row r="382" spans="1:5" x14ac:dyDescent="0.25">
      <c r="B382" s="115" t="s">
        <v>1138</v>
      </c>
      <c r="D382" s="115" t="s">
        <v>1139</v>
      </c>
      <c r="E382" s="115" t="s">
        <v>1140</v>
      </c>
    </row>
    <row r="383" spans="1:5" x14ac:dyDescent="0.25">
      <c r="B383" s="115" t="s">
        <v>1138</v>
      </c>
      <c r="D383" s="115" t="s">
        <v>1139</v>
      </c>
      <c r="E383" s="115" t="s">
        <v>1140</v>
      </c>
    </row>
    <row r="384" spans="1:5" x14ac:dyDescent="0.25">
      <c r="B384" s="115" t="s">
        <v>1138</v>
      </c>
      <c r="D384" s="115" t="s">
        <v>1139</v>
      </c>
      <c r="E384" s="115" t="s">
        <v>1140</v>
      </c>
    </row>
    <row r="385" spans="2:5" x14ac:dyDescent="0.25">
      <c r="B385" s="115" t="s">
        <v>1138</v>
      </c>
      <c r="D385" s="117" t="s">
        <v>1139</v>
      </c>
      <c r="E385" s="117" t="s">
        <v>1140</v>
      </c>
    </row>
    <row r="386" spans="2:5" x14ac:dyDescent="0.25">
      <c r="B386" s="115" t="s">
        <v>1138</v>
      </c>
      <c r="D386" s="115" t="s">
        <v>1139</v>
      </c>
      <c r="E386" s="115" t="s">
        <v>1140</v>
      </c>
    </row>
    <row r="387" spans="2:5" x14ac:dyDescent="0.25">
      <c r="B387" s="115" t="s">
        <v>1712</v>
      </c>
      <c r="C387" s="115" t="s">
        <v>1137</v>
      </c>
      <c r="D387" s="115" t="s">
        <v>1713</v>
      </c>
      <c r="E387" s="117" t="s">
        <v>1714</v>
      </c>
    </row>
    <row r="388" spans="2:5" x14ac:dyDescent="0.25">
      <c r="B388" s="115" t="s">
        <v>1138</v>
      </c>
      <c r="D388" s="115" t="s">
        <v>1715</v>
      </c>
      <c r="E388" s="115" t="s">
        <v>1140</v>
      </c>
    </row>
    <row r="389" spans="2:5" x14ac:dyDescent="0.25">
      <c r="B389" s="115" t="s">
        <v>1138</v>
      </c>
      <c r="D389" s="115" t="s">
        <v>1716</v>
      </c>
      <c r="E389" s="115" t="s">
        <v>1717</v>
      </c>
    </row>
    <row r="390" spans="2:5" x14ac:dyDescent="0.25">
      <c r="B390" s="115" t="s">
        <v>1718</v>
      </c>
      <c r="D390" s="115" t="s">
        <v>1719</v>
      </c>
      <c r="E390" s="115" t="s">
        <v>1720</v>
      </c>
    </row>
    <row r="391" spans="2:5" x14ac:dyDescent="0.25">
      <c r="B391" s="115" t="s">
        <v>1138</v>
      </c>
      <c r="D391" s="117" t="s">
        <v>1721</v>
      </c>
      <c r="E391" s="117" t="s">
        <v>1140</v>
      </c>
    </row>
    <row r="392" spans="2:5" x14ac:dyDescent="0.25">
      <c r="B392" s="115" t="s">
        <v>1138</v>
      </c>
      <c r="D392" s="115" t="s">
        <v>1139</v>
      </c>
      <c r="E392" s="115" t="s">
        <v>1140</v>
      </c>
    </row>
    <row r="393" spans="2:5" x14ac:dyDescent="0.25">
      <c r="B393" s="115" t="s">
        <v>1138</v>
      </c>
      <c r="D393" s="115" t="s">
        <v>1139</v>
      </c>
      <c r="E393" s="115" t="s">
        <v>1140</v>
      </c>
    </row>
    <row r="394" spans="2:5" x14ac:dyDescent="0.25">
      <c r="B394" s="115" t="s">
        <v>1138</v>
      </c>
      <c r="C394" s="117"/>
      <c r="D394" s="117" t="s">
        <v>1139</v>
      </c>
      <c r="E394" s="117" t="s">
        <v>1140</v>
      </c>
    </row>
    <row r="395" spans="2:5" x14ac:dyDescent="0.25">
      <c r="B395" s="115" t="s">
        <v>1138</v>
      </c>
      <c r="D395" s="116" t="s">
        <v>1139</v>
      </c>
      <c r="E395" s="115" t="s">
        <v>1140</v>
      </c>
    </row>
    <row r="396" spans="2:5" x14ac:dyDescent="0.25">
      <c r="B396" s="115" t="s">
        <v>1138</v>
      </c>
      <c r="D396" s="115" t="s">
        <v>1722</v>
      </c>
      <c r="E396" s="115" t="s">
        <v>1723</v>
      </c>
    </row>
    <row r="397" spans="2:5" x14ac:dyDescent="0.25">
      <c r="B397" s="115" t="s">
        <v>1724</v>
      </c>
      <c r="D397" s="115" t="s">
        <v>1725</v>
      </c>
      <c r="E397" s="115" t="s">
        <v>1726</v>
      </c>
    </row>
    <row r="398" spans="2:5" x14ac:dyDescent="0.25">
      <c r="B398" s="115" t="s">
        <v>1138</v>
      </c>
      <c r="D398" s="115" t="s">
        <v>1139</v>
      </c>
      <c r="E398" s="115" t="s">
        <v>1727</v>
      </c>
    </row>
    <row r="399" spans="2:5" x14ac:dyDescent="0.25">
      <c r="B399" s="115" t="s">
        <v>1728</v>
      </c>
      <c r="C399" s="115">
        <v>4</v>
      </c>
      <c r="D399" s="115" t="s">
        <v>1729</v>
      </c>
      <c r="E399" s="115" t="s">
        <v>1730</v>
      </c>
    </row>
    <row r="400" spans="2:5" x14ac:dyDescent="0.25">
      <c r="B400" s="115" t="s">
        <v>1138</v>
      </c>
      <c r="D400" s="115" t="s">
        <v>1731</v>
      </c>
      <c r="E400" s="115" t="s">
        <v>1140</v>
      </c>
    </row>
    <row r="401" spans="1:5" x14ac:dyDescent="0.25">
      <c r="B401" s="115" t="s">
        <v>1138</v>
      </c>
      <c r="D401" s="115" t="s">
        <v>1732</v>
      </c>
      <c r="E401" s="115" t="s">
        <v>1733</v>
      </c>
    </row>
    <row r="402" spans="1:5" x14ac:dyDescent="0.25">
      <c r="A402" s="115">
        <v>-5</v>
      </c>
      <c r="B402" s="115" t="s">
        <v>1734</v>
      </c>
      <c r="D402" s="115" t="s">
        <v>1735</v>
      </c>
      <c r="E402" s="115" t="s">
        <v>1736</v>
      </c>
    </row>
    <row r="403" spans="1:5" x14ac:dyDescent="0.25">
      <c r="A403" s="115">
        <v>1</v>
      </c>
      <c r="B403" s="115" t="s">
        <v>1737</v>
      </c>
      <c r="D403" s="115" t="s">
        <v>1139</v>
      </c>
      <c r="E403" s="115" t="s">
        <v>1140</v>
      </c>
    </row>
    <row r="404" spans="1:5" x14ac:dyDescent="0.25">
      <c r="A404" s="115">
        <v>-1</v>
      </c>
      <c r="B404" s="115" t="s">
        <v>1738</v>
      </c>
      <c r="D404" s="115" t="s">
        <v>1739</v>
      </c>
      <c r="E404" s="115" t="s">
        <v>1740</v>
      </c>
    </row>
    <row r="405" spans="1:5" x14ac:dyDescent="0.25">
      <c r="B405" s="115" t="s">
        <v>1138</v>
      </c>
      <c r="D405" s="115" t="s">
        <v>1741</v>
      </c>
      <c r="E405" s="115" t="s">
        <v>1742</v>
      </c>
    </row>
    <row r="406" spans="1:5" x14ac:dyDescent="0.25">
      <c r="B406" s="115" t="s">
        <v>1138</v>
      </c>
      <c r="D406" s="115" t="s">
        <v>1139</v>
      </c>
      <c r="E406" s="115" t="s">
        <v>1743</v>
      </c>
    </row>
    <row r="407" spans="1:5" x14ac:dyDescent="0.25">
      <c r="B407" s="115" t="s">
        <v>1138</v>
      </c>
      <c r="C407" s="115">
        <v>-4</v>
      </c>
      <c r="D407" s="115" t="s">
        <v>1744</v>
      </c>
      <c r="E407" s="115" t="s">
        <v>1745</v>
      </c>
    </row>
    <row r="408" spans="1:5" x14ac:dyDescent="0.25">
      <c r="B408" s="115" t="s">
        <v>1746</v>
      </c>
      <c r="D408" s="115" t="s">
        <v>1747</v>
      </c>
      <c r="E408" s="115" t="s">
        <v>1748</v>
      </c>
    </row>
    <row r="409" spans="1:5" x14ac:dyDescent="0.25">
      <c r="B409" s="115" t="s">
        <v>1138</v>
      </c>
      <c r="D409" s="115" t="s">
        <v>1139</v>
      </c>
      <c r="E409" s="115" t="s">
        <v>1749</v>
      </c>
    </row>
    <row r="410" spans="1:5" x14ac:dyDescent="0.25">
      <c r="B410" s="115" t="s">
        <v>1750</v>
      </c>
      <c r="C410" s="115">
        <v>-1</v>
      </c>
      <c r="D410" s="115" t="s">
        <v>1751</v>
      </c>
      <c r="E410" s="115" t="s">
        <v>1752</v>
      </c>
    </row>
    <row r="411" spans="1:5" x14ac:dyDescent="0.25">
      <c r="B411" s="115" t="s">
        <v>1208</v>
      </c>
      <c r="D411" s="115" t="s">
        <v>1753</v>
      </c>
      <c r="E411" s="115" t="s">
        <v>1754</v>
      </c>
    </row>
    <row r="412" spans="1:5" x14ac:dyDescent="0.25">
      <c r="B412" s="115" t="s">
        <v>1138</v>
      </c>
      <c r="D412" s="115" t="s">
        <v>1139</v>
      </c>
      <c r="E412" s="115" t="s">
        <v>1755</v>
      </c>
    </row>
    <row r="413" spans="1:5" x14ac:dyDescent="0.25">
      <c r="B413" s="115" t="s">
        <v>1756</v>
      </c>
      <c r="C413" s="115" t="s">
        <v>1137</v>
      </c>
      <c r="D413" s="115" t="s">
        <v>1757</v>
      </c>
      <c r="E413" s="115" t="s">
        <v>1758</v>
      </c>
    </row>
    <row r="414" spans="1:5" x14ac:dyDescent="0.25">
      <c r="B414" s="115" t="s">
        <v>1138</v>
      </c>
      <c r="D414" s="115" t="s">
        <v>1139</v>
      </c>
      <c r="E414" s="115" t="s">
        <v>1140</v>
      </c>
    </row>
    <row r="415" spans="1:5" x14ac:dyDescent="0.25">
      <c r="B415" s="115" t="s">
        <v>1138</v>
      </c>
      <c r="D415" s="115" t="s">
        <v>1139</v>
      </c>
      <c r="E415" s="115" t="s">
        <v>1140</v>
      </c>
    </row>
    <row r="416" spans="1:5" x14ac:dyDescent="0.25">
      <c r="B416" s="115" t="s">
        <v>1138</v>
      </c>
      <c r="D416" s="115" t="s">
        <v>1139</v>
      </c>
      <c r="E416" s="115" t="s">
        <v>1140</v>
      </c>
    </row>
    <row r="417" spans="2:5" x14ac:dyDescent="0.25">
      <c r="B417" s="115" t="s">
        <v>1138</v>
      </c>
      <c r="D417" s="115" t="s">
        <v>1139</v>
      </c>
      <c r="E417" s="115" t="s">
        <v>1140</v>
      </c>
    </row>
    <row r="418" spans="2:5" x14ac:dyDescent="0.25">
      <c r="B418" s="115" t="s">
        <v>1138</v>
      </c>
      <c r="D418" s="115" t="s">
        <v>1139</v>
      </c>
      <c r="E418" s="115" t="s">
        <v>1140</v>
      </c>
    </row>
    <row r="419" spans="2:5" x14ac:dyDescent="0.25">
      <c r="B419" s="115" t="s">
        <v>1138</v>
      </c>
      <c r="D419" s="115" t="s">
        <v>1139</v>
      </c>
      <c r="E419" s="115" t="s">
        <v>1140</v>
      </c>
    </row>
    <row r="420" spans="2:5" x14ac:dyDescent="0.25">
      <c r="B420" s="115" t="s">
        <v>1138</v>
      </c>
      <c r="D420" s="115" t="s">
        <v>1139</v>
      </c>
      <c r="E420" s="115" t="s">
        <v>1140</v>
      </c>
    </row>
    <row r="421" spans="2:5" x14ac:dyDescent="0.25">
      <c r="B421" s="115" t="s">
        <v>1138</v>
      </c>
      <c r="D421" s="115" t="s">
        <v>1139</v>
      </c>
      <c r="E421" s="115" t="s">
        <v>1140</v>
      </c>
    </row>
    <row r="422" spans="2:5" x14ac:dyDescent="0.25">
      <c r="B422" s="115" t="s">
        <v>1138</v>
      </c>
      <c r="D422" s="115" t="s">
        <v>1139</v>
      </c>
      <c r="E422" s="115" t="s">
        <v>1140</v>
      </c>
    </row>
    <row r="423" spans="2:5" x14ac:dyDescent="0.25">
      <c r="B423" s="115" t="s">
        <v>1138</v>
      </c>
      <c r="D423" s="115" t="s">
        <v>1759</v>
      </c>
      <c r="E423" s="115" t="s">
        <v>1760</v>
      </c>
    </row>
    <row r="424" spans="2:5" x14ac:dyDescent="0.25">
      <c r="B424" s="115" t="s">
        <v>1761</v>
      </c>
      <c r="D424" s="115" t="s">
        <v>1762</v>
      </c>
      <c r="E424" s="115" t="s">
        <v>1763</v>
      </c>
    </row>
    <row r="425" spans="2:5" x14ac:dyDescent="0.25">
      <c r="B425" s="115" t="s">
        <v>1138</v>
      </c>
      <c r="D425" s="115" t="s">
        <v>1139</v>
      </c>
      <c r="E425" s="115" t="s">
        <v>1764</v>
      </c>
    </row>
    <row r="426" spans="2:5" x14ac:dyDescent="0.25">
      <c r="B426" s="115" t="s">
        <v>1765</v>
      </c>
      <c r="C426" s="115">
        <v>-1</v>
      </c>
      <c r="D426" s="115" t="s">
        <v>1766</v>
      </c>
      <c r="E426" s="115" t="s">
        <v>1767</v>
      </c>
    </row>
    <row r="427" spans="2:5" x14ac:dyDescent="0.25">
      <c r="B427" s="115" t="s">
        <v>1138</v>
      </c>
      <c r="D427" s="115" t="s">
        <v>1139</v>
      </c>
      <c r="E427" s="115" t="s">
        <v>1140</v>
      </c>
    </row>
    <row r="428" spans="2:5" x14ac:dyDescent="0.25">
      <c r="B428" s="115" t="s">
        <v>1138</v>
      </c>
      <c r="D428" s="115" t="s">
        <v>1139</v>
      </c>
      <c r="E428" s="115" t="s">
        <v>1140</v>
      </c>
    </row>
    <row r="429" spans="2:5" x14ac:dyDescent="0.25">
      <c r="B429" s="115" t="s">
        <v>1138</v>
      </c>
      <c r="D429" s="115" t="s">
        <v>1139</v>
      </c>
      <c r="E429" s="115" t="s">
        <v>1140</v>
      </c>
    </row>
    <row r="430" spans="2:5" x14ac:dyDescent="0.25">
      <c r="B430" s="115" t="s">
        <v>1138</v>
      </c>
      <c r="D430" s="115" t="s">
        <v>1139</v>
      </c>
      <c r="E430" s="115" t="s">
        <v>1140</v>
      </c>
    </row>
    <row r="431" spans="2:5" x14ac:dyDescent="0.25">
      <c r="B431" s="115" t="s">
        <v>1138</v>
      </c>
      <c r="D431" s="115" t="s">
        <v>1139</v>
      </c>
      <c r="E431" s="115" t="s">
        <v>1140</v>
      </c>
    </row>
    <row r="432" spans="2:5" x14ac:dyDescent="0.25">
      <c r="B432" s="115" t="s">
        <v>1138</v>
      </c>
      <c r="D432" s="115" t="s">
        <v>1139</v>
      </c>
      <c r="E432" s="115" t="s">
        <v>1140</v>
      </c>
    </row>
    <row r="433" spans="1:5" x14ac:dyDescent="0.25">
      <c r="B433" s="115" t="s">
        <v>1138</v>
      </c>
      <c r="D433" s="115" t="s">
        <v>1139</v>
      </c>
      <c r="E433" s="115" t="s">
        <v>1140</v>
      </c>
    </row>
    <row r="434" spans="1:5" x14ac:dyDescent="0.25">
      <c r="B434" s="115" t="s">
        <v>1138</v>
      </c>
      <c r="D434" s="115" t="s">
        <v>1139</v>
      </c>
      <c r="E434" s="115" t="s">
        <v>1140</v>
      </c>
    </row>
    <row r="435" spans="1:5" x14ac:dyDescent="0.25">
      <c r="B435" s="115" t="s">
        <v>1138</v>
      </c>
      <c r="D435" s="115" t="s">
        <v>1139</v>
      </c>
      <c r="E435" s="115" t="s">
        <v>1140</v>
      </c>
    </row>
    <row r="436" spans="1:5" x14ac:dyDescent="0.25">
      <c r="B436" s="115" t="s">
        <v>1138</v>
      </c>
      <c r="D436" s="115" t="s">
        <v>1139</v>
      </c>
      <c r="E436" s="115" t="s">
        <v>1140</v>
      </c>
    </row>
    <row r="437" spans="1:5" x14ac:dyDescent="0.25">
      <c r="B437" s="115" t="s">
        <v>1138</v>
      </c>
      <c r="D437" s="115" t="s">
        <v>1139</v>
      </c>
      <c r="E437" s="115" t="s">
        <v>1140</v>
      </c>
    </row>
    <row r="438" spans="1:5" x14ac:dyDescent="0.25">
      <c r="B438" s="115" t="s">
        <v>1246</v>
      </c>
      <c r="D438" s="115" t="s">
        <v>1768</v>
      </c>
      <c r="E438" s="115" t="s">
        <v>1769</v>
      </c>
    </row>
    <row r="439" spans="1:5" x14ac:dyDescent="0.25">
      <c r="B439" s="115" t="s">
        <v>1138</v>
      </c>
      <c r="D439" s="115" t="s">
        <v>1770</v>
      </c>
      <c r="E439" s="115" t="s">
        <v>1140</v>
      </c>
    </row>
    <row r="440" spans="1:5" x14ac:dyDescent="0.25">
      <c r="B440" s="115" t="s">
        <v>1138</v>
      </c>
      <c r="D440" s="115" t="s">
        <v>1771</v>
      </c>
      <c r="E440" s="115" t="s">
        <v>1772</v>
      </c>
    </row>
    <row r="441" spans="1:5" x14ac:dyDescent="0.25">
      <c r="A441" s="115">
        <v>4</v>
      </c>
      <c r="B441" s="115" t="s">
        <v>1773</v>
      </c>
      <c r="D441" s="115" t="s">
        <v>1774</v>
      </c>
      <c r="E441" s="115" t="s">
        <v>1775</v>
      </c>
    </row>
    <row r="442" spans="1:5" x14ac:dyDescent="0.25">
      <c r="B442" s="115" t="s">
        <v>1138</v>
      </c>
      <c r="D442" s="115" t="s">
        <v>1139</v>
      </c>
      <c r="E442" s="115" t="s">
        <v>1140</v>
      </c>
    </row>
    <row r="443" spans="1:5" x14ac:dyDescent="0.25">
      <c r="B443" s="115" t="s">
        <v>1138</v>
      </c>
      <c r="D443" s="115" t="s">
        <v>1139</v>
      </c>
      <c r="E443" s="115" t="s">
        <v>1140</v>
      </c>
    </row>
    <row r="444" spans="1:5" x14ac:dyDescent="0.25">
      <c r="B444" s="115" t="s">
        <v>1138</v>
      </c>
      <c r="D444" s="115" t="s">
        <v>1139</v>
      </c>
      <c r="E444" s="115" t="s">
        <v>1140</v>
      </c>
    </row>
    <row r="445" spans="1:5" x14ac:dyDescent="0.25">
      <c r="B445" s="115" t="s">
        <v>1138</v>
      </c>
      <c r="D445" s="115" t="s">
        <v>1139</v>
      </c>
      <c r="E445" s="115" t="s">
        <v>1140</v>
      </c>
    </row>
    <row r="446" spans="1:5" x14ac:dyDescent="0.25">
      <c r="B446" s="115" t="s">
        <v>1138</v>
      </c>
      <c r="D446" s="115" t="s">
        <v>1139</v>
      </c>
      <c r="E446" s="115" t="s">
        <v>1140</v>
      </c>
    </row>
    <row r="447" spans="1:5" x14ac:dyDescent="0.25">
      <c r="B447" s="115" t="s">
        <v>1138</v>
      </c>
      <c r="D447" s="115" t="s">
        <v>1139</v>
      </c>
      <c r="E447" s="115" t="s">
        <v>1140</v>
      </c>
    </row>
    <row r="448" spans="1:5" x14ac:dyDescent="0.25">
      <c r="B448" s="115" t="s">
        <v>1138</v>
      </c>
      <c r="D448" s="115" t="s">
        <v>1139</v>
      </c>
      <c r="E448" s="115" t="s">
        <v>1140</v>
      </c>
    </row>
    <row r="449" spans="1:5" x14ac:dyDescent="0.25">
      <c r="B449" s="115" t="s">
        <v>1138</v>
      </c>
      <c r="D449" s="115" t="s">
        <v>1139</v>
      </c>
      <c r="E449" s="115" t="s">
        <v>1140</v>
      </c>
    </row>
    <row r="450" spans="1:5" x14ac:dyDescent="0.25">
      <c r="B450" s="115" t="s">
        <v>1138</v>
      </c>
      <c r="D450" s="115" t="s">
        <v>1139</v>
      </c>
      <c r="E450" s="115" t="s">
        <v>1140</v>
      </c>
    </row>
    <row r="451" spans="1:5" x14ac:dyDescent="0.25">
      <c r="B451" s="115" t="s">
        <v>1138</v>
      </c>
      <c r="D451" s="115" t="s">
        <v>1139</v>
      </c>
      <c r="E451" s="115" t="s">
        <v>1140</v>
      </c>
    </row>
    <row r="452" spans="1:5" x14ac:dyDescent="0.25">
      <c r="B452" s="115" t="s">
        <v>1138</v>
      </c>
      <c r="D452" s="115" t="s">
        <v>1139</v>
      </c>
      <c r="E452" s="115" t="s">
        <v>1140</v>
      </c>
    </row>
    <row r="453" spans="1:5" x14ac:dyDescent="0.25">
      <c r="B453" s="115" t="s">
        <v>1138</v>
      </c>
      <c r="D453" s="115" t="s">
        <v>1139</v>
      </c>
      <c r="E453" s="115" t="s">
        <v>1140</v>
      </c>
    </row>
    <row r="454" spans="1:5" x14ac:dyDescent="0.25">
      <c r="B454" s="115" t="s">
        <v>1138</v>
      </c>
      <c r="D454" s="115" t="s">
        <v>1139</v>
      </c>
      <c r="E454" s="115" t="s">
        <v>1140</v>
      </c>
    </row>
    <row r="455" spans="1:5" x14ac:dyDescent="0.25">
      <c r="B455" s="115" t="s">
        <v>1138</v>
      </c>
      <c r="D455" s="115" t="s">
        <v>1139</v>
      </c>
      <c r="E455" s="115" t="s">
        <v>1140</v>
      </c>
    </row>
    <row r="456" spans="1:5" x14ac:dyDescent="0.25">
      <c r="B456" s="115" t="s">
        <v>1138</v>
      </c>
      <c r="D456" s="115" t="s">
        <v>1139</v>
      </c>
      <c r="E456" s="115" t="s">
        <v>1140</v>
      </c>
    </row>
    <row r="457" spans="1:5" x14ac:dyDescent="0.25">
      <c r="B457" s="115" t="s">
        <v>1138</v>
      </c>
      <c r="D457" s="115" t="s">
        <v>1139</v>
      </c>
      <c r="E457" s="115" t="s">
        <v>1140</v>
      </c>
    </row>
    <row r="458" spans="1:5" x14ac:dyDescent="0.25">
      <c r="B458" s="115" t="s">
        <v>1138</v>
      </c>
      <c r="D458" s="115" t="s">
        <v>1139</v>
      </c>
      <c r="E458" s="115" t="s">
        <v>1140</v>
      </c>
    </row>
    <row r="459" spans="1:5" x14ac:dyDescent="0.25">
      <c r="B459" s="115" t="s">
        <v>1138</v>
      </c>
      <c r="D459" s="115" t="s">
        <v>1139</v>
      </c>
      <c r="E459" s="115" t="s">
        <v>1140</v>
      </c>
    </row>
    <row r="460" spans="1:5" x14ac:dyDescent="0.25">
      <c r="B460" s="115" t="s">
        <v>1138</v>
      </c>
      <c r="D460" s="115" t="s">
        <v>1139</v>
      </c>
      <c r="E460" s="115" t="s">
        <v>1140</v>
      </c>
    </row>
    <row r="461" spans="1:5" x14ac:dyDescent="0.25">
      <c r="B461" s="115" t="s">
        <v>1138</v>
      </c>
      <c r="D461" s="115" t="s">
        <v>1139</v>
      </c>
      <c r="E461" s="115" t="s">
        <v>1140</v>
      </c>
    </row>
    <row r="462" spans="1:5" x14ac:dyDescent="0.25">
      <c r="B462" s="115" t="s">
        <v>1138</v>
      </c>
      <c r="D462" s="115" t="s">
        <v>1139</v>
      </c>
      <c r="E462" s="115" t="s">
        <v>1140</v>
      </c>
    </row>
    <row r="463" spans="1:5" x14ac:dyDescent="0.25">
      <c r="A463" s="115" t="s">
        <v>1137</v>
      </c>
      <c r="B463" s="115" t="s">
        <v>1776</v>
      </c>
      <c r="D463" s="115" t="s">
        <v>1777</v>
      </c>
      <c r="E463" s="115" t="s">
        <v>1778</v>
      </c>
    </row>
    <row r="464" spans="1:5" x14ac:dyDescent="0.25">
      <c r="B464" s="115" t="s">
        <v>1138</v>
      </c>
      <c r="D464" s="115" t="s">
        <v>1779</v>
      </c>
      <c r="E464" s="115" t="s">
        <v>1140</v>
      </c>
    </row>
    <row r="465" spans="1:5" x14ac:dyDescent="0.25">
      <c r="B465" s="115" t="s">
        <v>1138</v>
      </c>
      <c r="D465" s="115" t="s">
        <v>1780</v>
      </c>
      <c r="E465" s="115" t="s">
        <v>1781</v>
      </c>
    </row>
    <row r="466" spans="1:5" x14ac:dyDescent="0.25">
      <c r="A466" s="115">
        <v>7</v>
      </c>
      <c r="B466" s="115" t="s">
        <v>1782</v>
      </c>
      <c r="D466" s="115" t="s">
        <v>1783</v>
      </c>
      <c r="E466" s="115" t="s">
        <v>1784</v>
      </c>
    </row>
    <row r="467" spans="1:5" x14ac:dyDescent="0.25">
      <c r="B467" s="115" t="s">
        <v>1138</v>
      </c>
      <c r="D467" s="115" t="s">
        <v>1139</v>
      </c>
      <c r="E467" s="115" t="s">
        <v>1140</v>
      </c>
    </row>
    <row r="468" spans="1:5" x14ac:dyDescent="0.25">
      <c r="B468" s="115" t="s">
        <v>1138</v>
      </c>
      <c r="D468" s="115" t="s">
        <v>1139</v>
      </c>
      <c r="E468" s="115" t="s">
        <v>1140</v>
      </c>
    </row>
    <row r="469" spans="1:5" x14ac:dyDescent="0.25">
      <c r="B469" s="115" t="s">
        <v>1138</v>
      </c>
      <c r="D469" s="115" t="s">
        <v>1139</v>
      </c>
      <c r="E469" s="115" t="s">
        <v>1140</v>
      </c>
    </row>
    <row r="470" spans="1:5" x14ac:dyDescent="0.25">
      <c r="B470" s="115" t="s">
        <v>1138</v>
      </c>
      <c r="D470" s="115" t="s">
        <v>1139</v>
      </c>
      <c r="E470" s="115" t="s">
        <v>1140</v>
      </c>
    </row>
    <row r="471" spans="1:5" x14ac:dyDescent="0.25">
      <c r="B471" s="115" t="s">
        <v>1138</v>
      </c>
      <c r="D471" s="115" t="s">
        <v>1139</v>
      </c>
      <c r="E471" s="115" t="s">
        <v>1140</v>
      </c>
    </row>
    <row r="472" spans="1:5" x14ac:dyDescent="0.25">
      <c r="B472" s="115" t="s">
        <v>1138</v>
      </c>
      <c r="D472" s="115" t="s">
        <v>1139</v>
      </c>
      <c r="E472" s="115" t="s">
        <v>1140</v>
      </c>
    </row>
    <row r="473" spans="1:5" x14ac:dyDescent="0.25">
      <c r="B473" s="115" t="s">
        <v>1138</v>
      </c>
      <c r="D473" s="115" t="s">
        <v>1139</v>
      </c>
      <c r="E473" s="115" t="s">
        <v>1140</v>
      </c>
    </row>
    <row r="474" spans="1:5" x14ac:dyDescent="0.25">
      <c r="B474" s="115" t="s">
        <v>1138</v>
      </c>
      <c r="D474" s="115" t="s">
        <v>1139</v>
      </c>
      <c r="E474" s="115" t="s">
        <v>1140</v>
      </c>
    </row>
    <row r="475" spans="1:5" x14ac:dyDescent="0.25">
      <c r="B475" s="115" t="s">
        <v>1138</v>
      </c>
      <c r="D475" s="115" t="s">
        <v>1139</v>
      </c>
      <c r="E475" s="115" t="s">
        <v>1140</v>
      </c>
    </row>
    <row r="476" spans="1:5" x14ac:dyDescent="0.25">
      <c r="B476" s="115" t="s">
        <v>1138</v>
      </c>
      <c r="D476" s="115" t="s">
        <v>1139</v>
      </c>
      <c r="E476" s="115" t="s">
        <v>1140</v>
      </c>
    </row>
    <row r="477" spans="1:5" x14ac:dyDescent="0.25">
      <c r="B477" s="115" t="s">
        <v>1138</v>
      </c>
      <c r="D477" s="115" t="s">
        <v>1139</v>
      </c>
      <c r="E477" s="115" t="s">
        <v>1140</v>
      </c>
    </row>
    <row r="478" spans="1:5" x14ac:dyDescent="0.25">
      <c r="B478" s="115" t="s">
        <v>1138</v>
      </c>
      <c r="D478" s="115" t="s">
        <v>1139</v>
      </c>
      <c r="E478" s="115" t="s">
        <v>1140</v>
      </c>
    </row>
    <row r="479" spans="1:5" x14ac:dyDescent="0.25">
      <c r="B479" s="115" t="s">
        <v>1138</v>
      </c>
      <c r="D479" s="115" t="s">
        <v>1139</v>
      </c>
      <c r="E479" s="115" t="s">
        <v>1140</v>
      </c>
    </row>
    <row r="480" spans="1:5" x14ac:dyDescent="0.25">
      <c r="B480" s="115" t="s">
        <v>1138</v>
      </c>
      <c r="D480" s="115" t="s">
        <v>1139</v>
      </c>
      <c r="E480" s="115" t="s">
        <v>1140</v>
      </c>
    </row>
    <row r="481" spans="2:5" x14ac:dyDescent="0.25">
      <c r="B481" s="115" t="s">
        <v>1138</v>
      </c>
      <c r="D481" s="115" t="s">
        <v>1139</v>
      </c>
      <c r="E481" s="115" t="s">
        <v>1140</v>
      </c>
    </row>
    <row r="482" spans="2:5" x14ac:dyDescent="0.25">
      <c r="B482" s="115" t="s">
        <v>1138</v>
      </c>
      <c r="D482" s="115" t="s">
        <v>1139</v>
      </c>
      <c r="E482" s="115" t="s">
        <v>1140</v>
      </c>
    </row>
    <row r="483" spans="2:5" x14ac:dyDescent="0.25">
      <c r="B483" s="115" t="s">
        <v>1138</v>
      </c>
      <c r="D483" s="115" t="s">
        <v>1139</v>
      </c>
      <c r="E483" s="115" t="s">
        <v>1140</v>
      </c>
    </row>
    <row r="484" spans="2:5" x14ac:dyDescent="0.25">
      <c r="B484" s="115" t="s">
        <v>1138</v>
      </c>
      <c r="D484" s="115" t="s">
        <v>1139</v>
      </c>
      <c r="E484" s="115" t="s">
        <v>1140</v>
      </c>
    </row>
    <row r="485" spans="2:5" x14ac:dyDescent="0.25">
      <c r="B485" s="115" t="s">
        <v>1138</v>
      </c>
      <c r="D485" s="115" t="s">
        <v>1139</v>
      </c>
      <c r="E485" s="115" t="s">
        <v>1140</v>
      </c>
    </row>
    <row r="486" spans="2:5" x14ac:dyDescent="0.25">
      <c r="B486" s="115" t="s">
        <v>1138</v>
      </c>
      <c r="D486" s="115" t="s">
        <v>1139</v>
      </c>
      <c r="E486" s="115" t="s">
        <v>1140</v>
      </c>
    </row>
    <row r="487" spans="2:5" x14ac:dyDescent="0.25">
      <c r="B487" s="115" t="s">
        <v>1138</v>
      </c>
      <c r="D487" s="115" t="s">
        <v>1139</v>
      </c>
      <c r="E487" s="115" t="s">
        <v>1140</v>
      </c>
    </row>
    <row r="488" spans="2:5" x14ac:dyDescent="0.25">
      <c r="B488" s="115" t="s">
        <v>1138</v>
      </c>
      <c r="D488" s="115" t="s">
        <v>1139</v>
      </c>
      <c r="E488" s="115" t="s">
        <v>1140</v>
      </c>
    </row>
    <row r="489" spans="2:5" x14ac:dyDescent="0.25">
      <c r="B489" s="115" t="s">
        <v>1138</v>
      </c>
      <c r="D489" s="115" t="s">
        <v>1139</v>
      </c>
      <c r="E489" s="115" t="s">
        <v>1140</v>
      </c>
    </row>
    <row r="490" spans="2:5" x14ac:dyDescent="0.25">
      <c r="B490" s="115" t="s">
        <v>1138</v>
      </c>
      <c r="D490" s="115" t="s">
        <v>1139</v>
      </c>
      <c r="E490" s="115" t="s">
        <v>1140</v>
      </c>
    </row>
    <row r="491" spans="2:5" x14ac:dyDescent="0.25">
      <c r="B491" s="115" t="s">
        <v>1138</v>
      </c>
      <c r="D491" s="115" t="s">
        <v>1139</v>
      </c>
      <c r="E491" s="115" t="s">
        <v>1140</v>
      </c>
    </row>
    <row r="492" spans="2:5" x14ac:dyDescent="0.25">
      <c r="B492" s="115" t="s">
        <v>1138</v>
      </c>
      <c r="D492" s="115" t="s">
        <v>1139</v>
      </c>
      <c r="E492" s="115" t="s">
        <v>1140</v>
      </c>
    </row>
    <row r="493" spans="2:5" x14ac:dyDescent="0.25">
      <c r="B493" s="115" t="s">
        <v>1138</v>
      </c>
      <c r="D493" s="115" t="s">
        <v>1139</v>
      </c>
      <c r="E493" s="115" t="s">
        <v>1140</v>
      </c>
    </row>
    <row r="494" spans="2:5" x14ac:dyDescent="0.25">
      <c r="B494" s="115" t="s">
        <v>1138</v>
      </c>
      <c r="D494" s="115" t="s">
        <v>1139</v>
      </c>
      <c r="E494" s="115" t="s">
        <v>1140</v>
      </c>
    </row>
    <row r="495" spans="2:5" x14ac:dyDescent="0.25">
      <c r="B495" s="115" t="s">
        <v>1138</v>
      </c>
      <c r="D495" s="115" t="s">
        <v>1139</v>
      </c>
      <c r="E495" s="115" t="s">
        <v>1140</v>
      </c>
    </row>
    <row r="496" spans="2:5" x14ac:dyDescent="0.25">
      <c r="B496" s="115" t="s">
        <v>1138</v>
      </c>
      <c r="D496" s="115" t="s">
        <v>1139</v>
      </c>
      <c r="E496" s="115" t="s">
        <v>1140</v>
      </c>
    </row>
    <row r="497" spans="1:5" x14ac:dyDescent="0.25">
      <c r="B497" s="115" t="s">
        <v>1138</v>
      </c>
      <c r="D497" s="115" t="s">
        <v>1139</v>
      </c>
      <c r="E497" s="115" t="s">
        <v>1140</v>
      </c>
    </row>
    <row r="498" spans="1:5" x14ac:dyDescent="0.25">
      <c r="B498" s="115" t="s">
        <v>1138</v>
      </c>
      <c r="D498" s="115" t="s">
        <v>1139</v>
      </c>
      <c r="E498" s="115" t="s">
        <v>1140</v>
      </c>
    </row>
    <row r="499" spans="1:5" x14ac:dyDescent="0.25">
      <c r="B499" s="115" t="s">
        <v>1138</v>
      </c>
      <c r="D499" s="115" t="s">
        <v>1139</v>
      </c>
      <c r="E499" s="115" t="s">
        <v>1140</v>
      </c>
    </row>
    <row r="500" spans="1:5" x14ac:dyDescent="0.25">
      <c r="B500" s="115" t="s">
        <v>1138</v>
      </c>
      <c r="D500" s="115" t="s">
        <v>1139</v>
      </c>
      <c r="E500" s="115" t="s">
        <v>1140</v>
      </c>
    </row>
    <row r="501" spans="1:5" x14ac:dyDescent="0.25">
      <c r="B501" s="115" t="s">
        <v>1138</v>
      </c>
      <c r="D501" s="115" t="s">
        <v>1139</v>
      </c>
      <c r="E501" s="115" t="s">
        <v>1785</v>
      </c>
    </row>
    <row r="502" spans="1:5" x14ac:dyDescent="0.25">
      <c r="A502" s="115">
        <v>2</v>
      </c>
      <c r="B502" s="115" t="s">
        <v>1786</v>
      </c>
      <c r="D502" s="115" t="s">
        <v>1787</v>
      </c>
      <c r="E502" s="115" t="s">
        <v>1788</v>
      </c>
    </row>
    <row r="503" spans="1:5" x14ac:dyDescent="0.25">
      <c r="A503" s="115">
        <v>1</v>
      </c>
      <c r="B503" s="115" t="s">
        <v>1789</v>
      </c>
      <c r="D503" s="115" t="s">
        <v>1139</v>
      </c>
      <c r="E503" s="115" t="s">
        <v>1140</v>
      </c>
    </row>
    <row r="504" spans="1:5" x14ac:dyDescent="0.25">
      <c r="A504" s="115">
        <v>-2</v>
      </c>
      <c r="B504" s="115" t="s">
        <v>1790</v>
      </c>
      <c r="D504" s="115" t="s">
        <v>1791</v>
      </c>
      <c r="E504" s="115" t="s">
        <v>1792</v>
      </c>
    </row>
    <row r="505" spans="1:5" x14ac:dyDescent="0.25">
      <c r="B505" s="115" t="s">
        <v>1138</v>
      </c>
      <c r="D505" s="115" t="s">
        <v>1793</v>
      </c>
      <c r="E505" s="115" t="s">
        <v>1794</v>
      </c>
    </row>
    <row r="506" spans="1:5" x14ac:dyDescent="0.25">
      <c r="B506" s="115" t="s">
        <v>1138</v>
      </c>
      <c r="D506" s="115" t="s">
        <v>1795</v>
      </c>
      <c r="E506" s="115" t="s">
        <v>1140</v>
      </c>
    </row>
    <row r="507" spans="1:5" x14ac:dyDescent="0.25">
      <c r="B507" s="115" t="s">
        <v>1796</v>
      </c>
      <c r="C507" s="115">
        <v>4</v>
      </c>
      <c r="D507" s="115" t="s">
        <v>1797</v>
      </c>
      <c r="E507" s="115" t="s">
        <v>1798</v>
      </c>
    </row>
    <row r="508" spans="1:5" x14ac:dyDescent="0.25">
      <c r="B508" s="115" t="s">
        <v>1138</v>
      </c>
      <c r="D508" s="115" t="s">
        <v>1799</v>
      </c>
      <c r="E508" s="115" t="s">
        <v>1140</v>
      </c>
    </row>
    <row r="509" spans="1:5" x14ac:dyDescent="0.25">
      <c r="B509" s="115" t="s">
        <v>1138</v>
      </c>
      <c r="D509" s="115" t="s">
        <v>1800</v>
      </c>
      <c r="E509" s="115" t="s">
        <v>1801</v>
      </c>
    </row>
    <row r="510" spans="1:5" x14ac:dyDescent="0.25">
      <c r="B510" s="115" t="s">
        <v>1802</v>
      </c>
      <c r="D510" s="115" t="s">
        <v>1803</v>
      </c>
      <c r="E510" s="115" t="s">
        <v>1804</v>
      </c>
    </row>
    <row r="511" spans="1:5" x14ac:dyDescent="0.25">
      <c r="B511" s="115" t="s">
        <v>1805</v>
      </c>
      <c r="D511" s="115" t="s">
        <v>1139</v>
      </c>
      <c r="E511" s="115" t="s">
        <v>1806</v>
      </c>
    </row>
    <row r="512" spans="1:5" x14ac:dyDescent="0.25">
      <c r="B512" s="115" t="s">
        <v>1138</v>
      </c>
      <c r="D512" s="115" t="s">
        <v>1807</v>
      </c>
      <c r="E512" s="115" t="s">
        <v>1140</v>
      </c>
    </row>
    <row r="513" spans="1:5" x14ac:dyDescent="0.25">
      <c r="B513" s="115" t="s">
        <v>1138</v>
      </c>
      <c r="D513" s="115" t="s">
        <v>1139</v>
      </c>
      <c r="E513" s="115" t="s">
        <v>1140</v>
      </c>
    </row>
    <row r="514" spans="1:5" x14ac:dyDescent="0.25">
      <c r="B514" s="115" t="s">
        <v>1138</v>
      </c>
      <c r="D514" s="115" t="s">
        <v>1139</v>
      </c>
      <c r="E514" s="115" t="s">
        <v>1140</v>
      </c>
    </row>
    <row r="515" spans="1:5" x14ac:dyDescent="0.25">
      <c r="B515" s="115" t="s">
        <v>1138</v>
      </c>
      <c r="D515" s="115" t="s">
        <v>1139</v>
      </c>
      <c r="E515" s="115" t="s">
        <v>1140</v>
      </c>
    </row>
    <row r="516" spans="1:5" x14ac:dyDescent="0.25">
      <c r="B516" s="115" t="s">
        <v>1138</v>
      </c>
      <c r="D516" s="115" t="s">
        <v>1139</v>
      </c>
      <c r="E516" s="115" t="s">
        <v>1140</v>
      </c>
    </row>
    <row r="517" spans="1:5" x14ac:dyDescent="0.25">
      <c r="B517" s="115" t="s">
        <v>1138</v>
      </c>
      <c r="D517" s="115" t="s">
        <v>1139</v>
      </c>
      <c r="E517" s="115" t="s">
        <v>1140</v>
      </c>
    </row>
    <row r="518" spans="1:5" x14ac:dyDescent="0.25">
      <c r="A518" s="115" t="s">
        <v>1137</v>
      </c>
      <c r="B518" s="115" t="s">
        <v>1808</v>
      </c>
      <c r="D518" s="115" t="s">
        <v>1809</v>
      </c>
      <c r="E518" s="115" t="s">
        <v>1810</v>
      </c>
    </row>
    <row r="519" spans="1:5" x14ac:dyDescent="0.25">
      <c r="B519" s="115" t="s">
        <v>1138</v>
      </c>
      <c r="C519" s="115" t="s">
        <v>1137</v>
      </c>
      <c r="D519" s="115" t="s">
        <v>1811</v>
      </c>
      <c r="E519" s="115" t="s">
        <v>1140</v>
      </c>
    </row>
    <row r="520" spans="1:5" x14ac:dyDescent="0.25">
      <c r="B520" s="115" t="s">
        <v>1138</v>
      </c>
      <c r="D520" s="115" t="s">
        <v>1812</v>
      </c>
      <c r="E520" s="115" t="s">
        <v>1813</v>
      </c>
    </row>
    <row r="521" spans="1:5" x14ac:dyDescent="0.25">
      <c r="A521" s="115">
        <v>-1</v>
      </c>
      <c r="B521" s="115" t="s">
        <v>1814</v>
      </c>
      <c r="D521" s="115" t="s">
        <v>1815</v>
      </c>
      <c r="E521" s="115" t="s">
        <v>1816</v>
      </c>
    </row>
    <row r="522" spans="1:5" x14ac:dyDescent="0.25">
      <c r="B522" s="115" t="s">
        <v>1138</v>
      </c>
      <c r="D522" s="115" t="s">
        <v>1817</v>
      </c>
      <c r="E522" s="115" t="s">
        <v>1818</v>
      </c>
    </row>
    <row r="523" spans="1:5" x14ac:dyDescent="0.25">
      <c r="B523" s="115" t="s">
        <v>1138</v>
      </c>
      <c r="D523" s="115" t="s">
        <v>1819</v>
      </c>
      <c r="E523" s="115" t="s">
        <v>1140</v>
      </c>
    </row>
    <row r="524" spans="1:5" x14ac:dyDescent="0.25">
      <c r="B524" s="115" t="s">
        <v>1138</v>
      </c>
      <c r="D524" s="115" t="s">
        <v>1139</v>
      </c>
      <c r="E524" s="115" t="s">
        <v>1140</v>
      </c>
    </row>
    <row r="525" spans="1:5" x14ac:dyDescent="0.25">
      <c r="B525" s="115" t="s">
        <v>1138</v>
      </c>
      <c r="D525" s="115" t="s">
        <v>1139</v>
      </c>
      <c r="E525" s="115" t="s">
        <v>1140</v>
      </c>
    </row>
    <row r="526" spans="1:5" x14ac:dyDescent="0.25">
      <c r="B526" s="115" t="s">
        <v>1138</v>
      </c>
      <c r="D526" s="115" t="s">
        <v>1139</v>
      </c>
      <c r="E526" s="115" t="s">
        <v>1140</v>
      </c>
    </row>
    <row r="527" spans="1:5" x14ac:dyDescent="0.25">
      <c r="B527" s="115" t="s">
        <v>1138</v>
      </c>
      <c r="D527" s="115" t="s">
        <v>1139</v>
      </c>
      <c r="E527" s="115" t="s">
        <v>1140</v>
      </c>
    </row>
    <row r="528" spans="1:5" x14ac:dyDescent="0.25">
      <c r="B528" s="115" t="s">
        <v>1138</v>
      </c>
      <c r="D528" s="115" t="s">
        <v>1139</v>
      </c>
      <c r="E528" s="115" t="s">
        <v>1140</v>
      </c>
    </row>
    <row r="529" spans="2:5" x14ac:dyDescent="0.25">
      <c r="B529" s="115" t="s">
        <v>1138</v>
      </c>
      <c r="D529" s="115" t="s">
        <v>1139</v>
      </c>
      <c r="E529" s="115" t="s">
        <v>1140</v>
      </c>
    </row>
    <row r="530" spans="2:5" x14ac:dyDescent="0.25">
      <c r="B530" s="115" t="s">
        <v>1138</v>
      </c>
      <c r="D530" s="115" t="s">
        <v>1139</v>
      </c>
      <c r="E530" s="115" t="s">
        <v>1140</v>
      </c>
    </row>
    <row r="531" spans="2:5" x14ac:dyDescent="0.25">
      <c r="B531" s="115" t="s">
        <v>1138</v>
      </c>
      <c r="D531" s="115" t="s">
        <v>1139</v>
      </c>
      <c r="E531" s="115" t="s">
        <v>1140</v>
      </c>
    </row>
    <row r="532" spans="2:5" x14ac:dyDescent="0.25">
      <c r="B532" s="115" t="s">
        <v>1138</v>
      </c>
      <c r="D532" s="115" t="s">
        <v>1139</v>
      </c>
      <c r="E532" s="115" t="s">
        <v>1140</v>
      </c>
    </row>
    <row r="533" spans="2:5" x14ac:dyDescent="0.25">
      <c r="B533" s="115" t="s">
        <v>1138</v>
      </c>
      <c r="D533" s="115" t="s">
        <v>1139</v>
      </c>
      <c r="E533" s="115" t="s">
        <v>1140</v>
      </c>
    </row>
    <row r="534" spans="2:5" x14ac:dyDescent="0.25">
      <c r="B534" s="115" t="s">
        <v>1138</v>
      </c>
      <c r="D534" s="115" t="s">
        <v>1139</v>
      </c>
      <c r="E534" s="115" t="s">
        <v>1140</v>
      </c>
    </row>
    <row r="535" spans="2:5" x14ac:dyDescent="0.25">
      <c r="B535" s="115" t="s">
        <v>1138</v>
      </c>
      <c r="D535" s="115" t="s">
        <v>1139</v>
      </c>
      <c r="E535" s="115" t="s">
        <v>1140</v>
      </c>
    </row>
    <row r="536" spans="2:5" x14ac:dyDescent="0.25">
      <c r="B536" s="115" t="s">
        <v>1138</v>
      </c>
      <c r="D536" s="115" t="s">
        <v>1139</v>
      </c>
      <c r="E536" s="115" t="s">
        <v>1140</v>
      </c>
    </row>
    <row r="537" spans="2:5" x14ac:dyDescent="0.25">
      <c r="B537" s="115" t="s">
        <v>1138</v>
      </c>
      <c r="D537" s="115" t="s">
        <v>1139</v>
      </c>
      <c r="E537" s="115" t="s">
        <v>1140</v>
      </c>
    </row>
    <row r="538" spans="2:5" x14ac:dyDescent="0.25">
      <c r="B538" s="115" t="s">
        <v>1138</v>
      </c>
      <c r="D538" s="115" t="s">
        <v>1139</v>
      </c>
      <c r="E538" s="115" t="s">
        <v>1140</v>
      </c>
    </row>
    <row r="539" spans="2:5" x14ac:dyDescent="0.25">
      <c r="B539" s="115" t="s">
        <v>1138</v>
      </c>
      <c r="D539" s="115" t="s">
        <v>1139</v>
      </c>
      <c r="E539" s="115" t="s">
        <v>1140</v>
      </c>
    </row>
    <row r="540" spans="2:5" x14ac:dyDescent="0.25">
      <c r="B540" s="115" t="s">
        <v>1138</v>
      </c>
      <c r="D540" s="115" t="s">
        <v>1139</v>
      </c>
      <c r="E540" s="115" t="s">
        <v>1140</v>
      </c>
    </row>
    <row r="541" spans="2:5" x14ac:dyDescent="0.25">
      <c r="B541" s="115" t="s">
        <v>1138</v>
      </c>
      <c r="D541" s="115" t="s">
        <v>1139</v>
      </c>
      <c r="E541" s="115" t="s">
        <v>1140</v>
      </c>
    </row>
    <row r="542" spans="2:5" x14ac:dyDescent="0.25">
      <c r="B542" s="115" t="s">
        <v>1138</v>
      </c>
      <c r="D542" s="115" t="s">
        <v>1139</v>
      </c>
      <c r="E542" s="115" t="s">
        <v>1140</v>
      </c>
    </row>
    <row r="543" spans="2:5" x14ac:dyDescent="0.25">
      <c r="B543" s="115" t="s">
        <v>1138</v>
      </c>
      <c r="D543" s="115" t="s">
        <v>1139</v>
      </c>
      <c r="E543" s="115" t="s">
        <v>1140</v>
      </c>
    </row>
    <row r="544" spans="2:5" x14ac:dyDescent="0.25">
      <c r="B544" s="115" t="s">
        <v>1138</v>
      </c>
      <c r="D544" s="115" t="s">
        <v>1139</v>
      </c>
      <c r="E544" s="115" t="s">
        <v>1140</v>
      </c>
    </row>
    <row r="545" spans="1:5" x14ac:dyDescent="0.25">
      <c r="B545" s="115" t="s">
        <v>1138</v>
      </c>
      <c r="D545" s="115" t="s">
        <v>1139</v>
      </c>
      <c r="E545" s="115" t="s">
        <v>1140</v>
      </c>
    </row>
    <row r="546" spans="1:5" x14ac:dyDescent="0.25">
      <c r="B546" s="115" t="s">
        <v>1138</v>
      </c>
      <c r="D546" s="115" t="s">
        <v>1139</v>
      </c>
      <c r="E546" s="115" t="s">
        <v>1140</v>
      </c>
    </row>
    <row r="547" spans="1:5" x14ac:dyDescent="0.25">
      <c r="A547" s="115">
        <v>-2</v>
      </c>
      <c r="B547" s="115" t="s">
        <v>1820</v>
      </c>
      <c r="C547" s="115" t="s">
        <v>1137</v>
      </c>
      <c r="D547" s="115" t="s">
        <v>1821</v>
      </c>
      <c r="E547" s="115" t="s">
        <v>1822</v>
      </c>
    </row>
    <row r="548" spans="1:5" x14ac:dyDescent="0.25">
      <c r="B548" s="115" t="s">
        <v>1138</v>
      </c>
      <c r="D548" s="115" t="s">
        <v>1823</v>
      </c>
      <c r="E548" s="115" t="s">
        <v>1140</v>
      </c>
    </row>
    <row r="549" spans="1:5" x14ac:dyDescent="0.25">
      <c r="B549" s="115" t="s">
        <v>1138</v>
      </c>
      <c r="D549" s="115" t="s">
        <v>1824</v>
      </c>
      <c r="E549" s="115" t="s">
        <v>1825</v>
      </c>
    </row>
    <row r="550" spans="1:5" x14ac:dyDescent="0.25">
      <c r="A550" s="115">
        <v>-3</v>
      </c>
      <c r="B550" s="115" t="s">
        <v>1826</v>
      </c>
      <c r="D550" s="115" t="s">
        <v>1827</v>
      </c>
      <c r="E550" s="115" t="s">
        <v>1828</v>
      </c>
    </row>
    <row r="551" spans="1:5" x14ac:dyDescent="0.25">
      <c r="B551" s="115" t="s">
        <v>1138</v>
      </c>
      <c r="D551" s="115" t="s">
        <v>1829</v>
      </c>
      <c r="E551" s="115" t="s">
        <v>1818</v>
      </c>
    </row>
    <row r="552" spans="1:5" x14ac:dyDescent="0.25">
      <c r="B552" s="115" t="s">
        <v>1138</v>
      </c>
      <c r="D552" s="115" t="s">
        <v>1830</v>
      </c>
      <c r="E552" s="115" t="s">
        <v>1831</v>
      </c>
    </row>
    <row r="553" spans="1:5" x14ac:dyDescent="0.25">
      <c r="B553" s="115" t="s">
        <v>1832</v>
      </c>
      <c r="D553" s="115" t="s">
        <v>1833</v>
      </c>
      <c r="E553" s="115" t="s">
        <v>1834</v>
      </c>
    </row>
    <row r="554" spans="1:5" x14ac:dyDescent="0.25">
      <c r="B554" s="115" t="s">
        <v>1138</v>
      </c>
      <c r="D554" s="115" t="s">
        <v>1835</v>
      </c>
      <c r="E554" s="115" t="s">
        <v>1140</v>
      </c>
    </row>
    <row r="555" spans="1:5" x14ac:dyDescent="0.25">
      <c r="B555" s="115" t="s">
        <v>1138</v>
      </c>
      <c r="D555" s="115" t="s">
        <v>1836</v>
      </c>
      <c r="E555" s="115" t="s">
        <v>1837</v>
      </c>
    </row>
    <row r="556" spans="1:5" x14ac:dyDescent="0.25">
      <c r="B556" s="115" t="s">
        <v>1838</v>
      </c>
      <c r="D556" s="115" t="s">
        <v>1839</v>
      </c>
      <c r="E556" s="115" t="s">
        <v>1840</v>
      </c>
    </row>
    <row r="557" spans="1:5" x14ac:dyDescent="0.25">
      <c r="A557" s="115" t="s">
        <v>1137</v>
      </c>
      <c r="B557" s="115" t="s">
        <v>1675</v>
      </c>
      <c r="D557" s="115" t="s">
        <v>1139</v>
      </c>
      <c r="E557" s="115" t="s">
        <v>1841</v>
      </c>
    </row>
    <row r="558" spans="1:5" x14ac:dyDescent="0.25">
      <c r="B558" s="115" t="s">
        <v>1138</v>
      </c>
      <c r="D558" s="115" t="s">
        <v>1842</v>
      </c>
      <c r="E558" s="115" t="s">
        <v>1843</v>
      </c>
    </row>
    <row r="559" spans="1:5" x14ac:dyDescent="0.25">
      <c r="B559" s="115" t="s">
        <v>1138</v>
      </c>
      <c r="D559" s="115" t="s">
        <v>1844</v>
      </c>
      <c r="E559" s="115" t="s">
        <v>1845</v>
      </c>
    </row>
    <row r="560" spans="1:5" x14ac:dyDescent="0.25">
      <c r="B560" s="115" t="s">
        <v>1846</v>
      </c>
      <c r="D560" s="115" t="s">
        <v>1847</v>
      </c>
      <c r="E560" s="115" t="s">
        <v>1848</v>
      </c>
    </row>
    <row r="561" spans="2:5" x14ac:dyDescent="0.25">
      <c r="B561" s="115" t="s">
        <v>1138</v>
      </c>
      <c r="D561" s="115" t="s">
        <v>1849</v>
      </c>
      <c r="E561" s="115" t="s">
        <v>1850</v>
      </c>
    </row>
    <row r="562" spans="2:5" x14ac:dyDescent="0.25">
      <c r="B562" s="115" t="s">
        <v>1851</v>
      </c>
      <c r="D562" s="115" t="s">
        <v>1852</v>
      </c>
      <c r="E562" s="115" t="s">
        <v>1853</v>
      </c>
    </row>
    <row r="563" spans="2:5" x14ac:dyDescent="0.25">
      <c r="B563" s="115" t="s">
        <v>1138</v>
      </c>
      <c r="D563" s="115" t="s">
        <v>1854</v>
      </c>
      <c r="E563" s="115" t="s">
        <v>1855</v>
      </c>
    </row>
    <row r="564" spans="2:5" x14ac:dyDescent="0.25">
      <c r="B564" s="115" t="s">
        <v>1138</v>
      </c>
      <c r="D564" s="115" t="s">
        <v>1139</v>
      </c>
      <c r="E564" s="115" t="s">
        <v>1856</v>
      </c>
    </row>
    <row r="565" spans="2:5" x14ac:dyDescent="0.25">
      <c r="B565" s="115" t="s">
        <v>1138</v>
      </c>
      <c r="D565" s="115" t="s">
        <v>1857</v>
      </c>
      <c r="E565" s="115" t="s">
        <v>1858</v>
      </c>
    </row>
    <row r="566" spans="2:5" x14ac:dyDescent="0.25">
      <c r="B566" s="115" t="s">
        <v>1138</v>
      </c>
      <c r="D566" s="115" t="s">
        <v>1139</v>
      </c>
      <c r="E566" s="115" t="s">
        <v>1140</v>
      </c>
    </row>
    <row r="567" spans="2:5" x14ac:dyDescent="0.25">
      <c r="B567" s="115" t="s">
        <v>1138</v>
      </c>
      <c r="D567" s="115" t="s">
        <v>1139</v>
      </c>
      <c r="E567" s="115" t="s">
        <v>1140</v>
      </c>
    </row>
    <row r="568" spans="2:5" x14ac:dyDescent="0.25">
      <c r="B568" s="115" t="s">
        <v>1138</v>
      </c>
      <c r="D568" s="115" t="s">
        <v>1139</v>
      </c>
      <c r="E568" s="115" t="s">
        <v>1140</v>
      </c>
    </row>
    <row r="569" spans="2:5" x14ac:dyDescent="0.25">
      <c r="B569" s="115" t="s">
        <v>1138</v>
      </c>
      <c r="D569" s="115" t="s">
        <v>1139</v>
      </c>
      <c r="E569" s="115" t="s">
        <v>1140</v>
      </c>
    </row>
    <row r="570" spans="2:5" x14ac:dyDescent="0.25">
      <c r="B570" s="115" t="s">
        <v>1138</v>
      </c>
      <c r="D570" s="115" t="s">
        <v>1139</v>
      </c>
      <c r="E570" s="115" t="s">
        <v>1140</v>
      </c>
    </row>
    <row r="571" spans="2:5" x14ac:dyDescent="0.25">
      <c r="B571" s="115" t="s">
        <v>1138</v>
      </c>
      <c r="D571" s="115" t="s">
        <v>1139</v>
      </c>
      <c r="E571" s="115" t="s">
        <v>1140</v>
      </c>
    </row>
    <row r="572" spans="2:5" x14ac:dyDescent="0.25">
      <c r="B572" s="115" t="s">
        <v>1138</v>
      </c>
      <c r="D572" s="115" t="s">
        <v>1139</v>
      </c>
      <c r="E572" s="115" t="s">
        <v>1140</v>
      </c>
    </row>
    <row r="573" spans="2:5" x14ac:dyDescent="0.25">
      <c r="B573" s="115" t="s">
        <v>1138</v>
      </c>
      <c r="D573" s="115" t="s">
        <v>1139</v>
      </c>
      <c r="E573" s="115" t="s">
        <v>1140</v>
      </c>
    </row>
    <row r="574" spans="2:5" x14ac:dyDescent="0.25">
      <c r="B574" s="115" t="s">
        <v>1138</v>
      </c>
      <c r="D574" s="115" t="s">
        <v>1139</v>
      </c>
      <c r="E574" s="115" t="s">
        <v>1140</v>
      </c>
    </row>
    <row r="575" spans="2:5" x14ac:dyDescent="0.25">
      <c r="B575" s="115" t="s">
        <v>1138</v>
      </c>
      <c r="D575" s="115" t="s">
        <v>1139</v>
      </c>
      <c r="E575" s="115" t="s">
        <v>1140</v>
      </c>
    </row>
    <row r="576" spans="2:5" x14ac:dyDescent="0.25">
      <c r="B576" s="115" t="s">
        <v>1138</v>
      </c>
      <c r="D576" s="115" t="s">
        <v>1139</v>
      </c>
      <c r="E576" s="115" t="s">
        <v>1140</v>
      </c>
    </row>
    <row r="577" spans="1:5" x14ac:dyDescent="0.25">
      <c r="B577" s="115" t="s">
        <v>1138</v>
      </c>
      <c r="D577" s="115" t="s">
        <v>1139</v>
      </c>
      <c r="E577" s="115" t="s">
        <v>1140</v>
      </c>
    </row>
    <row r="578" spans="1:5" x14ac:dyDescent="0.25">
      <c r="B578" s="115" t="s">
        <v>1138</v>
      </c>
      <c r="D578" s="115" t="s">
        <v>1859</v>
      </c>
      <c r="E578" s="115" t="s">
        <v>1860</v>
      </c>
    </row>
    <row r="579" spans="1:5" x14ac:dyDescent="0.25">
      <c r="B579" s="115" t="s">
        <v>1861</v>
      </c>
      <c r="D579" s="115" t="s">
        <v>1862</v>
      </c>
      <c r="E579" s="115" t="s">
        <v>1863</v>
      </c>
    </row>
    <row r="580" spans="1:5" x14ac:dyDescent="0.25">
      <c r="B580" s="115" t="s">
        <v>1138</v>
      </c>
      <c r="D580" s="115" t="s">
        <v>1139</v>
      </c>
      <c r="E580" s="115" t="s">
        <v>1864</v>
      </c>
    </row>
    <row r="581" spans="1:5" x14ac:dyDescent="0.25">
      <c r="B581" s="115" t="s">
        <v>1865</v>
      </c>
      <c r="D581" s="115" t="s">
        <v>1866</v>
      </c>
      <c r="E581" s="115" t="s">
        <v>1867</v>
      </c>
    </row>
    <row r="582" spans="1:5" x14ac:dyDescent="0.25">
      <c r="B582" s="115" t="s">
        <v>1653</v>
      </c>
      <c r="D582" s="115" t="s">
        <v>1429</v>
      </c>
      <c r="E582" s="115" t="s">
        <v>1140</v>
      </c>
    </row>
    <row r="583" spans="1:5" x14ac:dyDescent="0.25">
      <c r="B583" s="115" t="s">
        <v>1868</v>
      </c>
      <c r="D583" s="115" t="s">
        <v>1139</v>
      </c>
      <c r="E583" s="115" t="s">
        <v>1869</v>
      </c>
    </row>
    <row r="584" spans="1:5" x14ac:dyDescent="0.25">
      <c r="B584" s="115" t="s">
        <v>1870</v>
      </c>
      <c r="D584" s="115" t="s">
        <v>1139</v>
      </c>
      <c r="E584" s="115" t="s">
        <v>1871</v>
      </c>
    </row>
    <row r="585" spans="1:5" x14ac:dyDescent="0.25">
      <c r="B585" s="115" t="s">
        <v>1872</v>
      </c>
      <c r="D585" s="115" t="s">
        <v>1873</v>
      </c>
      <c r="E585" s="115" t="s">
        <v>1874</v>
      </c>
    </row>
    <row r="586" spans="1:5" x14ac:dyDescent="0.25">
      <c r="B586" s="115" t="s">
        <v>1138</v>
      </c>
      <c r="D586" s="115" t="s">
        <v>1875</v>
      </c>
      <c r="E586" s="115" t="s">
        <v>1140</v>
      </c>
    </row>
    <row r="587" spans="1:5" x14ac:dyDescent="0.25">
      <c r="B587" s="115" t="s">
        <v>1138</v>
      </c>
      <c r="D587" s="115" t="s">
        <v>1876</v>
      </c>
      <c r="E587" s="115" t="s">
        <v>1877</v>
      </c>
    </row>
    <row r="588" spans="1:5" x14ac:dyDescent="0.25">
      <c r="B588" s="115" t="s">
        <v>1878</v>
      </c>
      <c r="D588" s="115" t="s">
        <v>1220</v>
      </c>
      <c r="E588" s="115" t="s">
        <v>1879</v>
      </c>
    </row>
    <row r="589" spans="1:5" x14ac:dyDescent="0.25">
      <c r="A589" s="115" t="s">
        <v>1137</v>
      </c>
      <c r="B589" s="115" t="s">
        <v>1459</v>
      </c>
      <c r="D589" s="115" t="s">
        <v>1139</v>
      </c>
      <c r="E589" s="115" t="s">
        <v>1880</v>
      </c>
    </row>
    <row r="590" spans="1:5" x14ac:dyDescent="0.25">
      <c r="B590" s="115" t="s">
        <v>1138</v>
      </c>
      <c r="D590" s="115" t="s">
        <v>1881</v>
      </c>
      <c r="E590" s="115" t="s">
        <v>1882</v>
      </c>
    </row>
    <row r="591" spans="1:5" x14ac:dyDescent="0.25">
      <c r="B591" s="115" t="s">
        <v>1138</v>
      </c>
      <c r="C591" s="115" t="s">
        <v>1137</v>
      </c>
      <c r="D591" s="115" t="s">
        <v>1883</v>
      </c>
      <c r="E591" s="115" t="s">
        <v>1884</v>
      </c>
    </row>
    <row r="592" spans="1:5" x14ac:dyDescent="0.25">
      <c r="B592" s="115" t="s">
        <v>1138</v>
      </c>
      <c r="D592" s="115" t="s">
        <v>1139</v>
      </c>
      <c r="E592" s="115" t="s">
        <v>1140</v>
      </c>
    </row>
    <row r="593" spans="1:5" x14ac:dyDescent="0.25">
      <c r="B593" s="115" t="s">
        <v>1138</v>
      </c>
      <c r="D593" s="115" t="s">
        <v>1139</v>
      </c>
      <c r="E593" s="115" t="s">
        <v>1140</v>
      </c>
    </row>
    <row r="594" spans="1:5" x14ac:dyDescent="0.25">
      <c r="B594" s="115" t="s">
        <v>1138</v>
      </c>
      <c r="D594" s="115" t="s">
        <v>1139</v>
      </c>
      <c r="E594" s="115" t="s">
        <v>1140</v>
      </c>
    </row>
    <row r="595" spans="1:5" x14ac:dyDescent="0.25">
      <c r="B595" s="115" t="s">
        <v>1138</v>
      </c>
      <c r="D595" s="115" t="s">
        <v>1139</v>
      </c>
      <c r="E595" s="115" t="s">
        <v>1140</v>
      </c>
    </row>
    <row r="596" spans="1:5" x14ac:dyDescent="0.25">
      <c r="B596" s="115" t="s">
        <v>1138</v>
      </c>
      <c r="D596" s="115" t="s">
        <v>1139</v>
      </c>
      <c r="E596" s="115" t="s">
        <v>1140</v>
      </c>
    </row>
    <row r="597" spans="1:5" x14ac:dyDescent="0.25">
      <c r="B597" s="115" t="s">
        <v>1138</v>
      </c>
      <c r="D597" s="115" t="s">
        <v>1139</v>
      </c>
      <c r="E597" s="115" t="s">
        <v>1140</v>
      </c>
    </row>
    <row r="598" spans="1:5" x14ac:dyDescent="0.25">
      <c r="B598" s="115" t="s">
        <v>1138</v>
      </c>
      <c r="D598" s="115" t="s">
        <v>1139</v>
      </c>
      <c r="E598" s="115" t="s">
        <v>1885</v>
      </c>
    </row>
    <row r="599" spans="1:5" x14ac:dyDescent="0.25">
      <c r="B599" s="115" t="s">
        <v>1138</v>
      </c>
      <c r="D599" s="115" t="s">
        <v>1886</v>
      </c>
      <c r="E599" s="115" t="s">
        <v>1887</v>
      </c>
    </row>
    <row r="600" spans="1:5" x14ac:dyDescent="0.25">
      <c r="B600" s="115" t="s">
        <v>1138</v>
      </c>
      <c r="D600" s="115" t="s">
        <v>1139</v>
      </c>
      <c r="E600" s="115" t="s">
        <v>1888</v>
      </c>
    </row>
    <row r="601" spans="1:5" x14ac:dyDescent="0.25">
      <c r="B601" s="115" t="s">
        <v>1138</v>
      </c>
      <c r="D601" s="115" t="s">
        <v>1889</v>
      </c>
      <c r="E601" s="115" t="s">
        <v>1890</v>
      </c>
    </row>
    <row r="602" spans="1:5" x14ac:dyDescent="0.25">
      <c r="B602" s="115" t="s">
        <v>1891</v>
      </c>
      <c r="D602" s="115" t="s">
        <v>1892</v>
      </c>
      <c r="E602" s="115" t="s">
        <v>1893</v>
      </c>
    </row>
    <row r="603" spans="1:5" x14ac:dyDescent="0.25">
      <c r="B603" s="115" t="s">
        <v>1326</v>
      </c>
      <c r="D603" s="115" t="s">
        <v>1139</v>
      </c>
      <c r="E603" s="115" t="s">
        <v>1894</v>
      </c>
    </row>
    <row r="604" spans="1:5" x14ac:dyDescent="0.25">
      <c r="A604" s="115">
        <v>-6</v>
      </c>
      <c r="B604" s="115" t="s">
        <v>1577</v>
      </c>
      <c r="C604" s="115">
        <v>1</v>
      </c>
      <c r="D604" s="115" t="s">
        <v>1895</v>
      </c>
      <c r="E604" s="115" t="s">
        <v>1896</v>
      </c>
    </row>
    <row r="605" spans="1:5" x14ac:dyDescent="0.25">
      <c r="B605" s="115" t="s">
        <v>1138</v>
      </c>
      <c r="C605" s="115">
        <v>1</v>
      </c>
      <c r="D605" s="115" t="s">
        <v>1897</v>
      </c>
      <c r="E605" s="115" t="s">
        <v>1898</v>
      </c>
    </row>
    <row r="606" spans="1:5" x14ac:dyDescent="0.25">
      <c r="B606" s="115" t="s">
        <v>1282</v>
      </c>
      <c r="D606" s="115" t="s">
        <v>1539</v>
      </c>
      <c r="E606" s="115" t="s">
        <v>1899</v>
      </c>
    </row>
    <row r="607" spans="1:5" x14ac:dyDescent="0.25">
      <c r="B607" s="115" t="s">
        <v>1138</v>
      </c>
      <c r="D607" s="115" t="s">
        <v>1139</v>
      </c>
      <c r="E607" s="115" t="s">
        <v>1900</v>
      </c>
    </row>
    <row r="608" spans="1:5" x14ac:dyDescent="0.25">
      <c r="B608" s="115" t="s">
        <v>1901</v>
      </c>
      <c r="D608" s="115" t="s">
        <v>1902</v>
      </c>
      <c r="E608" s="115" t="s">
        <v>1903</v>
      </c>
    </row>
    <row r="609" spans="1:5" x14ac:dyDescent="0.25">
      <c r="A609" s="115" t="s">
        <v>1137</v>
      </c>
      <c r="B609" s="115" t="s">
        <v>1148</v>
      </c>
      <c r="D609" s="115" t="s">
        <v>1904</v>
      </c>
      <c r="E609" s="115" t="s">
        <v>1140</v>
      </c>
    </row>
    <row r="610" spans="1:5" x14ac:dyDescent="0.25">
      <c r="B610" s="115" t="s">
        <v>1905</v>
      </c>
      <c r="D610" s="115" t="s">
        <v>1139</v>
      </c>
      <c r="E610" s="115" t="s">
        <v>1906</v>
      </c>
    </row>
    <row r="611" spans="1:5" x14ac:dyDescent="0.25">
      <c r="B611" s="115" t="s">
        <v>1907</v>
      </c>
      <c r="D611" s="115" t="s">
        <v>1139</v>
      </c>
      <c r="E611" s="115" t="s">
        <v>1908</v>
      </c>
    </row>
    <row r="612" spans="1:5" x14ac:dyDescent="0.25">
      <c r="B612" s="115" t="s">
        <v>1909</v>
      </c>
      <c r="D612" s="115" t="s">
        <v>1910</v>
      </c>
      <c r="E612" s="115" t="s">
        <v>1911</v>
      </c>
    </row>
    <row r="613" spans="1:5" x14ac:dyDescent="0.25">
      <c r="B613" s="115" t="s">
        <v>1676</v>
      </c>
      <c r="D613" s="115" t="s">
        <v>1912</v>
      </c>
      <c r="E613" s="115" t="s">
        <v>1913</v>
      </c>
    </row>
    <row r="614" spans="1:5" x14ac:dyDescent="0.25">
      <c r="B614" s="115" t="s">
        <v>1138</v>
      </c>
      <c r="D614" s="115" t="s">
        <v>1139</v>
      </c>
      <c r="E614" s="115" t="s">
        <v>1914</v>
      </c>
    </row>
    <row r="615" spans="1:5" x14ac:dyDescent="0.25">
      <c r="B615" s="115" t="s">
        <v>1915</v>
      </c>
      <c r="D615" s="115" t="s">
        <v>1916</v>
      </c>
      <c r="E615" s="115" t="s">
        <v>1917</v>
      </c>
    </row>
    <row r="616" spans="1:5" x14ac:dyDescent="0.25">
      <c r="B616" s="115" t="s">
        <v>1347</v>
      </c>
      <c r="D616" s="115" t="s">
        <v>1918</v>
      </c>
      <c r="E616" s="115" t="s">
        <v>1140</v>
      </c>
    </row>
    <row r="617" spans="1:5" x14ac:dyDescent="0.25">
      <c r="B617" s="115" t="s">
        <v>1355</v>
      </c>
      <c r="D617" s="115" t="s">
        <v>1139</v>
      </c>
      <c r="E617" s="115" t="s">
        <v>1919</v>
      </c>
    </row>
    <row r="618" spans="1:5" x14ac:dyDescent="0.25">
      <c r="B618" s="115" t="s">
        <v>1920</v>
      </c>
      <c r="D618" s="115" t="s">
        <v>1139</v>
      </c>
      <c r="E618" s="115" t="s">
        <v>1921</v>
      </c>
    </row>
    <row r="619" spans="1:5" x14ac:dyDescent="0.25">
      <c r="B619" s="115" t="s">
        <v>1922</v>
      </c>
      <c r="C619" s="115" t="s">
        <v>1137</v>
      </c>
      <c r="D619" s="115" t="s">
        <v>1923</v>
      </c>
      <c r="E619" s="115" t="s">
        <v>1924</v>
      </c>
    </row>
    <row r="620" spans="1:5" x14ac:dyDescent="0.25">
      <c r="B620" s="115" t="s">
        <v>1138</v>
      </c>
      <c r="D620" s="115" t="s">
        <v>1925</v>
      </c>
      <c r="E620" s="115" t="s">
        <v>1926</v>
      </c>
    </row>
    <row r="621" spans="1:5" x14ac:dyDescent="0.25">
      <c r="B621" s="115" t="s">
        <v>1138</v>
      </c>
      <c r="D621" s="115" t="s">
        <v>1139</v>
      </c>
      <c r="E621" s="115" t="s">
        <v>1927</v>
      </c>
    </row>
    <row r="622" spans="1:5" x14ac:dyDescent="0.25">
      <c r="B622" s="115" t="s">
        <v>1138</v>
      </c>
      <c r="D622" s="115" t="s">
        <v>1928</v>
      </c>
      <c r="E622" s="115" t="s">
        <v>1929</v>
      </c>
    </row>
    <row r="623" spans="1:5" x14ac:dyDescent="0.25">
      <c r="B623" s="115" t="s">
        <v>1930</v>
      </c>
      <c r="D623" s="115" t="s">
        <v>1931</v>
      </c>
      <c r="E623" s="115" t="s">
        <v>1758</v>
      </c>
    </row>
    <row r="624" spans="1:5" x14ac:dyDescent="0.25">
      <c r="B624" s="115" t="s">
        <v>1309</v>
      </c>
      <c r="D624" s="115" t="s">
        <v>1139</v>
      </c>
      <c r="E624" s="115" t="s">
        <v>1932</v>
      </c>
    </row>
    <row r="625" spans="1:5" x14ac:dyDescent="0.25">
      <c r="A625" s="115">
        <v>-6</v>
      </c>
      <c r="B625" s="115" t="s">
        <v>1933</v>
      </c>
      <c r="D625" s="115" t="s">
        <v>1934</v>
      </c>
      <c r="E625" s="115" t="s">
        <v>1935</v>
      </c>
    </row>
    <row r="626" spans="1:5" x14ac:dyDescent="0.25">
      <c r="B626" s="115" t="s">
        <v>1138</v>
      </c>
      <c r="C626" s="115">
        <v>1</v>
      </c>
      <c r="D626" s="115" t="s">
        <v>1936</v>
      </c>
      <c r="E626" s="115" t="s">
        <v>1937</v>
      </c>
    </row>
    <row r="627" spans="1:5" x14ac:dyDescent="0.25">
      <c r="A627" s="115" t="s">
        <v>1137</v>
      </c>
      <c r="B627" s="115" t="s">
        <v>1938</v>
      </c>
      <c r="D627" s="115" t="s">
        <v>1939</v>
      </c>
      <c r="E627" s="115" t="s">
        <v>1940</v>
      </c>
    </row>
    <row r="628" spans="1:5" x14ac:dyDescent="0.25">
      <c r="B628" s="115">
        <f>-42   -213</f>
        <v>-255</v>
      </c>
      <c r="D628" s="115" t="s">
        <v>1139</v>
      </c>
      <c r="E628" s="115" t="s">
        <v>1140</v>
      </c>
    </row>
    <row r="629" spans="1:5" x14ac:dyDescent="0.25">
      <c r="B629" s="115" t="s">
        <v>1941</v>
      </c>
      <c r="D629" s="115" t="s">
        <v>1942</v>
      </c>
      <c r="E629" s="115" t="s">
        <v>1943</v>
      </c>
    </row>
    <row r="630" spans="1:5" x14ac:dyDescent="0.25">
      <c r="B630" s="115" t="s">
        <v>1138</v>
      </c>
      <c r="D630" s="115" t="s">
        <v>1944</v>
      </c>
      <c r="E630" s="115" t="s">
        <v>1945</v>
      </c>
    </row>
    <row r="631" spans="1:5" x14ac:dyDescent="0.25">
      <c r="B631" s="115" t="s">
        <v>1138</v>
      </c>
      <c r="D631" s="115" t="s">
        <v>1946</v>
      </c>
      <c r="E631" s="115" t="s">
        <v>1140</v>
      </c>
    </row>
    <row r="632" spans="1:5" x14ac:dyDescent="0.25">
      <c r="B632" s="115" t="s">
        <v>1947</v>
      </c>
      <c r="C632" s="115" t="s">
        <v>1137</v>
      </c>
      <c r="D632" s="115" t="s">
        <v>1948</v>
      </c>
      <c r="E632" s="115" t="s">
        <v>1949</v>
      </c>
    </row>
    <row r="633" spans="1:5" x14ac:dyDescent="0.25">
      <c r="A633" s="115">
        <v>2</v>
      </c>
      <c r="B633" s="115" t="s">
        <v>1950</v>
      </c>
      <c r="D633" s="115" t="s">
        <v>1951</v>
      </c>
      <c r="E633" s="115" t="s">
        <v>1952</v>
      </c>
    </row>
    <row r="634" spans="1:5" x14ac:dyDescent="0.25">
      <c r="A634" s="115">
        <v>1</v>
      </c>
      <c r="B634" s="115" t="s">
        <v>1953</v>
      </c>
      <c r="D634" s="115">
        <f>-115   -315    -46</f>
        <v>-476</v>
      </c>
      <c r="E634" s="115" t="s">
        <v>1954</v>
      </c>
    </row>
    <row r="635" spans="1:5" x14ac:dyDescent="0.25">
      <c r="B635" s="115" t="s">
        <v>1138</v>
      </c>
      <c r="D635" s="115" t="s">
        <v>1955</v>
      </c>
      <c r="E635" s="115" t="s">
        <v>1140</v>
      </c>
    </row>
    <row r="636" spans="1:5" x14ac:dyDescent="0.25">
      <c r="B636" s="115" t="s">
        <v>1138</v>
      </c>
      <c r="D636" s="115" t="s">
        <v>1956</v>
      </c>
      <c r="E636" s="115" t="s">
        <v>1957</v>
      </c>
    </row>
    <row r="637" spans="1:5" x14ac:dyDescent="0.25">
      <c r="A637" s="115" t="s">
        <v>1137</v>
      </c>
      <c r="B637" s="115" t="s">
        <v>1958</v>
      </c>
      <c r="D637" s="115" t="s">
        <v>1344</v>
      </c>
      <c r="E637" s="115" t="s">
        <v>1959</v>
      </c>
    </row>
    <row r="638" spans="1:5" x14ac:dyDescent="0.25">
      <c r="A638" s="115" t="s">
        <v>1137</v>
      </c>
      <c r="B638" s="115" t="s">
        <v>1545</v>
      </c>
      <c r="D638" s="115" t="s">
        <v>1139</v>
      </c>
      <c r="E638" s="115" t="s">
        <v>1960</v>
      </c>
    </row>
    <row r="639" spans="1:5" x14ac:dyDescent="0.25">
      <c r="B639" s="115" t="s">
        <v>1138</v>
      </c>
      <c r="D639" s="115" t="s">
        <v>1961</v>
      </c>
      <c r="E639" s="115" t="s">
        <v>1962</v>
      </c>
    </row>
    <row r="640" spans="1:5" x14ac:dyDescent="0.25">
      <c r="B640" s="115" t="s">
        <v>1138</v>
      </c>
      <c r="C640" s="115">
        <v>1</v>
      </c>
      <c r="D640" s="115" t="s">
        <v>1963</v>
      </c>
      <c r="E640" s="115" t="s">
        <v>1964</v>
      </c>
    </row>
    <row r="641" spans="1:5" x14ac:dyDescent="0.25">
      <c r="A641" s="115">
        <v>-19</v>
      </c>
      <c r="B641" s="115" t="s">
        <v>1965</v>
      </c>
      <c r="C641" s="115" t="s">
        <v>1137</v>
      </c>
      <c r="D641" s="115" t="s">
        <v>1966</v>
      </c>
      <c r="E641" s="115" t="s">
        <v>1967</v>
      </c>
    </row>
    <row r="642" spans="1:5" x14ac:dyDescent="0.25">
      <c r="B642" s="115" t="s">
        <v>1968</v>
      </c>
      <c r="D642" s="115" t="s">
        <v>1969</v>
      </c>
      <c r="E642" s="115" t="s">
        <v>1970</v>
      </c>
    </row>
    <row r="643" spans="1:5" x14ac:dyDescent="0.25">
      <c r="B643" s="115" t="s">
        <v>1138</v>
      </c>
      <c r="D643" s="115" t="s">
        <v>1139</v>
      </c>
      <c r="E643" s="115" t="s">
        <v>1971</v>
      </c>
    </row>
    <row r="644" spans="1:5" x14ac:dyDescent="0.25">
      <c r="B644" s="115" t="s">
        <v>1972</v>
      </c>
      <c r="D644" s="115">
        <f>-123    -14   -658  -138</f>
        <v>-933</v>
      </c>
      <c r="E644" s="115" t="s">
        <v>1973</v>
      </c>
    </row>
    <row r="645" spans="1:5" x14ac:dyDescent="0.25">
      <c r="A645" s="115" t="s">
        <v>1137</v>
      </c>
      <c r="B645" s="115" t="s">
        <v>1631</v>
      </c>
      <c r="D645" s="115" t="s">
        <v>1974</v>
      </c>
      <c r="E645" s="115" t="s">
        <v>1140</v>
      </c>
    </row>
    <row r="646" spans="1:5" x14ac:dyDescent="0.25">
      <c r="B646" s="115" t="s">
        <v>1191</v>
      </c>
      <c r="D646" s="115" t="s">
        <v>1139</v>
      </c>
      <c r="E646" s="115" t="s">
        <v>1975</v>
      </c>
    </row>
    <row r="647" spans="1:5" x14ac:dyDescent="0.25">
      <c r="B647" s="115" t="s">
        <v>1976</v>
      </c>
      <c r="D647" s="115" t="s">
        <v>1139</v>
      </c>
      <c r="E647" s="115" t="s">
        <v>1977</v>
      </c>
    </row>
    <row r="648" spans="1:5" x14ac:dyDescent="0.25">
      <c r="B648" s="115" t="s">
        <v>1978</v>
      </c>
      <c r="D648" s="115" t="s">
        <v>1979</v>
      </c>
      <c r="E648" s="115" t="s">
        <v>1980</v>
      </c>
    </row>
    <row r="649" spans="1:5" x14ac:dyDescent="0.25">
      <c r="B649" s="115" t="s">
        <v>1138</v>
      </c>
      <c r="D649" s="115" t="s">
        <v>1139</v>
      </c>
      <c r="E649" s="115" t="s">
        <v>1140</v>
      </c>
    </row>
    <row r="650" spans="1:5" x14ac:dyDescent="0.25">
      <c r="B650" s="115" t="s">
        <v>1138</v>
      </c>
      <c r="D650" s="115" t="s">
        <v>1139</v>
      </c>
      <c r="E650" s="115" t="s">
        <v>1140</v>
      </c>
    </row>
    <row r="651" spans="1:5" x14ac:dyDescent="0.25">
      <c r="B651" s="115" t="s">
        <v>1138</v>
      </c>
      <c r="D651" s="115" t="s">
        <v>1139</v>
      </c>
      <c r="E651" s="115" t="s">
        <v>1140</v>
      </c>
    </row>
    <row r="652" spans="1:5" x14ac:dyDescent="0.25">
      <c r="B652" s="115" t="s">
        <v>1138</v>
      </c>
      <c r="D652" s="115" t="s">
        <v>1139</v>
      </c>
      <c r="E652" s="115" t="s">
        <v>1140</v>
      </c>
    </row>
    <row r="653" spans="1:5" x14ac:dyDescent="0.25">
      <c r="B653" s="115" t="s">
        <v>1138</v>
      </c>
      <c r="D653" s="115" t="s">
        <v>1139</v>
      </c>
      <c r="E653" s="115" t="s">
        <v>1140</v>
      </c>
    </row>
    <row r="654" spans="1:5" x14ac:dyDescent="0.25">
      <c r="B654" s="115" t="s">
        <v>1138</v>
      </c>
      <c r="D654" s="115" t="s">
        <v>1139</v>
      </c>
      <c r="E654" s="115" t="s">
        <v>1140</v>
      </c>
    </row>
    <row r="655" spans="1:5" x14ac:dyDescent="0.25">
      <c r="B655" s="115" t="s">
        <v>1138</v>
      </c>
      <c r="D655" s="115" t="s">
        <v>1139</v>
      </c>
      <c r="E655" s="115" t="s">
        <v>1140</v>
      </c>
    </row>
    <row r="656" spans="1:5" x14ac:dyDescent="0.25">
      <c r="B656" s="115" t="s">
        <v>1138</v>
      </c>
      <c r="D656" s="115" t="s">
        <v>1139</v>
      </c>
      <c r="E656" s="115" t="s">
        <v>1140</v>
      </c>
    </row>
    <row r="657" spans="2:5" x14ac:dyDescent="0.25">
      <c r="B657" s="115" t="s">
        <v>1138</v>
      </c>
      <c r="D657" s="115" t="s">
        <v>1139</v>
      </c>
      <c r="E657" s="115" t="s">
        <v>1140</v>
      </c>
    </row>
    <row r="658" spans="2:5" x14ac:dyDescent="0.25">
      <c r="B658" s="115" t="s">
        <v>1138</v>
      </c>
      <c r="D658" s="115" t="s">
        <v>1139</v>
      </c>
      <c r="E658" s="115" t="s">
        <v>1140</v>
      </c>
    </row>
    <row r="659" spans="2:5" x14ac:dyDescent="0.25">
      <c r="B659" s="115" t="s">
        <v>1138</v>
      </c>
      <c r="D659" s="115" t="s">
        <v>1139</v>
      </c>
      <c r="E659" s="115" t="s">
        <v>1140</v>
      </c>
    </row>
    <row r="660" spans="2:5" x14ac:dyDescent="0.25">
      <c r="B660" s="115" t="s">
        <v>1138</v>
      </c>
      <c r="D660" s="115" t="s">
        <v>1139</v>
      </c>
      <c r="E660" s="115" t="s">
        <v>1140</v>
      </c>
    </row>
    <row r="661" spans="2:5" x14ac:dyDescent="0.25">
      <c r="B661" s="115" t="s">
        <v>1138</v>
      </c>
      <c r="D661" s="115" t="s">
        <v>1139</v>
      </c>
      <c r="E661" s="115" t="s">
        <v>1140</v>
      </c>
    </row>
    <row r="662" spans="2:5" x14ac:dyDescent="0.25">
      <c r="B662" s="115" t="s">
        <v>1138</v>
      </c>
      <c r="D662" s="115" t="s">
        <v>1139</v>
      </c>
      <c r="E662" s="115" t="s">
        <v>1140</v>
      </c>
    </row>
    <row r="663" spans="2:5" x14ac:dyDescent="0.25">
      <c r="B663" s="115" t="s">
        <v>1138</v>
      </c>
      <c r="D663" s="115" t="s">
        <v>1139</v>
      </c>
      <c r="E663" s="115" t="s">
        <v>1140</v>
      </c>
    </row>
    <row r="664" spans="2:5" x14ac:dyDescent="0.25">
      <c r="B664" s="115" t="s">
        <v>1138</v>
      </c>
      <c r="D664" s="115" t="s">
        <v>1139</v>
      </c>
      <c r="E664" s="115" t="s">
        <v>1140</v>
      </c>
    </row>
    <row r="665" spans="2:5" x14ac:dyDescent="0.25">
      <c r="B665" s="115" t="s">
        <v>1138</v>
      </c>
      <c r="D665" s="115" t="s">
        <v>1139</v>
      </c>
      <c r="E665" s="115" t="s">
        <v>1140</v>
      </c>
    </row>
    <row r="666" spans="2:5" x14ac:dyDescent="0.25">
      <c r="B666" s="115" t="s">
        <v>1138</v>
      </c>
      <c r="D666" s="115" t="s">
        <v>1139</v>
      </c>
      <c r="E666" s="115" t="s">
        <v>1140</v>
      </c>
    </row>
    <row r="667" spans="2:5" x14ac:dyDescent="0.25">
      <c r="B667" s="115" t="s">
        <v>1138</v>
      </c>
      <c r="D667" s="115" t="s">
        <v>1139</v>
      </c>
      <c r="E667" s="115" t="s">
        <v>1140</v>
      </c>
    </row>
    <row r="668" spans="2:5" x14ac:dyDescent="0.25">
      <c r="B668" s="115" t="s">
        <v>1138</v>
      </c>
      <c r="D668" s="115" t="s">
        <v>1139</v>
      </c>
      <c r="E668" s="115" t="s">
        <v>1140</v>
      </c>
    </row>
    <row r="669" spans="2:5" x14ac:dyDescent="0.25">
      <c r="B669" s="115" t="s">
        <v>1138</v>
      </c>
      <c r="D669" s="115" t="s">
        <v>1139</v>
      </c>
      <c r="E669" s="115" t="s">
        <v>1140</v>
      </c>
    </row>
    <row r="670" spans="2:5" x14ac:dyDescent="0.25">
      <c r="B670" s="115" t="s">
        <v>1138</v>
      </c>
      <c r="D670" s="115" t="s">
        <v>1139</v>
      </c>
      <c r="E670" s="115" t="s">
        <v>1140</v>
      </c>
    </row>
    <row r="671" spans="2:5" x14ac:dyDescent="0.25">
      <c r="B671" s="115" t="s">
        <v>1138</v>
      </c>
      <c r="D671" s="115" t="s">
        <v>1139</v>
      </c>
      <c r="E671" s="115" t="s">
        <v>1140</v>
      </c>
    </row>
    <row r="672" spans="2:5" x14ac:dyDescent="0.25">
      <c r="B672" s="115" t="s">
        <v>1138</v>
      </c>
      <c r="D672" s="115" t="s">
        <v>1139</v>
      </c>
      <c r="E672" s="115" t="s">
        <v>1140</v>
      </c>
    </row>
    <row r="673" spans="1:5" x14ac:dyDescent="0.25">
      <c r="B673" s="115" t="s">
        <v>1138</v>
      </c>
      <c r="D673" s="115" t="s">
        <v>1139</v>
      </c>
      <c r="E673" s="115" t="s">
        <v>1140</v>
      </c>
    </row>
    <row r="674" spans="1:5" x14ac:dyDescent="0.25">
      <c r="B674" s="115" t="s">
        <v>1138</v>
      </c>
      <c r="D674" s="115" t="s">
        <v>1139</v>
      </c>
      <c r="E674" s="115" t="s">
        <v>1140</v>
      </c>
    </row>
    <row r="675" spans="1:5" x14ac:dyDescent="0.25">
      <c r="B675" s="115" t="s">
        <v>1138</v>
      </c>
      <c r="D675" s="115" t="s">
        <v>1139</v>
      </c>
      <c r="E675" s="115" t="s">
        <v>1140</v>
      </c>
    </row>
    <row r="676" spans="1:5" x14ac:dyDescent="0.25">
      <c r="B676" s="115" t="s">
        <v>1138</v>
      </c>
      <c r="D676" s="115" t="s">
        <v>1139</v>
      </c>
      <c r="E676" s="115" t="s">
        <v>1140</v>
      </c>
    </row>
    <row r="677" spans="1:5" x14ac:dyDescent="0.25">
      <c r="B677" s="115" t="s">
        <v>1138</v>
      </c>
      <c r="D677" s="115" t="s">
        <v>1139</v>
      </c>
      <c r="E677" s="115" t="s">
        <v>1140</v>
      </c>
    </row>
    <row r="678" spans="1:5" x14ac:dyDescent="0.25">
      <c r="B678" s="115" t="s">
        <v>1138</v>
      </c>
      <c r="D678" s="115" t="s">
        <v>1139</v>
      </c>
      <c r="E678" s="115" t="s">
        <v>1140</v>
      </c>
    </row>
    <row r="679" spans="1:5" x14ac:dyDescent="0.25">
      <c r="B679" s="115" t="s">
        <v>1138</v>
      </c>
      <c r="D679" s="115" t="s">
        <v>1139</v>
      </c>
      <c r="E679" s="115" t="s">
        <v>1140</v>
      </c>
    </row>
    <row r="680" spans="1:5" x14ac:dyDescent="0.25">
      <c r="B680" s="115" t="s">
        <v>1981</v>
      </c>
      <c r="D680" s="115" t="s">
        <v>1982</v>
      </c>
      <c r="E680" s="115" t="s">
        <v>1983</v>
      </c>
    </row>
    <row r="681" spans="1:5" x14ac:dyDescent="0.25">
      <c r="B681" s="115" t="s">
        <v>1138</v>
      </c>
      <c r="D681" s="115" t="s">
        <v>1984</v>
      </c>
      <c r="E681" s="115" t="s">
        <v>1140</v>
      </c>
    </row>
    <row r="682" spans="1:5" x14ac:dyDescent="0.25">
      <c r="B682" s="115" t="s">
        <v>1138</v>
      </c>
      <c r="D682" s="115" t="s">
        <v>1985</v>
      </c>
      <c r="E682" s="115" t="s">
        <v>1986</v>
      </c>
    </row>
    <row r="683" spans="1:5" x14ac:dyDescent="0.25">
      <c r="A683" s="115">
        <v>-1</v>
      </c>
      <c r="B683" s="115" t="s">
        <v>1987</v>
      </c>
      <c r="D683" s="115" t="s">
        <v>1988</v>
      </c>
      <c r="E683" s="115" t="s">
        <v>1989</v>
      </c>
    </row>
    <row r="684" spans="1:5" x14ac:dyDescent="0.25">
      <c r="B684" s="115" t="s">
        <v>1138</v>
      </c>
      <c r="D684" s="115" t="s">
        <v>1990</v>
      </c>
      <c r="E684" s="115" t="s">
        <v>1758</v>
      </c>
    </row>
    <row r="685" spans="1:5" x14ac:dyDescent="0.25">
      <c r="B685" s="115" t="s">
        <v>1138</v>
      </c>
      <c r="D685" s="115" t="s">
        <v>1991</v>
      </c>
      <c r="E685" s="115" t="s">
        <v>1992</v>
      </c>
    </row>
    <row r="686" spans="1:5" x14ac:dyDescent="0.25">
      <c r="B686" s="115" t="s">
        <v>1993</v>
      </c>
      <c r="C686" s="115" t="s">
        <v>1137</v>
      </c>
      <c r="D686" s="115" t="s">
        <v>1994</v>
      </c>
      <c r="E686" s="115" t="s">
        <v>1995</v>
      </c>
    </row>
    <row r="687" spans="1:5" x14ac:dyDescent="0.25">
      <c r="A687" s="115">
        <v>2</v>
      </c>
      <c r="B687" s="115" t="s">
        <v>1996</v>
      </c>
      <c r="D687" s="115" t="s">
        <v>1997</v>
      </c>
      <c r="E687" s="115" t="s">
        <v>1893</v>
      </c>
    </row>
    <row r="688" spans="1:5" x14ac:dyDescent="0.25">
      <c r="A688" s="115">
        <v>2</v>
      </c>
      <c r="B688" s="115" t="s">
        <v>1998</v>
      </c>
      <c r="C688" s="115" t="s">
        <v>1137</v>
      </c>
      <c r="D688" s="115" t="s">
        <v>1999</v>
      </c>
      <c r="E688" s="115" t="s">
        <v>2000</v>
      </c>
    </row>
    <row r="689" spans="1:5" x14ac:dyDescent="0.25">
      <c r="B689" s="115" t="s">
        <v>1138</v>
      </c>
      <c r="D689" s="115" t="s">
        <v>2001</v>
      </c>
      <c r="E689" s="115" t="s">
        <v>1140</v>
      </c>
    </row>
    <row r="690" spans="1:5" x14ac:dyDescent="0.25">
      <c r="B690" s="115" t="s">
        <v>1138</v>
      </c>
      <c r="D690" s="115" t="s">
        <v>2002</v>
      </c>
      <c r="E690" s="115" t="s">
        <v>2003</v>
      </c>
    </row>
    <row r="691" spans="1:5" x14ac:dyDescent="0.25">
      <c r="A691" s="115">
        <v>3</v>
      </c>
      <c r="B691" s="115" t="s">
        <v>2004</v>
      </c>
      <c r="D691" s="115" t="s">
        <v>2005</v>
      </c>
      <c r="E691" s="115" t="s">
        <v>2006</v>
      </c>
    </row>
    <row r="692" spans="1:5" x14ac:dyDescent="0.25">
      <c r="B692" s="115" t="s">
        <v>1138</v>
      </c>
      <c r="D692" s="115" t="s">
        <v>1849</v>
      </c>
      <c r="E692" s="115" t="s">
        <v>1140</v>
      </c>
    </row>
    <row r="693" spans="1:5" x14ac:dyDescent="0.25">
      <c r="B693" s="115" t="s">
        <v>1138</v>
      </c>
      <c r="D693" s="115" t="s">
        <v>2007</v>
      </c>
      <c r="E693" s="115" t="s">
        <v>2008</v>
      </c>
    </row>
    <row r="694" spans="1:5" x14ac:dyDescent="0.25">
      <c r="B694" s="115" t="s">
        <v>2009</v>
      </c>
      <c r="C694" s="115" t="s">
        <v>1137</v>
      </c>
      <c r="D694" s="115" t="s">
        <v>2010</v>
      </c>
      <c r="E694" s="115" t="s">
        <v>2011</v>
      </c>
    </row>
    <row r="695" spans="1:5" x14ac:dyDescent="0.25">
      <c r="A695" s="115">
        <v>10</v>
      </c>
      <c r="B695" s="115" t="s">
        <v>2012</v>
      </c>
      <c r="D695" s="115" t="s">
        <v>2013</v>
      </c>
      <c r="E695" s="115" t="s">
        <v>1893</v>
      </c>
    </row>
    <row r="696" spans="1:5" x14ac:dyDescent="0.25">
      <c r="A696" s="115">
        <v>-4</v>
      </c>
      <c r="B696" s="115" t="s">
        <v>2014</v>
      </c>
      <c r="D696" s="115" t="s">
        <v>2015</v>
      </c>
      <c r="E696" s="115" t="s">
        <v>2016</v>
      </c>
    </row>
    <row r="697" spans="1:5" x14ac:dyDescent="0.25">
      <c r="B697" s="115" t="s">
        <v>1138</v>
      </c>
      <c r="D697" s="115" t="s">
        <v>2017</v>
      </c>
      <c r="E697" s="115" t="s">
        <v>1140</v>
      </c>
    </row>
    <row r="698" spans="1:5" x14ac:dyDescent="0.25">
      <c r="B698" s="115" t="s">
        <v>1138</v>
      </c>
      <c r="D698" s="115" t="s">
        <v>2018</v>
      </c>
      <c r="E698" s="115" t="s">
        <v>2019</v>
      </c>
    </row>
    <row r="699" spans="1:5" x14ac:dyDescent="0.25">
      <c r="A699" s="115" t="s">
        <v>1137</v>
      </c>
      <c r="B699" s="115" t="s">
        <v>2020</v>
      </c>
      <c r="D699" s="115" t="s">
        <v>2021</v>
      </c>
      <c r="E699" s="115" t="s">
        <v>1880</v>
      </c>
    </row>
    <row r="700" spans="1:5" x14ac:dyDescent="0.25">
      <c r="A700" s="115" t="s">
        <v>1137</v>
      </c>
      <c r="B700" s="115" t="s">
        <v>2022</v>
      </c>
      <c r="D700" s="115" t="s">
        <v>1139</v>
      </c>
      <c r="E700" s="115" t="s">
        <v>2023</v>
      </c>
    </row>
    <row r="701" spans="1:5" x14ac:dyDescent="0.25">
      <c r="B701" s="115" t="s">
        <v>1138</v>
      </c>
      <c r="D701" s="115" t="s">
        <v>2024</v>
      </c>
      <c r="E701" s="115" t="s">
        <v>2025</v>
      </c>
    </row>
    <row r="702" spans="1:5" x14ac:dyDescent="0.25">
      <c r="B702" s="115" t="s">
        <v>1138</v>
      </c>
      <c r="C702" s="115">
        <v>1</v>
      </c>
      <c r="D702" s="115" t="s">
        <v>2026</v>
      </c>
      <c r="E702" s="115" t="s">
        <v>2027</v>
      </c>
    </row>
    <row r="703" spans="1:5" x14ac:dyDescent="0.25">
      <c r="A703" s="115">
        <v>6</v>
      </c>
      <c r="B703" s="115" t="s">
        <v>2028</v>
      </c>
      <c r="C703" s="115" t="s">
        <v>1137</v>
      </c>
      <c r="D703" s="115" t="s">
        <v>2029</v>
      </c>
      <c r="E703" s="115" t="s">
        <v>2030</v>
      </c>
    </row>
    <row r="704" spans="1:5" x14ac:dyDescent="0.25">
      <c r="B704" s="115" t="s">
        <v>2031</v>
      </c>
      <c r="D704" s="115" t="s">
        <v>2032</v>
      </c>
      <c r="E704" s="115" t="s">
        <v>2033</v>
      </c>
    </row>
    <row r="705" spans="1:5" x14ac:dyDescent="0.25">
      <c r="B705" s="115" t="s">
        <v>1158</v>
      </c>
      <c r="D705" s="115" t="s">
        <v>2034</v>
      </c>
      <c r="E705" s="115" t="s">
        <v>2035</v>
      </c>
    </row>
    <row r="706" spans="1:5" x14ac:dyDescent="0.25">
      <c r="B706" s="115" t="s">
        <v>1138</v>
      </c>
      <c r="D706" s="115" t="s">
        <v>2036</v>
      </c>
      <c r="E706" s="115" t="s">
        <v>2037</v>
      </c>
    </row>
    <row r="707" spans="1:5" x14ac:dyDescent="0.25">
      <c r="A707" s="115">
        <v>3</v>
      </c>
      <c r="B707" s="115" t="s">
        <v>2038</v>
      </c>
      <c r="D707" s="115" t="s">
        <v>2039</v>
      </c>
      <c r="E707" s="115" t="s">
        <v>2040</v>
      </c>
    </row>
    <row r="708" spans="1:5" x14ac:dyDescent="0.25">
      <c r="B708" s="115" t="s">
        <v>1138</v>
      </c>
      <c r="D708" s="115" t="s">
        <v>2041</v>
      </c>
      <c r="E708" s="115" t="s">
        <v>2042</v>
      </c>
    </row>
    <row r="709" spans="1:5" x14ac:dyDescent="0.25">
      <c r="B709" s="115" t="s">
        <v>1138</v>
      </c>
      <c r="D709" s="115" t="s">
        <v>1139</v>
      </c>
      <c r="E709" s="115" t="s">
        <v>2043</v>
      </c>
    </row>
    <row r="710" spans="1:5" x14ac:dyDescent="0.25">
      <c r="B710" s="115" t="s">
        <v>1138</v>
      </c>
      <c r="D710" s="115" t="s">
        <v>2044</v>
      </c>
      <c r="E710" s="115" t="s">
        <v>2045</v>
      </c>
    </row>
    <row r="711" spans="1:5" x14ac:dyDescent="0.25">
      <c r="B711" s="115" t="s">
        <v>2046</v>
      </c>
      <c r="D711" s="115" t="s">
        <v>2047</v>
      </c>
      <c r="E711" s="115" t="s">
        <v>2048</v>
      </c>
    </row>
    <row r="712" spans="1:5" x14ac:dyDescent="0.25">
      <c r="B712" s="115" t="s">
        <v>1138</v>
      </c>
      <c r="D712" s="115" t="s">
        <v>2049</v>
      </c>
      <c r="E712" s="115" t="s">
        <v>2050</v>
      </c>
    </row>
    <row r="713" spans="1:5" x14ac:dyDescent="0.25">
      <c r="B713" s="115" t="s">
        <v>1138</v>
      </c>
      <c r="D713" s="115" t="s">
        <v>2051</v>
      </c>
      <c r="E713" s="115" t="s">
        <v>2052</v>
      </c>
    </row>
    <row r="714" spans="1:5" x14ac:dyDescent="0.25">
      <c r="B714" s="115" t="s">
        <v>1138</v>
      </c>
      <c r="D714" s="115" t="s">
        <v>1139</v>
      </c>
      <c r="E714" s="115" t="s">
        <v>2053</v>
      </c>
    </row>
    <row r="715" spans="1:5" x14ac:dyDescent="0.25">
      <c r="B715" s="115" t="s">
        <v>1138</v>
      </c>
      <c r="D715" s="115" t="s">
        <v>2054</v>
      </c>
      <c r="E715" s="115" t="s">
        <v>2055</v>
      </c>
    </row>
    <row r="716" spans="1:5" x14ac:dyDescent="0.25">
      <c r="B716" s="115" t="s">
        <v>2056</v>
      </c>
      <c r="D716" s="115" t="s">
        <v>2057</v>
      </c>
      <c r="E716" s="115" t="s">
        <v>1758</v>
      </c>
    </row>
    <row r="717" spans="1:5" x14ac:dyDescent="0.25">
      <c r="B717" s="115" t="s">
        <v>2058</v>
      </c>
      <c r="D717" s="115" t="s">
        <v>1139</v>
      </c>
      <c r="E717" s="115" t="s">
        <v>2059</v>
      </c>
    </row>
    <row r="718" spans="1:5" x14ac:dyDescent="0.25">
      <c r="A718" s="115">
        <v>76</v>
      </c>
      <c r="B718" s="115" t="s">
        <v>1548</v>
      </c>
      <c r="D718" s="115" t="s">
        <v>1583</v>
      </c>
      <c r="E718" s="115" t="s">
        <v>2060</v>
      </c>
    </row>
    <row r="719" spans="1:5" x14ac:dyDescent="0.25">
      <c r="B719" s="115" t="s">
        <v>1138</v>
      </c>
      <c r="D719" s="115" t="s">
        <v>2061</v>
      </c>
      <c r="E719" s="115" t="s">
        <v>2062</v>
      </c>
    </row>
    <row r="720" spans="1:5" x14ac:dyDescent="0.25">
      <c r="B720" s="115" t="s">
        <v>2063</v>
      </c>
      <c r="D720" s="115" t="s">
        <v>1139</v>
      </c>
      <c r="E720" s="115" t="s">
        <v>2064</v>
      </c>
    </row>
    <row r="721" spans="1:5" x14ac:dyDescent="0.25">
      <c r="A721" s="115">
        <v>-3</v>
      </c>
      <c r="B721" s="115" t="s">
        <v>2065</v>
      </c>
      <c r="D721" s="115" t="s">
        <v>2066</v>
      </c>
      <c r="E721" s="115" t="s">
        <v>2067</v>
      </c>
    </row>
    <row r="722" spans="1:5" x14ac:dyDescent="0.25">
      <c r="B722" s="115" t="s">
        <v>1138</v>
      </c>
      <c r="D722" s="115" t="s">
        <v>2068</v>
      </c>
      <c r="E722" s="115" t="s">
        <v>1140</v>
      </c>
    </row>
    <row r="723" spans="1:5" x14ac:dyDescent="0.25">
      <c r="B723" s="115" t="s">
        <v>1138</v>
      </c>
      <c r="D723" s="115" t="s">
        <v>2069</v>
      </c>
      <c r="E723" s="115" t="s">
        <v>2070</v>
      </c>
    </row>
    <row r="724" spans="1:5" x14ac:dyDescent="0.25">
      <c r="A724" s="115" t="s">
        <v>1137</v>
      </c>
      <c r="B724" s="115" t="s">
        <v>2071</v>
      </c>
      <c r="D724" s="115" t="s">
        <v>2072</v>
      </c>
      <c r="E724" s="115" t="s">
        <v>2073</v>
      </c>
    </row>
    <row r="725" spans="1:5" x14ac:dyDescent="0.25">
      <c r="B725" s="115" t="s">
        <v>1138</v>
      </c>
      <c r="D725" s="115" t="s">
        <v>2074</v>
      </c>
      <c r="E725" s="115" t="s">
        <v>1758</v>
      </c>
    </row>
    <row r="726" spans="1:5" x14ac:dyDescent="0.25">
      <c r="B726" s="115" t="s">
        <v>1138</v>
      </c>
      <c r="D726" s="115" t="s">
        <v>2075</v>
      </c>
      <c r="E726" s="115" t="s">
        <v>1879</v>
      </c>
    </row>
    <row r="727" spans="1:5" x14ac:dyDescent="0.25">
      <c r="B727" s="115" t="s">
        <v>2076</v>
      </c>
      <c r="D727" s="115" t="s">
        <v>2077</v>
      </c>
      <c r="E727" s="115" t="s">
        <v>2078</v>
      </c>
    </row>
    <row r="728" spans="1:5" x14ac:dyDescent="0.25">
      <c r="B728" s="115" t="s">
        <v>2079</v>
      </c>
      <c r="D728" s="115" t="s">
        <v>2080</v>
      </c>
      <c r="E728" s="115" t="s">
        <v>2081</v>
      </c>
    </row>
    <row r="729" spans="1:5" x14ac:dyDescent="0.25">
      <c r="A729" s="115" t="s">
        <v>1137</v>
      </c>
      <c r="B729" s="115" t="s">
        <v>2082</v>
      </c>
      <c r="D729" s="115" t="s">
        <v>2083</v>
      </c>
      <c r="E729" s="115" t="s">
        <v>2084</v>
      </c>
    </row>
    <row r="730" spans="1:5" x14ac:dyDescent="0.25">
      <c r="B730" s="115" t="s">
        <v>2085</v>
      </c>
      <c r="D730" s="115" t="s">
        <v>2086</v>
      </c>
      <c r="E730" s="115" t="s">
        <v>2087</v>
      </c>
    </row>
    <row r="731" spans="1:5" x14ac:dyDescent="0.25">
      <c r="B731" s="115" t="s">
        <v>1138</v>
      </c>
      <c r="D731" s="115" t="s">
        <v>1139</v>
      </c>
      <c r="E731" s="115" t="s">
        <v>2088</v>
      </c>
    </row>
    <row r="732" spans="1:5" x14ac:dyDescent="0.25">
      <c r="B732" s="115" t="s">
        <v>2089</v>
      </c>
      <c r="D732" s="115" t="s">
        <v>2090</v>
      </c>
      <c r="E732" s="115" t="s">
        <v>2091</v>
      </c>
    </row>
    <row r="733" spans="1:5" x14ac:dyDescent="0.25">
      <c r="A733" s="115" t="s">
        <v>1137</v>
      </c>
      <c r="B733" s="115" t="s">
        <v>1577</v>
      </c>
      <c r="D733" s="115" t="s">
        <v>2092</v>
      </c>
      <c r="E733" s="115" t="s">
        <v>1140</v>
      </c>
    </row>
    <row r="734" spans="1:5" x14ac:dyDescent="0.25">
      <c r="A734" s="115" t="s">
        <v>1137</v>
      </c>
      <c r="B734" s="115" t="s">
        <v>1499</v>
      </c>
      <c r="D734" s="115" t="s">
        <v>1139</v>
      </c>
      <c r="E734" s="115" t="s">
        <v>2093</v>
      </c>
    </row>
    <row r="735" spans="1:5" x14ac:dyDescent="0.25">
      <c r="B735" s="115" t="s">
        <v>2094</v>
      </c>
      <c r="D735" s="115" t="s">
        <v>1139</v>
      </c>
      <c r="E735" s="115" t="s">
        <v>2095</v>
      </c>
    </row>
    <row r="736" spans="1:5" x14ac:dyDescent="0.25">
      <c r="B736" s="115" t="s">
        <v>2096</v>
      </c>
      <c r="D736" s="115" t="s">
        <v>2097</v>
      </c>
      <c r="E736" s="115" t="s">
        <v>2098</v>
      </c>
    </row>
    <row r="737" spans="1:5" x14ac:dyDescent="0.25">
      <c r="A737" s="115">
        <v>-1</v>
      </c>
      <c r="B737" s="115" t="s">
        <v>1498</v>
      </c>
      <c r="D737" s="115" t="s">
        <v>2099</v>
      </c>
      <c r="E737" s="115" t="s">
        <v>2100</v>
      </c>
    </row>
    <row r="738" spans="1:5" x14ac:dyDescent="0.25">
      <c r="A738" s="115">
        <v>28</v>
      </c>
      <c r="B738" s="115" t="s">
        <v>2101</v>
      </c>
      <c r="D738" s="115" t="s">
        <v>2102</v>
      </c>
      <c r="E738" s="115" t="s">
        <v>2103</v>
      </c>
    </row>
    <row r="739" spans="1:5" x14ac:dyDescent="0.25">
      <c r="B739" s="115" t="s">
        <v>1138</v>
      </c>
      <c r="D739" s="115" t="s">
        <v>2104</v>
      </c>
      <c r="E739" s="115" t="s">
        <v>1140</v>
      </c>
    </row>
    <row r="740" spans="1:5" x14ac:dyDescent="0.25">
      <c r="B740" s="115" t="s">
        <v>1138</v>
      </c>
      <c r="D740" s="115" t="s">
        <v>2105</v>
      </c>
      <c r="E740" s="115" t="s">
        <v>2106</v>
      </c>
    </row>
    <row r="741" spans="1:5" x14ac:dyDescent="0.25">
      <c r="A741" s="115" t="s">
        <v>1137</v>
      </c>
      <c r="B741" s="115" t="s">
        <v>2107</v>
      </c>
      <c r="D741" s="115" t="s">
        <v>1573</v>
      </c>
      <c r="E741" s="115" t="s">
        <v>2108</v>
      </c>
    </row>
    <row r="742" spans="1:5" x14ac:dyDescent="0.25">
      <c r="A742" s="115" t="s">
        <v>1137</v>
      </c>
      <c r="B742" s="115" t="s">
        <v>1159</v>
      </c>
      <c r="D742" s="115" t="s">
        <v>1139</v>
      </c>
      <c r="E742" s="115" t="s">
        <v>2109</v>
      </c>
    </row>
    <row r="743" spans="1:5" x14ac:dyDescent="0.25">
      <c r="B743" s="115" t="s">
        <v>1138</v>
      </c>
      <c r="D743" s="115" t="s">
        <v>2110</v>
      </c>
      <c r="E743" s="115" t="s">
        <v>2111</v>
      </c>
    </row>
    <row r="744" spans="1:5" x14ac:dyDescent="0.25">
      <c r="B744" s="115" t="s">
        <v>1138</v>
      </c>
      <c r="D744" s="115" t="s">
        <v>2112</v>
      </c>
      <c r="E744" s="115" t="s">
        <v>2113</v>
      </c>
    </row>
    <row r="745" spans="1:5" x14ac:dyDescent="0.25">
      <c r="B745" s="115" t="s">
        <v>2114</v>
      </c>
      <c r="D745" s="115" t="s">
        <v>2115</v>
      </c>
      <c r="E745" s="115" t="s">
        <v>2116</v>
      </c>
    </row>
    <row r="746" spans="1:5" x14ac:dyDescent="0.25">
      <c r="B746" s="115" t="s">
        <v>2117</v>
      </c>
      <c r="D746" s="115" t="s">
        <v>2118</v>
      </c>
      <c r="E746" s="115" t="s">
        <v>2119</v>
      </c>
    </row>
    <row r="747" spans="1:5" x14ac:dyDescent="0.25">
      <c r="B747" s="115" t="s">
        <v>1138</v>
      </c>
      <c r="D747" s="115" t="s">
        <v>1139</v>
      </c>
      <c r="E747" s="115" t="s">
        <v>1140</v>
      </c>
    </row>
    <row r="748" spans="1:5" x14ac:dyDescent="0.25">
      <c r="B748" s="115" t="s">
        <v>1138</v>
      </c>
      <c r="D748" s="115" t="s">
        <v>1139</v>
      </c>
      <c r="E748" s="115" t="s">
        <v>1140</v>
      </c>
    </row>
    <row r="749" spans="1:5" x14ac:dyDescent="0.25">
      <c r="B749" s="115" t="s">
        <v>1138</v>
      </c>
      <c r="D749" s="115" t="s">
        <v>1139</v>
      </c>
      <c r="E749" s="115" t="s">
        <v>1140</v>
      </c>
    </row>
    <row r="750" spans="1:5" x14ac:dyDescent="0.25">
      <c r="B750" s="115" t="s">
        <v>1138</v>
      </c>
      <c r="D750" s="115" t="s">
        <v>1139</v>
      </c>
      <c r="E750" s="115" t="s">
        <v>1140</v>
      </c>
    </row>
    <row r="751" spans="1:5" x14ac:dyDescent="0.25">
      <c r="B751" s="115" t="s">
        <v>1138</v>
      </c>
      <c r="D751" s="115" t="s">
        <v>1139</v>
      </c>
      <c r="E751" s="115" t="s">
        <v>1140</v>
      </c>
    </row>
    <row r="752" spans="1:5" x14ac:dyDescent="0.25">
      <c r="B752" s="115" t="s">
        <v>1138</v>
      </c>
      <c r="D752" s="115" t="s">
        <v>1139</v>
      </c>
      <c r="E752" s="115" t="s">
        <v>1140</v>
      </c>
    </row>
    <row r="753" spans="1:5" x14ac:dyDescent="0.25">
      <c r="B753" s="115" t="s">
        <v>1138</v>
      </c>
      <c r="D753" s="115" t="s">
        <v>1139</v>
      </c>
      <c r="E753" s="115" t="s">
        <v>1140</v>
      </c>
    </row>
    <row r="754" spans="1:5" x14ac:dyDescent="0.25">
      <c r="B754" s="115" t="s">
        <v>1138</v>
      </c>
      <c r="D754" s="115" t="s">
        <v>1139</v>
      </c>
      <c r="E754" s="115" t="s">
        <v>1140</v>
      </c>
    </row>
    <row r="755" spans="1:5" x14ac:dyDescent="0.25">
      <c r="B755" s="115" t="s">
        <v>1138</v>
      </c>
      <c r="D755" s="115" t="s">
        <v>1139</v>
      </c>
      <c r="E755" s="115" t="s">
        <v>2120</v>
      </c>
    </row>
    <row r="756" spans="1:5" x14ac:dyDescent="0.25">
      <c r="B756" s="115" t="s">
        <v>1138</v>
      </c>
      <c r="D756" s="115" t="s">
        <v>2121</v>
      </c>
      <c r="E756" s="115" t="s">
        <v>2122</v>
      </c>
    </row>
    <row r="757" spans="1:5" x14ac:dyDescent="0.25">
      <c r="B757" s="115" t="s">
        <v>1138</v>
      </c>
      <c r="D757" s="115" t="s">
        <v>1139</v>
      </c>
      <c r="E757" s="115" t="s">
        <v>2123</v>
      </c>
    </row>
    <row r="758" spans="1:5" x14ac:dyDescent="0.25">
      <c r="B758" s="115" t="s">
        <v>1138</v>
      </c>
      <c r="D758" s="115" t="s">
        <v>2124</v>
      </c>
      <c r="E758" s="115" t="s">
        <v>2125</v>
      </c>
    </row>
    <row r="759" spans="1:5" x14ac:dyDescent="0.25">
      <c r="B759" s="115" t="s">
        <v>1654</v>
      </c>
      <c r="D759" s="115" t="s">
        <v>2126</v>
      </c>
      <c r="E759" s="115" t="s">
        <v>1758</v>
      </c>
    </row>
    <row r="760" spans="1:5" x14ac:dyDescent="0.25">
      <c r="B760" s="115" t="s">
        <v>2127</v>
      </c>
      <c r="D760" s="115" t="s">
        <v>1139</v>
      </c>
      <c r="E760" s="115" t="s">
        <v>1416</v>
      </c>
    </row>
    <row r="761" spans="1:5" x14ac:dyDescent="0.25">
      <c r="A761" s="115" t="s">
        <v>1137</v>
      </c>
      <c r="B761" s="115" t="s">
        <v>1169</v>
      </c>
      <c r="D761" s="115" t="s">
        <v>2128</v>
      </c>
      <c r="E761" s="115" t="s">
        <v>2129</v>
      </c>
    </row>
    <row r="762" spans="1:5" x14ac:dyDescent="0.25">
      <c r="B762" s="115" t="s">
        <v>1138</v>
      </c>
      <c r="C762" s="115" t="s">
        <v>1137</v>
      </c>
      <c r="D762" s="115" t="s">
        <v>2130</v>
      </c>
      <c r="E762" s="115" t="s">
        <v>2131</v>
      </c>
    </row>
    <row r="763" spans="1:5" x14ac:dyDescent="0.25">
      <c r="A763" s="115">
        <v>-1</v>
      </c>
      <c r="B763" s="115" t="s">
        <v>2132</v>
      </c>
      <c r="D763" s="115" t="s">
        <v>1139</v>
      </c>
      <c r="E763" s="115" t="s">
        <v>2133</v>
      </c>
    </row>
    <row r="764" spans="1:5" x14ac:dyDescent="0.25">
      <c r="A764" s="115">
        <v>-6</v>
      </c>
      <c r="B764" s="115" t="s">
        <v>2134</v>
      </c>
      <c r="C764" s="115">
        <v>1</v>
      </c>
      <c r="D764" s="115" t="s">
        <v>2135</v>
      </c>
      <c r="E764" s="115" t="s">
        <v>2136</v>
      </c>
    </row>
    <row r="765" spans="1:5" x14ac:dyDescent="0.25">
      <c r="B765" s="115" t="s">
        <v>2137</v>
      </c>
      <c r="D765" s="115" t="s">
        <v>2138</v>
      </c>
      <c r="E765" s="115" t="s">
        <v>2139</v>
      </c>
    </row>
    <row r="766" spans="1:5" x14ac:dyDescent="0.25">
      <c r="B766" s="115" t="s">
        <v>1138</v>
      </c>
      <c r="D766" s="115" t="s">
        <v>1139</v>
      </c>
      <c r="E766" s="115" t="s">
        <v>2140</v>
      </c>
    </row>
    <row r="767" spans="1:5" x14ac:dyDescent="0.25">
      <c r="B767" s="115" t="s">
        <v>1298</v>
      </c>
      <c r="D767" s="115" t="s">
        <v>2141</v>
      </c>
      <c r="E767" s="115" t="s">
        <v>2142</v>
      </c>
    </row>
    <row r="768" spans="1:5" x14ac:dyDescent="0.25">
      <c r="A768" s="115" t="s">
        <v>1137</v>
      </c>
      <c r="B768" s="115" t="s">
        <v>1197</v>
      </c>
      <c r="D768" s="115" t="s">
        <v>2143</v>
      </c>
      <c r="E768" s="115" t="s">
        <v>1140</v>
      </c>
    </row>
    <row r="769" spans="1:5" x14ac:dyDescent="0.25">
      <c r="B769" s="115" t="s">
        <v>1205</v>
      </c>
      <c r="D769" s="115" t="s">
        <v>1139</v>
      </c>
      <c r="E769" s="115" t="s">
        <v>2144</v>
      </c>
    </row>
    <row r="770" spans="1:5" x14ac:dyDescent="0.25">
      <c r="B770" s="115" t="s">
        <v>2145</v>
      </c>
      <c r="D770" s="115" t="s">
        <v>1139</v>
      </c>
      <c r="E770" s="115" t="s">
        <v>2146</v>
      </c>
    </row>
    <row r="771" spans="1:5" x14ac:dyDescent="0.25">
      <c r="B771" s="115" t="s">
        <v>2147</v>
      </c>
      <c r="D771" s="115" t="s">
        <v>2148</v>
      </c>
      <c r="E771" s="115" t="s">
        <v>2149</v>
      </c>
    </row>
    <row r="772" spans="1:5" x14ac:dyDescent="0.25">
      <c r="A772" s="115">
        <v>-3</v>
      </c>
      <c r="B772" s="115" t="s">
        <v>1388</v>
      </c>
      <c r="D772" s="115" t="s">
        <v>2150</v>
      </c>
      <c r="E772" s="115" t="s">
        <v>2151</v>
      </c>
    </row>
    <row r="773" spans="1:5" x14ac:dyDescent="0.25">
      <c r="A773" s="115">
        <v>16</v>
      </c>
      <c r="B773" s="115" t="s">
        <v>2152</v>
      </c>
      <c r="C773" s="115">
        <v>2</v>
      </c>
      <c r="D773" s="115" t="s">
        <v>2153</v>
      </c>
      <c r="E773" s="115" t="s">
        <v>2154</v>
      </c>
    </row>
    <row r="774" spans="1:5" x14ac:dyDescent="0.25">
      <c r="B774" s="115" t="s">
        <v>2155</v>
      </c>
      <c r="D774" s="115" t="s">
        <v>2156</v>
      </c>
      <c r="E774" s="115" t="s">
        <v>2157</v>
      </c>
    </row>
    <row r="775" spans="1:5" x14ac:dyDescent="0.25">
      <c r="B775" s="115" t="s">
        <v>1138</v>
      </c>
      <c r="D775" s="115" t="s">
        <v>1139</v>
      </c>
      <c r="E775" s="115" t="s">
        <v>2158</v>
      </c>
    </row>
    <row r="776" spans="1:5" x14ac:dyDescent="0.25">
      <c r="B776" s="115" t="s">
        <v>2159</v>
      </c>
      <c r="D776" s="115" t="s">
        <v>2160</v>
      </c>
      <c r="E776" s="115" t="s">
        <v>2161</v>
      </c>
    </row>
    <row r="777" spans="1:5" x14ac:dyDescent="0.25">
      <c r="A777" s="115" t="s">
        <v>1137</v>
      </c>
      <c r="B777" s="115" t="s">
        <v>1432</v>
      </c>
      <c r="D777" s="115" t="s">
        <v>2162</v>
      </c>
      <c r="E777" s="115" t="s">
        <v>1140</v>
      </c>
    </row>
    <row r="778" spans="1:5" x14ac:dyDescent="0.25">
      <c r="B778" s="115" t="s">
        <v>2163</v>
      </c>
      <c r="D778" s="115" t="s">
        <v>1139</v>
      </c>
      <c r="E778" s="115" t="s">
        <v>2164</v>
      </c>
    </row>
    <row r="779" spans="1:5" x14ac:dyDescent="0.25">
      <c r="B779" s="115" t="s">
        <v>2165</v>
      </c>
      <c r="D779" s="115" t="s">
        <v>1139</v>
      </c>
      <c r="E779" s="115" t="s">
        <v>2166</v>
      </c>
    </row>
    <row r="780" spans="1:5" x14ac:dyDescent="0.25">
      <c r="B780" s="115" t="s">
        <v>2167</v>
      </c>
      <c r="D780" s="115" t="s">
        <v>2168</v>
      </c>
      <c r="E780" s="115" t="s">
        <v>2169</v>
      </c>
    </row>
    <row r="781" spans="1:5" x14ac:dyDescent="0.25">
      <c r="A781" s="115" t="s">
        <v>1137</v>
      </c>
      <c r="B781" s="115" t="s">
        <v>2170</v>
      </c>
      <c r="D781" s="115" t="s">
        <v>2171</v>
      </c>
      <c r="E781" s="115" t="s">
        <v>2172</v>
      </c>
    </row>
    <row r="782" spans="1:5" x14ac:dyDescent="0.25">
      <c r="A782" s="115">
        <v>20</v>
      </c>
      <c r="B782" s="115" t="s">
        <v>2173</v>
      </c>
      <c r="C782" s="115">
        <v>2</v>
      </c>
      <c r="D782" s="115" t="s">
        <v>2174</v>
      </c>
      <c r="E782" s="115" t="s">
        <v>2175</v>
      </c>
    </row>
    <row r="783" spans="1:5" x14ac:dyDescent="0.25">
      <c r="B783" s="115" t="s">
        <v>1138</v>
      </c>
      <c r="D783" s="115" t="s">
        <v>2176</v>
      </c>
      <c r="E783" s="115" t="s">
        <v>2177</v>
      </c>
    </row>
    <row r="784" spans="1:5" x14ac:dyDescent="0.25">
      <c r="B784" s="115" t="s">
        <v>1138</v>
      </c>
      <c r="D784" s="115" t="s">
        <v>1139</v>
      </c>
      <c r="E784" s="115" t="s">
        <v>2178</v>
      </c>
    </row>
    <row r="785" spans="1:5" x14ac:dyDescent="0.25">
      <c r="B785" s="115" t="s">
        <v>1138</v>
      </c>
      <c r="D785" s="115" t="s">
        <v>2179</v>
      </c>
      <c r="E785" s="115" t="s">
        <v>2180</v>
      </c>
    </row>
    <row r="786" spans="1:5" x14ac:dyDescent="0.25">
      <c r="B786" s="115" t="s">
        <v>2181</v>
      </c>
      <c r="D786" s="115" t="s">
        <v>2182</v>
      </c>
      <c r="E786" s="115" t="s">
        <v>1893</v>
      </c>
    </row>
    <row r="787" spans="1:5" x14ac:dyDescent="0.25">
      <c r="B787" s="115" t="s">
        <v>1379</v>
      </c>
      <c r="D787" s="115" t="s">
        <v>1139</v>
      </c>
      <c r="E787" s="115" t="s">
        <v>2183</v>
      </c>
    </row>
    <row r="788" spans="1:5" x14ac:dyDescent="0.25">
      <c r="B788" s="115" t="s">
        <v>1250</v>
      </c>
      <c r="D788" s="115" t="s">
        <v>2184</v>
      </c>
      <c r="E788" s="115" t="s">
        <v>2185</v>
      </c>
    </row>
    <row r="789" spans="1:5" x14ac:dyDescent="0.25">
      <c r="B789" s="115" t="s">
        <v>1138</v>
      </c>
      <c r="D789" s="115" t="s">
        <v>2186</v>
      </c>
      <c r="E789" s="115" t="s">
        <v>2187</v>
      </c>
    </row>
    <row r="790" spans="1:5" x14ac:dyDescent="0.25">
      <c r="B790" s="115" t="s">
        <v>2188</v>
      </c>
      <c r="D790" s="115" t="s">
        <v>1139</v>
      </c>
      <c r="E790" s="115" t="s">
        <v>2189</v>
      </c>
    </row>
    <row r="791" spans="1:5" x14ac:dyDescent="0.25">
      <c r="A791" s="115">
        <v>-5</v>
      </c>
      <c r="B791" s="115" t="s">
        <v>2190</v>
      </c>
      <c r="C791" s="115">
        <v>-1</v>
      </c>
      <c r="D791" s="115" t="s">
        <v>2191</v>
      </c>
      <c r="E791" s="115" t="s">
        <v>2192</v>
      </c>
    </row>
    <row r="792" spans="1:5" x14ac:dyDescent="0.25">
      <c r="A792" s="115" t="s">
        <v>1137</v>
      </c>
      <c r="B792" s="115" t="s">
        <v>2193</v>
      </c>
      <c r="D792" s="115" t="s">
        <v>2194</v>
      </c>
      <c r="E792" s="115" t="s">
        <v>2195</v>
      </c>
    </row>
    <row r="793" spans="1:5" x14ac:dyDescent="0.25">
      <c r="B793" s="115">
        <f>-71    -67</f>
        <v>-138</v>
      </c>
      <c r="D793" s="115" t="s">
        <v>1139</v>
      </c>
      <c r="E793" s="115" t="s">
        <v>1140</v>
      </c>
    </row>
    <row r="794" spans="1:5" x14ac:dyDescent="0.25">
      <c r="B794" s="115" t="s">
        <v>2196</v>
      </c>
      <c r="D794" s="115" t="s">
        <v>2197</v>
      </c>
      <c r="E794" s="115" t="s">
        <v>2198</v>
      </c>
    </row>
    <row r="795" spans="1:5" x14ac:dyDescent="0.25">
      <c r="B795" s="115" t="s">
        <v>1138</v>
      </c>
      <c r="D795" s="115" t="s">
        <v>2199</v>
      </c>
      <c r="E795" s="115" t="s">
        <v>2200</v>
      </c>
    </row>
    <row r="796" spans="1:5" x14ac:dyDescent="0.25">
      <c r="B796" s="115" t="s">
        <v>1138</v>
      </c>
      <c r="D796" s="115" t="s">
        <v>2201</v>
      </c>
      <c r="E796" s="115" t="s">
        <v>1140</v>
      </c>
    </row>
    <row r="797" spans="1:5" x14ac:dyDescent="0.25">
      <c r="B797" s="115" t="s">
        <v>2202</v>
      </c>
      <c r="D797" s="115" t="s">
        <v>2203</v>
      </c>
      <c r="E797" s="115" t="s">
        <v>2204</v>
      </c>
    </row>
    <row r="798" spans="1:5" x14ac:dyDescent="0.25">
      <c r="A798" s="115" t="s">
        <v>1137</v>
      </c>
      <c r="B798" s="115" t="s">
        <v>2205</v>
      </c>
      <c r="D798" s="115" t="s">
        <v>2206</v>
      </c>
      <c r="E798" s="115" t="s">
        <v>2207</v>
      </c>
    </row>
    <row r="799" spans="1:5" x14ac:dyDescent="0.25">
      <c r="B799" s="115">
        <f>-19   -174</f>
        <v>-193</v>
      </c>
      <c r="D799" s="115" t="s">
        <v>2208</v>
      </c>
      <c r="E799" s="115" t="s">
        <v>2209</v>
      </c>
    </row>
    <row r="800" spans="1:5" x14ac:dyDescent="0.25">
      <c r="A800" s="115" t="s">
        <v>1137</v>
      </c>
      <c r="B800" s="115" t="s">
        <v>2210</v>
      </c>
      <c r="C800" s="115" t="s">
        <v>1137</v>
      </c>
      <c r="D800" s="115" t="s">
        <v>2211</v>
      </c>
      <c r="E800" s="115" t="s">
        <v>2212</v>
      </c>
    </row>
    <row r="801" spans="1:5" x14ac:dyDescent="0.25">
      <c r="A801" s="115">
        <v>33</v>
      </c>
      <c r="B801" s="115" t="s">
        <v>2213</v>
      </c>
      <c r="D801" s="115" t="s">
        <v>2214</v>
      </c>
      <c r="E801" s="115" t="s">
        <v>2215</v>
      </c>
    </row>
    <row r="802" spans="1:5" x14ac:dyDescent="0.25">
      <c r="B802" s="115" t="s">
        <v>1138</v>
      </c>
      <c r="D802" s="115" t="s">
        <v>2216</v>
      </c>
      <c r="E802" s="115" t="s">
        <v>1140</v>
      </c>
    </row>
    <row r="803" spans="1:5" x14ac:dyDescent="0.25">
      <c r="B803" s="115" t="s">
        <v>1138</v>
      </c>
      <c r="D803" s="115" t="s">
        <v>2217</v>
      </c>
      <c r="E803" s="115" t="s">
        <v>2218</v>
      </c>
    </row>
    <row r="804" spans="1:5" x14ac:dyDescent="0.25">
      <c r="B804" s="115" t="s">
        <v>2219</v>
      </c>
      <c r="D804" s="115" t="s">
        <v>1353</v>
      </c>
      <c r="E804" s="115" t="s">
        <v>2220</v>
      </c>
    </row>
    <row r="805" spans="1:5" x14ac:dyDescent="0.25">
      <c r="B805" s="115" t="s">
        <v>2221</v>
      </c>
      <c r="D805" s="115" t="s">
        <v>1139</v>
      </c>
      <c r="E805" s="115" t="s">
        <v>2222</v>
      </c>
    </row>
    <row r="806" spans="1:5" x14ac:dyDescent="0.25">
      <c r="B806" s="115" t="s">
        <v>1138</v>
      </c>
      <c r="D806" s="115" t="s">
        <v>2223</v>
      </c>
      <c r="E806" s="115" t="s">
        <v>2224</v>
      </c>
    </row>
    <row r="807" spans="1:5" x14ac:dyDescent="0.25">
      <c r="B807" s="115" t="s">
        <v>1138</v>
      </c>
      <c r="D807" s="115" t="s">
        <v>2225</v>
      </c>
      <c r="E807" s="115" t="s">
        <v>2226</v>
      </c>
    </row>
    <row r="808" spans="1:5" x14ac:dyDescent="0.25">
      <c r="B808" s="115">
        <f>-59    -53</f>
        <v>-112</v>
      </c>
      <c r="D808" s="115">
        <f>-55    -62    -48    -8</f>
        <v>-173</v>
      </c>
      <c r="E808" s="115" t="s">
        <v>2227</v>
      </c>
    </row>
    <row r="809" spans="1:5" x14ac:dyDescent="0.25">
      <c r="B809" s="115" t="s">
        <v>1534</v>
      </c>
      <c r="D809" s="115">
        <f>-88   -266 -12474 -1164</f>
        <v>-13992</v>
      </c>
      <c r="E809" s="115" t="s">
        <v>2228</v>
      </c>
    </row>
    <row r="810" spans="1:5" x14ac:dyDescent="0.25">
      <c r="A810" s="115">
        <v>-3</v>
      </c>
      <c r="B810" s="115" t="s">
        <v>2229</v>
      </c>
      <c r="C810" s="115" t="s">
        <v>1137</v>
      </c>
      <c r="D810" s="115" t="s">
        <v>2230</v>
      </c>
      <c r="E810" s="115" t="s">
        <v>2231</v>
      </c>
    </row>
    <row r="811" spans="1:5" x14ac:dyDescent="0.25">
      <c r="B811" s="115" t="s">
        <v>2232</v>
      </c>
      <c r="D811" s="115" t="s">
        <v>2233</v>
      </c>
      <c r="E811" s="115" t="s">
        <v>2234</v>
      </c>
    </row>
    <row r="812" spans="1:5" x14ac:dyDescent="0.25">
      <c r="B812" s="115" t="s">
        <v>1138</v>
      </c>
      <c r="D812" s="115" t="s">
        <v>1139</v>
      </c>
      <c r="E812" s="115" t="s">
        <v>2235</v>
      </c>
    </row>
    <row r="813" spans="1:5" x14ac:dyDescent="0.25">
      <c r="B813" s="115" t="s">
        <v>1346</v>
      </c>
      <c r="C813" s="115" t="s">
        <v>1137</v>
      </c>
      <c r="D813" s="115" t="s">
        <v>2236</v>
      </c>
      <c r="E813" s="115" t="s">
        <v>2237</v>
      </c>
    </row>
    <row r="814" spans="1:5" x14ac:dyDescent="0.25">
      <c r="A814" s="115">
        <v>2</v>
      </c>
      <c r="B814" s="115" t="s">
        <v>1264</v>
      </c>
      <c r="D814" s="115" t="s">
        <v>1261</v>
      </c>
      <c r="E814" s="115" t="s">
        <v>1140</v>
      </c>
    </row>
    <row r="815" spans="1:5" x14ac:dyDescent="0.25">
      <c r="A815" s="115" t="s">
        <v>1137</v>
      </c>
      <c r="B815" s="115" t="s">
        <v>2238</v>
      </c>
      <c r="D815" s="115" t="s">
        <v>1139</v>
      </c>
      <c r="E815" s="115" t="s">
        <v>2239</v>
      </c>
    </row>
    <row r="816" spans="1:5" x14ac:dyDescent="0.25">
      <c r="B816" s="115" t="s">
        <v>2240</v>
      </c>
      <c r="D816" s="115" t="s">
        <v>1139</v>
      </c>
      <c r="E816" s="115" t="s">
        <v>2241</v>
      </c>
    </row>
    <row r="817" spans="1:5" x14ac:dyDescent="0.25">
      <c r="B817" s="115" t="s">
        <v>2242</v>
      </c>
      <c r="D817" s="115" t="s">
        <v>2243</v>
      </c>
      <c r="E817" s="115" t="s">
        <v>2244</v>
      </c>
    </row>
    <row r="818" spans="1:5" x14ac:dyDescent="0.25">
      <c r="B818" s="115" t="s">
        <v>1352</v>
      </c>
      <c r="D818" s="115" t="s">
        <v>2245</v>
      </c>
      <c r="E818" s="115" t="s">
        <v>2246</v>
      </c>
    </row>
    <row r="819" spans="1:5" x14ac:dyDescent="0.25">
      <c r="A819" s="115">
        <v>-1</v>
      </c>
      <c r="B819" s="115" t="s">
        <v>2247</v>
      </c>
      <c r="D819" s="115" t="s">
        <v>2248</v>
      </c>
      <c r="E819" s="115" t="s">
        <v>2249</v>
      </c>
    </row>
    <row r="820" spans="1:5" x14ac:dyDescent="0.25">
      <c r="A820" s="115">
        <v>-1</v>
      </c>
      <c r="B820" s="115" t="s">
        <v>2250</v>
      </c>
      <c r="D820" s="115" t="s">
        <v>2251</v>
      </c>
      <c r="E820" s="115" t="s">
        <v>2252</v>
      </c>
    </row>
    <row r="821" spans="1:5" x14ac:dyDescent="0.25">
      <c r="B821" s="115" t="s">
        <v>1138</v>
      </c>
      <c r="D821" s="115" t="s">
        <v>2253</v>
      </c>
      <c r="E821" s="115" t="s">
        <v>1140</v>
      </c>
    </row>
    <row r="822" spans="1:5" x14ac:dyDescent="0.25">
      <c r="B822" s="115" t="s">
        <v>1138</v>
      </c>
      <c r="D822" s="115" t="s">
        <v>2254</v>
      </c>
      <c r="E822" s="115" t="s">
        <v>2255</v>
      </c>
    </row>
    <row r="823" spans="1:5" x14ac:dyDescent="0.25">
      <c r="B823" s="115" t="s">
        <v>2256</v>
      </c>
      <c r="D823" s="115" t="s">
        <v>1859</v>
      </c>
      <c r="E823" s="115" t="s">
        <v>2257</v>
      </c>
    </row>
    <row r="824" spans="1:5" x14ac:dyDescent="0.25">
      <c r="B824" s="115" t="s">
        <v>1138</v>
      </c>
      <c r="D824" s="115" t="s">
        <v>2258</v>
      </c>
      <c r="E824" s="115" t="s">
        <v>2259</v>
      </c>
    </row>
    <row r="825" spans="1:5" x14ac:dyDescent="0.25">
      <c r="B825" s="115" t="s">
        <v>1138</v>
      </c>
      <c r="D825" s="115" t="s">
        <v>2260</v>
      </c>
      <c r="E825" s="115" t="s">
        <v>2261</v>
      </c>
    </row>
    <row r="826" spans="1:5" x14ac:dyDescent="0.25">
      <c r="B826" s="115" t="s">
        <v>2262</v>
      </c>
      <c r="D826" s="115" t="s">
        <v>2263</v>
      </c>
      <c r="E826" s="115" t="s">
        <v>2264</v>
      </c>
    </row>
    <row r="827" spans="1:5" x14ac:dyDescent="0.25">
      <c r="A827" s="115" t="s">
        <v>1137</v>
      </c>
      <c r="B827" s="115" t="s">
        <v>2265</v>
      </c>
      <c r="D827" s="115" t="s">
        <v>2266</v>
      </c>
      <c r="E827" s="115" t="s">
        <v>1701</v>
      </c>
    </row>
    <row r="828" spans="1:5" x14ac:dyDescent="0.25">
      <c r="B828" s="115" t="s">
        <v>2267</v>
      </c>
      <c r="D828" s="115" t="s">
        <v>2268</v>
      </c>
      <c r="E828" s="115" t="s">
        <v>2269</v>
      </c>
    </row>
    <row r="829" spans="1:5" x14ac:dyDescent="0.25">
      <c r="A829" s="115">
        <v>23</v>
      </c>
      <c r="B829" s="115" t="s">
        <v>2270</v>
      </c>
      <c r="C829" s="115">
        <v>-1</v>
      </c>
      <c r="D829" s="115" t="s">
        <v>2271</v>
      </c>
      <c r="E829" s="115" t="s">
        <v>1140</v>
      </c>
    </row>
    <row r="830" spans="1:5" x14ac:dyDescent="0.25">
      <c r="B830" s="115" t="s">
        <v>1138</v>
      </c>
      <c r="D830" s="115" t="s">
        <v>1139</v>
      </c>
      <c r="E830" s="115" t="s">
        <v>1140</v>
      </c>
    </row>
    <row r="831" spans="1:5" x14ac:dyDescent="0.25">
      <c r="B831" s="115" t="s">
        <v>1138</v>
      </c>
      <c r="D831" s="115" t="s">
        <v>1139</v>
      </c>
      <c r="E831" s="115" t="s">
        <v>1140</v>
      </c>
    </row>
    <row r="832" spans="1:5" x14ac:dyDescent="0.25">
      <c r="B832" s="115" t="s">
        <v>1138</v>
      </c>
      <c r="D832" s="115" t="s">
        <v>1139</v>
      </c>
      <c r="E832" s="115" t="s">
        <v>1140</v>
      </c>
    </row>
    <row r="833" spans="2:5" x14ac:dyDescent="0.25">
      <c r="B833" s="115" t="s">
        <v>1138</v>
      </c>
      <c r="D833" s="115" t="s">
        <v>1139</v>
      </c>
      <c r="E833" s="115" t="s">
        <v>1140</v>
      </c>
    </row>
    <row r="834" spans="2:5" x14ac:dyDescent="0.25">
      <c r="B834" s="115" t="s">
        <v>1138</v>
      </c>
      <c r="D834" s="115" t="s">
        <v>1139</v>
      </c>
      <c r="E834" s="115" t="s">
        <v>1140</v>
      </c>
    </row>
    <row r="835" spans="2:5" x14ac:dyDescent="0.25">
      <c r="B835" s="115" t="s">
        <v>1138</v>
      </c>
      <c r="D835" s="115" t="s">
        <v>1139</v>
      </c>
      <c r="E835" s="115" t="s">
        <v>1140</v>
      </c>
    </row>
    <row r="836" spans="2:5" x14ac:dyDescent="0.25">
      <c r="B836" s="115" t="s">
        <v>1138</v>
      </c>
      <c r="D836" s="115" t="s">
        <v>1139</v>
      </c>
      <c r="E836" s="115" t="s">
        <v>1140</v>
      </c>
    </row>
    <row r="837" spans="2:5" x14ac:dyDescent="0.25">
      <c r="B837" s="115" t="s">
        <v>1138</v>
      </c>
      <c r="D837" s="115" t="s">
        <v>1139</v>
      </c>
      <c r="E837" s="115" t="s">
        <v>1140</v>
      </c>
    </row>
    <row r="838" spans="2:5" x14ac:dyDescent="0.25">
      <c r="B838" s="115" t="s">
        <v>1138</v>
      </c>
      <c r="D838" s="115" t="s">
        <v>1139</v>
      </c>
      <c r="E838" s="115" t="s">
        <v>1140</v>
      </c>
    </row>
    <row r="839" spans="2:5" x14ac:dyDescent="0.25">
      <c r="B839" s="115" t="s">
        <v>1138</v>
      </c>
      <c r="D839" s="115" t="s">
        <v>1139</v>
      </c>
      <c r="E839" s="115" t="s">
        <v>1140</v>
      </c>
    </row>
    <row r="840" spans="2:5" x14ac:dyDescent="0.25">
      <c r="B840" s="115" t="s">
        <v>1138</v>
      </c>
      <c r="D840" s="115" t="s">
        <v>1139</v>
      </c>
      <c r="E840" s="115" t="s">
        <v>1140</v>
      </c>
    </row>
    <row r="841" spans="2:5" x14ac:dyDescent="0.25">
      <c r="B841" s="115" t="s">
        <v>1138</v>
      </c>
      <c r="D841" s="115" t="s">
        <v>1139</v>
      </c>
      <c r="E841" s="115" t="s">
        <v>1140</v>
      </c>
    </row>
    <row r="842" spans="2:5" x14ac:dyDescent="0.25">
      <c r="B842" s="115" t="s">
        <v>1138</v>
      </c>
      <c r="D842" s="115" t="s">
        <v>1139</v>
      </c>
      <c r="E842" s="115" t="s">
        <v>1140</v>
      </c>
    </row>
    <row r="843" spans="2:5" x14ac:dyDescent="0.25">
      <c r="B843" s="115" t="s">
        <v>1138</v>
      </c>
      <c r="D843" s="115" t="s">
        <v>1139</v>
      </c>
      <c r="E843" s="115" t="s">
        <v>1140</v>
      </c>
    </row>
    <row r="844" spans="2:5" x14ac:dyDescent="0.25">
      <c r="B844" s="115" t="s">
        <v>1138</v>
      </c>
      <c r="D844" s="115" t="s">
        <v>1139</v>
      </c>
      <c r="E844" s="115" t="s">
        <v>1140</v>
      </c>
    </row>
    <row r="845" spans="2:5" x14ac:dyDescent="0.25">
      <c r="B845" s="115" t="s">
        <v>1138</v>
      </c>
      <c r="D845" s="115" t="s">
        <v>1139</v>
      </c>
      <c r="E845" s="115" t="s">
        <v>1140</v>
      </c>
    </row>
    <row r="846" spans="2:5" x14ac:dyDescent="0.25">
      <c r="B846" s="115" t="s">
        <v>1138</v>
      </c>
      <c r="D846" s="115" t="s">
        <v>1139</v>
      </c>
      <c r="E846" s="115" t="s">
        <v>1140</v>
      </c>
    </row>
    <row r="847" spans="2:5" x14ac:dyDescent="0.25">
      <c r="B847" s="115" t="s">
        <v>1138</v>
      </c>
      <c r="D847" s="115" t="s">
        <v>1139</v>
      </c>
      <c r="E847" s="115" t="s">
        <v>1140</v>
      </c>
    </row>
    <row r="848" spans="2:5" x14ac:dyDescent="0.25">
      <c r="B848" s="115" t="s">
        <v>1138</v>
      </c>
      <c r="D848" s="115" t="s">
        <v>1139</v>
      </c>
      <c r="E848" s="115" t="s">
        <v>1140</v>
      </c>
    </row>
    <row r="849" spans="1:5" x14ac:dyDescent="0.25">
      <c r="B849" s="115" t="s">
        <v>2272</v>
      </c>
      <c r="D849" s="115" t="s">
        <v>2273</v>
      </c>
      <c r="E849" s="115" t="s">
        <v>2274</v>
      </c>
    </row>
    <row r="850" spans="1:5" x14ac:dyDescent="0.25">
      <c r="B850" s="115" t="s">
        <v>1138</v>
      </c>
      <c r="D850" s="115" t="s">
        <v>2275</v>
      </c>
      <c r="E850" s="115" t="s">
        <v>1140</v>
      </c>
    </row>
    <row r="851" spans="1:5" x14ac:dyDescent="0.25">
      <c r="B851" s="115" t="s">
        <v>1138</v>
      </c>
      <c r="D851" s="115" t="s">
        <v>2276</v>
      </c>
      <c r="E851" s="115" t="s">
        <v>2277</v>
      </c>
    </row>
    <row r="852" spans="1:5" x14ac:dyDescent="0.25">
      <c r="B852" s="115" t="s">
        <v>2278</v>
      </c>
      <c r="D852" s="115" t="s">
        <v>2279</v>
      </c>
      <c r="E852" s="115" t="s">
        <v>2280</v>
      </c>
    </row>
    <row r="853" spans="1:5" x14ac:dyDescent="0.25">
      <c r="A853" s="115">
        <v>1</v>
      </c>
      <c r="B853" s="115" t="s">
        <v>1578</v>
      </c>
      <c r="D853" s="115" t="s">
        <v>1139</v>
      </c>
      <c r="E853" s="115" t="s">
        <v>2281</v>
      </c>
    </row>
    <row r="854" spans="1:5" x14ac:dyDescent="0.25">
      <c r="B854" s="115" t="s">
        <v>1138</v>
      </c>
      <c r="D854" s="115" t="s">
        <v>2282</v>
      </c>
      <c r="E854" s="115" t="s">
        <v>2283</v>
      </c>
    </row>
    <row r="855" spans="1:5" x14ac:dyDescent="0.25">
      <c r="B855" s="115" t="s">
        <v>1138</v>
      </c>
      <c r="D855" s="115" t="s">
        <v>2284</v>
      </c>
      <c r="E855" s="115" t="s">
        <v>2285</v>
      </c>
    </row>
    <row r="856" spans="1:5" x14ac:dyDescent="0.25">
      <c r="A856" s="115">
        <v>-3</v>
      </c>
      <c r="B856" s="115" t="s">
        <v>2286</v>
      </c>
      <c r="D856" s="115" t="s">
        <v>2287</v>
      </c>
      <c r="E856" s="115" t="s">
        <v>2288</v>
      </c>
    </row>
    <row r="857" spans="1:5" x14ac:dyDescent="0.25">
      <c r="B857" s="115" t="s">
        <v>2289</v>
      </c>
      <c r="D857" s="115">
        <f>-477   -446  -1440  -130</f>
        <v>-2493</v>
      </c>
      <c r="E857" s="115" t="s">
        <v>2290</v>
      </c>
    </row>
    <row r="858" spans="1:5" x14ac:dyDescent="0.25">
      <c r="A858" s="115">
        <v>1</v>
      </c>
      <c r="B858" s="115" t="s">
        <v>2291</v>
      </c>
      <c r="D858" s="115" t="s">
        <v>2292</v>
      </c>
      <c r="E858" s="115" t="s">
        <v>2293</v>
      </c>
    </row>
    <row r="859" spans="1:5" x14ac:dyDescent="0.25">
      <c r="A859" s="115" t="s">
        <v>1137</v>
      </c>
      <c r="B859" s="115" t="s">
        <v>2294</v>
      </c>
      <c r="D859" s="115" t="s">
        <v>2295</v>
      </c>
      <c r="E859" s="115" t="s">
        <v>2296</v>
      </c>
    </row>
    <row r="860" spans="1:5" x14ac:dyDescent="0.25">
      <c r="B860" s="115" t="s">
        <v>1138</v>
      </c>
      <c r="C860" s="115" t="s">
        <v>1137</v>
      </c>
      <c r="D860" s="115" t="s">
        <v>2297</v>
      </c>
      <c r="E860" s="115" t="s">
        <v>1140</v>
      </c>
    </row>
    <row r="861" spans="1:5" x14ac:dyDescent="0.25">
      <c r="B861" s="115" t="s">
        <v>1138</v>
      </c>
      <c r="D861" s="115" t="s">
        <v>2298</v>
      </c>
      <c r="E861" s="115" t="s">
        <v>2299</v>
      </c>
    </row>
    <row r="862" spans="1:5" x14ac:dyDescent="0.25">
      <c r="B862" s="115" t="s">
        <v>2300</v>
      </c>
      <c r="D862" s="115" t="s">
        <v>2301</v>
      </c>
      <c r="E862" s="115" t="s">
        <v>2302</v>
      </c>
    </row>
    <row r="863" spans="1:5" x14ac:dyDescent="0.25">
      <c r="B863" s="115" t="s">
        <v>1138</v>
      </c>
      <c r="D863" s="115" t="s">
        <v>2057</v>
      </c>
      <c r="E863" s="115" t="s">
        <v>1858</v>
      </c>
    </row>
    <row r="864" spans="1:5" x14ac:dyDescent="0.25">
      <c r="B864" s="115" t="s">
        <v>1138</v>
      </c>
      <c r="D864" s="115" t="s">
        <v>2303</v>
      </c>
      <c r="E864" s="115" t="s">
        <v>2304</v>
      </c>
    </row>
    <row r="865" spans="1:5" x14ac:dyDescent="0.25">
      <c r="B865" s="115" t="s">
        <v>2305</v>
      </c>
      <c r="D865" s="115" t="s">
        <v>2306</v>
      </c>
      <c r="E865" s="115" t="s">
        <v>2307</v>
      </c>
    </row>
    <row r="866" spans="1:5" x14ac:dyDescent="0.25">
      <c r="A866" s="115">
        <v>-2</v>
      </c>
      <c r="B866" s="115" t="s">
        <v>2308</v>
      </c>
      <c r="C866" s="115" t="s">
        <v>1137</v>
      </c>
      <c r="D866" s="115" t="s">
        <v>2309</v>
      </c>
      <c r="E866" s="115" t="s">
        <v>1758</v>
      </c>
    </row>
    <row r="867" spans="1:5" x14ac:dyDescent="0.25">
      <c r="A867" s="115" t="s">
        <v>1137</v>
      </c>
      <c r="B867" s="115" t="s">
        <v>2310</v>
      </c>
      <c r="D867" s="115">
        <f>-568  -6910  -3156  -589</f>
        <v>-11223</v>
      </c>
      <c r="E867" s="115" t="s">
        <v>2311</v>
      </c>
    </row>
    <row r="868" spans="1:5" x14ac:dyDescent="0.25">
      <c r="A868" s="115">
        <v>10</v>
      </c>
      <c r="B868" s="115" t="s">
        <v>2312</v>
      </c>
      <c r="D868" s="115">
        <f>-878  -1857  -2468  -390</f>
        <v>-5593</v>
      </c>
      <c r="E868" s="115" t="s">
        <v>2313</v>
      </c>
    </row>
    <row r="869" spans="1:5" x14ac:dyDescent="0.25">
      <c r="B869" s="115" t="s">
        <v>1138</v>
      </c>
      <c r="D869" s="115" t="s">
        <v>1139</v>
      </c>
      <c r="E869" s="115" t="s">
        <v>1140</v>
      </c>
    </row>
    <row r="870" spans="1:5" x14ac:dyDescent="0.25">
      <c r="B870" s="115" t="s">
        <v>1138</v>
      </c>
      <c r="D870" s="115" t="s">
        <v>1139</v>
      </c>
      <c r="E870" s="115" t="s">
        <v>1140</v>
      </c>
    </row>
    <row r="871" spans="1:5" x14ac:dyDescent="0.25">
      <c r="B871" s="115" t="s">
        <v>1138</v>
      </c>
      <c r="D871" s="115" t="s">
        <v>1139</v>
      </c>
      <c r="E871" s="115" t="s">
        <v>1140</v>
      </c>
    </row>
    <row r="872" spans="1:5" x14ac:dyDescent="0.25">
      <c r="B872" s="115" t="s">
        <v>1138</v>
      </c>
      <c r="D872" s="115" t="s">
        <v>1139</v>
      </c>
      <c r="E872" s="115" t="s">
        <v>1140</v>
      </c>
    </row>
    <row r="873" spans="1:5" x14ac:dyDescent="0.25">
      <c r="B873" s="115" t="s">
        <v>1138</v>
      </c>
      <c r="D873" s="115" t="s">
        <v>1139</v>
      </c>
      <c r="E873" s="115" t="s">
        <v>1140</v>
      </c>
    </row>
    <row r="874" spans="1:5" x14ac:dyDescent="0.25">
      <c r="B874" s="115" t="s">
        <v>1138</v>
      </c>
      <c r="D874" s="115" t="s">
        <v>1139</v>
      </c>
      <c r="E874" s="115" t="s">
        <v>1140</v>
      </c>
    </row>
    <row r="875" spans="1:5" x14ac:dyDescent="0.25">
      <c r="B875" s="115" t="s">
        <v>1138</v>
      </c>
      <c r="D875" s="115" t="s">
        <v>1139</v>
      </c>
      <c r="E875" s="115" t="s">
        <v>1140</v>
      </c>
    </row>
    <row r="876" spans="1:5" x14ac:dyDescent="0.25">
      <c r="B876" s="115" t="s">
        <v>1138</v>
      </c>
      <c r="D876" s="115" t="s">
        <v>1139</v>
      </c>
      <c r="E876" s="115" t="s">
        <v>1140</v>
      </c>
    </row>
    <row r="877" spans="1:5" x14ac:dyDescent="0.25">
      <c r="B877" s="115" t="s">
        <v>1138</v>
      </c>
      <c r="D877" s="115" t="s">
        <v>1139</v>
      </c>
      <c r="E877" s="115" t="s">
        <v>1140</v>
      </c>
    </row>
    <row r="878" spans="1:5" x14ac:dyDescent="0.25">
      <c r="B878" s="115" t="s">
        <v>1138</v>
      </c>
      <c r="D878" s="115" t="s">
        <v>1139</v>
      </c>
      <c r="E878" s="115" t="s">
        <v>1140</v>
      </c>
    </row>
    <row r="879" spans="1:5" x14ac:dyDescent="0.25">
      <c r="B879" s="115" t="s">
        <v>1664</v>
      </c>
      <c r="D879" s="115" t="s">
        <v>2314</v>
      </c>
      <c r="E879" s="115" t="s">
        <v>2315</v>
      </c>
    </row>
    <row r="880" spans="1:5" x14ac:dyDescent="0.25">
      <c r="B880" s="115" t="s">
        <v>1138</v>
      </c>
      <c r="D880" s="115" t="s">
        <v>2316</v>
      </c>
      <c r="E880" s="115" t="s">
        <v>1140</v>
      </c>
    </row>
    <row r="881" spans="1:5" x14ac:dyDescent="0.25">
      <c r="B881" s="115" t="s">
        <v>1138</v>
      </c>
      <c r="D881" s="115" t="s">
        <v>2317</v>
      </c>
      <c r="E881" s="115" t="s">
        <v>2318</v>
      </c>
    </row>
    <row r="882" spans="1:5" x14ac:dyDescent="0.25">
      <c r="B882" s="115">
        <f>-65    -13</f>
        <v>-78</v>
      </c>
      <c r="D882" s="115" t="s">
        <v>2319</v>
      </c>
      <c r="E882" s="115" t="s">
        <v>2320</v>
      </c>
    </row>
    <row r="883" spans="1:5" x14ac:dyDescent="0.25">
      <c r="B883" s="115" t="s">
        <v>1331</v>
      </c>
      <c r="D883" s="115" t="s">
        <v>1139</v>
      </c>
      <c r="E883" s="115" t="s">
        <v>2321</v>
      </c>
    </row>
    <row r="884" spans="1:5" x14ac:dyDescent="0.25">
      <c r="B884" s="115" t="s">
        <v>1138</v>
      </c>
      <c r="D884" s="115" t="s">
        <v>2322</v>
      </c>
      <c r="E884" s="115" t="s">
        <v>2323</v>
      </c>
    </row>
    <row r="885" spans="1:5" x14ac:dyDescent="0.25">
      <c r="B885" s="115" t="s">
        <v>1138</v>
      </c>
      <c r="D885" s="115" t="s">
        <v>2324</v>
      </c>
      <c r="E885" s="115" t="s">
        <v>2325</v>
      </c>
    </row>
    <row r="886" spans="1:5" x14ac:dyDescent="0.25">
      <c r="A886" s="115" t="s">
        <v>1137</v>
      </c>
      <c r="B886" s="115" t="s">
        <v>2326</v>
      </c>
      <c r="D886" s="115">
        <f>-278  -2067   -536  -111</f>
        <v>-2992</v>
      </c>
      <c r="E886" s="115" t="s">
        <v>2327</v>
      </c>
    </row>
    <row r="887" spans="1:5" x14ac:dyDescent="0.25">
      <c r="B887" s="115" t="s">
        <v>2328</v>
      </c>
      <c r="D887" s="115">
        <f>-563   -837  -8253  -466</f>
        <v>-10119</v>
      </c>
      <c r="E887" s="115" t="s">
        <v>2329</v>
      </c>
    </row>
    <row r="888" spans="1:5" x14ac:dyDescent="0.25">
      <c r="A888" s="115">
        <v>6</v>
      </c>
      <c r="B888" s="115" t="s">
        <v>2330</v>
      </c>
      <c r="C888" s="115">
        <v>1</v>
      </c>
      <c r="D888" s="115" t="s">
        <v>2331</v>
      </c>
      <c r="E888" s="115" t="s">
        <v>2332</v>
      </c>
    </row>
    <row r="889" spans="1:5" x14ac:dyDescent="0.25">
      <c r="A889" s="115">
        <v>6</v>
      </c>
      <c r="B889" s="115" t="s">
        <v>2333</v>
      </c>
      <c r="D889" s="115" t="s">
        <v>2334</v>
      </c>
      <c r="E889" s="115" t="s">
        <v>2335</v>
      </c>
    </row>
    <row r="890" spans="1:5" x14ac:dyDescent="0.25">
      <c r="B890" s="115" t="s">
        <v>2336</v>
      </c>
      <c r="D890" s="115" t="s">
        <v>2337</v>
      </c>
      <c r="E890" s="115" t="s">
        <v>2338</v>
      </c>
    </row>
    <row r="891" spans="1:5" x14ac:dyDescent="0.25">
      <c r="B891" s="115" t="s">
        <v>1138</v>
      </c>
      <c r="D891" s="115" t="s">
        <v>2339</v>
      </c>
      <c r="E891" s="115" t="s">
        <v>2340</v>
      </c>
    </row>
    <row r="892" spans="1:5" x14ac:dyDescent="0.25">
      <c r="B892" s="115" t="s">
        <v>2341</v>
      </c>
      <c r="D892" s="115">
        <f>-373  -1498   -112</f>
        <v>-1983</v>
      </c>
      <c r="E892" s="115" t="s">
        <v>2342</v>
      </c>
    </row>
    <row r="893" spans="1:5" x14ac:dyDescent="0.25">
      <c r="B893" s="115" t="s">
        <v>1138</v>
      </c>
      <c r="D893" s="115" t="s">
        <v>1289</v>
      </c>
      <c r="E893" s="115" t="s">
        <v>2343</v>
      </c>
    </row>
    <row r="894" spans="1:5" x14ac:dyDescent="0.25">
      <c r="B894" s="115" t="s">
        <v>1138</v>
      </c>
      <c r="D894" s="115" t="s">
        <v>1139</v>
      </c>
      <c r="E894" s="115" t="s">
        <v>2344</v>
      </c>
    </row>
    <row r="895" spans="1:5" x14ac:dyDescent="0.25">
      <c r="B895" s="115" t="s">
        <v>1138</v>
      </c>
      <c r="D895" s="115" t="s">
        <v>2345</v>
      </c>
      <c r="E895" s="115" t="s">
        <v>2346</v>
      </c>
    </row>
    <row r="896" spans="1:5" x14ac:dyDescent="0.25">
      <c r="A896" s="115" t="s">
        <v>1137</v>
      </c>
      <c r="B896" s="115" t="s">
        <v>1189</v>
      </c>
      <c r="D896" s="115" t="s">
        <v>2347</v>
      </c>
      <c r="E896" s="115" t="s">
        <v>2348</v>
      </c>
    </row>
    <row r="897" spans="1:5" x14ac:dyDescent="0.25">
      <c r="B897" s="115" t="s">
        <v>1138</v>
      </c>
      <c r="D897" s="115" t="s">
        <v>2349</v>
      </c>
      <c r="E897" s="115" t="s">
        <v>2350</v>
      </c>
    </row>
    <row r="898" spans="1:5" x14ac:dyDescent="0.25">
      <c r="A898" s="115">
        <v>6</v>
      </c>
      <c r="B898" s="115" t="s">
        <v>1337</v>
      </c>
      <c r="C898" s="115">
        <v>1</v>
      </c>
      <c r="D898" s="115" t="s">
        <v>2351</v>
      </c>
      <c r="E898" s="115" t="s">
        <v>2352</v>
      </c>
    </row>
    <row r="899" spans="1:5" x14ac:dyDescent="0.25">
      <c r="B899" s="115" t="s">
        <v>1138</v>
      </c>
      <c r="D899" s="115" t="s">
        <v>2353</v>
      </c>
      <c r="E899" s="115" t="s">
        <v>2354</v>
      </c>
    </row>
    <row r="900" spans="1:5" x14ac:dyDescent="0.25">
      <c r="B900" s="115" t="s">
        <v>1138</v>
      </c>
      <c r="D900" s="115" t="s">
        <v>2355</v>
      </c>
      <c r="E900" s="115" t="s">
        <v>2356</v>
      </c>
    </row>
    <row r="901" spans="1:5" x14ac:dyDescent="0.25">
      <c r="B901" s="115" t="s">
        <v>1138</v>
      </c>
      <c r="D901" s="115" t="s">
        <v>1139</v>
      </c>
      <c r="E901" s="115" t="s">
        <v>2357</v>
      </c>
    </row>
    <row r="902" spans="1:5" x14ac:dyDescent="0.25">
      <c r="B902" s="115" t="s">
        <v>1138</v>
      </c>
      <c r="D902" s="115" t="s">
        <v>2358</v>
      </c>
      <c r="E902" s="115" t="s">
        <v>2359</v>
      </c>
    </row>
    <row r="903" spans="1:5" x14ac:dyDescent="0.25">
      <c r="B903" s="115" t="s">
        <v>2360</v>
      </c>
      <c r="D903" s="115" t="s">
        <v>2361</v>
      </c>
      <c r="E903" s="115" t="s">
        <v>1758</v>
      </c>
    </row>
    <row r="904" spans="1:5" x14ac:dyDescent="0.25">
      <c r="B904" s="115" t="s">
        <v>1512</v>
      </c>
      <c r="D904" s="115" t="s">
        <v>1139</v>
      </c>
      <c r="E904" s="115" t="s">
        <v>2362</v>
      </c>
    </row>
    <row r="905" spans="1:5" x14ac:dyDescent="0.25">
      <c r="A905" s="115" t="s">
        <v>1137</v>
      </c>
      <c r="B905" s="115" t="s">
        <v>2363</v>
      </c>
      <c r="C905" s="115" t="s">
        <v>1137</v>
      </c>
      <c r="D905" s="115" t="s">
        <v>2364</v>
      </c>
      <c r="E905" s="115" t="s">
        <v>2365</v>
      </c>
    </row>
    <row r="906" spans="1:5" x14ac:dyDescent="0.25">
      <c r="B906" s="115" t="s">
        <v>1138</v>
      </c>
      <c r="D906" s="115" t="s">
        <v>2366</v>
      </c>
      <c r="E906" s="115" t="s">
        <v>2367</v>
      </c>
    </row>
    <row r="907" spans="1:5" x14ac:dyDescent="0.25">
      <c r="A907" s="115">
        <v>-4</v>
      </c>
      <c r="B907" s="115" t="s">
        <v>2368</v>
      </c>
      <c r="D907" s="115" t="s">
        <v>1139</v>
      </c>
      <c r="E907" s="115" t="s">
        <v>2369</v>
      </c>
    </row>
    <row r="908" spans="1:5" x14ac:dyDescent="0.25">
      <c r="A908" s="115">
        <v>-11</v>
      </c>
      <c r="B908" s="115" t="s">
        <v>2370</v>
      </c>
      <c r="C908" s="115">
        <v>2</v>
      </c>
      <c r="D908" s="115" t="s">
        <v>2371</v>
      </c>
      <c r="E908" s="115" t="s">
        <v>2372</v>
      </c>
    </row>
    <row r="909" spans="1:5" x14ac:dyDescent="0.25">
      <c r="A909" s="115">
        <v>5</v>
      </c>
      <c r="B909" s="115" t="s">
        <v>2373</v>
      </c>
      <c r="D909" s="115" t="s">
        <v>2374</v>
      </c>
      <c r="E909" s="115" t="s">
        <v>2375</v>
      </c>
    </row>
    <row r="910" spans="1:5" x14ac:dyDescent="0.25">
      <c r="B910" s="115" t="s">
        <v>2376</v>
      </c>
      <c r="D910" s="115" t="s">
        <v>2377</v>
      </c>
      <c r="E910" s="115" t="s">
        <v>2378</v>
      </c>
    </row>
    <row r="911" spans="1:5" x14ac:dyDescent="0.25">
      <c r="B911" s="115" t="s">
        <v>1138</v>
      </c>
      <c r="D911" s="115" t="s">
        <v>2379</v>
      </c>
      <c r="E911" s="115" t="s">
        <v>1140</v>
      </c>
    </row>
    <row r="912" spans="1:5" x14ac:dyDescent="0.25">
      <c r="B912" s="115" t="s">
        <v>1138</v>
      </c>
      <c r="D912" s="115" t="s">
        <v>2380</v>
      </c>
      <c r="E912" s="115" t="s">
        <v>2381</v>
      </c>
    </row>
    <row r="913" spans="1:5" x14ac:dyDescent="0.25">
      <c r="B913" s="115" t="s">
        <v>2382</v>
      </c>
      <c r="D913" s="115" t="s">
        <v>2383</v>
      </c>
      <c r="E913" s="115" t="s">
        <v>2384</v>
      </c>
    </row>
    <row r="914" spans="1:5" x14ac:dyDescent="0.25">
      <c r="B914" s="115" t="s">
        <v>1138</v>
      </c>
      <c r="D914" s="115" t="s">
        <v>2385</v>
      </c>
      <c r="E914" s="115" t="s">
        <v>1758</v>
      </c>
    </row>
    <row r="915" spans="1:5" x14ac:dyDescent="0.25">
      <c r="B915" s="115" t="s">
        <v>1138</v>
      </c>
      <c r="D915" s="115" t="s">
        <v>2386</v>
      </c>
      <c r="E915" s="115" t="s">
        <v>2387</v>
      </c>
    </row>
    <row r="916" spans="1:5" x14ac:dyDescent="0.25">
      <c r="B916" s="115" t="s">
        <v>2388</v>
      </c>
      <c r="D916" s="115" t="s">
        <v>2389</v>
      </c>
      <c r="E916" s="115" t="s">
        <v>2390</v>
      </c>
    </row>
    <row r="917" spans="1:5" x14ac:dyDescent="0.25">
      <c r="A917" s="115">
        <v>-1</v>
      </c>
      <c r="B917" s="115" t="s">
        <v>2391</v>
      </c>
      <c r="D917" s="115">
        <f>-768   -797  -1734  -515</f>
        <v>-3814</v>
      </c>
      <c r="E917" s="115" t="s">
        <v>2259</v>
      </c>
    </row>
    <row r="918" spans="1:5" x14ac:dyDescent="0.25">
      <c r="B918" s="115">
        <f>-87   -400</f>
        <v>-487</v>
      </c>
      <c r="D918" s="115">
        <f>-113 -15440  -8826  -257</f>
        <v>-24636</v>
      </c>
      <c r="E918" s="115" t="s">
        <v>2392</v>
      </c>
    </row>
    <row r="919" spans="1:5" x14ac:dyDescent="0.25">
      <c r="A919" s="115">
        <v>17</v>
      </c>
      <c r="B919" s="115" t="s">
        <v>2393</v>
      </c>
      <c r="D919" s="115" t="s">
        <v>2394</v>
      </c>
      <c r="E919" s="115" t="s">
        <v>2395</v>
      </c>
    </row>
    <row r="920" spans="1:5" x14ac:dyDescent="0.25">
      <c r="A920" s="115">
        <v>18</v>
      </c>
      <c r="B920" s="115" t="s">
        <v>2396</v>
      </c>
      <c r="C920" s="115">
        <v>1</v>
      </c>
      <c r="D920" s="115" t="s">
        <v>2397</v>
      </c>
      <c r="E920" s="115" t="s">
        <v>1140</v>
      </c>
    </row>
    <row r="921" spans="1:5" x14ac:dyDescent="0.25">
      <c r="B921" s="115" t="s">
        <v>1138</v>
      </c>
      <c r="D921" s="115" t="s">
        <v>1139</v>
      </c>
      <c r="E921" s="115" t="s">
        <v>1140</v>
      </c>
    </row>
    <row r="922" spans="1:5" x14ac:dyDescent="0.25">
      <c r="B922" s="115" t="s">
        <v>1138</v>
      </c>
      <c r="D922" s="115" t="s">
        <v>1139</v>
      </c>
      <c r="E922" s="115" t="s">
        <v>1140</v>
      </c>
    </row>
    <row r="923" spans="1:5" x14ac:dyDescent="0.25">
      <c r="B923" s="115" t="s">
        <v>1138</v>
      </c>
      <c r="D923" s="115" t="s">
        <v>1139</v>
      </c>
      <c r="E923" s="115" t="s">
        <v>1140</v>
      </c>
    </row>
    <row r="924" spans="1:5" x14ac:dyDescent="0.25">
      <c r="B924" s="115" t="s">
        <v>1138</v>
      </c>
      <c r="D924" s="115" t="s">
        <v>1139</v>
      </c>
      <c r="E924" s="115" t="s">
        <v>1140</v>
      </c>
    </row>
    <row r="925" spans="1:5" x14ac:dyDescent="0.25">
      <c r="B925" s="115" t="s">
        <v>1138</v>
      </c>
      <c r="D925" s="115" t="s">
        <v>1139</v>
      </c>
      <c r="E925" s="115" t="s">
        <v>1140</v>
      </c>
    </row>
    <row r="926" spans="1:5" x14ac:dyDescent="0.25">
      <c r="B926" s="115" t="s">
        <v>1138</v>
      </c>
      <c r="D926" s="115" t="s">
        <v>1139</v>
      </c>
      <c r="E926" s="115" t="s">
        <v>1140</v>
      </c>
    </row>
    <row r="927" spans="1:5" x14ac:dyDescent="0.25">
      <c r="B927" s="115" t="s">
        <v>1138</v>
      </c>
      <c r="D927" s="115" t="s">
        <v>1139</v>
      </c>
      <c r="E927" s="115" t="s">
        <v>1140</v>
      </c>
    </row>
    <row r="928" spans="1:5" x14ac:dyDescent="0.25">
      <c r="B928" s="115" t="s">
        <v>1138</v>
      </c>
      <c r="D928" s="115" t="s">
        <v>1139</v>
      </c>
      <c r="E928" s="115" t="s">
        <v>1140</v>
      </c>
    </row>
    <row r="929" spans="2:5" x14ac:dyDescent="0.25">
      <c r="B929" s="115" t="s">
        <v>1138</v>
      </c>
      <c r="D929" s="115" t="s">
        <v>1139</v>
      </c>
      <c r="E929" s="115" t="s">
        <v>1140</v>
      </c>
    </row>
    <row r="930" spans="2:5" x14ac:dyDescent="0.25">
      <c r="B930" s="115" t="s">
        <v>1138</v>
      </c>
      <c r="D930" s="115" t="s">
        <v>1139</v>
      </c>
      <c r="E930" s="115" t="s">
        <v>1140</v>
      </c>
    </row>
    <row r="931" spans="2:5" x14ac:dyDescent="0.25">
      <c r="B931" s="115" t="s">
        <v>1138</v>
      </c>
      <c r="D931" s="115" t="s">
        <v>1139</v>
      </c>
      <c r="E931" s="115" t="s">
        <v>1140</v>
      </c>
    </row>
    <row r="932" spans="2:5" x14ac:dyDescent="0.25">
      <c r="B932" s="115" t="s">
        <v>1138</v>
      </c>
      <c r="D932" s="115" t="s">
        <v>1139</v>
      </c>
      <c r="E932" s="115" t="s">
        <v>1140</v>
      </c>
    </row>
    <row r="933" spans="2:5" x14ac:dyDescent="0.25">
      <c r="B933" s="115" t="s">
        <v>1138</v>
      </c>
      <c r="D933" s="115" t="s">
        <v>1139</v>
      </c>
      <c r="E933" s="115" t="s">
        <v>1140</v>
      </c>
    </row>
    <row r="934" spans="2:5" x14ac:dyDescent="0.25">
      <c r="B934" s="115" t="s">
        <v>1138</v>
      </c>
      <c r="D934" s="115" t="s">
        <v>1139</v>
      </c>
      <c r="E934" s="115" t="s">
        <v>1140</v>
      </c>
    </row>
    <row r="935" spans="2:5" x14ac:dyDescent="0.25">
      <c r="B935" s="115" t="s">
        <v>1138</v>
      </c>
      <c r="D935" s="115" t="s">
        <v>1139</v>
      </c>
      <c r="E935" s="115" t="s">
        <v>1140</v>
      </c>
    </row>
    <row r="936" spans="2:5" x14ac:dyDescent="0.25">
      <c r="B936" s="115" t="s">
        <v>1138</v>
      </c>
      <c r="D936" s="115" t="s">
        <v>1139</v>
      </c>
      <c r="E936" s="115" t="s">
        <v>1140</v>
      </c>
    </row>
    <row r="937" spans="2:5" x14ac:dyDescent="0.25">
      <c r="B937" s="115" t="s">
        <v>1138</v>
      </c>
      <c r="D937" s="115" t="s">
        <v>1139</v>
      </c>
      <c r="E937" s="115" t="s">
        <v>1140</v>
      </c>
    </row>
    <row r="938" spans="2:5" x14ac:dyDescent="0.25">
      <c r="B938" s="115" t="s">
        <v>1138</v>
      </c>
      <c r="D938" s="115" t="s">
        <v>1139</v>
      </c>
      <c r="E938" s="115" t="s">
        <v>1140</v>
      </c>
    </row>
    <row r="939" spans="2:5" x14ac:dyDescent="0.25">
      <c r="B939" s="115" t="s">
        <v>1138</v>
      </c>
      <c r="D939" s="115" t="s">
        <v>1139</v>
      </c>
      <c r="E939" s="115" t="s">
        <v>1140</v>
      </c>
    </row>
    <row r="940" spans="2:5" x14ac:dyDescent="0.25">
      <c r="B940" s="115" t="s">
        <v>1138</v>
      </c>
      <c r="D940" s="115" t="s">
        <v>1139</v>
      </c>
      <c r="E940" s="115" t="s">
        <v>1140</v>
      </c>
    </row>
    <row r="941" spans="2:5" x14ac:dyDescent="0.25">
      <c r="B941" s="115" t="s">
        <v>1138</v>
      </c>
      <c r="D941" s="115" t="s">
        <v>1139</v>
      </c>
      <c r="E941" s="115" t="s">
        <v>1140</v>
      </c>
    </row>
    <row r="942" spans="2:5" x14ac:dyDescent="0.25">
      <c r="B942" s="115" t="s">
        <v>1138</v>
      </c>
      <c r="D942" s="115" t="s">
        <v>1139</v>
      </c>
      <c r="E942" s="115" t="s">
        <v>1140</v>
      </c>
    </row>
    <row r="943" spans="2:5" x14ac:dyDescent="0.25">
      <c r="B943" s="115" t="s">
        <v>1138</v>
      </c>
      <c r="D943" s="115" t="s">
        <v>1139</v>
      </c>
      <c r="E943" s="115" t="s">
        <v>1140</v>
      </c>
    </row>
    <row r="944" spans="2:5" x14ac:dyDescent="0.25">
      <c r="B944" s="115" t="s">
        <v>1138</v>
      </c>
      <c r="D944" s="115" t="s">
        <v>1139</v>
      </c>
      <c r="E944" s="115" t="s">
        <v>1140</v>
      </c>
    </row>
    <row r="945" spans="2:5" x14ac:dyDescent="0.25">
      <c r="B945" s="115" t="s">
        <v>1138</v>
      </c>
      <c r="D945" s="115" t="s">
        <v>1139</v>
      </c>
      <c r="E945" s="115" t="s">
        <v>1140</v>
      </c>
    </row>
    <row r="946" spans="2:5" x14ac:dyDescent="0.25">
      <c r="B946" s="115" t="s">
        <v>1138</v>
      </c>
      <c r="D946" s="115" t="s">
        <v>1139</v>
      </c>
      <c r="E946" s="115" t="s">
        <v>1140</v>
      </c>
    </row>
    <row r="947" spans="2:5" x14ac:dyDescent="0.25">
      <c r="B947" s="115" t="s">
        <v>1138</v>
      </c>
      <c r="D947" s="115" t="s">
        <v>1139</v>
      </c>
      <c r="E947" s="115" t="s">
        <v>1140</v>
      </c>
    </row>
    <row r="948" spans="2:5" x14ac:dyDescent="0.25">
      <c r="B948" s="115" t="s">
        <v>1138</v>
      </c>
      <c r="D948" s="115" t="s">
        <v>1139</v>
      </c>
      <c r="E948" s="115" t="s">
        <v>1140</v>
      </c>
    </row>
    <row r="949" spans="2:5" x14ac:dyDescent="0.25">
      <c r="B949" s="115" t="s">
        <v>1138</v>
      </c>
      <c r="D949" s="115" t="s">
        <v>1139</v>
      </c>
      <c r="E949" s="115" t="s">
        <v>1140</v>
      </c>
    </row>
    <row r="950" spans="2:5" x14ac:dyDescent="0.25">
      <c r="B950" s="115" t="s">
        <v>1138</v>
      </c>
      <c r="D950" s="115" t="s">
        <v>1139</v>
      </c>
      <c r="E950" s="115" t="s">
        <v>1140</v>
      </c>
    </row>
    <row r="951" spans="2:5" x14ac:dyDescent="0.25">
      <c r="B951" s="115" t="s">
        <v>1138</v>
      </c>
      <c r="D951" s="115" t="s">
        <v>1139</v>
      </c>
      <c r="E951" s="115" t="s">
        <v>1140</v>
      </c>
    </row>
    <row r="952" spans="2:5" x14ac:dyDescent="0.25">
      <c r="B952" s="115" t="s">
        <v>1138</v>
      </c>
      <c r="D952" s="115" t="s">
        <v>1139</v>
      </c>
      <c r="E952" s="115" t="s">
        <v>1140</v>
      </c>
    </row>
    <row r="953" spans="2:5" x14ac:dyDescent="0.25">
      <c r="B953" s="115" t="s">
        <v>1138</v>
      </c>
      <c r="D953" s="115" t="s">
        <v>1139</v>
      </c>
      <c r="E953" s="115" t="s">
        <v>1140</v>
      </c>
    </row>
    <row r="954" spans="2:5" x14ac:dyDescent="0.25">
      <c r="B954" s="115" t="s">
        <v>1138</v>
      </c>
      <c r="D954" s="115" t="s">
        <v>1139</v>
      </c>
      <c r="E954" s="115" t="s">
        <v>1140</v>
      </c>
    </row>
    <row r="955" spans="2:5" x14ac:dyDescent="0.25">
      <c r="B955" s="115" t="s">
        <v>1138</v>
      </c>
      <c r="D955" s="115" t="s">
        <v>1139</v>
      </c>
      <c r="E955" s="115" t="s">
        <v>1140</v>
      </c>
    </row>
    <row r="956" spans="2:5" x14ac:dyDescent="0.25">
      <c r="B956" s="115" t="s">
        <v>1138</v>
      </c>
      <c r="D956" s="115" t="s">
        <v>1139</v>
      </c>
      <c r="E956" s="115" t="s">
        <v>1140</v>
      </c>
    </row>
    <row r="957" spans="2:5" x14ac:dyDescent="0.25">
      <c r="B957" s="115" t="s">
        <v>1138</v>
      </c>
      <c r="D957" s="115" t="s">
        <v>1139</v>
      </c>
      <c r="E957" s="115" t="s">
        <v>1140</v>
      </c>
    </row>
    <row r="958" spans="2:5" x14ac:dyDescent="0.25">
      <c r="B958" s="115" t="s">
        <v>1138</v>
      </c>
      <c r="D958" s="115" t="s">
        <v>1139</v>
      </c>
      <c r="E958" s="115" t="s">
        <v>1140</v>
      </c>
    </row>
    <row r="959" spans="2:5" x14ac:dyDescent="0.25">
      <c r="B959" s="115" t="s">
        <v>1138</v>
      </c>
      <c r="D959" s="115" t="s">
        <v>1139</v>
      </c>
      <c r="E959" s="115" t="s">
        <v>1140</v>
      </c>
    </row>
    <row r="960" spans="2:5" x14ac:dyDescent="0.25">
      <c r="B960" s="115" t="s">
        <v>1138</v>
      </c>
      <c r="D960" s="115" t="s">
        <v>1139</v>
      </c>
      <c r="E960" s="115" t="s">
        <v>1140</v>
      </c>
    </row>
    <row r="961" spans="1:5" x14ac:dyDescent="0.25">
      <c r="B961" s="115" t="s">
        <v>1138</v>
      </c>
      <c r="D961" s="115" t="s">
        <v>1139</v>
      </c>
      <c r="E961" s="115" t="s">
        <v>1140</v>
      </c>
    </row>
    <row r="962" spans="1:5" x14ac:dyDescent="0.25">
      <c r="B962" s="115" t="s">
        <v>1138</v>
      </c>
      <c r="D962" s="115" t="s">
        <v>1139</v>
      </c>
      <c r="E962" s="115" t="s">
        <v>1140</v>
      </c>
    </row>
    <row r="963" spans="1:5" x14ac:dyDescent="0.25">
      <c r="B963" s="115" t="s">
        <v>1138</v>
      </c>
      <c r="D963" s="115" t="s">
        <v>2398</v>
      </c>
      <c r="E963" s="115" t="s">
        <v>2399</v>
      </c>
    </row>
    <row r="964" spans="1:5" x14ac:dyDescent="0.25">
      <c r="B964" s="115" t="s">
        <v>1619</v>
      </c>
      <c r="D964" s="115" t="s">
        <v>2400</v>
      </c>
      <c r="E964" s="115" t="s">
        <v>2401</v>
      </c>
    </row>
    <row r="965" spans="1:5" x14ac:dyDescent="0.25">
      <c r="B965" s="115" t="s">
        <v>1138</v>
      </c>
      <c r="D965" s="115" t="s">
        <v>1139</v>
      </c>
      <c r="E965" s="115" t="s">
        <v>2402</v>
      </c>
    </row>
    <row r="966" spans="1:5" x14ac:dyDescent="0.25">
      <c r="B966" s="115" t="s">
        <v>2403</v>
      </c>
      <c r="D966" s="115">
        <f>-325  -1185   -421   -51</f>
        <v>-1982</v>
      </c>
      <c r="E966" s="115" t="s">
        <v>2404</v>
      </c>
    </row>
    <row r="967" spans="1:5" x14ac:dyDescent="0.25">
      <c r="A967" s="115" t="s">
        <v>1137</v>
      </c>
      <c r="B967" s="115" t="s">
        <v>1553</v>
      </c>
      <c r="D967" s="115" t="s">
        <v>2405</v>
      </c>
      <c r="E967" s="115" t="s">
        <v>1140</v>
      </c>
    </row>
    <row r="968" spans="1:5" x14ac:dyDescent="0.25">
      <c r="B968" s="115" t="s">
        <v>2406</v>
      </c>
      <c r="D968" s="115" t="s">
        <v>1139</v>
      </c>
      <c r="E968" s="115" t="s">
        <v>2407</v>
      </c>
    </row>
    <row r="969" spans="1:5" x14ac:dyDescent="0.25">
      <c r="B969" s="115" t="s">
        <v>1281</v>
      </c>
      <c r="D969" s="115" t="s">
        <v>1139</v>
      </c>
      <c r="E969" s="115" t="s">
        <v>2408</v>
      </c>
    </row>
    <row r="970" spans="1:5" x14ac:dyDescent="0.25">
      <c r="B970" s="115" t="s">
        <v>1271</v>
      </c>
      <c r="D970" s="115" t="s">
        <v>2409</v>
      </c>
      <c r="E970" s="115" t="s">
        <v>2410</v>
      </c>
    </row>
    <row r="971" spans="1:5" x14ac:dyDescent="0.25">
      <c r="A971" s="115" t="s">
        <v>1137</v>
      </c>
      <c r="B971" s="115" t="s">
        <v>1566</v>
      </c>
      <c r="D971" s="115" t="s">
        <v>2411</v>
      </c>
      <c r="E971" s="115" t="s">
        <v>2412</v>
      </c>
    </row>
    <row r="972" spans="1:5" x14ac:dyDescent="0.25">
      <c r="B972" s="115" t="s">
        <v>2413</v>
      </c>
      <c r="D972" s="115" t="s">
        <v>2414</v>
      </c>
      <c r="E972" s="115" t="s">
        <v>2415</v>
      </c>
    </row>
    <row r="973" spans="1:5" x14ac:dyDescent="0.25">
      <c r="A973" s="115">
        <v>12</v>
      </c>
      <c r="B973" s="115" t="s">
        <v>2416</v>
      </c>
      <c r="D973" s="115" t="s">
        <v>2417</v>
      </c>
      <c r="E973" s="115" t="s">
        <v>2418</v>
      </c>
    </row>
    <row r="974" spans="1:5" x14ac:dyDescent="0.25">
      <c r="A974" s="115">
        <v>3</v>
      </c>
      <c r="B974" s="115" t="s">
        <v>2419</v>
      </c>
      <c r="D974" s="115" t="s">
        <v>2420</v>
      </c>
      <c r="E974" s="115" t="s">
        <v>2421</v>
      </c>
    </row>
    <row r="975" spans="1:5" x14ac:dyDescent="0.25">
      <c r="B975" s="115" t="s">
        <v>2422</v>
      </c>
      <c r="D975" s="115" t="s">
        <v>2423</v>
      </c>
      <c r="E975" s="115" t="s">
        <v>2424</v>
      </c>
    </row>
    <row r="976" spans="1:5" x14ac:dyDescent="0.25">
      <c r="B976" s="115" t="s">
        <v>1138</v>
      </c>
      <c r="D976" s="115" t="s">
        <v>1139</v>
      </c>
      <c r="E976" s="115" t="s">
        <v>2425</v>
      </c>
    </row>
    <row r="977" spans="1:5" x14ac:dyDescent="0.25">
      <c r="B977" s="115" t="s">
        <v>1234</v>
      </c>
      <c r="C977" s="115" t="s">
        <v>1137</v>
      </c>
      <c r="D977" s="115" t="s">
        <v>2426</v>
      </c>
      <c r="E977" s="115" t="s">
        <v>2427</v>
      </c>
    </row>
    <row r="978" spans="1:5" x14ac:dyDescent="0.25">
      <c r="A978" s="115">
        <v>2</v>
      </c>
      <c r="B978" s="115" t="s">
        <v>1502</v>
      </c>
      <c r="D978" s="115" t="s">
        <v>1541</v>
      </c>
      <c r="E978" s="115" t="s">
        <v>1140</v>
      </c>
    </row>
    <row r="979" spans="1:5" x14ac:dyDescent="0.25">
      <c r="A979" s="115" t="s">
        <v>1137</v>
      </c>
      <c r="B979" s="115" t="s">
        <v>1149</v>
      </c>
      <c r="D979" s="115" t="s">
        <v>1139</v>
      </c>
      <c r="E979" s="115" t="s">
        <v>2428</v>
      </c>
    </row>
    <row r="980" spans="1:5" x14ac:dyDescent="0.25">
      <c r="B980" s="115" t="s">
        <v>2232</v>
      </c>
      <c r="D980" s="115" t="s">
        <v>1139</v>
      </c>
      <c r="E980" s="115" t="s">
        <v>2429</v>
      </c>
    </row>
    <row r="981" spans="1:5" x14ac:dyDescent="0.25">
      <c r="B981" s="115" t="s">
        <v>2430</v>
      </c>
      <c r="D981" s="115" t="s">
        <v>2431</v>
      </c>
      <c r="E981" s="115" t="s">
        <v>2432</v>
      </c>
    </row>
    <row r="982" spans="1:5" x14ac:dyDescent="0.25">
      <c r="B982" s="115" t="s">
        <v>1448</v>
      </c>
      <c r="D982" s="115" t="s">
        <v>2433</v>
      </c>
      <c r="E982" s="115" t="s">
        <v>2434</v>
      </c>
    </row>
    <row r="983" spans="1:5" x14ac:dyDescent="0.25">
      <c r="A983" s="115" t="s">
        <v>1137</v>
      </c>
      <c r="B983" s="115" t="s">
        <v>2435</v>
      </c>
      <c r="D983" s="115" t="s">
        <v>2436</v>
      </c>
      <c r="E983" s="115" t="s">
        <v>2437</v>
      </c>
    </row>
    <row r="984" spans="1:5" x14ac:dyDescent="0.25">
      <c r="A984" s="115">
        <v>-6</v>
      </c>
      <c r="B984" s="115" t="s">
        <v>2438</v>
      </c>
      <c r="D984" s="115" t="s">
        <v>2439</v>
      </c>
      <c r="E984" s="115" t="s">
        <v>2440</v>
      </c>
    </row>
    <row r="985" spans="1:5" x14ac:dyDescent="0.25">
      <c r="A985" s="115">
        <v>3</v>
      </c>
      <c r="B985" s="115" t="s">
        <v>1226</v>
      </c>
      <c r="D985" s="115" t="s">
        <v>2441</v>
      </c>
      <c r="E985" s="115" t="s">
        <v>1701</v>
      </c>
    </row>
    <row r="986" spans="1:5" x14ac:dyDescent="0.25">
      <c r="B986" s="115" t="s">
        <v>1138</v>
      </c>
      <c r="D986" s="115" t="s">
        <v>1139</v>
      </c>
      <c r="E986" s="115" t="s">
        <v>1140</v>
      </c>
    </row>
    <row r="987" spans="1:5" x14ac:dyDescent="0.25">
      <c r="B987" s="115" t="s">
        <v>1138</v>
      </c>
      <c r="D987" s="115" t="s">
        <v>1139</v>
      </c>
      <c r="E987" s="115" t="s">
        <v>1140</v>
      </c>
    </row>
    <row r="988" spans="1:5" x14ac:dyDescent="0.25">
      <c r="B988" s="115" t="s">
        <v>1138</v>
      </c>
      <c r="D988" s="115" t="s">
        <v>1139</v>
      </c>
      <c r="E988" s="115" t="s">
        <v>1140</v>
      </c>
    </row>
    <row r="989" spans="1:5" x14ac:dyDescent="0.25">
      <c r="B989" s="115" t="s">
        <v>1138</v>
      </c>
      <c r="D989" s="115" t="s">
        <v>1139</v>
      </c>
      <c r="E989" s="115" t="s">
        <v>1140</v>
      </c>
    </row>
    <row r="990" spans="1:5" x14ac:dyDescent="0.25">
      <c r="B990" s="115" t="s">
        <v>1138</v>
      </c>
      <c r="D990" s="115" t="s">
        <v>1139</v>
      </c>
      <c r="E990" s="115" t="s">
        <v>1140</v>
      </c>
    </row>
    <row r="991" spans="1:5" x14ac:dyDescent="0.25">
      <c r="B991" s="115" t="s">
        <v>1138</v>
      </c>
      <c r="D991" s="115" t="s">
        <v>1139</v>
      </c>
      <c r="E991" s="115" t="s">
        <v>1140</v>
      </c>
    </row>
    <row r="992" spans="1:5" x14ac:dyDescent="0.25">
      <c r="B992" s="115" t="s">
        <v>1138</v>
      </c>
      <c r="D992" s="115" t="s">
        <v>1139</v>
      </c>
      <c r="E992" s="115" t="s">
        <v>1140</v>
      </c>
    </row>
    <row r="993" spans="1:5" x14ac:dyDescent="0.25">
      <c r="B993" s="115" t="s">
        <v>1138</v>
      </c>
      <c r="D993" s="115" t="s">
        <v>1139</v>
      </c>
      <c r="E993" s="115" t="s">
        <v>1140</v>
      </c>
    </row>
    <row r="994" spans="1:5" x14ac:dyDescent="0.25">
      <c r="B994" s="115" t="s">
        <v>1138</v>
      </c>
      <c r="D994" s="115" t="s">
        <v>1139</v>
      </c>
      <c r="E994" s="115" t="s">
        <v>1140</v>
      </c>
    </row>
    <row r="995" spans="1:5" x14ac:dyDescent="0.25">
      <c r="B995" s="115" t="s">
        <v>1138</v>
      </c>
      <c r="D995" s="115" t="s">
        <v>1139</v>
      </c>
      <c r="E995" s="115" t="s">
        <v>1140</v>
      </c>
    </row>
    <row r="996" spans="1:5" x14ac:dyDescent="0.25">
      <c r="B996" s="115" t="s">
        <v>1138</v>
      </c>
      <c r="D996" s="115" t="s">
        <v>1139</v>
      </c>
      <c r="E996" s="115" t="s">
        <v>2442</v>
      </c>
    </row>
    <row r="997" spans="1:5" x14ac:dyDescent="0.25">
      <c r="A997" s="115">
        <v>1</v>
      </c>
      <c r="B997" s="115" t="s">
        <v>2443</v>
      </c>
      <c r="D997" s="115" t="s">
        <v>1336</v>
      </c>
      <c r="E997" s="115" t="s">
        <v>2444</v>
      </c>
    </row>
    <row r="998" spans="1:5" x14ac:dyDescent="0.25">
      <c r="B998" s="115" t="s">
        <v>2445</v>
      </c>
      <c r="D998" s="115" t="s">
        <v>1139</v>
      </c>
      <c r="E998" s="115" t="s">
        <v>1140</v>
      </c>
    </row>
    <row r="999" spans="1:5" x14ac:dyDescent="0.25">
      <c r="A999" s="115">
        <v>-3</v>
      </c>
      <c r="B999" s="115" t="s">
        <v>2446</v>
      </c>
      <c r="D999" s="115" t="s">
        <v>2447</v>
      </c>
      <c r="E999" s="115" t="s">
        <v>2448</v>
      </c>
    </row>
    <row r="1000" spans="1:5" x14ac:dyDescent="0.25">
      <c r="B1000" s="115" t="s">
        <v>1138</v>
      </c>
      <c r="D1000" s="115" t="s">
        <v>2449</v>
      </c>
      <c r="E1000" s="115" t="s">
        <v>2450</v>
      </c>
    </row>
    <row r="1001" spans="1:5" x14ac:dyDescent="0.25">
      <c r="B1001" s="115" t="s">
        <v>1138</v>
      </c>
      <c r="D1001" s="115" t="s">
        <v>2451</v>
      </c>
      <c r="E1001" s="115" t="s">
        <v>1140</v>
      </c>
    </row>
    <row r="1002" spans="1:5" x14ac:dyDescent="0.25">
      <c r="B1002" s="115" t="s">
        <v>2452</v>
      </c>
      <c r="D1002" s="115" t="s">
        <v>2453</v>
      </c>
      <c r="E1002" s="115" t="s">
        <v>2454</v>
      </c>
    </row>
    <row r="1003" spans="1:5" x14ac:dyDescent="0.25">
      <c r="A1003" s="115">
        <v>1</v>
      </c>
      <c r="B1003" s="115" t="s">
        <v>2455</v>
      </c>
      <c r="D1003" s="115" t="s">
        <v>2456</v>
      </c>
      <c r="E1003" s="115" t="s">
        <v>2457</v>
      </c>
    </row>
    <row r="1004" spans="1:5" x14ac:dyDescent="0.25">
      <c r="B1004" s="115" t="s">
        <v>2458</v>
      </c>
      <c r="D1004" s="115" t="s">
        <v>2459</v>
      </c>
      <c r="E1004" s="115" t="s">
        <v>2460</v>
      </c>
    </row>
    <row r="1005" spans="1:5" x14ac:dyDescent="0.25">
      <c r="A1005" s="115">
        <v>-2</v>
      </c>
      <c r="B1005" s="115" t="s">
        <v>2461</v>
      </c>
      <c r="D1005" s="115" t="s">
        <v>2462</v>
      </c>
      <c r="E1005" s="115" t="s">
        <v>2463</v>
      </c>
    </row>
    <row r="1006" spans="1:5" x14ac:dyDescent="0.25">
      <c r="A1006" s="115">
        <v>1</v>
      </c>
      <c r="B1006" s="115" t="s">
        <v>2464</v>
      </c>
      <c r="D1006" s="115" t="s">
        <v>2465</v>
      </c>
      <c r="E1006" s="115" t="s">
        <v>2466</v>
      </c>
    </row>
    <row r="1007" spans="1:5" x14ac:dyDescent="0.25">
      <c r="B1007" s="115" t="s">
        <v>2467</v>
      </c>
      <c r="D1007" s="115" t="s">
        <v>2468</v>
      </c>
      <c r="E1007" s="115" t="s">
        <v>2469</v>
      </c>
    </row>
    <row r="1008" spans="1:5" x14ac:dyDescent="0.25">
      <c r="B1008" s="115" t="s">
        <v>2470</v>
      </c>
      <c r="C1008" s="115">
        <v>4</v>
      </c>
      <c r="D1008" s="115" t="s">
        <v>2471</v>
      </c>
      <c r="E1008" s="115" t="s">
        <v>2472</v>
      </c>
    </row>
    <row r="1009" spans="1:5" x14ac:dyDescent="0.25">
      <c r="B1009" s="115" t="s">
        <v>1138</v>
      </c>
      <c r="D1009" s="115" t="s">
        <v>2473</v>
      </c>
      <c r="E1009" s="115" t="s">
        <v>1140</v>
      </c>
    </row>
    <row r="1010" spans="1:5" x14ac:dyDescent="0.25">
      <c r="B1010" s="115" t="s">
        <v>1138</v>
      </c>
      <c r="D1010" s="115" t="s">
        <v>2474</v>
      </c>
      <c r="E1010" s="115" t="s">
        <v>2475</v>
      </c>
    </row>
    <row r="1011" spans="1:5" x14ac:dyDescent="0.25">
      <c r="A1011" s="115" t="s">
        <v>1137</v>
      </c>
      <c r="B1011" s="115" t="s">
        <v>2476</v>
      </c>
      <c r="D1011" s="115" t="s">
        <v>2477</v>
      </c>
      <c r="E1011" s="115" t="s">
        <v>2478</v>
      </c>
    </row>
    <row r="1012" spans="1:5" x14ac:dyDescent="0.25">
      <c r="B1012" s="115" t="s">
        <v>1629</v>
      </c>
      <c r="D1012" s="115" t="s">
        <v>1139</v>
      </c>
      <c r="E1012" s="115" t="s">
        <v>2479</v>
      </c>
    </row>
    <row r="1013" spans="1:5" x14ac:dyDescent="0.25">
      <c r="B1013" s="115" t="s">
        <v>1138</v>
      </c>
      <c r="D1013" s="115" t="s">
        <v>2480</v>
      </c>
      <c r="E1013" s="115" t="s">
        <v>2481</v>
      </c>
    </row>
    <row r="1014" spans="1:5" x14ac:dyDescent="0.25">
      <c r="B1014" s="115" t="s">
        <v>1138</v>
      </c>
      <c r="D1014" s="115" t="s">
        <v>2482</v>
      </c>
      <c r="E1014" s="115" t="s">
        <v>2483</v>
      </c>
    </row>
    <row r="1015" spans="1:5" x14ac:dyDescent="0.25">
      <c r="B1015" s="115" t="s">
        <v>2484</v>
      </c>
      <c r="D1015" s="115" t="s">
        <v>2485</v>
      </c>
      <c r="E1015" s="115" t="s">
        <v>2486</v>
      </c>
    </row>
    <row r="1016" spans="1:5" x14ac:dyDescent="0.25">
      <c r="B1016" s="115" t="s">
        <v>2487</v>
      </c>
      <c r="D1016" s="115" t="s">
        <v>2488</v>
      </c>
      <c r="E1016" s="115" t="s">
        <v>2489</v>
      </c>
    </row>
    <row r="1017" spans="1:5" x14ac:dyDescent="0.25">
      <c r="A1017" s="115" t="s">
        <v>1137</v>
      </c>
      <c r="B1017" s="115" t="s">
        <v>2490</v>
      </c>
      <c r="D1017" s="115" t="s">
        <v>2491</v>
      </c>
      <c r="E1017" s="115" t="s">
        <v>2492</v>
      </c>
    </row>
    <row r="1018" spans="1:5" x14ac:dyDescent="0.25">
      <c r="B1018" s="115" t="s">
        <v>2493</v>
      </c>
      <c r="D1018" s="115" t="s">
        <v>2494</v>
      </c>
      <c r="E1018" s="115" t="s">
        <v>2495</v>
      </c>
    </row>
    <row r="1019" spans="1:5" x14ac:dyDescent="0.25">
      <c r="B1019" s="115" t="s">
        <v>2496</v>
      </c>
      <c r="D1019" s="115" t="s">
        <v>2497</v>
      </c>
      <c r="E1019" s="115" t="s">
        <v>2498</v>
      </c>
    </row>
    <row r="1020" spans="1:5" x14ac:dyDescent="0.25">
      <c r="B1020" s="115" t="s">
        <v>1208</v>
      </c>
      <c r="D1020" s="115" t="s">
        <v>2499</v>
      </c>
      <c r="E1020" s="115" t="s">
        <v>2500</v>
      </c>
    </row>
    <row r="1021" spans="1:5" x14ac:dyDescent="0.25">
      <c r="B1021" s="115" t="s">
        <v>1138</v>
      </c>
      <c r="D1021" s="115" t="s">
        <v>1139</v>
      </c>
      <c r="E1021" s="115" t="s">
        <v>2501</v>
      </c>
    </row>
    <row r="1022" spans="1:5" x14ac:dyDescent="0.25">
      <c r="B1022" s="115" t="s">
        <v>2502</v>
      </c>
      <c r="D1022" s="115" t="s">
        <v>2503</v>
      </c>
      <c r="E1022" s="115" t="s">
        <v>2504</v>
      </c>
    </row>
    <row r="1023" spans="1:5" x14ac:dyDescent="0.25">
      <c r="A1023" s="115" t="s">
        <v>1137</v>
      </c>
      <c r="B1023" s="115" t="s">
        <v>1624</v>
      </c>
      <c r="D1023" s="115" t="s">
        <v>1939</v>
      </c>
      <c r="E1023" s="115" t="s">
        <v>1140</v>
      </c>
    </row>
    <row r="1024" spans="1:5" x14ac:dyDescent="0.25">
      <c r="B1024" s="115" t="s">
        <v>2505</v>
      </c>
      <c r="D1024" s="115" t="s">
        <v>1139</v>
      </c>
      <c r="E1024" s="115" t="s">
        <v>2506</v>
      </c>
    </row>
    <row r="1025" spans="1:5" x14ac:dyDescent="0.25">
      <c r="B1025" s="115" t="s">
        <v>1372</v>
      </c>
      <c r="D1025" s="115" t="s">
        <v>1139</v>
      </c>
      <c r="E1025" s="115" t="s">
        <v>2507</v>
      </c>
    </row>
    <row r="1026" spans="1:5" x14ac:dyDescent="0.25">
      <c r="B1026" s="115" t="s">
        <v>2508</v>
      </c>
      <c r="D1026" s="115" t="s">
        <v>2509</v>
      </c>
      <c r="E1026" s="115" t="s">
        <v>2510</v>
      </c>
    </row>
    <row r="1027" spans="1:5" x14ac:dyDescent="0.25">
      <c r="B1027" s="115" t="s">
        <v>2511</v>
      </c>
      <c r="D1027" s="115" t="s">
        <v>2512</v>
      </c>
      <c r="E1027" s="115" t="s">
        <v>2513</v>
      </c>
    </row>
    <row r="1028" spans="1:5" x14ac:dyDescent="0.25">
      <c r="A1028" s="115">
        <v>-7</v>
      </c>
      <c r="B1028" s="115" t="s">
        <v>2514</v>
      </c>
      <c r="C1028" s="115" t="s">
        <v>1137</v>
      </c>
      <c r="D1028" s="115" t="s">
        <v>2515</v>
      </c>
      <c r="E1028" s="115" t="s">
        <v>2516</v>
      </c>
    </row>
    <row r="1029" spans="1:5" x14ac:dyDescent="0.25">
      <c r="B1029" s="115" t="s">
        <v>2517</v>
      </c>
      <c r="D1029" s="115" t="s">
        <v>2518</v>
      </c>
      <c r="E1029" s="115" t="s">
        <v>2519</v>
      </c>
    </row>
    <row r="1030" spans="1:5" x14ac:dyDescent="0.25">
      <c r="B1030" s="115" t="s">
        <v>1500</v>
      </c>
      <c r="D1030" s="115" t="s">
        <v>2074</v>
      </c>
      <c r="E1030" s="115" t="s">
        <v>2520</v>
      </c>
    </row>
    <row r="1031" spans="1:5" x14ac:dyDescent="0.25">
      <c r="A1031" s="115">
        <v>-6</v>
      </c>
      <c r="B1031" s="115" t="s">
        <v>2521</v>
      </c>
      <c r="D1031" s="115" t="s">
        <v>2522</v>
      </c>
      <c r="E1031" s="115" t="s">
        <v>2523</v>
      </c>
    </row>
    <row r="1032" spans="1:5" x14ac:dyDescent="0.25">
      <c r="B1032" s="115" t="s">
        <v>1138</v>
      </c>
      <c r="D1032" s="115" t="s">
        <v>2524</v>
      </c>
      <c r="E1032" s="115" t="s">
        <v>1140</v>
      </c>
    </row>
    <row r="1033" spans="1:5" x14ac:dyDescent="0.25">
      <c r="B1033" s="115" t="s">
        <v>1138</v>
      </c>
      <c r="D1033" s="115" t="s">
        <v>2525</v>
      </c>
      <c r="E1033" s="115" t="s">
        <v>2526</v>
      </c>
    </row>
    <row r="1034" spans="1:5" x14ac:dyDescent="0.25">
      <c r="A1034" s="115">
        <v>1</v>
      </c>
      <c r="B1034" s="115" t="s">
        <v>2527</v>
      </c>
      <c r="D1034" s="115" t="s">
        <v>2528</v>
      </c>
      <c r="E1034" s="115" t="s">
        <v>2529</v>
      </c>
    </row>
    <row r="1035" spans="1:5" x14ac:dyDescent="0.25">
      <c r="B1035" s="115" t="s">
        <v>1138</v>
      </c>
      <c r="D1035" s="115" t="s">
        <v>1847</v>
      </c>
      <c r="E1035" s="115" t="s">
        <v>1140</v>
      </c>
    </row>
    <row r="1036" spans="1:5" x14ac:dyDescent="0.25">
      <c r="B1036" s="115" t="s">
        <v>1138</v>
      </c>
      <c r="D1036" s="115" t="s">
        <v>2530</v>
      </c>
      <c r="E1036" s="115" t="s">
        <v>2531</v>
      </c>
    </row>
    <row r="1037" spans="1:5" x14ac:dyDescent="0.25">
      <c r="B1037" s="115" t="s">
        <v>2532</v>
      </c>
      <c r="D1037" s="115" t="s">
        <v>2533</v>
      </c>
      <c r="E1037" s="115" t="s">
        <v>2534</v>
      </c>
    </row>
    <row r="1038" spans="1:5" x14ac:dyDescent="0.25">
      <c r="A1038" s="115" t="s">
        <v>1137</v>
      </c>
      <c r="B1038" s="115" t="s">
        <v>2535</v>
      </c>
      <c r="D1038" s="115">
        <f>-166    -11   -711   -97</f>
        <v>-985</v>
      </c>
      <c r="E1038" s="115" t="s">
        <v>2536</v>
      </c>
    </row>
    <row r="1039" spans="1:5" x14ac:dyDescent="0.25">
      <c r="A1039" s="115" t="s">
        <v>1137</v>
      </c>
      <c r="B1039" s="115" t="s">
        <v>2537</v>
      </c>
      <c r="D1039" s="115" t="s">
        <v>2538</v>
      </c>
      <c r="E1039" s="115" t="s">
        <v>2539</v>
      </c>
    </row>
    <row r="1040" spans="1:5" x14ac:dyDescent="0.25">
      <c r="A1040" s="115">
        <v>-2</v>
      </c>
      <c r="B1040" s="115" t="s">
        <v>2540</v>
      </c>
      <c r="D1040" s="115" t="s">
        <v>2541</v>
      </c>
      <c r="E1040" s="115" t="s">
        <v>2542</v>
      </c>
    </row>
    <row r="1041" spans="1:5" x14ac:dyDescent="0.25">
      <c r="A1041" s="115" t="s">
        <v>1137</v>
      </c>
      <c r="B1041" s="115" t="s">
        <v>1417</v>
      </c>
      <c r="D1041" s="115">
        <f>-638  -2550  -2423  -249</f>
        <v>-5860</v>
      </c>
      <c r="E1041" s="115" t="s">
        <v>1858</v>
      </c>
    </row>
    <row r="1042" spans="1:5" x14ac:dyDescent="0.25">
      <c r="A1042" s="115" t="s">
        <v>1137</v>
      </c>
      <c r="B1042" s="115" t="s">
        <v>2543</v>
      </c>
      <c r="D1042" s="115" t="s">
        <v>2544</v>
      </c>
      <c r="E1042" s="115" t="s">
        <v>2545</v>
      </c>
    </row>
    <row r="1043" spans="1:5" x14ac:dyDescent="0.25">
      <c r="B1043" s="115" t="s">
        <v>1138</v>
      </c>
      <c r="D1043" s="115" t="s">
        <v>2546</v>
      </c>
      <c r="E1043" s="115" t="s">
        <v>2547</v>
      </c>
    </row>
    <row r="1044" spans="1:5" x14ac:dyDescent="0.25">
      <c r="B1044" s="115" t="s">
        <v>1138</v>
      </c>
      <c r="D1044" s="115" t="s">
        <v>1139</v>
      </c>
      <c r="E1044" s="115" t="s">
        <v>2548</v>
      </c>
    </row>
    <row r="1045" spans="1:5" x14ac:dyDescent="0.25">
      <c r="B1045" s="115" t="s">
        <v>1138</v>
      </c>
      <c r="D1045" s="115" t="s">
        <v>2549</v>
      </c>
      <c r="E1045" s="115" t="s">
        <v>2550</v>
      </c>
    </row>
    <row r="1046" spans="1:5" x14ac:dyDescent="0.25">
      <c r="B1046" s="115" t="s">
        <v>2551</v>
      </c>
      <c r="D1046" s="115" t="s">
        <v>2337</v>
      </c>
      <c r="E1046" s="115" t="s">
        <v>1858</v>
      </c>
    </row>
    <row r="1047" spans="1:5" x14ac:dyDescent="0.25">
      <c r="B1047" s="115" t="s">
        <v>1204</v>
      </c>
      <c r="D1047" s="115" t="s">
        <v>1139</v>
      </c>
      <c r="E1047" s="115" t="s">
        <v>2552</v>
      </c>
    </row>
    <row r="1048" spans="1:5" x14ac:dyDescent="0.25">
      <c r="A1048" s="115" t="s">
        <v>1137</v>
      </c>
      <c r="B1048" s="115" t="s">
        <v>1673</v>
      </c>
      <c r="D1048" s="115" t="s">
        <v>2553</v>
      </c>
      <c r="E1048" s="115" t="s">
        <v>2554</v>
      </c>
    </row>
    <row r="1049" spans="1:5" x14ac:dyDescent="0.25">
      <c r="B1049" s="115" t="s">
        <v>1138</v>
      </c>
      <c r="D1049" s="115" t="s">
        <v>2555</v>
      </c>
      <c r="E1049" s="115" t="s">
        <v>2556</v>
      </c>
    </row>
    <row r="1050" spans="1:5" x14ac:dyDescent="0.25">
      <c r="B1050" s="115" t="s">
        <v>2557</v>
      </c>
      <c r="D1050" s="115" t="s">
        <v>1139</v>
      </c>
      <c r="E1050" s="115" t="s">
        <v>2558</v>
      </c>
    </row>
    <row r="1051" spans="1:5" x14ac:dyDescent="0.25">
      <c r="B1051" s="115" t="s">
        <v>2559</v>
      </c>
      <c r="C1051" s="115" t="s">
        <v>1137</v>
      </c>
      <c r="D1051" s="115" t="s">
        <v>2560</v>
      </c>
      <c r="E1051" s="115" t="s">
        <v>2561</v>
      </c>
    </row>
    <row r="1052" spans="1:5" x14ac:dyDescent="0.25">
      <c r="B1052" s="115" t="s">
        <v>2562</v>
      </c>
      <c r="C1052" s="115" t="s">
        <v>1137</v>
      </c>
      <c r="D1052" s="115" t="s">
        <v>2563</v>
      </c>
      <c r="E1052" s="115" t="s">
        <v>2564</v>
      </c>
    </row>
    <row r="1053" spans="1:5" x14ac:dyDescent="0.25">
      <c r="B1053" s="115" t="s">
        <v>2565</v>
      </c>
      <c r="D1053" s="115" t="s">
        <v>1139</v>
      </c>
      <c r="E1053" s="115" t="s">
        <v>2566</v>
      </c>
    </row>
    <row r="1054" spans="1:5" x14ac:dyDescent="0.25">
      <c r="A1054" s="115">
        <v>-10</v>
      </c>
      <c r="B1054" s="115" t="s">
        <v>2567</v>
      </c>
      <c r="C1054" s="115">
        <v>3</v>
      </c>
      <c r="D1054" s="115" t="s">
        <v>2568</v>
      </c>
      <c r="E1054" s="115" t="s">
        <v>2569</v>
      </c>
    </row>
    <row r="1055" spans="1:5" x14ac:dyDescent="0.25">
      <c r="B1055" s="115" t="s">
        <v>2570</v>
      </c>
      <c r="D1055" s="115" t="s">
        <v>2571</v>
      </c>
      <c r="E1055" s="115" t="s">
        <v>2572</v>
      </c>
    </row>
    <row r="1056" spans="1:5" x14ac:dyDescent="0.25">
      <c r="B1056" s="115" t="s">
        <v>1138</v>
      </c>
      <c r="D1056" s="115" t="s">
        <v>2573</v>
      </c>
      <c r="E1056" s="115" t="s">
        <v>2574</v>
      </c>
    </row>
    <row r="1057" spans="1:5" x14ac:dyDescent="0.25">
      <c r="A1057" s="115" t="s">
        <v>1137</v>
      </c>
      <c r="B1057" s="115" t="s">
        <v>2575</v>
      </c>
      <c r="D1057" s="115">
        <f>-897  -1561    -91</f>
        <v>-2549</v>
      </c>
      <c r="E1057" s="115" t="s">
        <v>2576</v>
      </c>
    </row>
    <row r="1058" spans="1:5" x14ac:dyDescent="0.25">
      <c r="B1058" s="115" t="s">
        <v>1138</v>
      </c>
      <c r="D1058" s="115" t="s">
        <v>2577</v>
      </c>
      <c r="E1058" s="115" t="s">
        <v>2578</v>
      </c>
    </row>
    <row r="1059" spans="1:5" x14ac:dyDescent="0.25">
      <c r="B1059" s="115" t="s">
        <v>1138</v>
      </c>
      <c r="D1059" s="115" t="s">
        <v>1139</v>
      </c>
      <c r="E1059" s="115" t="s">
        <v>2579</v>
      </c>
    </row>
    <row r="1060" spans="1:5" x14ac:dyDescent="0.25">
      <c r="B1060" s="115" t="s">
        <v>1138</v>
      </c>
      <c r="D1060" s="115" t="s">
        <v>2580</v>
      </c>
      <c r="E1060" s="115" t="s">
        <v>2581</v>
      </c>
    </row>
    <row r="1061" spans="1:5" x14ac:dyDescent="0.25">
      <c r="B1061" s="115" t="s">
        <v>1302</v>
      </c>
      <c r="D1061" s="115" t="s">
        <v>2582</v>
      </c>
      <c r="E1061" s="115" t="s">
        <v>2583</v>
      </c>
    </row>
    <row r="1062" spans="1:5" x14ac:dyDescent="0.25">
      <c r="B1062" s="115" t="s">
        <v>1138</v>
      </c>
      <c r="D1062" s="115" t="s">
        <v>2584</v>
      </c>
      <c r="E1062" s="115" t="s">
        <v>2585</v>
      </c>
    </row>
    <row r="1063" spans="1:5" x14ac:dyDescent="0.25">
      <c r="B1063" s="115" t="s">
        <v>1526</v>
      </c>
      <c r="D1063" s="115" t="s">
        <v>2586</v>
      </c>
      <c r="E1063" s="115" t="s">
        <v>2587</v>
      </c>
    </row>
    <row r="1064" spans="1:5" x14ac:dyDescent="0.25">
      <c r="B1064" s="115" t="s">
        <v>1138</v>
      </c>
      <c r="D1064" s="115" t="s">
        <v>2588</v>
      </c>
      <c r="E1064" s="115" t="s">
        <v>2589</v>
      </c>
    </row>
    <row r="1065" spans="1:5" x14ac:dyDescent="0.25">
      <c r="B1065" s="115" t="s">
        <v>1138</v>
      </c>
      <c r="D1065" s="115" t="s">
        <v>2590</v>
      </c>
      <c r="E1065" s="115" t="s">
        <v>2591</v>
      </c>
    </row>
    <row r="1066" spans="1:5" x14ac:dyDescent="0.25">
      <c r="A1066" s="115">
        <v>28</v>
      </c>
      <c r="B1066" s="115" t="s">
        <v>2592</v>
      </c>
      <c r="D1066" s="115" t="s">
        <v>2593</v>
      </c>
      <c r="E1066" s="115" t="s">
        <v>2594</v>
      </c>
    </row>
    <row r="1067" spans="1:5" x14ac:dyDescent="0.25">
      <c r="B1067" s="115" t="s">
        <v>1138</v>
      </c>
      <c r="D1067" s="115" t="s">
        <v>2595</v>
      </c>
      <c r="E1067" s="115" t="s">
        <v>1140</v>
      </c>
    </row>
    <row r="1068" spans="1:5" x14ac:dyDescent="0.25">
      <c r="B1068" s="115" t="s">
        <v>1138</v>
      </c>
      <c r="D1068" s="115" t="s">
        <v>2596</v>
      </c>
      <c r="E1068" s="115" t="s">
        <v>2597</v>
      </c>
    </row>
    <row r="1069" spans="1:5" x14ac:dyDescent="0.25">
      <c r="A1069" s="115">
        <v>5</v>
      </c>
      <c r="B1069" s="115" t="s">
        <v>2598</v>
      </c>
      <c r="D1069" s="115" t="s">
        <v>1685</v>
      </c>
      <c r="E1069" s="115" t="s">
        <v>2599</v>
      </c>
    </row>
    <row r="1070" spans="1:5" x14ac:dyDescent="0.25">
      <c r="B1070" s="115" t="s">
        <v>1156</v>
      </c>
      <c r="D1070" s="115" t="s">
        <v>1139</v>
      </c>
      <c r="E1070" s="115" t="s">
        <v>2600</v>
      </c>
    </row>
    <row r="1071" spans="1:5" x14ac:dyDescent="0.25">
      <c r="B1071" s="115" t="s">
        <v>1138</v>
      </c>
      <c r="D1071" s="115" t="s">
        <v>2601</v>
      </c>
      <c r="E1071" s="115" t="s">
        <v>2602</v>
      </c>
    </row>
    <row r="1072" spans="1:5" x14ac:dyDescent="0.25">
      <c r="B1072" s="115" t="s">
        <v>1138</v>
      </c>
      <c r="D1072" s="115" t="s">
        <v>2603</v>
      </c>
      <c r="E1072" s="115" t="s">
        <v>2604</v>
      </c>
    </row>
    <row r="1073" spans="1:5" x14ac:dyDescent="0.25">
      <c r="A1073" s="115" t="s">
        <v>1137</v>
      </c>
      <c r="B1073" s="115" t="s">
        <v>2605</v>
      </c>
      <c r="D1073" s="115">
        <f>-127   -335   -523   -67</f>
        <v>-1052</v>
      </c>
      <c r="E1073" s="115" t="s">
        <v>2606</v>
      </c>
    </row>
    <row r="1074" spans="1:5" x14ac:dyDescent="0.25">
      <c r="B1074" s="115" t="s">
        <v>1401</v>
      </c>
      <c r="D1074" s="115" t="s">
        <v>2607</v>
      </c>
      <c r="E1074" s="115" t="s">
        <v>2608</v>
      </c>
    </row>
    <row r="1075" spans="1:5" x14ac:dyDescent="0.25">
      <c r="A1075" s="115">
        <v>6</v>
      </c>
      <c r="B1075" s="115" t="s">
        <v>2609</v>
      </c>
      <c r="D1075" s="115" t="s">
        <v>2610</v>
      </c>
      <c r="E1075" s="115" t="s">
        <v>2611</v>
      </c>
    </row>
    <row r="1076" spans="1:5" x14ac:dyDescent="0.25">
      <c r="B1076" s="115" t="s">
        <v>2612</v>
      </c>
      <c r="D1076" s="115" t="s">
        <v>2613</v>
      </c>
      <c r="E1076" s="115" t="s">
        <v>2614</v>
      </c>
    </row>
    <row r="1077" spans="1:5" x14ac:dyDescent="0.25">
      <c r="B1077" s="115" t="s">
        <v>1280</v>
      </c>
      <c r="D1077" s="115" t="s">
        <v>2615</v>
      </c>
      <c r="E1077" s="115" t="s">
        <v>2616</v>
      </c>
    </row>
    <row r="1078" spans="1:5" x14ac:dyDescent="0.25">
      <c r="A1078" s="115">
        <v>-2</v>
      </c>
      <c r="B1078" s="115" t="s">
        <v>2617</v>
      </c>
      <c r="D1078" s="115" t="s">
        <v>2618</v>
      </c>
      <c r="E1078" s="115" t="s">
        <v>2619</v>
      </c>
    </row>
    <row r="1079" spans="1:5" x14ac:dyDescent="0.25">
      <c r="B1079" s="115" t="s">
        <v>1138</v>
      </c>
      <c r="D1079" s="115" t="s">
        <v>2620</v>
      </c>
      <c r="E1079" s="115" t="s">
        <v>1140</v>
      </c>
    </row>
    <row r="1080" spans="1:5" x14ac:dyDescent="0.25">
      <c r="B1080" s="115" t="s">
        <v>1138</v>
      </c>
      <c r="D1080" s="115" t="s">
        <v>2621</v>
      </c>
      <c r="E1080" s="115" t="s">
        <v>2622</v>
      </c>
    </row>
    <row r="1081" spans="1:5" x14ac:dyDescent="0.25">
      <c r="A1081" s="115">
        <v>7</v>
      </c>
      <c r="B1081" s="115" t="s">
        <v>2623</v>
      </c>
      <c r="D1081" s="115" t="s">
        <v>2624</v>
      </c>
      <c r="E1081" s="115" t="s">
        <v>2625</v>
      </c>
    </row>
    <row r="1082" spans="1:5" x14ac:dyDescent="0.25">
      <c r="B1082" s="115" t="s">
        <v>1138</v>
      </c>
      <c r="D1082" s="115" t="s">
        <v>2626</v>
      </c>
      <c r="E1082" s="115" t="s">
        <v>1818</v>
      </c>
    </row>
    <row r="1083" spans="1:5" x14ac:dyDescent="0.25">
      <c r="B1083" s="115" t="s">
        <v>1138</v>
      </c>
      <c r="D1083" s="115" t="s">
        <v>2627</v>
      </c>
      <c r="E1083" s="115" t="s">
        <v>2628</v>
      </c>
    </row>
    <row r="1084" spans="1:5" x14ac:dyDescent="0.25">
      <c r="B1084" s="115" t="s">
        <v>2629</v>
      </c>
      <c r="D1084" s="115" t="s">
        <v>2630</v>
      </c>
      <c r="E1084" s="115" t="s">
        <v>2631</v>
      </c>
    </row>
    <row r="1085" spans="1:5" x14ac:dyDescent="0.25">
      <c r="A1085" s="115">
        <v>-2</v>
      </c>
      <c r="B1085" s="115" t="s">
        <v>2632</v>
      </c>
      <c r="C1085" s="115" t="s">
        <v>1137</v>
      </c>
      <c r="D1085" s="115" t="s">
        <v>2633</v>
      </c>
      <c r="E1085" s="115" t="s">
        <v>1858</v>
      </c>
    </row>
    <row r="1086" spans="1:5" x14ac:dyDescent="0.25">
      <c r="A1086" s="115">
        <v>-2</v>
      </c>
      <c r="B1086" s="115" t="s">
        <v>2634</v>
      </c>
      <c r="C1086" s="115" t="s">
        <v>1137</v>
      </c>
      <c r="D1086" s="115" t="s">
        <v>2635</v>
      </c>
      <c r="E1086" s="115" t="s">
        <v>2636</v>
      </c>
    </row>
    <row r="1087" spans="1:5" x14ac:dyDescent="0.25">
      <c r="A1087" s="115">
        <v>18</v>
      </c>
      <c r="B1087" s="115" t="s">
        <v>2637</v>
      </c>
      <c r="D1087" s="115" t="s">
        <v>2638</v>
      </c>
      <c r="E1087" s="115" t="s">
        <v>2639</v>
      </c>
    </row>
    <row r="1088" spans="1:5" x14ac:dyDescent="0.25">
      <c r="B1088" s="115" t="s">
        <v>1279</v>
      </c>
      <c r="D1088" s="115">
        <f>-57  -3002  -1746   -37</f>
        <v>-4842</v>
      </c>
      <c r="E1088" s="115" t="s">
        <v>1758</v>
      </c>
    </row>
    <row r="1089" spans="1:5" x14ac:dyDescent="0.25">
      <c r="A1089" s="115" t="s">
        <v>1137</v>
      </c>
      <c r="B1089" s="115" t="s">
        <v>2640</v>
      </c>
      <c r="D1089" s="115" t="s">
        <v>2641</v>
      </c>
      <c r="E1089" s="115" t="s">
        <v>2642</v>
      </c>
    </row>
    <row r="1090" spans="1:5" x14ac:dyDescent="0.25">
      <c r="B1090" s="115" t="s">
        <v>1138</v>
      </c>
      <c r="D1090" s="115" t="s">
        <v>1139</v>
      </c>
      <c r="E1090" s="115" t="s">
        <v>1140</v>
      </c>
    </row>
    <row r="1091" spans="1:5" x14ac:dyDescent="0.25">
      <c r="B1091" s="115" t="s">
        <v>1138</v>
      </c>
      <c r="D1091" s="115" t="s">
        <v>1139</v>
      </c>
      <c r="E1091" s="115" t="s">
        <v>1140</v>
      </c>
    </row>
    <row r="1092" spans="1:5" x14ac:dyDescent="0.25">
      <c r="B1092" s="115" t="s">
        <v>1138</v>
      </c>
      <c r="D1092" s="115" t="s">
        <v>1139</v>
      </c>
      <c r="E1092" s="115" t="s">
        <v>1140</v>
      </c>
    </row>
    <row r="1093" spans="1:5" x14ac:dyDescent="0.25">
      <c r="B1093" s="115" t="s">
        <v>1138</v>
      </c>
      <c r="D1093" s="115" t="s">
        <v>1139</v>
      </c>
      <c r="E1093" s="115" t="s">
        <v>1140</v>
      </c>
    </row>
    <row r="1094" spans="1:5" x14ac:dyDescent="0.25">
      <c r="B1094" s="115" t="s">
        <v>1138</v>
      </c>
      <c r="D1094" s="115" t="s">
        <v>1139</v>
      </c>
      <c r="E1094" s="115" t="s">
        <v>1140</v>
      </c>
    </row>
    <row r="1095" spans="1:5" x14ac:dyDescent="0.25">
      <c r="B1095" s="115" t="s">
        <v>1138</v>
      </c>
      <c r="D1095" s="115" t="s">
        <v>1139</v>
      </c>
      <c r="E1095" s="115" t="s">
        <v>1140</v>
      </c>
    </row>
    <row r="1096" spans="1:5" x14ac:dyDescent="0.25">
      <c r="B1096" s="115" t="s">
        <v>1138</v>
      </c>
      <c r="D1096" s="115" t="s">
        <v>1139</v>
      </c>
      <c r="E1096" s="115" t="s">
        <v>1140</v>
      </c>
    </row>
    <row r="1097" spans="1:5" x14ac:dyDescent="0.25">
      <c r="B1097" s="115" t="s">
        <v>1138</v>
      </c>
      <c r="D1097" s="115" t="s">
        <v>1139</v>
      </c>
      <c r="E1097" s="115" t="s">
        <v>1140</v>
      </c>
    </row>
    <row r="1098" spans="1:5" x14ac:dyDescent="0.25">
      <c r="B1098" s="115" t="s">
        <v>1138</v>
      </c>
      <c r="D1098" s="115" t="s">
        <v>1139</v>
      </c>
      <c r="E1098" s="115" t="s">
        <v>1140</v>
      </c>
    </row>
    <row r="1099" spans="1:5" x14ac:dyDescent="0.25">
      <c r="B1099" s="115" t="s">
        <v>1138</v>
      </c>
      <c r="D1099" s="115" t="s">
        <v>1139</v>
      </c>
      <c r="E1099" s="115" t="s">
        <v>1140</v>
      </c>
    </row>
    <row r="1100" spans="1:5" x14ac:dyDescent="0.25">
      <c r="B1100" s="115" t="s">
        <v>1138</v>
      </c>
      <c r="D1100" s="115" t="s">
        <v>1139</v>
      </c>
      <c r="E1100" s="115" t="s">
        <v>1140</v>
      </c>
    </row>
    <row r="1101" spans="1:5" x14ac:dyDescent="0.25">
      <c r="B1101" s="115" t="s">
        <v>1138</v>
      </c>
      <c r="D1101" s="115" t="s">
        <v>1139</v>
      </c>
      <c r="E1101" s="115" t="s">
        <v>1140</v>
      </c>
    </row>
    <row r="1102" spans="1:5" x14ac:dyDescent="0.25">
      <c r="B1102" s="115" t="s">
        <v>2643</v>
      </c>
      <c r="D1102" s="115" t="s">
        <v>2644</v>
      </c>
      <c r="E1102" s="115" t="s">
        <v>2645</v>
      </c>
    </row>
    <row r="1103" spans="1:5" x14ac:dyDescent="0.25">
      <c r="B1103" s="115" t="s">
        <v>1138</v>
      </c>
      <c r="D1103" s="115" t="s">
        <v>2646</v>
      </c>
      <c r="E1103" s="115" t="s">
        <v>1140</v>
      </c>
    </row>
    <row r="1104" spans="1:5" x14ac:dyDescent="0.25">
      <c r="B1104" s="115" t="s">
        <v>1138</v>
      </c>
      <c r="D1104" s="115" t="s">
        <v>2647</v>
      </c>
      <c r="E1104" s="115" t="s">
        <v>2648</v>
      </c>
    </row>
    <row r="1105" spans="1:5" x14ac:dyDescent="0.25">
      <c r="B1105" s="115">
        <f>-6    -93</f>
        <v>-99</v>
      </c>
      <c r="D1105" s="115" t="s">
        <v>2649</v>
      </c>
      <c r="E1105" s="115" t="s">
        <v>2650</v>
      </c>
    </row>
    <row r="1106" spans="1:5" x14ac:dyDescent="0.25">
      <c r="B1106" s="115" t="s">
        <v>1342</v>
      </c>
      <c r="D1106" s="115" t="s">
        <v>1139</v>
      </c>
      <c r="E1106" s="115" t="s">
        <v>2651</v>
      </c>
    </row>
    <row r="1107" spans="1:5" x14ac:dyDescent="0.25">
      <c r="B1107" s="115" t="s">
        <v>1138</v>
      </c>
      <c r="D1107" s="115" t="s">
        <v>2652</v>
      </c>
      <c r="E1107" s="115" t="s">
        <v>2653</v>
      </c>
    </row>
    <row r="1108" spans="1:5" x14ac:dyDescent="0.25">
      <c r="B1108" s="115" t="s">
        <v>1138</v>
      </c>
      <c r="D1108" s="115" t="s">
        <v>2654</v>
      </c>
      <c r="E1108" s="115" t="s">
        <v>2655</v>
      </c>
    </row>
    <row r="1109" spans="1:5" x14ac:dyDescent="0.25">
      <c r="B1109" s="115" t="s">
        <v>2656</v>
      </c>
      <c r="D1109" s="115" t="s">
        <v>2657</v>
      </c>
      <c r="E1109" s="115" t="s">
        <v>2658</v>
      </c>
    </row>
    <row r="1110" spans="1:5" x14ac:dyDescent="0.25">
      <c r="B1110" s="115" t="s">
        <v>2659</v>
      </c>
      <c r="D1110" s="115" t="s">
        <v>2660</v>
      </c>
      <c r="E1110" s="115" t="s">
        <v>2661</v>
      </c>
    </row>
    <row r="1111" spans="1:5" x14ac:dyDescent="0.25">
      <c r="B1111" s="115" t="s">
        <v>2662</v>
      </c>
      <c r="D1111" s="115" t="s">
        <v>2663</v>
      </c>
      <c r="E1111" s="115" t="s">
        <v>2664</v>
      </c>
    </row>
    <row r="1112" spans="1:5" x14ac:dyDescent="0.25">
      <c r="B1112" s="115" t="s">
        <v>2665</v>
      </c>
      <c r="D1112" s="115" t="s">
        <v>2666</v>
      </c>
      <c r="E1112" s="115" t="s">
        <v>2667</v>
      </c>
    </row>
    <row r="1113" spans="1:5" x14ac:dyDescent="0.25">
      <c r="B1113" s="115" t="s">
        <v>2668</v>
      </c>
      <c r="D1113" s="115" t="s">
        <v>2669</v>
      </c>
      <c r="E1113" s="115" t="s">
        <v>2670</v>
      </c>
    </row>
    <row r="1114" spans="1:5" x14ac:dyDescent="0.25">
      <c r="A1114" s="115">
        <v>-1</v>
      </c>
      <c r="B1114" s="115" t="s">
        <v>2671</v>
      </c>
      <c r="D1114" s="115" t="s">
        <v>1139</v>
      </c>
      <c r="E1114" s="115" t="s">
        <v>1140</v>
      </c>
    </row>
    <row r="1115" spans="1:5" x14ac:dyDescent="0.25">
      <c r="B1115" s="115" t="s">
        <v>1138</v>
      </c>
      <c r="D1115" s="115" t="s">
        <v>1139</v>
      </c>
      <c r="E1115" s="115" t="s">
        <v>1140</v>
      </c>
    </row>
    <row r="1116" spans="1:5" x14ac:dyDescent="0.25">
      <c r="B1116" s="115" t="s">
        <v>1138</v>
      </c>
      <c r="D1116" s="115" t="s">
        <v>1139</v>
      </c>
      <c r="E1116" s="115" t="s">
        <v>1140</v>
      </c>
    </row>
    <row r="1117" spans="1:5" x14ac:dyDescent="0.25">
      <c r="B1117" s="115" t="s">
        <v>1138</v>
      </c>
      <c r="D1117" s="115" t="s">
        <v>1139</v>
      </c>
      <c r="E1117" s="115" t="s">
        <v>1140</v>
      </c>
    </row>
    <row r="1118" spans="1:5" x14ac:dyDescent="0.25">
      <c r="B1118" s="115" t="s">
        <v>1138</v>
      </c>
      <c r="D1118" s="115" t="s">
        <v>1139</v>
      </c>
      <c r="E1118" s="115" t="s">
        <v>1140</v>
      </c>
    </row>
    <row r="1119" spans="1:5" x14ac:dyDescent="0.25">
      <c r="B1119" s="115" t="s">
        <v>1138</v>
      </c>
      <c r="D1119" s="115" t="s">
        <v>1139</v>
      </c>
      <c r="E1119" s="115" t="s">
        <v>1140</v>
      </c>
    </row>
    <row r="1120" spans="1:5" x14ac:dyDescent="0.25">
      <c r="B1120" s="115" t="s">
        <v>1138</v>
      </c>
      <c r="D1120" s="115" t="s">
        <v>1139</v>
      </c>
      <c r="E1120" s="115" t="s">
        <v>1140</v>
      </c>
    </row>
    <row r="1121" spans="2:5" x14ac:dyDescent="0.25">
      <c r="B1121" s="115" t="s">
        <v>1138</v>
      </c>
      <c r="D1121" s="115" t="s">
        <v>1139</v>
      </c>
      <c r="E1121" s="115" t="s">
        <v>1140</v>
      </c>
    </row>
    <row r="1122" spans="2:5" x14ac:dyDescent="0.25">
      <c r="B1122" s="115" t="s">
        <v>1138</v>
      </c>
      <c r="D1122" s="115" t="s">
        <v>1139</v>
      </c>
      <c r="E1122" s="115" t="s">
        <v>1140</v>
      </c>
    </row>
    <row r="1123" spans="2:5" x14ac:dyDescent="0.25">
      <c r="B1123" s="115" t="s">
        <v>1138</v>
      </c>
      <c r="D1123" s="115" t="s">
        <v>1139</v>
      </c>
      <c r="E1123" s="115" t="s">
        <v>1140</v>
      </c>
    </row>
    <row r="1124" spans="2:5" x14ac:dyDescent="0.25">
      <c r="B1124" s="115" t="s">
        <v>1138</v>
      </c>
      <c r="D1124" s="115" t="s">
        <v>1139</v>
      </c>
      <c r="E1124" s="115" t="s">
        <v>1140</v>
      </c>
    </row>
    <row r="1125" spans="2:5" x14ac:dyDescent="0.25">
      <c r="B1125" s="115" t="s">
        <v>1138</v>
      </c>
      <c r="D1125" s="115" t="s">
        <v>1139</v>
      </c>
      <c r="E1125" s="115" t="s">
        <v>1140</v>
      </c>
    </row>
    <row r="1126" spans="2:5" x14ac:dyDescent="0.25">
      <c r="B1126" s="115" t="s">
        <v>1138</v>
      </c>
      <c r="D1126" s="115" t="s">
        <v>1139</v>
      </c>
      <c r="E1126" s="115" t="s">
        <v>1140</v>
      </c>
    </row>
    <row r="1127" spans="2:5" x14ac:dyDescent="0.25">
      <c r="B1127" s="115" t="s">
        <v>1138</v>
      </c>
      <c r="D1127" s="115" t="s">
        <v>1139</v>
      </c>
      <c r="E1127" s="115" t="s">
        <v>1140</v>
      </c>
    </row>
    <row r="1128" spans="2:5" x14ac:dyDescent="0.25">
      <c r="B1128" s="115" t="s">
        <v>1138</v>
      </c>
      <c r="D1128" s="115" t="s">
        <v>1139</v>
      </c>
      <c r="E1128" s="115" t="s">
        <v>1140</v>
      </c>
    </row>
    <row r="1129" spans="2:5" x14ac:dyDescent="0.25">
      <c r="B1129" s="115" t="s">
        <v>1138</v>
      </c>
      <c r="D1129" s="115" t="s">
        <v>1139</v>
      </c>
      <c r="E1129" s="115" t="s">
        <v>1140</v>
      </c>
    </row>
    <row r="1130" spans="2:5" x14ac:dyDescent="0.25">
      <c r="B1130" s="115" t="s">
        <v>1138</v>
      </c>
      <c r="D1130" s="115" t="s">
        <v>1139</v>
      </c>
      <c r="E1130" s="115" t="s">
        <v>1140</v>
      </c>
    </row>
    <row r="1131" spans="2:5" x14ac:dyDescent="0.25">
      <c r="B1131" s="115" t="s">
        <v>1138</v>
      </c>
      <c r="D1131" s="115" t="s">
        <v>1139</v>
      </c>
      <c r="E1131" s="115" t="s">
        <v>1140</v>
      </c>
    </row>
    <row r="1132" spans="2:5" x14ac:dyDescent="0.25">
      <c r="B1132" s="115" t="s">
        <v>1138</v>
      </c>
      <c r="D1132" s="115" t="s">
        <v>1139</v>
      </c>
      <c r="E1132" s="115" t="s">
        <v>1140</v>
      </c>
    </row>
    <row r="1133" spans="2:5" x14ac:dyDescent="0.25">
      <c r="B1133" s="115" t="s">
        <v>1138</v>
      </c>
      <c r="D1133" s="115" t="s">
        <v>1139</v>
      </c>
      <c r="E1133" s="115" t="s">
        <v>1140</v>
      </c>
    </row>
    <row r="1134" spans="2:5" x14ac:dyDescent="0.25">
      <c r="B1134" s="115" t="s">
        <v>1138</v>
      </c>
      <c r="D1134" s="115" t="s">
        <v>1139</v>
      </c>
      <c r="E1134" s="115" t="s">
        <v>1140</v>
      </c>
    </row>
    <row r="1135" spans="2:5" x14ac:dyDescent="0.25">
      <c r="B1135" s="115" t="s">
        <v>1138</v>
      </c>
      <c r="D1135" s="115" t="s">
        <v>1139</v>
      </c>
      <c r="E1135" s="115" t="s">
        <v>1140</v>
      </c>
    </row>
    <row r="1136" spans="2:5" x14ac:dyDescent="0.25">
      <c r="B1136" s="115" t="s">
        <v>1138</v>
      </c>
      <c r="D1136" s="115" t="s">
        <v>1139</v>
      </c>
      <c r="E1136" s="115" t="s">
        <v>1140</v>
      </c>
    </row>
    <row r="1137" spans="1:5" x14ac:dyDescent="0.25">
      <c r="B1137" s="115" t="s">
        <v>1138</v>
      </c>
      <c r="D1137" s="115" t="s">
        <v>1139</v>
      </c>
      <c r="E1137" s="115" t="s">
        <v>1140</v>
      </c>
    </row>
    <row r="1138" spans="1:5" x14ac:dyDescent="0.25">
      <c r="B1138" s="115" t="s">
        <v>1138</v>
      </c>
      <c r="D1138" s="115" t="s">
        <v>1139</v>
      </c>
      <c r="E1138" s="115" t="s">
        <v>1140</v>
      </c>
    </row>
    <row r="1139" spans="1:5" x14ac:dyDescent="0.25">
      <c r="A1139" s="115">
        <v>-3</v>
      </c>
      <c r="B1139" s="115" t="s">
        <v>2672</v>
      </c>
      <c r="D1139" s="115" t="s">
        <v>2673</v>
      </c>
      <c r="E1139" s="115" t="s">
        <v>2674</v>
      </c>
    </row>
    <row r="1140" spans="1:5" x14ac:dyDescent="0.25">
      <c r="B1140" s="115" t="s">
        <v>1138</v>
      </c>
      <c r="D1140" s="115" t="s">
        <v>2675</v>
      </c>
      <c r="E1140" s="115" t="s">
        <v>1140</v>
      </c>
    </row>
    <row r="1141" spans="1:5" x14ac:dyDescent="0.25">
      <c r="B1141" s="115" t="s">
        <v>1138</v>
      </c>
      <c r="D1141" s="115" t="s">
        <v>2676</v>
      </c>
      <c r="E1141" s="115" t="s">
        <v>2677</v>
      </c>
    </row>
    <row r="1142" spans="1:5" x14ac:dyDescent="0.25">
      <c r="A1142" s="115">
        <v>-1</v>
      </c>
      <c r="B1142" s="115" t="s">
        <v>2678</v>
      </c>
      <c r="D1142" s="115" t="s">
        <v>2679</v>
      </c>
      <c r="E1142" s="115" t="s">
        <v>2680</v>
      </c>
    </row>
    <row r="1143" spans="1:5" x14ac:dyDescent="0.25">
      <c r="B1143" s="115" t="s">
        <v>1138</v>
      </c>
      <c r="D1143" s="115" t="s">
        <v>2681</v>
      </c>
      <c r="E1143" s="115" t="s">
        <v>1858</v>
      </c>
    </row>
    <row r="1144" spans="1:5" x14ac:dyDescent="0.25">
      <c r="B1144" s="115" t="s">
        <v>1138</v>
      </c>
      <c r="D1144" s="115" t="s">
        <v>2682</v>
      </c>
      <c r="E1144" s="115" t="s">
        <v>2683</v>
      </c>
    </row>
    <row r="1145" spans="1:5" x14ac:dyDescent="0.25">
      <c r="B1145" s="115" t="s">
        <v>2684</v>
      </c>
      <c r="C1145" s="115" t="s">
        <v>1137</v>
      </c>
      <c r="D1145" s="115" t="s">
        <v>2685</v>
      </c>
      <c r="E1145" s="115" t="s">
        <v>2686</v>
      </c>
    </row>
    <row r="1146" spans="1:5" x14ac:dyDescent="0.25">
      <c r="B1146" s="115" t="s">
        <v>2687</v>
      </c>
      <c r="D1146" s="115" t="s">
        <v>2688</v>
      </c>
      <c r="E1146" s="115" t="s">
        <v>2689</v>
      </c>
    </row>
    <row r="1147" spans="1:5" x14ac:dyDescent="0.25">
      <c r="A1147" s="115">
        <v>-3</v>
      </c>
      <c r="B1147" s="115" t="s">
        <v>2690</v>
      </c>
      <c r="D1147" s="115" t="s">
        <v>2691</v>
      </c>
      <c r="E1147" s="115" t="s">
        <v>2692</v>
      </c>
    </row>
    <row r="1148" spans="1:5" x14ac:dyDescent="0.25">
      <c r="A1148" s="115" t="s">
        <v>1137</v>
      </c>
      <c r="B1148" s="115" t="s">
        <v>2693</v>
      </c>
      <c r="C1148" s="115" t="s">
        <v>1137</v>
      </c>
      <c r="D1148" s="115" t="s">
        <v>2694</v>
      </c>
      <c r="E1148" s="115" t="s">
        <v>2695</v>
      </c>
    </row>
    <row r="1149" spans="1:5" x14ac:dyDescent="0.25">
      <c r="B1149" s="115" t="s">
        <v>1521</v>
      </c>
      <c r="D1149" s="115" t="s">
        <v>2696</v>
      </c>
      <c r="E1149" s="115" t="s">
        <v>1758</v>
      </c>
    </row>
    <row r="1150" spans="1:5" x14ac:dyDescent="0.25">
      <c r="A1150" s="115">
        <v>-1</v>
      </c>
      <c r="B1150" s="115" t="s">
        <v>2697</v>
      </c>
      <c r="D1150" s="115" t="s">
        <v>2698</v>
      </c>
      <c r="E1150" s="115" t="s">
        <v>2699</v>
      </c>
    </row>
    <row r="1151" spans="1:5" x14ac:dyDescent="0.25">
      <c r="A1151" s="115">
        <v>-3</v>
      </c>
      <c r="B1151" s="115" t="s">
        <v>1350</v>
      </c>
      <c r="C1151" s="115">
        <v>1</v>
      </c>
      <c r="D1151" s="115" t="s">
        <v>2700</v>
      </c>
      <c r="E1151" s="115" t="s">
        <v>2701</v>
      </c>
    </row>
    <row r="1152" spans="1:5" x14ac:dyDescent="0.25">
      <c r="B1152" s="115" t="s">
        <v>2702</v>
      </c>
      <c r="D1152" s="115" t="s">
        <v>2703</v>
      </c>
      <c r="E1152" s="115" t="s">
        <v>2704</v>
      </c>
    </row>
    <row r="1153" spans="1:5" x14ac:dyDescent="0.25">
      <c r="B1153" s="115" t="s">
        <v>1138</v>
      </c>
      <c r="D1153" s="115" t="s">
        <v>1139</v>
      </c>
      <c r="E1153" s="115" t="s">
        <v>2705</v>
      </c>
    </row>
    <row r="1154" spans="1:5" x14ac:dyDescent="0.25">
      <c r="B1154" s="115" t="s">
        <v>2706</v>
      </c>
      <c r="D1154" s="115">
        <f>-956   -232   -215   -20</f>
        <v>-1423</v>
      </c>
      <c r="E1154" s="115" t="s">
        <v>2707</v>
      </c>
    </row>
    <row r="1155" spans="1:5" x14ac:dyDescent="0.25">
      <c r="A1155" s="115" t="s">
        <v>1137</v>
      </c>
      <c r="B1155" s="115" t="s">
        <v>1392</v>
      </c>
      <c r="D1155" s="115" t="s">
        <v>2708</v>
      </c>
      <c r="E1155" s="115" t="s">
        <v>1140</v>
      </c>
    </row>
    <row r="1156" spans="1:5" x14ac:dyDescent="0.25">
      <c r="A1156" s="115" t="s">
        <v>1137</v>
      </c>
      <c r="B1156" s="115" t="s">
        <v>1194</v>
      </c>
      <c r="D1156" s="115" t="s">
        <v>1139</v>
      </c>
      <c r="E1156" s="115" t="s">
        <v>2709</v>
      </c>
    </row>
    <row r="1157" spans="1:5" x14ac:dyDescent="0.25">
      <c r="B1157" s="115" t="s">
        <v>2710</v>
      </c>
      <c r="D1157" s="115" t="s">
        <v>1139</v>
      </c>
      <c r="E1157" s="115" t="s">
        <v>2711</v>
      </c>
    </row>
    <row r="1158" spans="1:5" x14ac:dyDescent="0.25">
      <c r="B1158" s="115" t="s">
        <v>2712</v>
      </c>
      <c r="D1158" s="115" t="s">
        <v>2713</v>
      </c>
      <c r="E1158" s="115" t="s">
        <v>2714</v>
      </c>
    </row>
    <row r="1159" spans="1:5" x14ac:dyDescent="0.25">
      <c r="A1159" s="115" t="s">
        <v>1137</v>
      </c>
      <c r="B1159" s="115" t="s">
        <v>1351</v>
      </c>
      <c r="D1159" s="115" t="s">
        <v>2715</v>
      </c>
      <c r="E1159" s="115" t="s">
        <v>2716</v>
      </c>
    </row>
    <row r="1160" spans="1:5" x14ac:dyDescent="0.25">
      <c r="A1160" s="115">
        <v>-1</v>
      </c>
      <c r="B1160" s="115" t="s">
        <v>2717</v>
      </c>
      <c r="C1160" s="115" t="s">
        <v>1137</v>
      </c>
      <c r="D1160" s="115" t="s">
        <v>2718</v>
      </c>
      <c r="E1160" s="115" t="s">
        <v>2719</v>
      </c>
    </row>
    <row r="1161" spans="1:5" x14ac:dyDescent="0.25">
      <c r="B1161" s="115" t="s">
        <v>2720</v>
      </c>
      <c r="D1161" s="115" t="s">
        <v>2721</v>
      </c>
      <c r="E1161" s="115" t="s">
        <v>2722</v>
      </c>
    </row>
    <row r="1162" spans="1:5" x14ac:dyDescent="0.25">
      <c r="B1162" s="115" t="s">
        <v>1412</v>
      </c>
      <c r="D1162" s="115" t="s">
        <v>2383</v>
      </c>
      <c r="E1162" s="115" t="s">
        <v>2723</v>
      </c>
    </row>
    <row r="1163" spans="1:5" x14ac:dyDescent="0.25">
      <c r="A1163" s="115">
        <v>6</v>
      </c>
      <c r="B1163" s="115" t="s">
        <v>2724</v>
      </c>
      <c r="D1163" s="115" t="s">
        <v>2725</v>
      </c>
      <c r="E1163" s="115" t="s">
        <v>2726</v>
      </c>
    </row>
    <row r="1164" spans="1:5" x14ac:dyDescent="0.25">
      <c r="A1164" s="115">
        <v>-11</v>
      </c>
      <c r="B1164" s="115" t="s">
        <v>1284</v>
      </c>
      <c r="D1164" s="115" t="s">
        <v>1139</v>
      </c>
      <c r="E1164" s="115" t="s">
        <v>1140</v>
      </c>
    </row>
    <row r="1165" spans="1:5" x14ac:dyDescent="0.25">
      <c r="B1165" s="115" t="s">
        <v>1138</v>
      </c>
      <c r="D1165" s="115" t="s">
        <v>1139</v>
      </c>
      <c r="E1165" s="115" t="s">
        <v>1140</v>
      </c>
    </row>
    <row r="1166" spans="1:5" x14ac:dyDescent="0.25">
      <c r="B1166" s="115" t="s">
        <v>1138</v>
      </c>
      <c r="D1166" s="115" t="s">
        <v>1139</v>
      </c>
      <c r="E1166" s="115" t="s">
        <v>1140</v>
      </c>
    </row>
    <row r="1167" spans="1:5" x14ac:dyDescent="0.25">
      <c r="B1167" s="115" t="s">
        <v>1138</v>
      </c>
      <c r="D1167" s="115" t="s">
        <v>1139</v>
      </c>
      <c r="E1167" s="115" t="s">
        <v>1140</v>
      </c>
    </row>
    <row r="1168" spans="1:5" x14ac:dyDescent="0.25">
      <c r="B1168" s="115" t="s">
        <v>1138</v>
      </c>
      <c r="D1168" s="115" t="s">
        <v>1139</v>
      </c>
      <c r="E1168" s="115" t="s">
        <v>1140</v>
      </c>
    </row>
    <row r="1169" spans="1:5" x14ac:dyDescent="0.25">
      <c r="B1169" s="115" t="s">
        <v>1138</v>
      </c>
      <c r="D1169" s="115" t="s">
        <v>1139</v>
      </c>
      <c r="E1169" s="115" t="s">
        <v>1140</v>
      </c>
    </row>
    <row r="1170" spans="1:5" x14ac:dyDescent="0.25">
      <c r="B1170" s="115" t="s">
        <v>1138</v>
      </c>
      <c r="D1170" s="115" t="s">
        <v>1139</v>
      </c>
      <c r="E1170" s="115" t="s">
        <v>1140</v>
      </c>
    </row>
    <row r="1171" spans="1:5" x14ac:dyDescent="0.25">
      <c r="B1171" s="115" t="s">
        <v>1138</v>
      </c>
      <c r="D1171" s="115" t="s">
        <v>1139</v>
      </c>
      <c r="E1171" s="115" t="s">
        <v>1140</v>
      </c>
    </row>
    <row r="1172" spans="1:5" x14ac:dyDescent="0.25">
      <c r="B1172" s="115" t="s">
        <v>1138</v>
      </c>
      <c r="D1172" s="115" t="s">
        <v>1139</v>
      </c>
      <c r="E1172" s="115" t="s">
        <v>1140</v>
      </c>
    </row>
    <row r="1173" spans="1:5" x14ac:dyDescent="0.25">
      <c r="B1173" s="115" t="s">
        <v>1138</v>
      </c>
      <c r="D1173" s="115" t="s">
        <v>1139</v>
      </c>
      <c r="E1173" s="115" t="s">
        <v>1140</v>
      </c>
    </row>
    <row r="1174" spans="1:5" x14ac:dyDescent="0.25">
      <c r="B1174" s="115" t="s">
        <v>1138</v>
      </c>
      <c r="D1174" s="115" t="s">
        <v>1139</v>
      </c>
      <c r="E1174" s="115" t="s">
        <v>1140</v>
      </c>
    </row>
    <row r="1175" spans="1:5" x14ac:dyDescent="0.25">
      <c r="B1175" s="115" t="s">
        <v>1138</v>
      </c>
      <c r="D1175" s="115" t="s">
        <v>1139</v>
      </c>
      <c r="E1175" s="115" t="s">
        <v>1140</v>
      </c>
    </row>
    <row r="1176" spans="1:5" x14ac:dyDescent="0.25">
      <c r="B1176" s="115" t="s">
        <v>1138</v>
      </c>
      <c r="D1176" s="115" t="s">
        <v>1139</v>
      </c>
      <c r="E1176" s="115" t="s">
        <v>2727</v>
      </c>
    </row>
    <row r="1177" spans="1:5" x14ac:dyDescent="0.25">
      <c r="A1177" s="115" t="s">
        <v>1137</v>
      </c>
      <c r="B1177" s="115" t="s">
        <v>2728</v>
      </c>
      <c r="D1177" s="115" t="s">
        <v>2729</v>
      </c>
      <c r="E1177" s="115" t="s">
        <v>2730</v>
      </c>
    </row>
    <row r="1178" spans="1:5" x14ac:dyDescent="0.25">
      <c r="A1178" s="115" t="s">
        <v>1137</v>
      </c>
      <c r="B1178" s="115" t="s">
        <v>2731</v>
      </c>
      <c r="D1178" s="115" t="s">
        <v>1139</v>
      </c>
      <c r="E1178" s="115" t="s">
        <v>1140</v>
      </c>
    </row>
    <row r="1179" spans="1:5" x14ac:dyDescent="0.25">
      <c r="A1179" s="115" t="s">
        <v>1137</v>
      </c>
      <c r="B1179" s="115" t="s">
        <v>2732</v>
      </c>
      <c r="D1179" s="115" t="s">
        <v>2733</v>
      </c>
      <c r="E1179" s="115" t="s">
        <v>2734</v>
      </c>
    </row>
    <row r="1180" spans="1:5" x14ac:dyDescent="0.25">
      <c r="B1180" s="115" t="s">
        <v>1138</v>
      </c>
      <c r="D1180" s="115" t="s">
        <v>2735</v>
      </c>
      <c r="E1180" s="115" t="s">
        <v>2736</v>
      </c>
    </row>
    <row r="1181" spans="1:5" x14ac:dyDescent="0.25">
      <c r="B1181" s="115" t="s">
        <v>1138</v>
      </c>
      <c r="D1181" s="115" t="s">
        <v>1604</v>
      </c>
      <c r="E1181" s="115" t="s">
        <v>1140</v>
      </c>
    </row>
    <row r="1182" spans="1:5" x14ac:dyDescent="0.25">
      <c r="B1182" s="115" t="s">
        <v>2165</v>
      </c>
      <c r="D1182" s="115" t="s">
        <v>2737</v>
      </c>
      <c r="E1182" s="115" t="s">
        <v>2738</v>
      </c>
    </row>
    <row r="1183" spans="1:5" x14ac:dyDescent="0.25">
      <c r="A1183" s="115" t="s">
        <v>1137</v>
      </c>
      <c r="B1183" s="115" t="s">
        <v>2739</v>
      </c>
      <c r="D1183" s="115" t="s">
        <v>2740</v>
      </c>
      <c r="E1183" s="115" t="s">
        <v>2741</v>
      </c>
    </row>
    <row r="1184" spans="1:5" x14ac:dyDescent="0.25">
      <c r="B1184" s="115" t="s">
        <v>2742</v>
      </c>
      <c r="D1184" s="115" t="s">
        <v>2743</v>
      </c>
      <c r="E1184" s="115" t="s">
        <v>2744</v>
      </c>
    </row>
    <row r="1185" spans="1:5" x14ac:dyDescent="0.25">
      <c r="B1185" s="115" t="s">
        <v>2745</v>
      </c>
      <c r="D1185" s="115" t="s">
        <v>2746</v>
      </c>
      <c r="E1185" s="115" t="s">
        <v>2747</v>
      </c>
    </row>
    <row r="1186" spans="1:5" x14ac:dyDescent="0.25">
      <c r="B1186" s="115">
        <f>-91    -26</f>
        <v>-117</v>
      </c>
      <c r="D1186" s="115" t="s">
        <v>2748</v>
      </c>
      <c r="E1186" s="115" t="s">
        <v>2749</v>
      </c>
    </row>
    <row r="1187" spans="1:5" x14ac:dyDescent="0.25">
      <c r="A1187" s="115">
        <v>1</v>
      </c>
      <c r="B1187" s="115" t="s">
        <v>2750</v>
      </c>
      <c r="D1187" s="115" t="s">
        <v>2751</v>
      </c>
      <c r="E1187" s="115" t="s">
        <v>2752</v>
      </c>
    </row>
    <row r="1188" spans="1:5" x14ac:dyDescent="0.25">
      <c r="B1188" s="115" t="s">
        <v>2753</v>
      </c>
      <c r="C1188" s="115" t="s">
        <v>1137</v>
      </c>
      <c r="D1188" s="115" t="s">
        <v>2754</v>
      </c>
      <c r="E1188" s="115" t="s">
        <v>2755</v>
      </c>
    </row>
    <row r="1189" spans="1:5" x14ac:dyDescent="0.25">
      <c r="B1189" s="115" t="s">
        <v>2756</v>
      </c>
      <c r="D1189" s="115" t="s">
        <v>2757</v>
      </c>
      <c r="E1189" s="115" t="s">
        <v>1140</v>
      </c>
    </row>
    <row r="1190" spans="1:5" x14ac:dyDescent="0.25">
      <c r="B1190" s="115" t="s">
        <v>1138</v>
      </c>
      <c r="D1190" s="115" t="s">
        <v>1139</v>
      </c>
      <c r="E1190" s="115" t="s">
        <v>1140</v>
      </c>
    </row>
    <row r="1191" spans="1:5" x14ac:dyDescent="0.25">
      <c r="B1191" s="115" t="s">
        <v>1138</v>
      </c>
      <c r="D1191" s="115" t="s">
        <v>1139</v>
      </c>
      <c r="E1191" s="115" t="s">
        <v>1140</v>
      </c>
    </row>
    <row r="1192" spans="1:5" x14ac:dyDescent="0.25">
      <c r="B1192" s="115" t="s">
        <v>1138</v>
      </c>
      <c r="D1192" s="115" t="s">
        <v>1139</v>
      </c>
      <c r="E1192" s="115" t="s">
        <v>1140</v>
      </c>
    </row>
    <row r="1193" spans="1:5" x14ac:dyDescent="0.25">
      <c r="B1193" s="115" t="s">
        <v>1138</v>
      </c>
      <c r="D1193" s="115" t="s">
        <v>1139</v>
      </c>
      <c r="E1193" s="115" t="s">
        <v>1140</v>
      </c>
    </row>
    <row r="1194" spans="1:5" x14ac:dyDescent="0.25">
      <c r="B1194" s="115" t="s">
        <v>1138</v>
      </c>
      <c r="D1194" s="115" t="s">
        <v>1139</v>
      </c>
      <c r="E1194" s="115" t="s">
        <v>1140</v>
      </c>
    </row>
    <row r="1195" spans="1:5" x14ac:dyDescent="0.25">
      <c r="B1195" s="115" t="s">
        <v>1138</v>
      </c>
      <c r="D1195" s="115" t="s">
        <v>1139</v>
      </c>
      <c r="E1195" s="115" t="s">
        <v>1140</v>
      </c>
    </row>
    <row r="1196" spans="1:5" x14ac:dyDescent="0.25">
      <c r="B1196" s="115" t="s">
        <v>1138</v>
      </c>
      <c r="D1196" s="115" t="s">
        <v>1139</v>
      </c>
      <c r="E1196" s="115" t="s">
        <v>1140</v>
      </c>
    </row>
    <row r="1197" spans="1:5" x14ac:dyDescent="0.25">
      <c r="B1197" s="115" t="s">
        <v>1138</v>
      </c>
      <c r="D1197" s="115" t="s">
        <v>1139</v>
      </c>
      <c r="E1197" s="115" t="s">
        <v>1140</v>
      </c>
    </row>
    <row r="1198" spans="1:5" x14ac:dyDescent="0.25">
      <c r="B1198" s="115" t="s">
        <v>1138</v>
      </c>
      <c r="D1198" s="115" t="s">
        <v>1139</v>
      </c>
      <c r="E1198" s="115" t="s">
        <v>1140</v>
      </c>
    </row>
    <row r="1199" spans="1:5" x14ac:dyDescent="0.25">
      <c r="B1199" s="115" t="s">
        <v>1138</v>
      </c>
      <c r="D1199" s="115" t="s">
        <v>1139</v>
      </c>
      <c r="E1199" s="115" t="s">
        <v>1140</v>
      </c>
    </row>
    <row r="1200" spans="1:5" x14ac:dyDescent="0.25">
      <c r="B1200" s="115" t="s">
        <v>1138</v>
      </c>
      <c r="D1200" s="115" t="s">
        <v>1139</v>
      </c>
      <c r="E1200" s="115" t="s">
        <v>1140</v>
      </c>
    </row>
    <row r="1201" spans="2:5" x14ac:dyDescent="0.25">
      <c r="B1201" s="115" t="s">
        <v>1138</v>
      </c>
      <c r="D1201" s="115" t="s">
        <v>1139</v>
      </c>
      <c r="E1201" s="115" t="s">
        <v>1140</v>
      </c>
    </row>
    <row r="1202" spans="2:5" x14ac:dyDescent="0.25">
      <c r="B1202" s="115" t="s">
        <v>1138</v>
      </c>
      <c r="D1202" s="115" t="s">
        <v>1139</v>
      </c>
      <c r="E1202" s="115" t="s">
        <v>1140</v>
      </c>
    </row>
    <row r="1203" spans="2:5" x14ac:dyDescent="0.25">
      <c r="B1203" s="115" t="s">
        <v>1138</v>
      </c>
      <c r="D1203" s="115" t="s">
        <v>1139</v>
      </c>
      <c r="E1203" s="115" t="s">
        <v>1140</v>
      </c>
    </row>
    <row r="1204" spans="2:5" x14ac:dyDescent="0.25">
      <c r="B1204" s="115" t="s">
        <v>1138</v>
      </c>
      <c r="D1204" s="115" t="s">
        <v>1139</v>
      </c>
      <c r="E1204" s="115" t="s">
        <v>1140</v>
      </c>
    </row>
    <row r="1205" spans="2:5" x14ac:dyDescent="0.25">
      <c r="B1205" s="115" t="s">
        <v>1138</v>
      </c>
      <c r="D1205" s="115" t="s">
        <v>1139</v>
      </c>
      <c r="E1205" s="115" t="s">
        <v>1140</v>
      </c>
    </row>
    <row r="1206" spans="2:5" x14ac:dyDescent="0.25">
      <c r="B1206" s="115" t="s">
        <v>1138</v>
      </c>
      <c r="D1206" s="115" t="s">
        <v>1139</v>
      </c>
      <c r="E1206" s="115" t="s">
        <v>1140</v>
      </c>
    </row>
    <row r="1207" spans="2:5" x14ac:dyDescent="0.25">
      <c r="B1207" s="115" t="s">
        <v>1138</v>
      </c>
      <c r="D1207" s="115" t="s">
        <v>1139</v>
      </c>
      <c r="E1207" s="115" t="s">
        <v>1140</v>
      </c>
    </row>
    <row r="1208" spans="2:5" x14ac:dyDescent="0.25">
      <c r="B1208" s="115" t="s">
        <v>1138</v>
      </c>
      <c r="D1208" s="115" t="s">
        <v>1139</v>
      </c>
      <c r="E1208" s="115" t="s">
        <v>1140</v>
      </c>
    </row>
    <row r="1209" spans="2:5" x14ac:dyDescent="0.25">
      <c r="B1209" s="115" t="s">
        <v>1138</v>
      </c>
      <c r="D1209" s="115" t="s">
        <v>1139</v>
      </c>
      <c r="E1209" s="115" t="s">
        <v>1140</v>
      </c>
    </row>
    <row r="1210" spans="2:5" x14ac:dyDescent="0.25">
      <c r="B1210" s="115" t="s">
        <v>1138</v>
      </c>
      <c r="D1210" s="115" t="s">
        <v>1139</v>
      </c>
      <c r="E1210" s="115" t="s">
        <v>1140</v>
      </c>
    </row>
    <row r="1211" spans="2:5" x14ac:dyDescent="0.25">
      <c r="B1211" s="115" t="s">
        <v>1138</v>
      </c>
      <c r="D1211" s="115" t="s">
        <v>1139</v>
      </c>
      <c r="E1211" s="115" t="s">
        <v>1140</v>
      </c>
    </row>
    <row r="1212" spans="2:5" x14ac:dyDescent="0.25">
      <c r="B1212" s="115" t="s">
        <v>1138</v>
      </c>
      <c r="D1212" s="115" t="s">
        <v>1139</v>
      </c>
      <c r="E1212" s="115" t="s">
        <v>1140</v>
      </c>
    </row>
    <row r="1213" spans="2:5" x14ac:dyDescent="0.25">
      <c r="B1213" s="115" t="s">
        <v>1138</v>
      </c>
      <c r="D1213" s="115" t="s">
        <v>1139</v>
      </c>
      <c r="E1213" s="115" t="s">
        <v>1140</v>
      </c>
    </row>
    <row r="1214" spans="2:5" x14ac:dyDescent="0.25">
      <c r="B1214" s="115" t="s">
        <v>1138</v>
      </c>
      <c r="D1214" s="115" t="s">
        <v>1139</v>
      </c>
      <c r="E1214" s="115" t="s">
        <v>1140</v>
      </c>
    </row>
    <row r="1215" spans="2:5" x14ac:dyDescent="0.25">
      <c r="B1215" s="115" t="s">
        <v>1138</v>
      </c>
      <c r="D1215" s="115" t="s">
        <v>2758</v>
      </c>
      <c r="E1215" s="115" t="s">
        <v>2759</v>
      </c>
    </row>
    <row r="1216" spans="2:5" x14ac:dyDescent="0.25">
      <c r="B1216" s="115" t="s">
        <v>2760</v>
      </c>
      <c r="D1216" s="115" t="s">
        <v>2761</v>
      </c>
      <c r="E1216" s="115" t="s">
        <v>2762</v>
      </c>
    </row>
    <row r="1217" spans="1:5" x14ac:dyDescent="0.25">
      <c r="B1217" s="115" t="s">
        <v>1138</v>
      </c>
      <c r="D1217" s="115" t="s">
        <v>1139</v>
      </c>
      <c r="E1217" s="115" t="s">
        <v>2763</v>
      </c>
    </row>
    <row r="1218" spans="1:5" x14ac:dyDescent="0.25">
      <c r="B1218" s="115" t="s">
        <v>2764</v>
      </c>
      <c r="D1218" s="115" t="s">
        <v>2765</v>
      </c>
      <c r="E1218" s="115" t="s">
        <v>2766</v>
      </c>
    </row>
    <row r="1219" spans="1:5" x14ac:dyDescent="0.25">
      <c r="B1219" s="115" t="s">
        <v>1296</v>
      </c>
      <c r="D1219" s="115" t="s">
        <v>2767</v>
      </c>
      <c r="E1219" s="115" t="s">
        <v>1140</v>
      </c>
    </row>
    <row r="1220" spans="1:5" x14ac:dyDescent="0.25">
      <c r="B1220" s="115" t="s">
        <v>2768</v>
      </c>
      <c r="D1220" s="115" t="s">
        <v>1139</v>
      </c>
      <c r="E1220" s="115" t="s">
        <v>2769</v>
      </c>
    </row>
    <row r="1221" spans="1:5" x14ac:dyDescent="0.25">
      <c r="B1221" s="115" t="s">
        <v>2770</v>
      </c>
      <c r="D1221" s="115" t="s">
        <v>1139</v>
      </c>
      <c r="E1221" s="115" t="s">
        <v>2771</v>
      </c>
    </row>
    <row r="1222" spans="1:5" x14ac:dyDescent="0.25">
      <c r="B1222" s="115" t="s">
        <v>2772</v>
      </c>
      <c r="D1222" s="115" t="s">
        <v>2773</v>
      </c>
      <c r="E1222" s="115" t="s">
        <v>2774</v>
      </c>
    </row>
    <row r="1223" spans="1:5" x14ac:dyDescent="0.25">
      <c r="B1223" s="115" t="s">
        <v>2775</v>
      </c>
      <c r="D1223" s="115" t="s">
        <v>2776</v>
      </c>
      <c r="E1223" s="115" t="s">
        <v>2777</v>
      </c>
    </row>
    <row r="1224" spans="1:5" x14ac:dyDescent="0.25">
      <c r="A1224" s="115" t="s">
        <v>1137</v>
      </c>
      <c r="B1224" s="115" t="s">
        <v>2778</v>
      </c>
      <c r="D1224" s="115" t="s">
        <v>2779</v>
      </c>
      <c r="E1224" s="115" t="s">
        <v>2780</v>
      </c>
    </row>
    <row r="1225" spans="1:5" x14ac:dyDescent="0.25">
      <c r="B1225" s="115" t="s">
        <v>2781</v>
      </c>
      <c r="D1225" s="115" t="s">
        <v>2782</v>
      </c>
      <c r="E1225" s="115" t="s">
        <v>2783</v>
      </c>
    </row>
    <row r="1226" spans="1:5" x14ac:dyDescent="0.25">
      <c r="A1226" s="115" t="s">
        <v>1137</v>
      </c>
      <c r="B1226" s="115" t="s">
        <v>1555</v>
      </c>
      <c r="D1226" s="115" t="s">
        <v>2776</v>
      </c>
      <c r="E1226" s="115" t="s">
        <v>2784</v>
      </c>
    </row>
    <row r="1227" spans="1:5" x14ac:dyDescent="0.25">
      <c r="A1227" s="115">
        <v>4</v>
      </c>
      <c r="B1227" s="115" t="s">
        <v>2785</v>
      </c>
      <c r="D1227" s="115" t="s">
        <v>2786</v>
      </c>
      <c r="E1227" s="115" t="s">
        <v>2787</v>
      </c>
    </row>
    <row r="1228" spans="1:5" x14ac:dyDescent="0.25">
      <c r="A1228" s="115">
        <v>-1</v>
      </c>
      <c r="B1228" s="115" t="s">
        <v>2788</v>
      </c>
      <c r="D1228" s="115" t="s">
        <v>2789</v>
      </c>
      <c r="E1228" s="115" t="s">
        <v>1140</v>
      </c>
    </row>
    <row r="1229" spans="1:5" x14ac:dyDescent="0.25">
      <c r="B1229" s="115" t="s">
        <v>1138</v>
      </c>
      <c r="D1229" s="115" t="s">
        <v>1139</v>
      </c>
      <c r="E1229" s="115" t="s">
        <v>1140</v>
      </c>
    </row>
    <row r="1230" spans="1:5" x14ac:dyDescent="0.25">
      <c r="B1230" s="115" t="s">
        <v>1138</v>
      </c>
      <c r="D1230" s="115" t="s">
        <v>1139</v>
      </c>
      <c r="E1230" s="115" t="s">
        <v>1140</v>
      </c>
    </row>
    <row r="1231" spans="1:5" x14ac:dyDescent="0.25">
      <c r="B1231" s="115" t="s">
        <v>1138</v>
      </c>
      <c r="D1231" s="115" t="s">
        <v>1139</v>
      </c>
      <c r="E1231" s="115" t="s">
        <v>1140</v>
      </c>
    </row>
    <row r="1232" spans="1:5" x14ac:dyDescent="0.25">
      <c r="B1232" s="115" t="s">
        <v>1138</v>
      </c>
      <c r="D1232" s="115" t="s">
        <v>1139</v>
      </c>
      <c r="E1232" s="115" t="s">
        <v>1140</v>
      </c>
    </row>
    <row r="1233" spans="1:5" x14ac:dyDescent="0.25">
      <c r="B1233" s="115" t="s">
        <v>1138</v>
      </c>
      <c r="D1233" s="115" t="s">
        <v>1139</v>
      </c>
      <c r="E1233" s="115" t="s">
        <v>1140</v>
      </c>
    </row>
    <row r="1234" spans="1:5" x14ac:dyDescent="0.25">
      <c r="B1234" s="115" t="s">
        <v>1138</v>
      </c>
      <c r="D1234" s="115" t="s">
        <v>1139</v>
      </c>
      <c r="E1234" s="115" t="s">
        <v>1140</v>
      </c>
    </row>
    <row r="1235" spans="1:5" x14ac:dyDescent="0.25">
      <c r="B1235" s="115" t="s">
        <v>1138</v>
      </c>
      <c r="D1235" s="115" t="s">
        <v>1139</v>
      </c>
      <c r="E1235" s="115" t="s">
        <v>1140</v>
      </c>
    </row>
    <row r="1236" spans="1:5" x14ac:dyDescent="0.25">
      <c r="B1236" s="115" t="s">
        <v>1138</v>
      </c>
      <c r="D1236" s="115" t="s">
        <v>1139</v>
      </c>
      <c r="E1236" s="115" t="s">
        <v>1140</v>
      </c>
    </row>
    <row r="1237" spans="1:5" x14ac:dyDescent="0.25">
      <c r="B1237" s="115" t="s">
        <v>1138</v>
      </c>
      <c r="D1237" s="115" t="s">
        <v>1139</v>
      </c>
      <c r="E1237" s="115" t="s">
        <v>1140</v>
      </c>
    </row>
    <row r="1238" spans="1:5" x14ac:dyDescent="0.25">
      <c r="B1238" s="115" t="s">
        <v>1138</v>
      </c>
      <c r="D1238" s="115" t="s">
        <v>1139</v>
      </c>
      <c r="E1238" s="115" t="s">
        <v>1140</v>
      </c>
    </row>
    <row r="1239" spans="1:5" x14ac:dyDescent="0.25">
      <c r="B1239" s="115" t="s">
        <v>1138</v>
      </c>
      <c r="D1239" s="115" t="s">
        <v>1139</v>
      </c>
      <c r="E1239" s="115" t="s">
        <v>1140</v>
      </c>
    </row>
    <row r="1240" spans="1:5" x14ac:dyDescent="0.25">
      <c r="B1240" s="115" t="s">
        <v>1138</v>
      </c>
      <c r="D1240" s="115" t="s">
        <v>1139</v>
      </c>
      <c r="E1240" s="115" t="s">
        <v>1140</v>
      </c>
    </row>
    <row r="1241" spans="1:5" x14ac:dyDescent="0.25">
      <c r="B1241" s="115" t="s">
        <v>1138</v>
      </c>
      <c r="D1241" s="115" t="s">
        <v>1139</v>
      </c>
      <c r="E1241" s="115" t="s">
        <v>2790</v>
      </c>
    </row>
    <row r="1242" spans="1:5" x14ac:dyDescent="0.25">
      <c r="A1242" s="115" t="s">
        <v>1137</v>
      </c>
      <c r="B1242" s="115" t="s">
        <v>2791</v>
      </c>
      <c r="D1242" s="115" t="s">
        <v>2792</v>
      </c>
      <c r="E1242" s="115" t="s">
        <v>2793</v>
      </c>
    </row>
    <row r="1243" spans="1:5" x14ac:dyDescent="0.25">
      <c r="B1243" s="115" t="s">
        <v>2794</v>
      </c>
      <c r="D1243" s="115" t="s">
        <v>1139</v>
      </c>
      <c r="E1243" s="115" t="s">
        <v>1140</v>
      </c>
    </row>
    <row r="1244" spans="1:5" x14ac:dyDescent="0.25">
      <c r="B1244" s="115" t="s">
        <v>2795</v>
      </c>
      <c r="D1244" s="115" t="s">
        <v>2796</v>
      </c>
      <c r="E1244" s="115" t="s">
        <v>2797</v>
      </c>
    </row>
    <row r="1245" spans="1:5" x14ac:dyDescent="0.25">
      <c r="B1245" s="115" t="s">
        <v>1138</v>
      </c>
      <c r="D1245" s="115" t="s">
        <v>2798</v>
      </c>
      <c r="E1245" s="115" t="s">
        <v>2799</v>
      </c>
    </row>
    <row r="1246" spans="1:5" x14ac:dyDescent="0.25">
      <c r="B1246" s="115" t="s">
        <v>1138</v>
      </c>
      <c r="D1246" s="115" t="s">
        <v>2800</v>
      </c>
      <c r="E1246" s="115" t="s">
        <v>1140</v>
      </c>
    </row>
    <row r="1247" spans="1:5" x14ac:dyDescent="0.25">
      <c r="B1247" s="115" t="s">
        <v>2801</v>
      </c>
      <c r="D1247" s="115" t="s">
        <v>2802</v>
      </c>
      <c r="E1247" s="115" t="s">
        <v>1595</v>
      </c>
    </row>
    <row r="1248" spans="1:5" x14ac:dyDescent="0.25">
      <c r="A1248" s="115" t="s">
        <v>1137</v>
      </c>
      <c r="B1248" s="115" t="s">
        <v>2803</v>
      </c>
      <c r="D1248" s="115" t="s">
        <v>2804</v>
      </c>
      <c r="E1248" s="115" t="s">
        <v>2805</v>
      </c>
    </row>
    <row r="1249" spans="1:5" x14ac:dyDescent="0.25">
      <c r="A1249" s="115" t="s">
        <v>1137</v>
      </c>
      <c r="B1249" s="115" t="s">
        <v>2806</v>
      </c>
      <c r="C1249" s="115" t="s">
        <v>1137</v>
      </c>
      <c r="D1249" s="115" t="s">
        <v>2807</v>
      </c>
      <c r="E1249" s="115" t="s">
        <v>2808</v>
      </c>
    </row>
    <row r="1250" spans="1:5" x14ac:dyDescent="0.25">
      <c r="B1250" s="115" t="s">
        <v>2809</v>
      </c>
      <c r="D1250" s="115" t="s">
        <v>2810</v>
      </c>
      <c r="E1250" s="115" t="s">
        <v>2811</v>
      </c>
    </row>
    <row r="1251" spans="1:5" x14ac:dyDescent="0.25">
      <c r="A1251" s="115" t="s">
        <v>1137</v>
      </c>
      <c r="B1251" s="115" t="s">
        <v>2812</v>
      </c>
      <c r="D1251" s="115" t="s">
        <v>2813</v>
      </c>
      <c r="E1251" s="115" t="s">
        <v>2814</v>
      </c>
    </row>
    <row r="1252" spans="1:5" x14ac:dyDescent="0.25">
      <c r="A1252" s="115" t="s">
        <v>1137</v>
      </c>
      <c r="B1252" s="115" t="s">
        <v>2815</v>
      </c>
      <c r="C1252" s="115" t="s">
        <v>1137</v>
      </c>
      <c r="D1252" s="115" t="s">
        <v>2816</v>
      </c>
      <c r="E1252" s="115" t="s">
        <v>2817</v>
      </c>
    </row>
    <row r="1253" spans="1:5" x14ac:dyDescent="0.25">
      <c r="B1253" s="115" t="s">
        <v>2818</v>
      </c>
      <c r="C1253" s="115" t="s">
        <v>1137</v>
      </c>
      <c r="D1253" s="115" t="s">
        <v>2819</v>
      </c>
      <c r="E1253" s="115" t="s">
        <v>2820</v>
      </c>
    </row>
    <row r="1254" spans="1:5" x14ac:dyDescent="0.25">
      <c r="B1254" s="115" t="s">
        <v>1291</v>
      </c>
      <c r="D1254" s="115" t="s">
        <v>2821</v>
      </c>
      <c r="E1254" s="115" t="s">
        <v>2822</v>
      </c>
    </row>
    <row r="1255" spans="1:5" x14ac:dyDescent="0.25">
      <c r="B1255" s="115" t="s">
        <v>2823</v>
      </c>
      <c r="D1255" s="115" t="s">
        <v>2824</v>
      </c>
      <c r="E1255" s="115" t="s">
        <v>2825</v>
      </c>
    </row>
    <row r="1256" spans="1:5" x14ac:dyDescent="0.25">
      <c r="B1256" s="115" t="s">
        <v>1138</v>
      </c>
      <c r="D1256" s="115" t="s">
        <v>2826</v>
      </c>
      <c r="E1256" s="115" t="s">
        <v>1140</v>
      </c>
    </row>
    <row r="1257" spans="1:5" x14ac:dyDescent="0.25">
      <c r="B1257" s="115" t="s">
        <v>1138</v>
      </c>
      <c r="D1257" s="115" t="s">
        <v>2827</v>
      </c>
      <c r="E1257" s="115" t="s">
        <v>2828</v>
      </c>
    </row>
    <row r="1258" spans="1:5" x14ac:dyDescent="0.25">
      <c r="A1258" s="115" t="s">
        <v>1137</v>
      </c>
      <c r="B1258" s="115" t="s">
        <v>2829</v>
      </c>
      <c r="D1258" s="115" t="s">
        <v>2830</v>
      </c>
      <c r="E1258" s="115" t="s">
        <v>2831</v>
      </c>
    </row>
    <row r="1259" spans="1:5" x14ac:dyDescent="0.25">
      <c r="B1259" s="115" t="s">
        <v>2832</v>
      </c>
      <c r="D1259" s="115" t="s">
        <v>1139</v>
      </c>
      <c r="E1259" s="115" t="s">
        <v>2833</v>
      </c>
    </row>
    <row r="1260" spans="1:5" x14ac:dyDescent="0.25">
      <c r="B1260" s="115" t="s">
        <v>1138</v>
      </c>
      <c r="D1260" s="115" t="s">
        <v>2834</v>
      </c>
      <c r="E1260" s="115" t="s">
        <v>2835</v>
      </c>
    </row>
    <row r="1261" spans="1:5" x14ac:dyDescent="0.25">
      <c r="B1261" s="115" t="s">
        <v>1138</v>
      </c>
      <c r="D1261" s="115" t="s">
        <v>2836</v>
      </c>
      <c r="E1261" s="115" t="s">
        <v>2837</v>
      </c>
    </row>
    <row r="1262" spans="1:5" x14ac:dyDescent="0.25">
      <c r="B1262" s="115" t="s">
        <v>2838</v>
      </c>
      <c r="D1262" s="115" t="s">
        <v>2839</v>
      </c>
      <c r="E1262" s="115" t="s">
        <v>2840</v>
      </c>
    </row>
    <row r="1263" spans="1:5" x14ac:dyDescent="0.25">
      <c r="B1263" s="115" t="s">
        <v>2841</v>
      </c>
      <c r="D1263" s="115" t="s">
        <v>2842</v>
      </c>
      <c r="E1263" s="115" t="s">
        <v>2843</v>
      </c>
    </row>
    <row r="1264" spans="1:5" x14ac:dyDescent="0.25">
      <c r="A1264" s="115">
        <v>-1</v>
      </c>
      <c r="B1264" s="115" t="s">
        <v>2844</v>
      </c>
      <c r="D1264" s="115">
        <f>-272   -138   -174   -25</f>
        <v>-609</v>
      </c>
      <c r="E1264" s="115" t="s">
        <v>2845</v>
      </c>
    </row>
    <row r="1265" spans="1:5" x14ac:dyDescent="0.25">
      <c r="A1265" s="115" t="s">
        <v>1137</v>
      </c>
      <c r="B1265" s="115" t="s">
        <v>2846</v>
      </c>
      <c r="D1265" s="115" t="s">
        <v>2847</v>
      </c>
      <c r="E1265" s="115" t="s">
        <v>2848</v>
      </c>
    </row>
    <row r="1266" spans="1:5" x14ac:dyDescent="0.25">
      <c r="B1266" s="115" t="s">
        <v>2849</v>
      </c>
      <c r="D1266" s="115" t="s">
        <v>2850</v>
      </c>
      <c r="E1266" s="115" t="s">
        <v>2851</v>
      </c>
    </row>
    <row r="1267" spans="1:5" x14ac:dyDescent="0.25">
      <c r="A1267" s="115">
        <v>4</v>
      </c>
      <c r="B1267" s="115" t="s">
        <v>2852</v>
      </c>
      <c r="D1267" s="115" t="s">
        <v>1376</v>
      </c>
      <c r="E1267" s="115" t="s">
        <v>2853</v>
      </c>
    </row>
    <row r="1268" spans="1:5" x14ac:dyDescent="0.25">
      <c r="B1268" s="115" t="s">
        <v>1138</v>
      </c>
      <c r="C1268" s="115" t="s">
        <v>1137</v>
      </c>
      <c r="D1268" s="115" t="s">
        <v>2854</v>
      </c>
      <c r="E1268" s="115" t="s">
        <v>2855</v>
      </c>
    </row>
    <row r="1269" spans="1:5" x14ac:dyDescent="0.25">
      <c r="B1269" s="115" t="s">
        <v>2856</v>
      </c>
      <c r="D1269" s="115" t="s">
        <v>1532</v>
      </c>
      <c r="E1269" s="115" t="s">
        <v>2857</v>
      </c>
    </row>
    <row r="1270" spans="1:5" x14ac:dyDescent="0.25">
      <c r="B1270" s="115" t="s">
        <v>1138</v>
      </c>
      <c r="D1270" s="115" t="s">
        <v>1139</v>
      </c>
      <c r="E1270" s="115" t="s">
        <v>2858</v>
      </c>
    </row>
    <row r="1271" spans="1:5" x14ac:dyDescent="0.25">
      <c r="B1271" s="115" t="s">
        <v>2859</v>
      </c>
      <c r="D1271" s="115" t="s">
        <v>2860</v>
      </c>
      <c r="E1271" s="115" t="s">
        <v>2861</v>
      </c>
    </row>
    <row r="1272" spans="1:5" x14ac:dyDescent="0.25">
      <c r="A1272" s="115" t="s">
        <v>1137</v>
      </c>
      <c r="B1272" s="115" t="s">
        <v>1333</v>
      </c>
      <c r="D1272" s="115" t="s">
        <v>2862</v>
      </c>
      <c r="E1272" s="115" t="s">
        <v>1140</v>
      </c>
    </row>
    <row r="1273" spans="1:5" x14ac:dyDescent="0.25">
      <c r="B1273" s="115" t="s">
        <v>1478</v>
      </c>
      <c r="D1273" s="115" t="s">
        <v>1139</v>
      </c>
      <c r="E1273" s="115" t="s">
        <v>2863</v>
      </c>
    </row>
    <row r="1274" spans="1:5" x14ac:dyDescent="0.25">
      <c r="B1274" s="115" t="s">
        <v>2864</v>
      </c>
      <c r="D1274" s="115" t="s">
        <v>1139</v>
      </c>
      <c r="E1274" s="115" t="s">
        <v>2865</v>
      </c>
    </row>
    <row r="1275" spans="1:5" x14ac:dyDescent="0.25">
      <c r="B1275" s="115" t="s">
        <v>2866</v>
      </c>
      <c r="D1275" s="115" t="s">
        <v>2867</v>
      </c>
      <c r="E1275" s="115" t="s">
        <v>2868</v>
      </c>
    </row>
    <row r="1276" spans="1:5" x14ac:dyDescent="0.25">
      <c r="A1276" s="115">
        <v>-3</v>
      </c>
      <c r="B1276" s="115" t="s">
        <v>1207</v>
      </c>
      <c r="D1276" s="115" t="s">
        <v>2126</v>
      </c>
      <c r="E1276" s="115" t="s">
        <v>2869</v>
      </c>
    </row>
    <row r="1277" spans="1:5" x14ac:dyDescent="0.25">
      <c r="B1277" s="115" t="s">
        <v>2870</v>
      </c>
      <c r="D1277" s="115" t="s">
        <v>2871</v>
      </c>
      <c r="E1277" s="115" t="s">
        <v>2872</v>
      </c>
    </row>
    <row r="1278" spans="1:5" x14ac:dyDescent="0.25">
      <c r="B1278" s="115" t="s">
        <v>2873</v>
      </c>
      <c r="D1278" s="115" t="s">
        <v>2874</v>
      </c>
      <c r="E1278" s="115" t="s">
        <v>2875</v>
      </c>
    </row>
    <row r="1279" spans="1:5" x14ac:dyDescent="0.25">
      <c r="A1279" s="115">
        <v>-13</v>
      </c>
      <c r="B1279" s="115" t="s">
        <v>2876</v>
      </c>
      <c r="D1279" s="115" t="s">
        <v>2877</v>
      </c>
      <c r="E1279" s="115" t="s">
        <v>2878</v>
      </c>
    </row>
    <row r="1280" spans="1:5" x14ac:dyDescent="0.25">
      <c r="A1280" s="115">
        <v>-3</v>
      </c>
      <c r="B1280" s="115" t="s">
        <v>2879</v>
      </c>
      <c r="C1280" s="115">
        <v>-1</v>
      </c>
      <c r="D1280" s="115" t="s">
        <v>2880</v>
      </c>
      <c r="E1280" s="115" t="s">
        <v>2881</v>
      </c>
    </row>
    <row r="1281" spans="1:5" x14ac:dyDescent="0.25">
      <c r="A1281" s="115">
        <v>-3</v>
      </c>
      <c r="B1281" s="115" t="s">
        <v>2882</v>
      </c>
      <c r="D1281" s="115" t="s">
        <v>2883</v>
      </c>
      <c r="E1281" s="115" t="s">
        <v>2884</v>
      </c>
    </row>
    <row r="1282" spans="1:5" x14ac:dyDescent="0.25">
      <c r="B1282" s="115" t="s">
        <v>1138</v>
      </c>
      <c r="D1282" s="115" t="s">
        <v>1139</v>
      </c>
      <c r="E1282" s="115" t="s">
        <v>1140</v>
      </c>
    </row>
    <row r="1283" spans="1:5" x14ac:dyDescent="0.25">
      <c r="B1283" s="115" t="s">
        <v>1138</v>
      </c>
      <c r="D1283" s="115" t="s">
        <v>1139</v>
      </c>
      <c r="E1283" s="115" t="s">
        <v>1140</v>
      </c>
    </row>
    <row r="1284" spans="1:5" x14ac:dyDescent="0.25">
      <c r="B1284" s="115" t="s">
        <v>1138</v>
      </c>
      <c r="D1284" s="115" t="s">
        <v>1139</v>
      </c>
      <c r="E1284" s="115" t="s">
        <v>1140</v>
      </c>
    </row>
    <row r="1285" spans="1:5" x14ac:dyDescent="0.25">
      <c r="B1285" s="115" t="s">
        <v>1138</v>
      </c>
      <c r="D1285" s="115" t="s">
        <v>1139</v>
      </c>
      <c r="E1285" s="115" t="s">
        <v>1140</v>
      </c>
    </row>
    <row r="1286" spans="1:5" x14ac:dyDescent="0.25">
      <c r="B1286" s="115" t="s">
        <v>1138</v>
      </c>
      <c r="D1286" s="115" t="s">
        <v>1139</v>
      </c>
      <c r="E1286" s="115" t="s">
        <v>1140</v>
      </c>
    </row>
    <row r="1287" spans="1:5" x14ac:dyDescent="0.25">
      <c r="B1287" s="115" t="s">
        <v>1138</v>
      </c>
      <c r="D1287" s="115" t="s">
        <v>1139</v>
      </c>
      <c r="E1287" s="115" t="s">
        <v>1140</v>
      </c>
    </row>
    <row r="1288" spans="1:5" x14ac:dyDescent="0.25">
      <c r="B1288" s="115" t="s">
        <v>1138</v>
      </c>
      <c r="D1288" s="115" t="s">
        <v>1139</v>
      </c>
      <c r="E1288" s="115" t="s">
        <v>1140</v>
      </c>
    </row>
    <row r="1289" spans="1:5" x14ac:dyDescent="0.25">
      <c r="B1289" s="115" t="s">
        <v>1138</v>
      </c>
      <c r="D1289" s="115" t="s">
        <v>1139</v>
      </c>
      <c r="E1289" s="115" t="s">
        <v>1140</v>
      </c>
    </row>
    <row r="1290" spans="1:5" x14ac:dyDescent="0.25">
      <c r="B1290" s="115" t="s">
        <v>1138</v>
      </c>
      <c r="D1290" s="115" t="s">
        <v>1139</v>
      </c>
      <c r="E1290" s="115" t="s">
        <v>1140</v>
      </c>
    </row>
    <row r="1291" spans="1:5" x14ac:dyDescent="0.25">
      <c r="B1291" s="115" t="s">
        <v>1138</v>
      </c>
      <c r="D1291" s="115" t="s">
        <v>1139</v>
      </c>
      <c r="E1291" s="115" t="s">
        <v>1140</v>
      </c>
    </row>
    <row r="1292" spans="1:5" x14ac:dyDescent="0.25">
      <c r="B1292" s="115" t="s">
        <v>1138</v>
      </c>
      <c r="D1292" s="115" t="s">
        <v>1139</v>
      </c>
      <c r="E1292" s="115" t="s">
        <v>1140</v>
      </c>
    </row>
    <row r="1293" spans="1:5" x14ac:dyDescent="0.25">
      <c r="B1293" s="115" t="s">
        <v>1138</v>
      </c>
      <c r="D1293" s="115" t="s">
        <v>1139</v>
      </c>
      <c r="E1293" s="115" t="s">
        <v>1140</v>
      </c>
    </row>
    <row r="1294" spans="1:5" x14ac:dyDescent="0.25">
      <c r="B1294" s="115" t="s">
        <v>1138</v>
      </c>
      <c r="D1294" s="115" t="s">
        <v>1139</v>
      </c>
      <c r="E1294" s="115" t="s">
        <v>1140</v>
      </c>
    </row>
    <row r="1295" spans="1:5" x14ac:dyDescent="0.25">
      <c r="B1295" s="115" t="s">
        <v>1138</v>
      </c>
      <c r="D1295" s="115" t="s">
        <v>1139</v>
      </c>
      <c r="E1295" s="115" t="s">
        <v>1140</v>
      </c>
    </row>
    <row r="1296" spans="1:5" x14ac:dyDescent="0.25">
      <c r="B1296" s="115" t="s">
        <v>1138</v>
      </c>
      <c r="D1296" s="115" t="s">
        <v>1139</v>
      </c>
      <c r="E1296" s="115" t="s">
        <v>1140</v>
      </c>
    </row>
    <row r="1297" spans="2:5" x14ac:dyDescent="0.25">
      <c r="B1297" s="115" t="s">
        <v>1138</v>
      </c>
      <c r="D1297" s="115" t="s">
        <v>1139</v>
      </c>
      <c r="E1297" s="115" t="s">
        <v>1140</v>
      </c>
    </row>
    <row r="1298" spans="2:5" x14ac:dyDescent="0.25">
      <c r="B1298" s="115" t="s">
        <v>1138</v>
      </c>
      <c r="D1298" s="115" t="s">
        <v>1139</v>
      </c>
      <c r="E1298" s="115" t="s">
        <v>1140</v>
      </c>
    </row>
    <row r="1299" spans="2:5" x14ac:dyDescent="0.25">
      <c r="B1299" s="115" t="s">
        <v>1138</v>
      </c>
      <c r="D1299" s="115" t="s">
        <v>1139</v>
      </c>
      <c r="E1299" s="115" t="s">
        <v>1140</v>
      </c>
    </row>
    <row r="1300" spans="2:5" x14ac:dyDescent="0.25">
      <c r="B1300" s="115" t="s">
        <v>1138</v>
      </c>
      <c r="D1300" s="115" t="s">
        <v>1139</v>
      </c>
      <c r="E1300" s="115" t="s">
        <v>1140</v>
      </c>
    </row>
    <row r="1301" spans="2:5" x14ac:dyDescent="0.25">
      <c r="B1301" s="115" t="s">
        <v>1138</v>
      </c>
      <c r="D1301" s="115" t="s">
        <v>1139</v>
      </c>
      <c r="E1301" s="115" t="s">
        <v>1140</v>
      </c>
    </row>
    <row r="1302" spans="2:5" x14ac:dyDescent="0.25">
      <c r="B1302" s="115" t="s">
        <v>1138</v>
      </c>
      <c r="D1302" s="115" t="s">
        <v>1139</v>
      </c>
      <c r="E1302" s="115" t="s">
        <v>1140</v>
      </c>
    </row>
    <row r="1303" spans="2:5" x14ac:dyDescent="0.25">
      <c r="B1303" s="115" t="s">
        <v>1138</v>
      </c>
      <c r="D1303" s="115" t="s">
        <v>1139</v>
      </c>
      <c r="E1303" s="115" t="s">
        <v>1140</v>
      </c>
    </row>
    <row r="1304" spans="2:5" x14ac:dyDescent="0.25">
      <c r="B1304" s="115" t="s">
        <v>1138</v>
      </c>
      <c r="D1304" s="115" t="s">
        <v>1139</v>
      </c>
      <c r="E1304" s="115" t="s">
        <v>1140</v>
      </c>
    </row>
    <row r="1305" spans="2:5" x14ac:dyDescent="0.25">
      <c r="B1305" s="115" t="s">
        <v>1138</v>
      </c>
      <c r="D1305" s="115" t="s">
        <v>1139</v>
      </c>
      <c r="E1305" s="115" t="s">
        <v>1140</v>
      </c>
    </row>
    <row r="1306" spans="2:5" x14ac:dyDescent="0.25">
      <c r="B1306" s="115" t="s">
        <v>1138</v>
      </c>
      <c r="D1306" s="115" t="s">
        <v>1139</v>
      </c>
      <c r="E1306" s="115" t="s">
        <v>1140</v>
      </c>
    </row>
    <row r="1307" spans="2:5" x14ac:dyDescent="0.25">
      <c r="B1307" s="115" t="s">
        <v>1138</v>
      </c>
      <c r="D1307" s="115" t="s">
        <v>1139</v>
      </c>
      <c r="E1307" s="115" t="s">
        <v>1140</v>
      </c>
    </row>
    <row r="1308" spans="2:5" x14ac:dyDescent="0.25">
      <c r="B1308" s="115" t="s">
        <v>1138</v>
      </c>
      <c r="D1308" s="115" t="s">
        <v>1139</v>
      </c>
      <c r="E1308" s="115" t="s">
        <v>1140</v>
      </c>
    </row>
    <row r="1309" spans="2:5" x14ac:dyDescent="0.25">
      <c r="B1309" s="115" t="s">
        <v>1138</v>
      </c>
      <c r="D1309" s="115" t="s">
        <v>1139</v>
      </c>
      <c r="E1309" s="115" t="s">
        <v>1140</v>
      </c>
    </row>
    <row r="1310" spans="2:5" x14ac:dyDescent="0.25">
      <c r="B1310" s="115" t="s">
        <v>1138</v>
      </c>
      <c r="D1310" s="115" t="s">
        <v>1139</v>
      </c>
      <c r="E1310" s="115" t="s">
        <v>1140</v>
      </c>
    </row>
    <row r="1311" spans="2:5" x14ac:dyDescent="0.25">
      <c r="B1311" s="115" t="s">
        <v>1138</v>
      </c>
      <c r="D1311" s="115" t="s">
        <v>1139</v>
      </c>
      <c r="E1311" s="115" t="s">
        <v>1140</v>
      </c>
    </row>
    <row r="1312" spans="2:5" x14ac:dyDescent="0.25">
      <c r="B1312" s="115" t="s">
        <v>1138</v>
      </c>
      <c r="D1312" s="115" t="s">
        <v>1139</v>
      </c>
      <c r="E1312" s="115" t="s">
        <v>1140</v>
      </c>
    </row>
    <row r="1313" spans="2:5" x14ac:dyDescent="0.25">
      <c r="B1313" s="115" t="s">
        <v>1138</v>
      </c>
      <c r="D1313" s="115" t="s">
        <v>1139</v>
      </c>
      <c r="E1313" s="115" t="s">
        <v>1140</v>
      </c>
    </row>
    <row r="1314" spans="2:5" x14ac:dyDescent="0.25">
      <c r="B1314" s="115" t="s">
        <v>1138</v>
      </c>
      <c r="D1314" s="115" t="s">
        <v>1139</v>
      </c>
      <c r="E1314" s="115" t="s">
        <v>1140</v>
      </c>
    </row>
    <row r="1315" spans="2:5" x14ac:dyDescent="0.25">
      <c r="B1315" s="115" t="s">
        <v>1138</v>
      </c>
      <c r="D1315" s="115" t="s">
        <v>1139</v>
      </c>
      <c r="E1315" s="115" t="s">
        <v>1140</v>
      </c>
    </row>
    <row r="1316" spans="2:5" x14ac:dyDescent="0.25">
      <c r="B1316" s="115" t="s">
        <v>1138</v>
      </c>
      <c r="D1316" s="115" t="s">
        <v>1139</v>
      </c>
      <c r="E1316" s="115" t="s">
        <v>1140</v>
      </c>
    </row>
    <row r="1317" spans="2:5" x14ac:dyDescent="0.25">
      <c r="B1317" s="115" t="s">
        <v>1138</v>
      </c>
      <c r="D1317" s="115" t="s">
        <v>1139</v>
      </c>
      <c r="E1317" s="115" t="s">
        <v>1140</v>
      </c>
    </row>
    <row r="1318" spans="2:5" x14ac:dyDescent="0.25">
      <c r="B1318" s="115" t="s">
        <v>1138</v>
      </c>
      <c r="D1318" s="115" t="s">
        <v>1139</v>
      </c>
      <c r="E1318" s="115" t="s">
        <v>1140</v>
      </c>
    </row>
    <row r="1319" spans="2:5" x14ac:dyDescent="0.25">
      <c r="B1319" s="115" t="s">
        <v>1138</v>
      </c>
      <c r="D1319" s="115" t="s">
        <v>1139</v>
      </c>
      <c r="E1319" s="115" t="s">
        <v>1140</v>
      </c>
    </row>
    <row r="1320" spans="2:5" x14ac:dyDescent="0.25">
      <c r="B1320" s="115" t="s">
        <v>1138</v>
      </c>
      <c r="D1320" s="115" t="s">
        <v>1139</v>
      </c>
      <c r="E1320" s="115" t="s">
        <v>1140</v>
      </c>
    </row>
    <row r="1321" spans="2:5" x14ac:dyDescent="0.25">
      <c r="B1321" s="115" t="s">
        <v>1138</v>
      </c>
      <c r="D1321" s="115" t="s">
        <v>1139</v>
      </c>
      <c r="E1321" s="115" t="s">
        <v>1140</v>
      </c>
    </row>
    <row r="1322" spans="2:5" x14ac:dyDescent="0.25">
      <c r="B1322" s="115" t="s">
        <v>1138</v>
      </c>
      <c r="D1322" s="115" t="s">
        <v>1139</v>
      </c>
      <c r="E1322" s="115" t="s">
        <v>1140</v>
      </c>
    </row>
    <row r="1323" spans="2:5" x14ac:dyDescent="0.25">
      <c r="B1323" s="115" t="s">
        <v>1138</v>
      </c>
      <c r="D1323" s="115" t="s">
        <v>1139</v>
      </c>
      <c r="E1323" s="115" t="s">
        <v>1140</v>
      </c>
    </row>
    <row r="1324" spans="2:5" x14ac:dyDescent="0.25">
      <c r="B1324" s="115" t="s">
        <v>1138</v>
      </c>
      <c r="D1324" s="115" t="s">
        <v>1139</v>
      </c>
      <c r="E1324" s="115" t="s">
        <v>1140</v>
      </c>
    </row>
    <row r="1325" spans="2:5" x14ac:dyDescent="0.25">
      <c r="B1325" s="115" t="s">
        <v>1138</v>
      </c>
      <c r="D1325" s="115" t="s">
        <v>1139</v>
      </c>
      <c r="E1325" s="115" t="s">
        <v>1140</v>
      </c>
    </row>
    <row r="1326" spans="2:5" x14ac:dyDescent="0.25">
      <c r="B1326" s="115" t="s">
        <v>1138</v>
      </c>
      <c r="D1326" s="115" t="s">
        <v>1139</v>
      </c>
      <c r="E1326" s="115" t="s">
        <v>1140</v>
      </c>
    </row>
    <row r="1327" spans="2:5" x14ac:dyDescent="0.25">
      <c r="B1327" s="115" t="s">
        <v>1138</v>
      </c>
      <c r="D1327" s="115" t="s">
        <v>1139</v>
      </c>
      <c r="E1327" s="115" t="s">
        <v>1140</v>
      </c>
    </row>
    <row r="1328" spans="2:5" x14ac:dyDescent="0.25">
      <c r="B1328" s="115" t="s">
        <v>1138</v>
      </c>
      <c r="D1328" s="115" t="s">
        <v>1139</v>
      </c>
      <c r="E1328" s="115" t="s">
        <v>1140</v>
      </c>
    </row>
    <row r="1329" spans="1:5" x14ac:dyDescent="0.25">
      <c r="B1329" s="115" t="s">
        <v>1138</v>
      </c>
      <c r="D1329" s="115" t="s">
        <v>1139</v>
      </c>
      <c r="E1329" s="115" t="s">
        <v>1140</v>
      </c>
    </row>
    <row r="1330" spans="1:5" x14ac:dyDescent="0.25">
      <c r="B1330" s="115" t="s">
        <v>1138</v>
      </c>
      <c r="D1330" s="115" t="s">
        <v>1139</v>
      </c>
      <c r="E1330" s="115" t="s">
        <v>1140</v>
      </c>
    </row>
    <row r="1331" spans="1:5" x14ac:dyDescent="0.25">
      <c r="B1331" s="115" t="s">
        <v>1138</v>
      </c>
      <c r="D1331" s="115" t="s">
        <v>1139</v>
      </c>
      <c r="E1331" s="115" t="s">
        <v>1140</v>
      </c>
    </row>
    <row r="1332" spans="1:5" x14ac:dyDescent="0.25">
      <c r="B1332" s="115" t="s">
        <v>1138</v>
      </c>
      <c r="D1332" s="115" t="s">
        <v>1139</v>
      </c>
      <c r="E1332" s="115" t="s">
        <v>1140</v>
      </c>
    </row>
    <row r="1333" spans="1:5" x14ac:dyDescent="0.25">
      <c r="B1333" s="115" t="s">
        <v>1138</v>
      </c>
      <c r="D1333" s="115" t="s">
        <v>1139</v>
      </c>
      <c r="E1333" s="115" t="s">
        <v>1140</v>
      </c>
    </row>
    <row r="1334" spans="1:5" x14ac:dyDescent="0.25">
      <c r="B1334" s="115" t="s">
        <v>1138</v>
      </c>
      <c r="D1334" s="115" t="s">
        <v>1139</v>
      </c>
      <c r="E1334" s="115" t="s">
        <v>1140</v>
      </c>
    </row>
    <row r="1335" spans="1:5" x14ac:dyDescent="0.25">
      <c r="B1335" s="115" t="s">
        <v>1138</v>
      </c>
      <c r="D1335" s="115" t="s">
        <v>1139</v>
      </c>
      <c r="E1335" s="115" t="s">
        <v>1140</v>
      </c>
    </row>
    <row r="1336" spans="1:5" x14ac:dyDescent="0.25">
      <c r="B1336" s="115" t="s">
        <v>1138</v>
      </c>
      <c r="D1336" s="115" t="s">
        <v>1139</v>
      </c>
      <c r="E1336" s="115" t="s">
        <v>1140</v>
      </c>
    </row>
    <row r="1337" spans="1:5" x14ac:dyDescent="0.25">
      <c r="A1337" s="115">
        <v>1</v>
      </c>
      <c r="B1337" s="115" t="s">
        <v>2885</v>
      </c>
      <c r="D1337" s="115" t="s">
        <v>2886</v>
      </c>
      <c r="E1337" s="115" t="s">
        <v>2887</v>
      </c>
    </row>
    <row r="1338" spans="1:5" x14ac:dyDescent="0.25">
      <c r="B1338" s="115" t="s">
        <v>1138</v>
      </c>
      <c r="D1338" s="115" t="s">
        <v>2888</v>
      </c>
      <c r="E1338" s="115" t="s">
        <v>1140</v>
      </c>
    </row>
    <row r="1339" spans="1:5" x14ac:dyDescent="0.25">
      <c r="B1339" s="115" t="s">
        <v>1138</v>
      </c>
      <c r="D1339" s="115" t="s">
        <v>2889</v>
      </c>
      <c r="E1339" s="115" t="s">
        <v>2890</v>
      </c>
    </row>
    <row r="1340" spans="1:5" x14ac:dyDescent="0.25">
      <c r="A1340" s="115" t="s">
        <v>1137</v>
      </c>
      <c r="B1340" s="115" t="s">
        <v>2891</v>
      </c>
      <c r="D1340" s="115" t="s">
        <v>2892</v>
      </c>
      <c r="E1340" s="115" t="s">
        <v>2893</v>
      </c>
    </row>
    <row r="1341" spans="1:5" x14ac:dyDescent="0.25">
      <c r="B1341" s="115" t="s">
        <v>1138</v>
      </c>
      <c r="D1341" s="115" t="s">
        <v>1827</v>
      </c>
      <c r="E1341" s="115" t="s">
        <v>1758</v>
      </c>
    </row>
    <row r="1342" spans="1:5" x14ac:dyDescent="0.25">
      <c r="B1342" s="115" t="s">
        <v>1138</v>
      </c>
      <c r="D1342" s="115" t="s">
        <v>2894</v>
      </c>
      <c r="E1342" s="115" t="s">
        <v>2895</v>
      </c>
    </row>
    <row r="1343" spans="1:5" x14ac:dyDescent="0.25">
      <c r="B1343" s="115" t="s">
        <v>1493</v>
      </c>
      <c r="D1343" s="115" t="s">
        <v>2896</v>
      </c>
      <c r="E1343" s="115" t="s">
        <v>2897</v>
      </c>
    </row>
    <row r="1344" spans="1:5" x14ac:dyDescent="0.25">
      <c r="A1344" s="115" t="s">
        <v>1137</v>
      </c>
      <c r="B1344" s="115" t="s">
        <v>2898</v>
      </c>
      <c r="D1344" s="115" t="s">
        <v>2899</v>
      </c>
      <c r="E1344" s="115" t="s">
        <v>1818</v>
      </c>
    </row>
    <row r="1345" spans="1:5" x14ac:dyDescent="0.25">
      <c r="A1345" s="115">
        <v>-1</v>
      </c>
      <c r="B1345" s="115" t="s">
        <v>2900</v>
      </c>
      <c r="D1345" s="115" t="s">
        <v>2901</v>
      </c>
      <c r="E1345" s="115" t="s">
        <v>2902</v>
      </c>
    </row>
    <row r="1346" spans="1:5" x14ac:dyDescent="0.25">
      <c r="A1346" s="115" t="s">
        <v>1137</v>
      </c>
      <c r="B1346" s="115" t="s">
        <v>2903</v>
      </c>
      <c r="D1346" s="115" t="s">
        <v>2904</v>
      </c>
      <c r="E1346" s="115" t="s">
        <v>2905</v>
      </c>
    </row>
    <row r="1347" spans="1:5" x14ac:dyDescent="0.25">
      <c r="A1347" s="115" t="s">
        <v>1137</v>
      </c>
      <c r="B1347" s="115" t="s">
        <v>1650</v>
      </c>
      <c r="D1347" s="115" t="s">
        <v>2906</v>
      </c>
      <c r="E1347" s="115" t="s">
        <v>1701</v>
      </c>
    </row>
    <row r="1348" spans="1:5" x14ac:dyDescent="0.25">
      <c r="A1348" s="115">
        <v>-7</v>
      </c>
      <c r="B1348" s="115" t="s">
        <v>2907</v>
      </c>
      <c r="D1348" s="115" t="s">
        <v>2908</v>
      </c>
      <c r="E1348" s="115" t="s">
        <v>2909</v>
      </c>
    </row>
    <row r="1349" spans="1:5" x14ac:dyDescent="0.25">
      <c r="A1349" s="115">
        <v>11</v>
      </c>
      <c r="B1349" s="115" t="s">
        <v>1452</v>
      </c>
      <c r="D1349" s="115" t="s">
        <v>2910</v>
      </c>
      <c r="E1349" s="115" t="s">
        <v>2911</v>
      </c>
    </row>
    <row r="1350" spans="1:5" x14ac:dyDescent="0.25">
      <c r="B1350" s="115" t="s">
        <v>2912</v>
      </c>
      <c r="D1350" s="115" t="s">
        <v>2913</v>
      </c>
      <c r="E1350" s="115" t="s">
        <v>2536</v>
      </c>
    </row>
    <row r="1351" spans="1:5" x14ac:dyDescent="0.25">
      <c r="A1351" s="115">
        <v>2</v>
      </c>
      <c r="B1351" s="115" t="s">
        <v>2914</v>
      </c>
      <c r="C1351" s="115" t="s">
        <v>1137</v>
      </c>
      <c r="D1351" s="115" t="s">
        <v>2915</v>
      </c>
      <c r="E1351" s="115" t="s">
        <v>2916</v>
      </c>
    </row>
    <row r="1352" spans="1:5" x14ac:dyDescent="0.25">
      <c r="B1352" s="115" t="s">
        <v>1138</v>
      </c>
      <c r="D1352" s="115" t="s">
        <v>2917</v>
      </c>
      <c r="E1352" s="115" t="s">
        <v>1140</v>
      </c>
    </row>
    <row r="1353" spans="1:5" x14ac:dyDescent="0.25">
      <c r="B1353" s="115" t="s">
        <v>1138</v>
      </c>
      <c r="D1353" s="115" t="s">
        <v>2918</v>
      </c>
      <c r="E1353" s="115" t="s">
        <v>2919</v>
      </c>
    </row>
    <row r="1354" spans="1:5" x14ac:dyDescent="0.25">
      <c r="A1354" s="115">
        <v>-2</v>
      </c>
      <c r="B1354" s="115" t="s">
        <v>2920</v>
      </c>
      <c r="D1354" s="115" t="s">
        <v>2921</v>
      </c>
      <c r="E1354" s="115" t="s">
        <v>2922</v>
      </c>
    </row>
    <row r="1355" spans="1:5" x14ac:dyDescent="0.25">
      <c r="B1355" s="115" t="s">
        <v>1138</v>
      </c>
      <c r="D1355" s="115" t="s">
        <v>1817</v>
      </c>
      <c r="E1355" s="115" t="s">
        <v>2689</v>
      </c>
    </row>
    <row r="1356" spans="1:5" x14ac:dyDescent="0.25">
      <c r="B1356" s="115" t="s">
        <v>1138</v>
      </c>
      <c r="D1356" s="115" t="s">
        <v>2923</v>
      </c>
      <c r="E1356" s="115" t="s">
        <v>2924</v>
      </c>
    </row>
    <row r="1357" spans="1:5" x14ac:dyDescent="0.25">
      <c r="B1357" s="115" t="s">
        <v>2925</v>
      </c>
      <c r="C1357" s="115" t="s">
        <v>1137</v>
      </c>
      <c r="D1357" s="115" t="s">
        <v>2926</v>
      </c>
      <c r="E1357" s="115" t="s">
        <v>2927</v>
      </c>
    </row>
    <row r="1358" spans="1:5" x14ac:dyDescent="0.25">
      <c r="B1358" s="115" t="s">
        <v>2928</v>
      </c>
      <c r="D1358" s="115" t="s">
        <v>2929</v>
      </c>
      <c r="E1358" s="115" t="s">
        <v>1818</v>
      </c>
    </row>
    <row r="1359" spans="1:5" x14ac:dyDescent="0.25">
      <c r="A1359" s="115">
        <v>1</v>
      </c>
      <c r="B1359" s="115" t="s">
        <v>2930</v>
      </c>
      <c r="D1359" s="115" t="s">
        <v>2931</v>
      </c>
      <c r="E1359" s="115" t="s">
        <v>2932</v>
      </c>
    </row>
    <row r="1360" spans="1:5" x14ac:dyDescent="0.25">
      <c r="A1360" s="115">
        <v>-1</v>
      </c>
      <c r="B1360" s="115" t="s">
        <v>2933</v>
      </c>
      <c r="D1360" s="115">
        <f>-534    -14    -96  -352</f>
        <v>-996</v>
      </c>
      <c r="E1360" s="115" t="s">
        <v>2934</v>
      </c>
    </row>
    <row r="1361" spans="1:5" x14ac:dyDescent="0.25">
      <c r="B1361" s="115" t="s">
        <v>1382</v>
      </c>
      <c r="D1361" s="115" t="s">
        <v>2935</v>
      </c>
      <c r="E1361" s="115" t="s">
        <v>2259</v>
      </c>
    </row>
    <row r="1362" spans="1:5" x14ac:dyDescent="0.25">
      <c r="B1362" s="115" t="s">
        <v>2936</v>
      </c>
      <c r="D1362" s="115" t="s">
        <v>2937</v>
      </c>
      <c r="E1362" s="115" t="s">
        <v>2938</v>
      </c>
    </row>
    <row r="1363" spans="1:5" x14ac:dyDescent="0.25">
      <c r="A1363" s="115">
        <v>7</v>
      </c>
      <c r="B1363" s="115" t="s">
        <v>2939</v>
      </c>
      <c r="D1363" s="115" t="s">
        <v>2940</v>
      </c>
      <c r="E1363" s="115" t="s">
        <v>2941</v>
      </c>
    </row>
    <row r="1364" spans="1:5" x14ac:dyDescent="0.25">
      <c r="B1364" s="115" t="s">
        <v>2942</v>
      </c>
      <c r="D1364" s="115" t="s">
        <v>2943</v>
      </c>
      <c r="E1364" s="115" t="s">
        <v>1893</v>
      </c>
    </row>
    <row r="1365" spans="1:5" x14ac:dyDescent="0.25">
      <c r="A1365" s="115">
        <v>-3</v>
      </c>
      <c r="B1365" s="115" t="s">
        <v>1413</v>
      </c>
      <c r="D1365" s="115" t="s">
        <v>1139</v>
      </c>
      <c r="E1365" s="115" t="s">
        <v>1140</v>
      </c>
    </row>
    <row r="1366" spans="1:5" x14ac:dyDescent="0.25">
      <c r="B1366" s="115" t="s">
        <v>1138</v>
      </c>
      <c r="D1366" s="115" t="s">
        <v>1139</v>
      </c>
      <c r="E1366" s="115" t="s">
        <v>1140</v>
      </c>
    </row>
    <row r="1367" spans="1:5" x14ac:dyDescent="0.25">
      <c r="B1367" s="115" t="s">
        <v>1138</v>
      </c>
      <c r="D1367" s="115" t="s">
        <v>1139</v>
      </c>
      <c r="E1367" s="115" t="s">
        <v>1140</v>
      </c>
    </row>
    <row r="1368" spans="1:5" x14ac:dyDescent="0.25">
      <c r="B1368" s="115" t="s">
        <v>1138</v>
      </c>
      <c r="D1368" s="115" t="s">
        <v>1139</v>
      </c>
      <c r="E1368" s="115" t="s">
        <v>1140</v>
      </c>
    </row>
    <row r="1369" spans="1:5" x14ac:dyDescent="0.25">
      <c r="B1369" s="115" t="s">
        <v>1138</v>
      </c>
      <c r="D1369" s="115" t="s">
        <v>1139</v>
      </c>
      <c r="E1369" s="115" t="s">
        <v>1140</v>
      </c>
    </row>
    <row r="1370" spans="1:5" x14ac:dyDescent="0.25">
      <c r="B1370" s="115" t="s">
        <v>1138</v>
      </c>
      <c r="D1370" s="115" t="s">
        <v>1139</v>
      </c>
      <c r="E1370" s="115" t="s">
        <v>1140</v>
      </c>
    </row>
    <row r="1371" spans="1:5" x14ac:dyDescent="0.25">
      <c r="B1371" s="115" t="s">
        <v>1138</v>
      </c>
      <c r="D1371" s="115" t="s">
        <v>1139</v>
      </c>
      <c r="E1371" s="115" t="s">
        <v>1140</v>
      </c>
    </row>
    <row r="1372" spans="1:5" x14ac:dyDescent="0.25">
      <c r="B1372" s="115" t="s">
        <v>1138</v>
      </c>
      <c r="D1372" s="115" t="s">
        <v>1139</v>
      </c>
      <c r="E1372" s="115" t="s">
        <v>1140</v>
      </c>
    </row>
    <row r="1373" spans="1:5" x14ac:dyDescent="0.25">
      <c r="B1373" s="115" t="s">
        <v>1138</v>
      </c>
      <c r="D1373" s="115" t="s">
        <v>1139</v>
      </c>
      <c r="E1373" s="115" t="s">
        <v>1140</v>
      </c>
    </row>
    <row r="1374" spans="1:5" x14ac:dyDescent="0.25">
      <c r="B1374" s="115" t="s">
        <v>1138</v>
      </c>
      <c r="D1374" s="115" t="s">
        <v>1139</v>
      </c>
      <c r="E1374" s="115" t="s">
        <v>1140</v>
      </c>
    </row>
    <row r="1375" spans="1:5" x14ac:dyDescent="0.25">
      <c r="B1375" s="115" t="s">
        <v>1138</v>
      </c>
      <c r="D1375" s="115" t="s">
        <v>1139</v>
      </c>
      <c r="E1375" s="115" t="s">
        <v>1140</v>
      </c>
    </row>
    <row r="1376" spans="1:5" x14ac:dyDescent="0.25">
      <c r="B1376" s="115" t="s">
        <v>1138</v>
      </c>
      <c r="D1376" s="115" t="s">
        <v>1139</v>
      </c>
      <c r="E1376" s="115" t="s">
        <v>1140</v>
      </c>
    </row>
    <row r="1377" spans="1:5" x14ac:dyDescent="0.25">
      <c r="B1377" s="115" t="s">
        <v>1138</v>
      </c>
      <c r="D1377" s="115" t="s">
        <v>1139</v>
      </c>
      <c r="E1377" s="115" t="s">
        <v>1140</v>
      </c>
    </row>
    <row r="1378" spans="1:5" x14ac:dyDescent="0.25">
      <c r="B1378" s="115" t="s">
        <v>1138</v>
      </c>
      <c r="D1378" s="115" t="s">
        <v>1139</v>
      </c>
      <c r="E1378" s="115" t="s">
        <v>1140</v>
      </c>
    </row>
    <row r="1379" spans="1:5" x14ac:dyDescent="0.25">
      <c r="B1379" s="115" t="s">
        <v>1138</v>
      </c>
      <c r="D1379" s="115" t="s">
        <v>2944</v>
      </c>
      <c r="E1379" s="115" t="s">
        <v>2945</v>
      </c>
    </row>
    <row r="1380" spans="1:5" x14ac:dyDescent="0.25">
      <c r="B1380" s="115" t="s">
        <v>2946</v>
      </c>
      <c r="D1380" s="115" t="s">
        <v>2383</v>
      </c>
      <c r="E1380" s="115" t="s">
        <v>2947</v>
      </c>
    </row>
    <row r="1381" spans="1:5" x14ac:dyDescent="0.25">
      <c r="B1381" s="115" t="s">
        <v>1138</v>
      </c>
      <c r="D1381" s="115" t="s">
        <v>2948</v>
      </c>
      <c r="E1381" s="115" t="s">
        <v>2949</v>
      </c>
    </row>
    <row r="1382" spans="1:5" x14ac:dyDescent="0.25">
      <c r="A1382" s="115">
        <v>2</v>
      </c>
      <c r="B1382" s="115" t="s">
        <v>2950</v>
      </c>
      <c r="D1382" s="115" t="s">
        <v>2951</v>
      </c>
      <c r="E1382" s="115" t="s">
        <v>2952</v>
      </c>
    </row>
    <row r="1383" spans="1:5" x14ac:dyDescent="0.25">
      <c r="B1383" s="115" t="s">
        <v>1138</v>
      </c>
      <c r="D1383" s="115" t="s">
        <v>2953</v>
      </c>
      <c r="E1383" s="115" t="s">
        <v>2954</v>
      </c>
    </row>
    <row r="1384" spans="1:5" x14ac:dyDescent="0.25">
      <c r="B1384" s="115" t="s">
        <v>1138</v>
      </c>
      <c r="D1384" s="115" t="s">
        <v>1139</v>
      </c>
      <c r="E1384" s="115" t="s">
        <v>2955</v>
      </c>
    </row>
    <row r="1385" spans="1:5" x14ac:dyDescent="0.25">
      <c r="B1385" s="115" t="s">
        <v>1138</v>
      </c>
      <c r="D1385" s="115" t="s">
        <v>2956</v>
      </c>
      <c r="E1385" s="115" t="s">
        <v>2957</v>
      </c>
    </row>
    <row r="1386" spans="1:5" x14ac:dyDescent="0.25">
      <c r="A1386" s="115" t="s">
        <v>1137</v>
      </c>
      <c r="B1386" s="115" t="s">
        <v>1179</v>
      </c>
      <c r="D1386" s="115" t="s">
        <v>2958</v>
      </c>
      <c r="E1386" s="115" t="s">
        <v>2959</v>
      </c>
    </row>
    <row r="1387" spans="1:5" x14ac:dyDescent="0.25">
      <c r="B1387" s="115" t="s">
        <v>1138</v>
      </c>
      <c r="D1387" s="115" t="s">
        <v>2960</v>
      </c>
      <c r="E1387" s="115" t="s">
        <v>2961</v>
      </c>
    </row>
    <row r="1388" spans="1:5" x14ac:dyDescent="0.25">
      <c r="A1388" s="115">
        <v>1</v>
      </c>
      <c r="B1388" s="115" t="s">
        <v>1584</v>
      </c>
      <c r="D1388" s="115" t="s">
        <v>2962</v>
      </c>
      <c r="E1388" s="115" t="s">
        <v>2963</v>
      </c>
    </row>
    <row r="1389" spans="1:5" x14ac:dyDescent="0.25">
      <c r="B1389" s="115" t="s">
        <v>1138</v>
      </c>
      <c r="D1389" s="115" t="s">
        <v>2964</v>
      </c>
      <c r="E1389" s="115" t="s">
        <v>2965</v>
      </c>
    </row>
    <row r="1390" spans="1:5" x14ac:dyDescent="0.25">
      <c r="B1390" s="115" t="s">
        <v>1138</v>
      </c>
      <c r="D1390" s="115" t="s">
        <v>2966</v>
      </c>
      <c r="E1390" s="115" t="s">
        <v>2967</v>
      </c>
    </row>
    <row r="1391" spans="1:5" x14ac:dyDescent="0.25">
      <c r="A1391" s="115">
        <v>1</v>
      </c>
      <c r="B1391" s="115" t="s">
        <v>2968</v>
      </c>
      <c r="D1391" s="115" t="s">
        <v>2969</v>
      </c>
      <c r="E1391" s="115" t="s">
        <v>2970</v>
      </c>
    </row>
    <row r="1392" spans="1:5" x14ac:dyDescent="0.25">
      <c r="B1392" s="115" t="s">
        <v>2971</v>
      </c>
      <c r="D1392" s="115" t="s">
        <v>2972</v>
      </c>
      <c r="E1392" s="115" t="s">
        <v>2973</v>
      </c>
    </row>
    <row r="1393" spans="1:5" x14ac:dyDescent="0.25">
      <c r="B1393" s="115" t="s">
        <v>1138</v>
      </c>
      <c r="D1393" s="115" t="s">
        <v>2974</v>
      </c>
      <c r="E1393" s="115" t="s">
        <v>2975</v>
      </c>
    </row>
    <row r="1394" spans="1:5" x14ac:dyDescent="0.25">
      <c r="B1394" s="115" t="s">
        <v>1138</v>
      </c>
      <c r="D1394" s="115" t="s">
        <v>2976</v>
      </c>
      <c r="E1394" s="115" t="s">
        <v>2977</v>
      </c>
    </row>
    <row r="1395" spans="1:5" x14ac:dyDescent="0.25">
      <c r="B1395" s="115" t="s">
        <v>1138</v>
      </c>
      <c r="D1395" s="115" t="s">
        <v>1139</v>
      </c>
      <c r="E1395" s="115" t="s">
        <v>2978</v>
      </c>
    </row>
    <row r="1396" spans="1:5" x14ac:dyDescent="0.25">
      <c r="B1396" s="115" t="s">
        <v>1138</v>
      </c>
      <c r="D1396" s="115" t="s">
        <v>2979</v>
      </c>
      <c r="E1396" s="115" t="s">
        <v>2980</v>
      </c>
    </row>
    <row r="1397" spans="1:5" x14ac:dyDescent="0.25">
      <c r="B1397" s="115" t="s">
        <v>2981</v>
      </c>
      <c r="D1397" s="115" t="s">
        <v>2982</v>
      </c>
      <c r="E1397" s="115" t="s">
        <v>1758</v>
      </c>
    </row>
    <row r="1398" spans="1:5" x14ac:dyDescent="0.25">
      <c r="B1398" s="115" t="s">
        <v>2983</v>
      </c>
      <c r="D1398" s="115" t="s">
        <v>1139</v>
      </c>
      <c r="E1398" s="115" t="s">
        <v>2984</v>
      </c>
    </row>
    <row r="1399" spans="1:5" x14ac:dyDescent="0.25">
      <c r="A1399" s="115">
        <v>76</v>
      </c>
      <c r="B1399" s="115" t="s">
        <v>2985</v>
      </c>
      <c r="D1399" s="115" t="s">
        <v>2986</v>
      </c>
      <c r="E1399" s="115" t="s">
        <v>2987</v>
      </c>
    </row>
    <row r="1400" spans="1:5" x14ac:dyDescent="0.25">
      <c r="B1400" s="115" t="s">
        <v>1138</v>
      </c>
      <c r="D1400" s="115" t="s">
        <v>2988</v>
      </c>
      <c r="E1400" s="115" t="s">
        <v>2989</v>
      </c>
    </row>
    <row r="1401" spans="1:5" x14ac:dyDescent="0.25">
      <c r="B1401" s="115" t="s">
        <v>2990</v>
      </c>
      <c r="D1401" s="115" t="s">
        <v>1139</v>
      </c>
      <c r="E1401" s="115" t="s">
        <v>2991</v>
      </c>
    </row>
    <row r="1402" spans="1:5" x14ac:dyDescent="0.25">
      <c r="A1402" s="115">
        <v>82</v>
      </c>
      <c r="B1402" s="115" t="s">
        <v>2992</v>
      </c>
      <c r="D1402" s="115" t="s">
        <v>2993</v>
      </c>
      <c r="E1402" s="115" t="s">
        <v>2994</v>
      </c>
    </row>
    <row r="1403" spans="1:5" x14ac:dyDescent="0.25">
      <c r="A1403" s="115" t="s">
        <v>1137</v>
      </c>
      <c r="B1403" s="115" t="s">
        <v>2995</v>
      </c>
      <c r="D1403" s="115" t="s">
        <v>2996</v>
      </c>
      <c r="E1403" s="115" t="s">
        <v>2997</v>
      </c>
    </row>
    <row r="1404" spans="1:5" x14ac:dyDescent="0.25">
      <c r="B1404" s="115" t="s">
        <v>2998</v>
      </c>
      <c r="D1404" s="115" t="s">
        <v>1139</v>
      </c>
      <c r="E1404" s="115" t="s">
        <v>2999</v>
      </c>
    </row>
    <row r="1405" spans="1:5" x14ac:dyDescent="0.25">
      <c r="A1405" s="115">
        <v>85</v>
      </c>
      <c r="B1405" s="115" t="s">
        <v>3000</v>
      </c>
      <c r="D1405" s="115">
        <f>-82    -84    -99   -50</f>
        <v>-315</v>
      </c>
      <c r="E1405" s="115" t="s">
        <v>3001</v>
      </c>
    </row>
    <row r="1406" spans="1:5" x14ac:dyDescent="0.25">
      <c r="B1406" s="115" t="s">
        <v>3002</v>
      </c>
      <c r="D1406" s="115" t="s">
        <v>3003</v>
      </c>
      <c r="E1406" s="115" t="s">
        <v>3004</v>
      </c>
    </row>
    <row r="1407" spans="1:5" x14ac:dyDescent="0.25">
      <c r="A1407" s="115" t="s">
        <v>1137</v>
      </c>
      <c r="B1407" s="115" t="s">
        <v>3005</v>
      </c>
      <c r="D1407" s="115" t="s">
        <v>1139</v>
      </c>
      <c r="E1407" s="115" t="s">
        <v>3006</v>
      </c>
    </row>
    <row r="1408" spans="1:5" x14ac:dyDescent="0.25">
      <c r="B1408" s="115">
        <f>-16   -456</f>
        <v>-472</v>
      </c>
      <c r="C1408" s="115" t="s">
        <v>1137</v>
      </c>
      <c r="D1408" s="115" t="s">
        <v>3007</v>
      </c>
      <c r="E1408" s="115" t="s">
        <v>3008</v>
      </c>
    </row>
    <row r="1409" spans="1:5" x14ac:dyDescent="0.25">
      <c r="B1409" s="115" t="s">
        <v>1138</v>
      </c>
      <c r="D1409" s="115" t="s">
        <v>3009</v>
      </c>
      <c r="E1409" s="115" t="s">
        <v>1140</v>
      </c>
    </row>
    <row r="1410" spans="1:5" x14ac:dyDescent="0.25">
      <c r="B1410" s="115" t="s">
        <v>1138</v>
      </c>
      <c r="D1410" s="115" t="s">
        <v>3010</v>
      </c>
      <c r="E1410" s="115" t="s">
        <v>3011</v>
      </c>
    </row>
    <row r="1411" spans="1:5" x14ac:dyDescent="0.25">
      <c r="B1411" s="115" t="s">
        <v>3012</v>
      </c>
      <c r="D1411" s="115" t="s">
        <v>2057</v>
      </c>
      <c r="E1411" s="115" t="s">
        <v>1638</v>
      </c>
    </row>
    <row r="1412" spans="1:5" x14ac:dyDescent="0.25">
      <c r="B1412" s="115" t="s">
        <v>1138</v>
      </c>
      <c r="D1412" s="115" t="s">
        <v>3013</v>
      </c>
      <c r="E1412" s="115" t="s">
        <v>1858</v>
      </c>
    </row>
    <row r="1413" spans="1:5" x14ac:dyDescent="0.25">
      <c r="B1413" s="115" t="s">
        <v>1138</v>
      </c>
      <c r="D1413" s="115" t="s">
        <v>3014</v>
      </c>
      <c r="E1413" s="115" t="s">
        <v>3015</v>
      </c>
    </row>
    <row r="1414" spans="1:5" x14ac:dyDescent="0.25">
      <c r="B1414" s="115" t="s">
        <v>2240</v>
      </c>
      <c r="D1414" s="115" t="s">
        <v>3016</v>
      </c>
      <c r="E1414" s="115" t="s">
        <v>3017</v>
      </c>
    </row>
    <row r="1415" spans="1:5" x14ac:dyDescent="0.25">
      <c r="B1415" s="115" t="s">
        <v>3018</v>
      </c>
      <c r="D1415" s="115" t="s">
        <v>3019</v>
      </c>
      <c r="E1415" s="115" t="s">
        <v>1758</v>
      </c>
    </row>
    <row r="1416" spans="1:5" x14ac:dyDescent="0.25">
      <c r="A1416" s="115" t="s">
        <v>1137</v>
      </c>
      <c r="B1416" s="115" t="s">
        <v>3020</v>
      </c>
      <c r="D1416" s="115" t="s">
        <v>3021</v>
      </c>
      <c r="E1416" s="115" t="s">
        <v>3022</v>
      </c>
    </row>
    <row r="1417" spans="1:5" x14ac:dyDescent="0.25">
      <c r="A1417" s="115" t="s">
        <v>1137</v>
      </c>
      <c r="B1417" s="115" t="s">
        <v>3023</v>
      </c>
      <c r="D1417" s="115" t="s">
        <v>3024</v>
      </c>
      <c r="E1417" s="115" t="s">
        <v>3025</v>
      </c>
    </row>
    <row r="1418" spans="1:5" x14ac:dyDescent="0.25">
      <c r="B1418" s="115" t="s">
        <v>1403</v>
      </c>
      <c r="D1418" s="115" t="s">
        <v>3026</v>
      </c>
      <c r="E1418" s="115" t="s">
        <v>1858</v>
      </c>
    </row>
    <row r="1419" spans="1:5" x14ac:dyDescent="0.25">
      <c r="B1419" s="115">
        <f>-1   -160</f>
        <v>-161</v>
      </c>
      <c r="D1419" s="115" t="s">
        <v>3027</v>
      </c>
      <c r="E1419" s="115" t="s">
        <v>3028</v>
      </c>
    </row>
    <row r="1420" spans="1:5" x14ac:dyDescent="0.25">
      <c r="B1420" s="115" t="s">
        <v>1553</v>
      </c>
      <c r="D1420" s="115" t="s">
        <v>3029</v>
      </c>
      <c r="E1420" s="115" t="s">
        <v>3030</v>
      </c>
    </row>
    <row r="1421" spans="1:5" x14ac:dyDescent="0.25">
      <c r="B1421" s="115" t="s">
        <v>1525</v>
      </c>
      <c r="D1421" s="115" t="s">
        <v>3031</v>
      </c>
      <c r="E1421" s="115" t="s">
        <v>1140</v>
      </c>
    </row>
    <row r="1422" spans="1:5" x14ac:dyDescent="0.25">
      <c r="A1422" s="115" t="s">
        <v>1137</v>
      </c>
      <c r="B1422" s="115" t="s">
        <v>3032</v>
      </c>
      <c r="D1422" s="115" t="s">
        <v>3033</v>
      </c>
      <c r="E1422" s="115" t="s">
        <v>1140</v>
      </c>
    </row>
    <row r="1423" spans="1:5" x14ac:dyDescent="0.25">
      <c r="B1423" s="115" t="s">
        <v>1138</v>
      </c>
      <c r="D1423" s="115" t="s">
        <v>1139</v>
      </c>
      <c r="E1423" s="115" t="s">
        <v>1140</v>
      </c>
    </row>
    <row r="1424" spans="1:5" x14ac:dyDescent="0.25">
      <c r="B1424" s="115" t="s">
        <v>1138</v>
      </c>
      <c r="D1424" s="115" t="s">
        <v>1139</v>
      </c>
      <c r="E1424" s="115" t="s">
        <v>1140</v>
      </c>
    </row>
    <row r="1425" spans="2:5" x14ac:dyDescent="0.25">
      <c r="B1425" s="115" t="s">
        <v>1138</v>
      </c>
      <c r="D1425" s="115" t="s">
        <v>1139</v>
      </c>
      <c r="E1425" s="115" t="s">
        <v>1140</v>
      </c>
    </row>
    <row r="1426" spans="2:5" x14ac:dyDescent="0.25">
      <c r="B1426" s="115" t="s">
        <v>1138</v>
      </c>
      <c r="D1426" s="115" t="s">
        <v>1139</v>
      </c>
      <c r="E1426" s="115" t="s">
        <v>1140</v>
      </c>
    </row>
    <row r="1427" spans="2:5" x14ac:dyDescent="0.25">
      <c r="B1427" s="115" t="s">
        <v>1138</v>
      </c>
      <c r="D1427" s="115" t="s">
        <v>1139</v>
      </c>
      <c r="E1427" s="115" t="s">
        <v>1140</v>
      </c>
    </row>
    <row r="1428" spans="2:5" x14ac:dyDescent="0.25">
      <c r="B1428" s="115" t="s">
        <v>1138</v>
      </c>
      <c r="D1428" s="115" t="s">
        <v>1139</v>
      </c>
      <c r="E1428" s="115" t="s">
        <v>1140</v>
      </c>
    </row>
    <row r="1429" spans="2:5" x14ac:dyDescent="0.25">
      <c r="B1429" s="115" t="s">
        <v>1138</v>
      </c>
      <c r="D1429" s="115" t="s">
        <v>1139</v>
      </c>
      <c r="E1429" s="115" t="s">
        <v>1140</v>
      </c>
    </row>
    <row r="1430" spans="2:5" x14ac:dyDescent="0.25">
      <c r="B1430" s="115" t="s">
        <v>1138</v>
      </c>
      <c r="D1430" s="115" t="s">
        <v>1139</v>
      </c>
      <c r="E1430" s="115" t="s">
        <v>1140</v>
      </c>
    </row>
    <row r="1431" spans="2:5" x14ac:dyDescent="0.25">
      <c r="B1431" s="115" t="s">
        <v>1138</v>
      </c>
      <c r="D1431" s="115" t="s">
        <v>1139</v>
      </c>
      <c r="E1431" s="115" t="s">
        <v>1140</v>
      </c>
    </row>
    <row r="1432" spans="2:5" x14ac:dyDescent="0.25">
      <c r="B1432" s="115" t="s">
        <v>1138</v>
      </c>
      <c r="D1432" s="115" t="s">
        <v>1139</v>
      </c>
      <c r="E1432" s="115" t="s">
        <v>1140</v>
      </c>
    </row>
    <row r="1433" spans="2:5" x14ac:dyDescent="0.25">
      <c r="B1433" s="115" t="s">
        <v>1138</v>
      </c>
      <c r="D1433" s="115" t="s">
        <v>1139</v>
      </c>
      <c r="E1433" s="115" t="s">
        <v>1140</v>
      </c>
    </row>
    <row r="1434" spans="2:5" x14ac:dyDescent="0.25">
      <c r="B1434" s="115" t="s">
        <v>1138</v>
      </c>
      <c r="D1434" s="115" t="s">
        <v>1139</v>
      </c>
      <c r="E1434" s="115" t="s">
        <v>1140</v>
      </c>
    </row>
    <row r="1435" spans="2:5" x14ac:dyDescent="0.25">
      <c r="B1435" s="115" t="s">
        <v>1138</v>
      </c>
      <c r="D1435" s="115" t="s">
        <v>1139</v>
      </c>
      <c r="E1435" s="115" t="s">
        <v>1140</v>
      </c>
    </row>
    <row r="1436" spans="2:5" x14ac:dyDescent="0.25">
      <c r="B1436" s="115" t="s">
        <v>1138</v>
      </c>
      <c r="D1436" s="115" t="s">
        <v>1139</v>
      </c>
      <c r="E1436" s="115" t="s">
        <v>1140</v>
      </c>
    </row>
    <row r="1437" spans="2:5" x14ac:dyDescent="0.25">
      <c r="B1437" s="115" t="s">
        <v>1138</v>
      </c>
      <c r="D1437" s="115" t="s">
        <v>1139</v>
      </c>
      <c r="E1437" s="115" t="s">
        <v>1140</v>
      </c>
    </row>
    <row r="1438" spans="2:5" x14ac:dyDescent="0.25">
      <c r="B1438" s="115" t="s">
        <v>1138</v>
      </c>
      <c r="D1438" s="115" t="s">
        <v>1139</v>
      </c>
      <c r="E1438" s="115" t="s">
        <v>1140</v>
      </c>
    </row>
    <row r="1439" spans="2:5" x14ac:dyDescent="0.25">
      <c r="B1439" s="115" t="s">
        <v>1138</v>
      </c>
      <c r="D1439" s="115" t="s">
        <v>1139</v>
      </c>
      <c r="E1439" s="115" t="s">
        <v>1140</v>
      </c>
    </row>
    <row r="1440" spans="2:5" x14ac:dyDescent="0.25">
      <c r="B1440" s="115" t="s">
        <v>1138</v>
      </c>
      <c r="D1440" s="115" t="s">
        <v>1139</v>
      </c>
      <c r="E1440" s="115" t="s">
        <v>1140</v>
      </c>
    </row>
    <row r="1441" spans="2:5" x14ac:dyDescent="0.25">
      <c r="B1441" s="115" t="s">
        <v>1138</v>
      </c>
      <c r="D1441" s="115" t="s">
        <v>1139</v>
      </c>
      <c r="E1441" s="115" t="s">
        <v>1140</v>
      </c>
    </row>
    <row r="1442" spans="2:5" x14ac:dyDescent="0.25">
      <c r="B1442" s="115" t="s">
        <v>1138</v>
      </c>
      <c r="D1442" s="115" t="s">
        <v>1139</v>
      </c>
      <c r="E1442" s="115" t="s">
        <v>1140</v>
      </c>
    </row>
    <row r="1443" spans="2:5" x14ac:dyDescent="0.25">
      <c r="B1443" s="115" t="s">
        <v>1138</v>
      </c>
      <c r="D1443" s="115" t="s">
        <v>1139</v>
      </c>
      <c r="E1443" s="115" t="s">
        <v>1140</v>
      </c>
    </row>
    <row r="1444" spans="2:5" x14ac:dyDescent="0.25">
      <c r="B1444" s="115" t="s">
        <v>1138</v>
      </c>
      <c r="D1444" s="115" t="s">
        <v>1139</v>
      </c>
      <c r="E1444" s="115" t="s">
        <v>1140</v>
      </c>
    </row>
    <row r="1445" spans="2:5" x14ac:dyDescent="0.25">
      <c r="B1445" s="115" t="s">
        <v>1138</v>
      </c>
      <c r="D1445" s="115" t="s">
        <v>1139</v>
      </c>
      <c r="E1445" s="115" t="s">
        <v>1140</v>
      </c>
    </row>
    <row r="1446" spans="2:5" x14ac:dyDescent="0.25">
      <c r="B1446" s="115" t="s">
        <v>1138</v>
      </c>
      <c r="D1446" s="115" t="s">
        <v>1139</v>
      </c>
      <c r="E1446" s="115" t="s">
        <v>1140</v>
      </c>
    </row>
    <row r="1447" spans="2:5" x14ac:dyDescent="0.25">
      <c r="B1447" s="115" t="s">
        <v>1138</v>
      </c>
      <c r="D1447" s="115" t="s">
        <v>1139</v>
      </c>
      <c r="E1447" s="115" t="s">
        <v>1140</v>
      </c>
    </row>
    <row r="1448" spans="2:5" x14ac:dyDescent="0.25">
      <c r="B1448" s="115" t="s">
        <v>1138</v>
      </c>
      <c r="D1448" s="115" t="s">
        <v>1139</v>
      </c>
      <c r="E1448" s="115" t="s">
        <v>1140</v>
      </c>
    </row>
    <row r="1449" spans="2:5" x14ac:dyDescent="0.25">
      <c r="B1449" s="115" t="s">
        <v>1138</v>
      </c>
      <c r="D1449" s="115" t="s">
        <v>1139</v>
      </c>
      <c r="E1449" s="115" t="s">
        <v>1140</v>
      </c>
    </row>
    <row r="1450" spans="2:5" x14ac:dyDescent="0.25">
      <c r="B1450" s="115" t="s">
        <v>1138</v>
      </c>
      <c r="D1450" s="115" t="s">
        <v>1139</v>
      </c>
      <c r="E1450" s="115" t="s">
        <v>1140</v>
      </c>
    </row>
    <row r="1451" spans="2:5" x14ac:dyDescent="0.25">
      <c r="B1451" s="115" t="s">
        <v>1138</v>
      </c>
      <c r="D1451" s="115" t="s">
        <v>1139</v>
      </c>
      <c r="E1451" s="115" t="s">
        <v>1140</v>
      </c>
    </row>
    <row r="1452" spans="2:5" x14ac:dyDescent="0.25">
      <c r="B1452" s="115" t="s">
        <v>1138</v>
      </c>
      <c r="D1452" s="115" t="s">
        <v>1139</v>
      </c>
      <c r="E1452" s="115" t="s">
        <v>1140</v>
      </c>
    </row>
    <row r="1453" spans="2:5" x14ac:dyDescent="0.25">
      <c r="B1453" s="115" t="s">
        <v>1138</v>
      </c>
      <c r="D1453" s="115" t="s">
        <v>1139</v>
      </c>
      <c r="E1453" s="115" t="s">
        <v>1140</v>
      </c>
    </row>
    <row r="1454" spans="2:5" x14ac:dyDescent="0.25">
      <c r="B1454" s="115" t="s">
        <v>1138</v>
      </c>
      <c r="D1454" s="115" t="s">
        <v>1139</v>
      </c>
      <c r="E1454" s="115" t="s">
        <v>1140</v>
      </c>
    </row>
    <row r="1455" spans="2:5" x14ac:dyDescent="0.25">
      <c r="B1455" s="115" t="s">
        <v>1138</v>
      </c>
      <c r="D1455" s="115" t="s">
        <v>1139</v>
      </c>
      <c r="E1455" s="115" t="s">
        <v>1140</v>
      </c>
    </row>
    <row r="1456" spans="2:5" x14ac:dyDescent="0.25">
      <c r="B1456" s="115" t="s">
        <v>1138</v>
      </c>
      <c r="D1456" s="115" t="s">
        <v>1139</v>
      </c>
      <c r="E1456" s="115" t="s">
        <v>1140</v>
      </c>
    </row>
    <row r="1457" spans="2:5" x14ac:dyDescent="0.25">
      <c r="B1457" s="115" t="s">
        <v>1138</v>
      </c>
      <c r="D1457" s="115" t="s">
        <v>1139</v>
      </c>
      <c r="E1457" s="115" t="s">
        <v>1140</v>
      </c>
    </row>
    <row r="1458" spans="2:5" x14ac:dyDescent="0.25">
      <c r="B1458" s="115" t="s">
        <v>1138</v>
      </c>
      <c r="D1458" s="115" t="s">
        <v>1139</v>
      </c>
      <c r="E1458" s="115" t="s">
        <v>1140</v>
      </c>
    </row>
    <row r="1459" spans="2:5" x14ac:dyDescent="0.25">
      <c r="B1459" s="115" t="s">
        <v>1138</v>
      </c>
      <c r="D1459" s="115" t="s">
        <v>1139</v>
      </c>
      <c r="E1459" s="115" t="s">
        <v>1140</v>
      </c>
    </row>
    <row r="1460" spans="2:5" x14ac:dyDescent="0.25">
      <c r="B1460" s="115" t="s">
        <v>1138</v>
      </c>
      <c r="D1460" s="115" t="s">
        <v>1139</v>
      </c>
      <c r="E1460" s="115" t="s">
        <v>1140</v>
      </c>
    </row>
    <row r="1461" spans="2:5" x14ac:dyDescent="0.25">
      <c r="B1461" s="115" t="s">
        <v>1138</v>
      </c>
      <c r="D1461" s="115" t="s">
        <v>1139</v>
      </c>
      <c r="E1461" s="115" t="s">
        <v>1140</v>
      </c>
    </row>
    <row r="1462" spans="2:5" x14ac:dyDescent="0.25">
      <c r="B1462" s="115" t="s">
        <v>1138</v>
      </c>
      <c r="D1462" s="115" t="s">
        <v>1139</v>
      </c>
      <c r="E1462" s="115" t="s">
        <v>1140</v>
      </c>
    </row>
    <row r="1463" spans="2:5" x14ac:dyDescent="0.25">
      <c r="B1463" s="115" t="s">
        <v>1138</v>
      </c>
      <c r="D1463" s="115" t="s">
        <v>1139</v>
      </c>
      <c r="E1463" s="115" t="s">
        <v>1140</v>
      </c>
    </row>
    <row r="1464" spans="2:5" x14ac:dyDescent="0.25">
      <c r="B1464" s="115" t="s">
        <v>1138</v>
      </c>
      <c r="D1464" s="115" t="s">
        <v>1139</v>
      </c>
      <c r="E1464" s="115" t="s">
        <v>1140</v>
      </c>
    </row>
    <row r="1465" spans="2:5" x14ac:dyDescent="0.25">
      <c r="B1465" s="115" t="s">
        <v>1138</v>
      </c>
      <c r="D1465" s="115" t="s">
        <v>1139</v>
      </c>
      <c r="E1465" s="115" t="s">
        <v>1140</v>
      </c>
    </row>
    <row r="1466" spans="2:5" x14ac:dyDescent="0.25">
      <c r="B1466" s="115" t="s">
        <v>1138</v>
      </c>
      <c r="D1466" s="115" t="s">
        <v>1139</v>
      </c>
      <c r="E1466" s="115" t="s">
        <v>3034</v>
      </c>
    </row>
    <row r="1467" spans="2:5" x14ac:dyDescent="0.25">
      <c r="B1467" s="115" t="s">
        <v>1138</v>
      </c>
      <c r="D1467" s="115" t="s">
        <v>3035</v>
      </c>
      <c r="E1467" s="115" t="s">
        <v>3036</v>
      </c>
    </row>
    <row r="1468" spans="2:5" x14ac:dyDescent="0.25">
      <c r="B1468" s="115" t="s">
        <v>1138</v>
      </c>
      <c r="D1468" s="115" t="s">
        <v>1139</v>
      </c>
      <c r="E1468" s="115" t="s">
        <v>3037</v>
      </c>
    </row>
    <row r="1469" spans="2:5" x14ac:dyDescent="0.25">
      <c r="B1469" s="115" t="s">
        <v>1138</v>
      </c>
      <c r="D1469" s="115" t="s">
        <v>3038</v>
      </c>
      <c r="E1469" s="115" t="s">
        <v>3039</v>
      </c>
    </row>
    <row r="1470" spans="2:5" x14ac:dyDescent="0.25">
      <c r="B1470" s="115" t="s">
        <v>3040</v>
      </c>
      <c r="D1470" s="115" t="s">
        <v>2034</v>
      </c>
      <c r="E1470" s="115" t="s">
        <v>2536</v>
      </c>
    </row>
    <row r="1471" spans="2:5" x14ac:dyDescent="0.25">
      <c r="B1471" s="115" t="s">
        <v>3041</v>
      </c>
      <c r="D1471" s="115" t="s">
        <v>1139</v>
      </c>
      <c r="E1471" s="115" t="s">
        <v>3042</v>
      </c>
    </row>
    <row r="1472" spans="2:5" x14ac:dyDescent="0.25">
      <c r="B1472" s="115" t="s">
        <v>1151</v>
      </c>
      <c r="D1472" s="115" t="s">
        <v>3043</v>
      </c>
      <c r="E1472" s="115" t="s">
        <v>3044</v>
      </c>
    </row>
    <row r="1473" spans="1:5" x14ac:dyDescent="0.25">
      <c r="B1473" s="115" t="s">
        <v>1138</v>
      </c>
      <c r="C1473" s="115" t="s">
        <v>1137</v>
      </c>
      <c r="D1473" s="115" t="s">
        <v>3045</v>
      </c>
      <c r="E1473" s="115" t="s">
        <v>3046</v>
      </c>
    </row>
    <row r="1474" spans="1:5" x14ac:dyDescent="0.25">
      <c r="A1474" s="115" t="s">
        <v>1137</v>
      </c>
      <c r="B1474" s="115" t="s">
        <v>3047</v>
      </c>
      <c r="D1474" s="115" t="s">
        <v>1139</v>
      </c>
      <c r="E1474" s="115" t="s">
        <v>3048</v>
      </c>
    </row>
    <row r="1475" spans="1:5" x14ac:dyDescent="0.25">
      <c r="A1475" s="115" t="s">
        <v>1137</v>
      </c>
      <c r="B1475" s="115" t="s">
        <v>3049</v>
      </c>
      <c r="D1475" s="115" t="s">
        <v>3050</v>
      </c>
      <c r="E1475" s="115" t="s">
        <v>3051</v>
      </c>
    </row>
    <row r="1476" spans="1:5" x14ac:dyDescent="0.25">
      <c r="B1476" s="115" t="s">
        <v>3052</v>
      </c>
      <c r="D1476" s="115" t="s">
        <v>3053</v>
      </c>
      <c r="E1476" s="115" t="s">
        <v>3054</v>
      </c>
    </row>
    <row r="1477" spans="1:5" x14ac:dyDescent="0.25">
      <c r="A1477" s="115" t="s">
        <v>1137</v>
      </c>
      <c r="B1477" s="115" t="s">
        <v>3055</v>
      </c>
      <c r="D1477" s="115" t="s">
        <v>1139</v>
      </c>
      <c r="E1477" s="115" t="s">
        <v>3056</v>
      </c>
    </row>
    <row r="1478" spans="1:5" x14ac:dyDescent="0.25">
      <c r="B1478" s="115" t="s">
        <v>3057</v>
      </c>
      <c r="D1478" s="115" t="s">
        <v>3058</v>
      </c>
      <c r="E1478" s="115" t="s">
        <v>3059</v>
      </c>
    </row>
    <row r="1479" spans="1:5" x14ac:dyDescent="0.25">
      <c r="B1479" s="115" t="s">
        <v>3060</v>
      </c>
      <c r="D1479" s="115" t="s">
        <v>3061</v>
      </c>
      <c r="E1479" s="115" t="s">
        <v>3062</v>
      </c>
    </row>
    <row r="1480" spans="1:5" x14ac:dyDescent="0.25">
      <c r="B1480" s="115" t="s">
        <v>3063</v>
      </c>
      <c r="D1480" s="115" t="s">
        <v>1139</v>
      </c>
      <c r="E1480" s="115" t="s">
        <v>3064</v>
      </c>
    </row>
    <row r="1481" spans="1:5" x14ac:dyDescent="0.25">
      <c r="A1481" s="115">
        <v>-1</v>
      </c>
      <c r="B1481" s="115" t="s">
        <v>3065</v>
      </c>
      <c r="D1481" s="115" t="s">
        <v>3066</v>
      </c>
      <c r="E1481" s="115" t="s">
        <v>3067</v>
      </c>
    </row>
    <row r="1482" spans="1:5" x14ac:dyDescent="0.25">
      <c r="B1482" s="115" t="s">
        <v>3068</v>
      </c>
      <c r="D1482" s="115" t="s">
        <v>3069</v>
      </c>
      <c r="E1482" s="115" t="s">
        <v>3070</v>
      </c>
    </row>
    <row r="1483" spans="1:5" x14ac:dyDescent="0.25">
      <c r="B1483" s="115" t="s">
        <v>1138</v>
      </c>
      <c r="D1483" s="115" t="s">
        <v>1139</v>
      </c>
      <c r="E1483" s="115" t="s">
        <v>3071</v>
      </c>
    </row>
    <row r="1484" spans="1:5" x14ac:dyDescent="0.25">
      <c r="B1484" s="115" t="s">
        <v>1415</v>
      </c>
      <c r="D1484" s="115" t="s">
        <v>3072</v>
      </c>
      <c r="E1484" s="115" t="s">
        <v>3073</v>
      </c>
    </row>
    <row r="1485" spans="1:5" x14ac:dyDescent="0.25">
      <c r="A1485" s="115" t="s">
        <v>1137</v>
      </c>
      <c r="B1485" s="115" t="s">
        <v>1438</v>
      </c>
      <c r="D1485" s="115" t="s">
        <v>3074</v>
      </c>
      <c r="E1485" s="115" t="s">
        <v>1140</v>
      </c>
    </row>
    <row r="1486" spans="1:5" x14ac:dyDescent="0.25">
      <c r="A1486" s="115" t="s">
        <v>1137</v>
      </c>
      <c r="B1486" s="115" t="s">
        <v>1360</v>
      </c>
      <c r="D1486" s="115" t="s">
        <v>1139</v>
      </c>
      <c r="E1486" s="115" t="s">
        <v>3075</v>
      </c>
    </row>
    <row r="1487" spans="1:5" x14ac:dyDescent="0.25">
      <c r="B1487" s="115" t="s">
        <v>3076</v>
      </c>
      <c r="D1487" s="115" t="s">
        <v>1139</v>
      </c>
      <c r="E1487" s="115" t="s">
        <v>3077</v>
      </c>
    </row>
    <row r="1488" spans="1:5" x14ac:dyDescent="0.25">
      <c r="B1488" s="115" t="s">
        <v>3078</v>
      </c>
      <c r="D1488" s="115" t="s">
        <v>3079</v>
      </c>
      <c r="E1488" s="115" t="s">
        <v>3080</v>
      </c>
    </row>
    <row r="1489" spans="1:5" x14ac:dyDescent="0.25">
      <c r="A1489" s="115">
        <v>-3</v>
      </c>
      <c r="B1489" s="115" t="s">
        <v>1514</v>
      </c>
      <c r="D1489" s="115" t="s">
        <v>3081</v>
      </c>
      <c r="E1489" s="115" t="s">
        <v>3082</v>
      </c>
    </row>
    <row r="1490" spans="1:5" x14ac:dyDescent="0.25">
      <c r="B1490" s="115" t="s">
        <v>3083</v>
      </c>
      <c r="D1490" s="115" t="s">
        <v>3084</v>
      </c>
      <c r="E1490" s="115" t="s">
        <v>3085</v>
      </c>
    </row>
    <row r="1491" spans="1:5" x14ac:dyDescent="0.25">
      <c r="B1491" s="115" t="s">
        <v>3086</v>
      </c>
      <c r="D1491" s="115" t="s">
        <v>3087</v>
      </c>
      <c r="E1491" s="115" t="s">
        <v>3088</v>
      </c>
    </row>
    <row r="1492" spans="1:5" x14ac:dyDescent="0.25">
      <c r="B1492" s="115" t="s">
        <v>3089</v>
      </c>
      <c r="D1492" s="115" t="s">
        <v>3090</v>
      </c>
      <c r="E1492" s="115" t="s">
        <v>3091</v>
      </c>
    </row>
    <row r="1493" spans="1:5" x14ac:dyDescent="0.25">
      <c r="B1493" s="115">
        <f>-42    -28</f>
        <v>-70</v>
      </c>
      <c r="D1493" s="115" t="s">
        <v>3092</v>
      </c>
      <c r="E1493" s="115" t="s">
        <v>3093</v>
      </c>
    </row>
    <row r="1494" spans="1:5" x14ac:dyDescent="0.25">
      <c r="A1494" s="115" t="s">
        <v>1137</v>
      </c>
      <c r="B1494" s="115" t="s">
        <v>3094</v>
      </c>
      <c r="D1494" s="115" t="s">
        <v>3095</v>
      </c>
      <c r="E1494" s="115" t="s">
        <v>3096</v>
      </c>
    </row>
    <row r="1495" spans="1:5" x14ac:dyDescent="0.25">
      <c r="B1495" s="115" t="s">
        <v>3097</v>
      </c>
      <c r="D1495" s="115" t="s">
        <v>3098</v>
      </c>
      <c r="E1495" s="115" t="s">
        <v>3099</v>
      </c>
    </row>
    <row r="1496" spans="1:5" x14ac:dyDescent="0.25">
      <c r="A1496" s="115">
        <v>2</v>
      </c>
      <c r="B1496" s="115" t="s">
        <v>1513</v>
      </c>
      <c r="D1496" s="115" t="s">
        <v>3100</v>
      </c>
      <c r="E1496" s="115" t="s">
        <v>3101</v>
      </c>
    </row>
    <row r="1497" spans="1:5" x14ac:dyDescent="0.25">
      <c r="B1497" s="115" t="s">
        <v>3102</v>
      </c>
      <c r="D1497" s="115" t="s">
        <v>3103</v>
      </c>
      <c r="E1497" s="115" t="s">
        <v>3104</v>
      </c>
    </row>
    <row r="1498" spans="1:5" x14ac:dyDescent="0.25">
      <c r="B1498" s="115" t="s">
        <v>1138</v>
      </c>
      <c r="D1498" s="115" t="s">
        <v>1139</v>
      </c>
      <c r="E1498" s="115" t="s">
        <v>3105</v>
      </c>
    </row>
    <row r="1499" spans="1:5" x14ac:dyDescent="0.25">
      <c r="B1499" s="115" t="s">
        <v>3106</v>
      </c>
      <c r="D1499" s="115" t="s">
        <v>3107</v>
      </c>
      <c r="E1499" s="115" t="s">
        <v>3108</v>
      </c>
    </row>
    <row r="1500" spans="1:5" x14ac:dyDescent="0.25">
      <c r="B1500" s="115" t="s">
        <v>1365</v>
      </c>
      <c r="D1500" s="115" t="s">
        <v>1635</v>
      </c>
      <c r="E1500" s="115" t="s">
        <v>1140</v>
      </c>
    </row>
    <row r="1501" spans="1:5" x14ac:dyDescent="0.25">
      <c r="B1501" s="115" t="s">
        <v>1173</v>
      </c>
      <c r="D1501" s="115" t="s">
        <v>1139</v>
      </c>
      <c r="E1501" s="115" t="s">
        <v>3109</v>
      </c>
    </row>
    <row r="1502" spans="1:5" x14ac:dyDescent="0.25">
      <c r="B1502" s="115" t="s">
        <v>1480</v>
      </c>
      <c r="D1502" s="115" t="s">
        <v>1139</v>
      </c>
      <c r="E1502" s="115" t="s">
        <v>3110</v>
      </c>
    </row>
    <row r="1503" spans="1:5" x14ac:dyDescent="0.25">
      <c r="B1503" s="115" t="s">
        <v>3111</v>
      </c>
      <c r="D1503" s="115" t="s">
        <v>3112</v>
      </c>
      <c r="E1503" s="115" t="s">
        <v>3113</v>
      </c>
    </row>
    <row r="1504" spans="1:5" x14ac:dyDescent="0.25">
      <c r="B1504" s="115" t="s">
        <v>1615</v>
      </c>
      <c r="D1504" s="115" t="s">
        <v>2182</v>
      </c>
      <c r="E1504" s="115" t="s">
        <v>3114</v>
      </c>
    </row>
    <row r="1505" spans="1:5" x14ac:dyDescent="0.25">
      <c r="A1505" s="115" t="s">
        <v>1137</v>
      </c>
      <c r="B1505" s="115" t="s">
        <v>3115</v>
      </c>
      <c r="D1505" s="115" t="s">
        <v>3116</v>
      </c>
      <c r="E1505" s="115" t="s">
        <v>3117</v>
      </c>
    </row>
    <row r="1506" spans="1:5" x14ac:dyDescent="0.25">
      <c r="B1506" s="115" t="s">
        <v>3118</v>
      </c>
      <c r="D1506" s="115" t="s">
        <v>3119</v>
      </c>
      <c r="E1506" s="115" t="s">
        <v>3120</v>
      </c>
    </row>
    <row r="1507" spans="1:5" x14ac:dyDescent="0.25">
      <c r="B1507" s="115" t="s">
        <v>1482</v>
      </c>
      <c r="D1507" s="115" t="s">
        <v>3121</v>
      </c>
      <c r="E1507" s="115" t="s">
        <v>3122</v>
      </c>
    </row>
    <row r="1508" spans="1:5" x14ac:dyDescent="0.25">
      <c r="B1508" s="115" t="s">
        <v>3123</v>
      </c>
      <c r="D1508" s="115" t="s">
        <v>3124</v>
      </c>
      <c r="E1508" s="115" t="s">
        <v>3125</v>
      </c>
    </row>
    <row r="1509" spans="1:5" x14ac:dyDescent="0.25">
      <c r="B1509" s="115" t="s">
        <v>3126</v>
      </c>
      <c r="D1509" s="115" t="s">
        <v>1681</v>
      </c>
      <c r="E1509" s="115" t="s">
        <v>3127</v>
      </c>
    </row>
    <row r="1510" spans="1:5" x14ac:dyDescent="0.25">
      <c r="B1510" s="115" t="s">
        <v>3128</v>
      </c>
      <c r="D1510" s="115" t="s">
        <v>3129</v>
      </c>
      <c r="E1510" s="115" t="s">
        <v>3130</v>
      </c>
    </row>
    <row r="1511" spans="1:5" x14ac:dyDescent="0.25">
      <c r="A1511" s="115">
        <v>3</v>
      </c>
      <c r="B1511" s="115" t="s">
        <v>3131</v>
      </c>
      <c r="D1511" s="115" t="s">
        <v>3132</v>
      </c>
      <c r="E1511" s="115" t="s">
        <v>3133</v>
      </c>
    </row>
    <row r="1512" spans="1:5" x14ac:dyDescent="0.25">
      <c r="B1512" s="115" t="s">
        <v>1138</v>
      </c>
      <c r="D1512" s="115" t="s">
        <v>3134</v>
      </c>
      <c r="E1512" s="115" t="s">
        <v>3135</v>
      </c>
    </row>
    <row r="1513" spans="1:5" x14ac:dyDescent="0.25">
      <c r="B1513" s="115" t="s">
        <v>1138</v>
      </c>
      <c r="D1513" s="115" t="s">
        <v>1139</v>
      </c>
      <c r="E1513" s="115" t="s">
        <v>3136</v>
      </c>
    </row>
    <row r="1514" spans="1:5" x14ac:dyDescent="0.25">
      <c r="B1514" s="115" t="s">
        <v>1138</v>
      </c>
      <c r="D1514" s="115" t="s">
        <v>3137</v>
      </c>
      <c r="E1514" s="115" t="s">
        <v>3138</v>
      </c>
    </row>
    <row r="1515" spans="1:5" x14ac:dyDescent="0.25">
      <c r="B1515" s="115" t="s">
        <v>3139</v>
      </c>
      <c r="D1515" s="115" t="s">
        <v>2681</v>
      </c>
      <c r="E1515" s="115" t="s">
        <v>2689</v>
      </c>
    </row>
    <row r="1516" spans="1:5" x14ac:dyDescent="0.25">
      <c r="B1516" s="115" t="s">
        <v>1375</v>
      </c>
      <c r="D1516" s="115" t="s">
        <v>1139</v>
      </c>
      <c r="E1516" s="115" t="s">
        <v>3140</v>
      </c>
    </row>
    <row r="1517" spans="1:5" x14ac:dyDescent="0.25">
      <c r="A1517" s="115">
        <v>1</v>
      </c>
      <c r="B1517" s="115" t="s">
        <v>3141</v>
      </c>
      <c r="D1517" s="115" t="s">
        <v>1396</v>
      </c>
      <c r="E1517" s="115" t="s">
        <v>3142</v>
      </c>
    </row>
    <row r="1518" spans="1:5" x14ac:dyDescent="0.25">
      <c r="B1518" s="115" t="s">
        <v>1138</v>
      </c>
      <c r="D1518" s="115" t="s">
        <v>3143</v>
      </c>
      <c r="E1518" s="115" t="s">
        <v>3144</v>
      </c>
    </row>
    <row r="1519" spans="1:5" x14ac:dyDescent="0.25">
      <c r="B1519" s="115" t="s">
        <v>3145</v>
      </c>
      <c r="D1519" s="115" t="s">
        <v>1139</v>
      </c>
      <c r="E1519" s="115" t="s">
        <v>3146</v>
      </c>
    </row>
    <row r="1520" spans="1:5" x14ac:dyDescent="0.25">
      <c r="A1520" s="115">
        <v>1</v>
      </c>
      <c r="B1520" s="115" t="s">
        <v>3147</v>
      </c>
      <c r="D1520" s="115" t="s">
        <v>3148</v>
      </c>
      <c r="E1520" s="115" t="s">
        <v>3149</v>
      </c>
    </row>
    <row r="1521" spans="1:5" x14ac:dyDescent="0.25">
      <c r="A1521" s="115" t="s">
        <v>1137</v>
      </c>
      <c r="B1521" s="115" t="s">
        <v>3150</v>
      </c>
      <c r="D1521" s="115" t="s">
        <v>3151</v>
      </c>
      <c r="E1521" s="115" t="s">
        <v>3152</v>
      </c>
    </row>
    <row r="1522" spans="1:5" x14ac:dyDescent="0.25">
      <c r="B1522" s="115" t="s">
        <v>3153</v>
      </c>
      <c r="D1522" s="115" t="s">
        <v>1139</v>
      </c>
      <c r="E1522" s="115" t="s">
        <v>3154</v>
      </c>
    </row>
    <row r="1523" spans="1:5" x14ac:dyDescent="0.25">
      <c r="A1523" s="115">
        <v>1</v>
      </c>
      <c r="B1523" s="115" t="s">
        <v>3155</v>
      </c>
      <c r="D1523" s="115" t="s">
        <v>3156</v>
      </c>
      <c r="E1523" s="115" t="s">
        <v>3157</v>
      </c>
    </row>
    <row r="1524" spans="1:5" x14ac:dyDescent="0.25">
      <c r="B1524" s="115" t="s">
        <v>3158</v>
      </c>
      <c r="D1524" s="115" t="s">
        <v>3159</v>
      </c>
      <c r="E1524" s="115" t="s">
        <v>3160</v>
      </c>
    </row>
    <row r="1525" spans="1:5" x14ac:dyDescent="0.25">
      <c r="B1525" s="115" t="s">
        <v>3161</v>
      </c>
      <c r="D1525" s="115" t="s">
        <v>1139</v>
      </c>
      <c r="E1525" s="115" t="s">
        <v>3162</v>
      </c>
    </row>
    <row r="1526" spans="1:5" x14ac:dyDescent="0.25">
      <c r="A1526" s="115">
        <v>-3</v>
      </c>
      <c r="B1526" s="115" t="s">
        <v>3163</v>
      </c>
      <c r="D1526" s="115" t="s">
        <v>3164</v>
      </c>
      <c r="E1526" s="115" t="s">
        <v>3165</v>
      </c>
    </row>
    <row r="1527" spans="1:5" x14ac:dyDescent="0.25">
      <c r="B1527" s="115" t="s">
        <v>3166</v>
      </c>
      <c r="D1527" s="115" t="s">
        <v>3167</v>
      </c>
      <c r="E1527" s="115" t="s">
        <v>3168</v>
      </c>
    </row>
    <row r="1528" spans="1:5" x14ac:dyDescent="0.25">
      <c r="B1528" s="115" t="s">
        <v>3169</v>
      </c>
      <c r="D1528" s="115" t="s">
        <v>1139</v>
      </c>
      <c r="E1528" s="115" t="s">
        <v>1140</v>
      </c>
    </row>
    <row r="1529" spans="1:5" x14ac:dyDescent="0.25">
      <c r="A1529" s="115" t="s">
        <v>1137</v>
      </c>
      <c r="B1529" s="115" t="s">
        <v>3170</v>
      </c>
      <c r="D1529" s="115" t="s">
        <v>3171</v>
      </c>
      <c r="E1529" s="115" t="s">
        <v>3172</v>
      </c>
    </row>
    <row r="1530" spans="1:5" x14ac:dyDescent="0.25">
      <c r="B1530" s="115" t="s">
        <v>1138</v>
      </c>
      <c r="D1530" s="115" t="s">
        <v>1672</v>
      </c>
      <c r="E1530" s="115" t="s">
        <v>3173</v>
      </c>
    </row>
    <row r="1531" spans="1:5" x14ac:dyDescent="0.25">
      <c r="B1531" s="115" t="s">
        <v>1138</v>
      </c>
      <c r="D1531" s="115" t="s">
        <v>3174</v>
      </c>
      <c r="E1531" s="115" t="s">
        <v>1140</v>
      </c>
    </row>
    <row r="1532" spans="1:5" x14ac:dyDescent="0.25">
      <c r="B1532" s="115" t="s">
        <v>1201</v>
      </c>
      <c r="D1532" s="115" t="s">
        <v>3175</v>
      </c>
      <c r="E1532" s="115" t="s">
        <v>3176</v>
      </c>
    </row>
    <row r="1533" spans="1:5" x14ac:dyDescent="0.25">
      <c r="A1533" s="115" t="s">
        <v>1137</v>
      </c>
      <c r="B1533" s="115" t="s">
        <v>3177</v>
      </c>
      <c r="D1533" s="115" t="s">
        <v>3178</v>
      </c>
      <c r="E1533" s="115" t="s">
        <v>3179</v>
      </c>
    </row>
    <row r="1534" spans="1:5" x14ac:dyDescent="0.25">
      <c r="B1534" s="115" t="s">
        <v>3180</v>
      </c>
      <c r="D1534" s="115" t="s">
        <v>3181</v>
      </c>
      <c r="E1534" s="115" t="s">
        <v>3182</v>
      </c>
    </row>
    <row r="1535" spans="1:5" x14ac:dyDescent="0.25">
      <c r="A1535" s="115" t="s">
        <v>1137</v>
      </c>
      <c r="B1535" s="115" t="s">
        <v>3183</v>
      </c>
      <c r="D1535" s="115" t="s">
        <v>3184</v>
      </c>
      <c r="E1535" s="115" t="s">
        <v>3185</v>
      </c>
    </row>
    <row r="1536" spans="1:5" x14ac:dyDescent="0.25">
      <c r="A1536" s="115">
        <v>-1</v>
      </c>
      <c r="B1536" s="115" t="s">
        <v>3186</v>
      </c>
      <c r="D1536" s="115" t="s">
        <v>3187</v>
      </c>
      <c r="E1536" s="115" t="s">
        <v>3188</v>
      </c>
    </row>
    <row r="1537" spans="1:5" x14ac:dyDescent="0.25">
      <c r="A1537" s="115" t="s">
        <v>1137</v>
      </c>
      <c r="B1537" s="115" t="s">
        <v>3189</v>
      </c>
      <c r="D1537" s="115" t="s">
        <v>3190</v>
      </c>
      <c r="E1537" s="115" t="s">
        <v>3191</v>
      </c>
    </row>
    <row r="1538" spans="1:5" x14ac:dyDescent="0.25">
      <c r="B1538" s="115" t="s">
        <v>1204</v>
      </c>
      <c r="D1538" s="115" t="s">
        <v>3192</v>
      </c>
      <c r="E1538" s="115" t="s">
        <v>3193</v>
      </c>
    </row>
    <row r="1539" spans="1:5" x14ac:dyDescent="0.25">
      <c r="B1539" s="115" t="s">
        <v>1295</v>
      </c>
      <c r="D1539" s="115" t="s">
        <v>3194</v>
      </c>
      <c r="E1539" s="115" t="s">
        <v>3195</v>
      </c>
    </row>
    <row r="1540" spans="1:5" x14ac:dyDescent="0.25">
      <c r="B1540" s="115" t="s">
        <v>3196</v>
      </c>
      <c r="D1540" s="115" t="s">
        <v>3197</v>
      </c>
      <c r="E1540" s="115" t="s">
        <v>3198</v>
      </c>
    </row>
    <row r="1541" spans="1:5" x14ac:dyDescent="0.25">
      <c r="B1541" s="115" t="s">
        <v>3199</v>
      </c>
      <c r="C1541" s="115" t="s">
        <v>1137</v>
      </c>
      <c r="D1541" s="115" t="s">
        <v>3200</v>
      </c>
      <c r="E1541" s="115" t="s">
        <v>3201</v>
      </c>
    </row>
    <row r="1542" spans="1:5" x14ac:dyDescent="0.25">
      <c r="A1542" s="115">
        <v>14</v>
      </c>
      <c r="B1542" s="115" t="s">
        <v>1420</v>
      </c>
      <c r="D1542" s="115" t="s">
        <v>1139</v>
      </c>
      <c r="E1542" s="115" t="s">
        <v>1140</v>
      </c>
    </row>
    <row r="1543" spans="1:5" x14ac:dyDescent="0.25">
      <c r="B1543" s="115" t="s">
        <v>1138</v>
      </c>
      <c r="D1543" s="115" t="s">
        <v>1139</v>
      </c>
      <c r="E1543" s="115" t="s">
        <v>1140</v>
      </c>
    </row>
    <row r="1544" spans="1:5" x14ac:dyDescent="0.25">
      <c r="B1544" s="115" t="s">
        <v>1138</v>
      </c>
      <c r="D1544" s="115" t="s">
        <v>1139</v>
      </c>
      <c r="E1544" s="115" t="s">
        <v>1140</v>
      </c>
    </row>
    <row r="1545" spans="1:5" x14ac:dyDescent="0.25">
      <c r="B1545" s="115" t="s">
        <v>1138</v>
      </c>
      <c r="D1545" s="115" t="s">
        <v>1139</v>
      </c>
      <c r="E1545" s="115" t="s">
        <v>1140</v>
      </c>
    </row>
    <row r="1546" spans="1:5" x14ac:dyDescent="0.25">
      <c r="B1546" s="115" t="s">
        <v>1138</v>
      </c>
      <c r="D1546" s="115" t="s">
        <v>1139</v>
      </c>
      <c r="E1546" s="115" t="s">
        <v>1140</v>
      </c>
    </row>
    <row r="1547" spans="1:5" x14ac:dyDescent="0.25">
      <c r="B1547" s="115" t="s">
        <v>1138</v>
      </c>
      <c r="D1547" s="115" t="s">
        <v>1139</v>
      </c>
      <c r="E1547" s="115" t="s">
        <v>1140</v>
      </c>
    </row>
    <row r="1548" spans="1:5" x14ac:dyDescent="0.25">
      <c r="B1548" s="115" t="s">
        <v>1138</v>
      </c>
      <c r="D1548" s="115" t="s">
        <v>1139</v>
      </c>
      <c r="E1548" s="115" t="s">
        <v>1140</v>
      </c>
    </row>
    <row r="1549" spans="1:5" x14ac:dyDescent="0.25">
      <c r="B1549" s="115" t="s">
        <v>1138</v>
      </c>
      <c r="D1549" s="115" t="s">
        <v>1139</v>
      </c>
      <c r="E1549" s="115" t="s">
        <v>1140</v>
      </c>
    </row>
    <row r="1550" spans="1:5" x14ac:dyDescent="0.25">
      <c r="B1550" s="115" t="s">
        <v>1138</v>
      </c>
      <c r="D1550" s="115" t="s">
        <v>1139</v>
      </c>
      <c r="E1550" s="115" t="s">
        <v>1140</v>
      </c>
    </row>
    <row r="1551" spans="1:5" x14ac:dyDescent="0.25">
      <c r="B1551" s="115" t="s">
        <v>1138</v>
      </c>
      <c r="D1551" s="115" t="s">
        <v>1139</v>
      </c>
      <c r="E1551" s="115" t="s">
        <v>1140</v>
      </c>
    </row>
    <row r="1552" spans="1:5" x14ac:dyDescent="0.25">
      <c r="B1552" s="115" t="s">
        <v>1138</v>
      </c>
      <c r="D1552" s="115" t="s">
        <v>1139</v>
      </c>
      <c r="E1552" s="115" t="s">
        <v>1140</v>
      </c>
    </row>
    <row r="1553" spans="1:5" x14ac:dyDescent="0.25">
      <c r="B1553" s="115" t="s">
        <v>1138</v>
      </c>
      <c r="D1553" s="115" t="s">
        <v>1139</v>
      </c>
      <c r="E1553" s="115" t="s">
        <v>1140</v>
      </c>
    </row>
    <row r="1554" spans="1:5" x14ac:dyDescent="0.25">
      <c r="B1554" s="115" t="s">
        <v>1138</v>
      </c>
      <c r="D1554" s="115" t="s">
        <v>1139</v>
      </c>
      <c r="E1554" s="115" t="s">
        <v>1140</v>
      </c>
    </row>
    <row r="1555" spans="1:5" x14ac:dyDescent="0.25">
      <c r="B1555" s="115" t="s">
        <v>1138</v>
      </c>
      <c r="D1555" s="115" t="s">
        <v>1139</v>
      </c>
      <c r="E1555" s="115" t="s">
        <v>1140</v>
      </c>
    </row>
    <row r="1556" spans="1:5" x14ac:dyDescent="0.25">
      <c r="B1556" s="115" t="s">
        <v>1138</v>
      </c>
      <c r="D1556" s="115" t="s">
        <v>1139</v>
      </c>
      <c r="E1556" s="115" t="s">
        <v>1140</v>
      </c>
    </row>
    <row r="1557" spans="1:5" x14ac:dyDescent="0.25">
      <c r="B1557" s="115" t="s">
        <v>1138</v>
      </c>
      <c r="D1557" s="115" t="s">
        <v>3202</v>
      </c>
      <c r="E1557" s="115" t="s">
        <v>3203</v>
      </c>
    </row>
    <row r="1558" spans="1:5" x14ac:dyDescent="0.25">
      <c r="B1558" s="115" t="s">
        <v>3204</v>
      </c>
      <c r="D1558" s="115" t="s">
        <v>3205</v>
      </c>
      <c r="E1558" s="115" t="s">
        <v>3206</v>
      </c>
    </row>
    <row r="1559" spans="1:5" x14ac:dyDescent="0.25">
      <c r="B1559" s="115" t="s">
        <v>1138</v>
      </c>
      <c r="D1559" s="115" t="s">
        <v>1139</v>
      </c>
      <c r="E1559" s="115" t="s">
        <v>3207</v>
      </c>
    </row>
    <row r="1560" spans="1:5" x14ac:dyDescent="0.25">
      <c r="B1560" s="115" t="s">
        <v>1686</v>
      </c>
      <c r="C1560" s="115" t="s">
        <v>1137</v>
      </c>
      <c r="D1560" s="115" t="s">
        <v>3208</v>
      </c>
      <c r="E1560" s="115" t="s">
        <v>3209</v>
      </c>
    </row>
    <row r="1561" spans="1:5" x14ac:dyDescent="0.25">
      <c r="A1561" s="115">
        <v>-2</v>
      </c>
      <c r="B1561" s="115" t="s">
        <v>3210</v>
      </c>
      <c r="D1561" s="115" t="s">
        <v>3211</v>
      </c>
      <c r="E1561" s="115" t="s">
        <v>1140</v>
      </c>
    </row>
    <row r="1562" spans="1:5" x14ac:dyDescent="0.25">
      <c r="A1562" s="115" t="s">
        <v>1137</v>
      </c>
      <c r="B1562" s="115" t="s">
        <v>1657</v>
      </c>
      <c r="D1562" s="115" t="s">
        <v>1139</v>
      </c>
      <c r="E1562" s="115" t="s">
        <v>3212</v>
      </c>
    </row>
    <row r="1563" spans="1:5" x14ac:dyDescent="0.25">
      <c r="B1563" s="115" t="s">
        <v>1596</v>
      </c>
      <c r="D1563" s="115" t="s">
        <v>1139</v>
      </c>
      <c r="E1563" s="115" t="s">
        <v>3213</v>
      </c>
    </row>
    <row r="1564" spans="1:5" x14ac:dyDescent="0.25">
      <c r="B1564" s="115" t="s">
        <v>3214</v>
      </c>
      <c r="D1564" s="115" t="s">
        <v>3215</v>
      </c>
      <c r="E1564" s="115" t="s">
        <v>3216</v>
      </c>
    </row>
    <row r="1565" spans="1:5" x14ac:dyDescent="0.25">
      <c r="B1565" s="115" t="s">
        <v>1527</v>
      </c>
      <c r="D1565" s="115" t="s">
        <v>3217</v>
      </c>
      <c r="E1565" s="115" t="s">
        <v>3218</v>
      </c>
    </row>
    <row r="1566" spans="1:5" x14ac:dyDescent="0.25">
      <c r="B1566" s="115" t="s">
        <v>3219</v>
      </c>
      <c r="D1566" s="115" t="s">
        <v>3220</v>
      </c>
      <c r="E1566" s="115" t="s">
        <v>3221</v>
      </c>
    </row>
    <row r="1567" spans="1:5" x14ac:dyDescent="0.25">
      <c r="A1567" s="115">
        <v>16</v>
      </c>
      <c r="B1567" s="115" t="s">
        <v>3222</v>
      </c>
      <c r="D1567" s="115" t="s">
        <v>3223</v>
      </c>
      <c r="E1567" s="115" t="s">
        <v>3224</v>
      </c>
    </row>
    <row r="1568" spans="1:5" x14ac:dyDescent="0.25">
      <c r="B1568" s="115" t="s">
        <v>1178</v>
      </c>
      <c r="D1568" s="115" t="s">
        <v>3225</v>
      </c>
      <c r="E1568" s="115" t="s">
        <v>3226</v>
      </c>
    </row>
    <row r="1569" spans="1:5" x14ac:dyDescent="0.25">
      <c r="B1569" s="115" t="s">
        <v>3227</v>
      </c>
      <c r="D1569" s="115">
        <f>-58    -56    -50  -122</f>
        <v>-286</v>
      </c>
      <c r="E1569" s="115" t="s">
        <v>3228</v>
      </c>
    </row>
    <row r="1570" spans="1:5" x14ac:dyDescent="0.25">
      <c r="A1570" s="115">
        <v>21</v>
      </c>
      <c r="B1570" s="115" t="s">
        <v>3229</v>
      </c>
      <c r="D1570" s="115" t="s">
        <v>1276</v>
      </c>
      <c r="E1570" s="115" t="s">
        <v>3230</v>
      </c>
    </row>
    <row r="1571" spans="1:5" x14ac:dyDescent="0.25">
      <c r="B1571" s="115" t="s">
        <v>1199</v>
      </c>
      <c r="D1571" s="115" t="s">
        <v>3231</v>
      </c>
      <c r="E1571" s="115" t="s">
        <v>3232</v>
      </c>
    </row>
    <row r="1572" spans="1:5" x14ac:dyDescent="0.25">
      <c r="A1572" s="115" t="s">
        <v>1137</v>
      </c>
      <c r="B1572" s="115" t="s">
        <v>3233</v>
      </c>
      <c r="D1572" s="115" t="s">
        <v>3234</v>
      </c>
      <c r="E1572" s="115" t="s">
        <v>3235</v>
      </c>
    </row>
    <row r="1573" spans="1:5" x14ac:dyDescent="0.25">
      <c r="B1573" s="115" t="s">
        <v>1138</v>
      </c>
      <c r="D1573" s="115" t="s">
        <v>1139</v>
      </c>
      <c r="E1573" s="115" t="s">
        <v>1140</v>
      </c>
    </row>
    <row r="1574" spans="1:5" x14ac:dyDescent="0.25">
      <c r="B1574" s="115" t="s">
        <v>1138</v>
      </c>
      <c r="D1574" s="115" t="s">
        <v>1139</v>
      </c>
      <c r="E1574" s="115" t="s">
        <v>1140</v>
      </c>
    </row>
    <row r="1575" spans="1:5" x14ac:dyDescent="0.25">
      <c r="B1575" s="115" t="s">
        <v>1138</v>
      </c>
      <c r="D1575" s="115" t="s">
        <v>1139</v>
      </c>
      <c r="E1575" s="115" t="s">
        <v>1140</v>
      </c>
    </row>
    <row r="1576" spans="1:5" x14ac:dyDescent="0.25">
      <c r="B1576" s="115" t="s">
        <v>1138</v>
      </c>
      <c r="D1576" s="115" t="s">
        <v>1139</v>
      </c>
      <c r="E1576" s="115" t="s">
        <v>1140</v>
      </c>
    </row>
    <row r="1577" spans="1:5" x14ac:dyDescent="0.25">
      <c r="B1577" s="115" t="s">
        <v>1138</v>
      </c>
      <c r="D1577" s="115" t="s">
        <v>1139</v>
      </c>
      <c r="E1577" s="115" t="s">
        <v>1140</v>
      </c>
    </row>
    <row r="1578" spans="1:5" x14ac:dyDescent="0.25">
      <c r="B1578" s="115" t="s">
        <v>1138</v>
      </c>
      <c r="D1578" s="115" t="s">
        <v>1139</v>
      </c>
      <c r="E1578" s="115" t="s">
        <v>1140</v>
      </c>
    </row>
    <row r="1579" spans="1:5" x14ac:dyDescent="0.25">
      <c r="B1579" s="115" t="s">
        <v>1138</v>
      </c>
      <c r="D1579" s="115" t="s">
        <v>1139</v>
      </c>
      <c r="E1579" s="115" t="s">
        <v>1140</v>
      </c>
    </row>
    <row r="1580" spans="1:5" x14ac:dyDescent="0.25">
      <c r="B1580" s="115" t="s">
        <v>1138</v>
      </c>
      <c r="D1580" s="115" t="s">
        <v>1139</v>
      </c>
      <c r="E1580" s="115" t="s">
        <v>1140</v>
      </c>
    </row>
    <row r="1581" spans="1:5" x14ac:dyDescent="0.25">
      <c r="B1581" s="115" t="s">
        <v>1138</v>
      </c>
      <c r="D1581" s="115" t="s">
        <v>1139</v>
      </c>
      <c r="E1581" s="115" t="s">
        <v>1140</v>
      </c>
    </row>
    <row r="1582" spans="1:5" x14ac:dyDescent="0.25">
      <c r="B1582" s="115" t="s">
        <v>1138</v>
      </c>
      <c r="D1582" s="115" t="s">
        <v>1139</v>
      </c>
      <c r="E1582" s="115" t="s">
        <v>1140</v>
      </c>
    </row>
    <row r="1583" spans="1:5" x14ac:dyDescent="0.25">
      <c r="B1583" s="115" t="s">
        <v>1138</v>
      </c>
      <c r="D1583" s="115" t="s">
        <v>1139</v>
      </c>
      <c r="E1583" s="115" t="s">
        <v>1140</v>
      </c>
    </row>
    <row r="1584" spans="1:5" x14ac:dyDescent="0.25">
      <c r="B1584" s="115" t="s">
        <v>1138</v>
      </c>
      <c r="D1584" s="115" t="s">
        <v>1139</v>
      </c>
      <c r="E1584" s="115" t="s">
        <v>1140</v>
      </c>
    </row>
    <row r="1585" spans="2:5" x14ac:dyDescent="0.25">
      <c r="B1585" s="115" t="s">
        <v>1138</v>
      </c>
      <c r="D1585" s="115" t="s">
        <v>1139</v>
      </c>
      <c r="E1585" s="115" t="s">
        <v>1140</v>
      </c>
    </row>
    <row r="1586" spans="2:5" x14ac:dyDescent="0.25">
      <c r="B1586" s="115" t="s">
        <v>1138</v>
      </c>
      <c r="D1586" s="115" t="s">
        <v>1139</v>
      </c>
      <c r="E1586" s="115" t="s">
        <v>1140</v>
      </c>
    </row>
    <row r="1587" spans="2:5" x14ac:dyDescent="0.25">
      <c r="B1587" s="115" t="s">
        <v>1138</v>
      </c>
      <c r="D1587" s="115" t="s">
        <v>1139</v>
      </c>
      <c r="E1587" s="115" t="s">
        <v>1140</v>
      </c>
    </row>
    <row r="1588" spans="2:5" x14ac:dyDescent="0.25">
      <c r="B1588" s="115" t="s">
        <v>1138</v>
      </c>
      <c r="D1588" s="115" t="s">
        <v>1139</v>
      </c>
      <c r="E1588" s="115" t="s">
        <v>1140</v>
      </c>
    </row>
    <row r="1589" spans="2:5" x14ac:dyDescent="0.25">
      <c r="B1589" s="115" t="s">
        <v>1138</v>
      </c>
      <c r="D1589" s="115" t="s">
        <v>1139</v>
      </c>
      <c r="E1589" s="115" t="s">
        <v>1140</v>
      </c>
    </row>
    <row r="1590" spans="2:5" x14ac:dyDescent="0.25">
      <c r="B1590" s="115" t="s">
        <v>1138</v>
      </c>
      <c r="D1590" s="115" t="s">
        <v>1139</v>
      </c>
      <c r="E1590" s="115" t="s">
        <v>1140</v>
      </c>
    </row>
    <row r="1591" spans="2:5" x14ac:dyDescent="0.25">
      <c r="B1591" s="115" t="s">
        <v>1138</v>
      </c>
      <c r="D1591" s="115" t="s">
        <v>1139</v>
      </c>
      <c r="E1591" s="115" t="s">
        <v>1140</v>
      </c>
    </row>
    <row r="1592" spans="2:5" x14ac:dyDescent="0.25">
      <c r="B1592" s="115" t="s">
        <v>1138</v>
      </c>
      <c r="D1592" s="115" t="s">
        <v>1139</v>
      </c>
      <c r="E1592" s="115" t="s">
        <v>1140</v>
      </c>
    </row>
    <row r="1593" spans="2:5" x14ac:dyDescent="0.25">
      <c r="B1593" s="115" t="s">
        <v>1138</v>
      </c>
      <c r="D1593" s="115" t="s">
        <v>1139</v>
      </c>
      <c r="E1593" s="115" t="s">
        <v>1140</v>
      </c>
    </row>
    <row r="1594" spans="2:5" x14ac:dyDescent="0.25">
      <c r="B1594" s="115" t="s">
        <v>1138</v>
      </c>
      <c r="D1594" s="115" t="s">
        <v>1139</v>
      </c>
      <c r="E1594" s="115" t="s">
        <v>1140</v>
      </c>
    </row>
    <row r="1595" spans="2:5" x14ac:dyDescent="0.25">
      <c r="B1595" s="115" t="s">
        <v>1138</v>
      </c>
      <c r="D1595" s="115" t="s">
        <v>1139</v>
      </c>
      <c r="E1595" s="115" t="s">
        <v>1140</v>
      </c>
    </row>
    <row r="1596" spans="2:5" x14ac:dyDescent="0.25">
      <c r="B1596" s="115" t="s">
        <v>1138</v>
      </c>
      <c r="D1596" s="115" t="s">
        <v>1139</v>
      </c>
      <c r="E1596" s="115" t="s">
        <v>1140</v>
      </c>
    </row>
    <row r="1597" spans="2:5" x14ac:dyDescent="0.25">
      <c r="B1597" s="115" t="s">
        <v>1138</v>
      </c>
      <c r="D1597" s="115" t="s">
        <v>1139</v>
      </c>
      <c r="E1597" s="115" t="s">
        <v>1140</v>
      </c>
    </row>
    <row r="1598" spans="2:5" x14ac:dyDescent="0.25">
      <c r="B1598" s="115" t="s">
        <v>1138</v>
      </c>
      <c r="D1598" s="115" t="s">
        <v>1139</v>
      </c>
      <c r="E1598" s="115" t="s">
        <v>1140</v>
      </c>
    </row>
    <row r="1599" spans="2:5" x14ac:dyDescent="0.25">
      <c r="B1599" s="115" t="s">
        <v>1138</v>
      </c>
      <c r="D1599" s="115" t="s">
        <v>1139</v>
      </c>
      <c r="E1599" s="115" t="s">
        <v>1140</v>
      </c>
    </row>
    <row r="1600" spans="2:5" x14ac:dyDescent="0.25">
      <c r="B1600" s="115" t="s">
        <v>1138</v>
      </c>
      <c r="D1600" s="115" t="s">
        <v>1139</v>
      </c>
      <c r="E1600" s="115" t="s">
        <v>1140</v>
      </c>
    </row>
    <row r="1601" spans="1:5" x14ac:dyDescent="0.25">
      <c r="B1601" s="115" t="s">
        <v>1138</v>
      </c>
      <c r="D1601" s="115" t="s">
        <v>1139</v>
      </c>
      <c r="E1601" s="115" t="s">
        <v>1140</v>
      </c>
    </row>
    <row r="1602" spans="1:5" x14ac:dyDescent="0.25">
      <c r="B1602" s="115" t="s">
        <v>1138</v>
      </c>
      <c r="D1602" s="115" t="s">
        <v>1139</v>
      </c>
      <c r="E1602" s="115" t="s">
        <v>1140</v>
      </c>
    </row>
    <row r="1603" spans="1:5" x14ac:dyDescent="0.25">
      <c r="B1603" s="115" t="s">
        <v>1138</v>
      </c>
      <c r="D1603" s="115" t="s">
        <v>1139</v>
      </c>
      <c r="E1603" s="115" t="s">
        <v>1140</v>
      </c>
    </row>
    <row r="1604" spans="1:5" x14ac:dyDescent="0.25">
      <c r="B1604" s="115" t="s">
        <v>1138</v>
      </c>
      <c r="D1604" s="115" t="s">
        <v>3236</v>
      </c>
      <c r="E1604" s="115" t="s">
        <v>3237</v>
      </c>
    </row>
    <row r="1605" spans="1:5" x14ac:dyDescent="0.25">
      <c r="B1605" s="115" t="s">
        <v>1253</v>
      </c>
      <c r="D1605" s="115" t="s">
        <v>3238</v>
      </c>
      <c r="E1605" s="115" t="s">
        <v>3239</v>
      </c>
    </row>
    <row r="1606" spans="1:5" x14ac:dyDescent="0.25">
      <c r="B1606" s="115" t="s">
        <v>1138</v>
      </c>
      <c r="D1606" s="115" t="s">
        <v>3240</v>
      </c>
      <c r="E1606" s="115" t="s">
        <v>3241</v>
      </c>
    </row>
    <row r="1607" spans="1:5" x14ac:dyDescent="0.25">
      <c r="B1607" s="115" t="s">
        <v>3242</v>
      </c>
      <c r="D1607" s="115">
        <f>-227   -482    -69</f>
        <v>-778</v>
      </c>
      <c r="E1607" s="115" t="s">
        <v>3243</v>
      </c>
    </row>
    <row r="1608" spans="1:5" x14ac:dyDescent="0.25">
      <c r="B1608" s="115" t="s">
        <v>1138</v>
      </c>
      <c r="D1608" s="115" t="s">
        <v>3244</v>
      </c>
      <c r="E1608" s="115" t="s">
        <v>3245</v>
      </c>
    </row>
    <row r="1609" spans="1:5" x14ac:dyDescent="0.25">
      <c r="B1609" s="115" t="s">
        <v>1138</v>
      </c>
      <c r="D1609" s="115" t="s">
        <v>1139</v>
      </c>
      <c r="E1609" s="115" t="s">
        <v>3246</v>
      </c>
    </row>
    <row r="1610" spans="1:5" x14ac:dyDescent="0.25">
      <c r="B1610" s="115" t="s">
        <v>1138</v>
      </c>
      <c r="D1610" s="115" t="s">
        <v>3247</v>
      </c>
      <c r="E1610" s="115" t="s">
        <v>3248</v>
      </c>
    </row>
    <row r="1611" spans="1:5" x14ac:dyDescent="0.25">
      <c r="B1611" s="115" t="s">
        <v>1332</v>
      </c>
      <c r="D1611" s="115" t="s">
        <v>3249</v>
      </c>
      <c r="E1611" s="115" t="s">
        <v>3250</v>
      </c>
    </row>
    <row r="1612" spans="1:5" x14ac:dyDescent="0.25">
      <c r="B1612" s="115" t="s">
        <v>1138</v>
      </c>
      <c r="D1612" s="115" t="s">
        <v>3251</v>
      </c>
      <c r="E1612" s="115" t="s">
        <v>3252</v>
      </c>
    </row>
    <row r="1613" spans="1:5" x14ac:dyDescent="0.25">
      <c r="A1613" s="115" t="s">
        <v>1137</v>
      </c>
      <c r="B1613" s="115" t="s">
        <v>1653</v>
      </c>
      <c r="D1613" s="115" t="s">
        <v>3253</v>
      </c>
      <c r="E1613" s="115" t="s">
        <v>3254</v>
      </c>
    </row>
    <row r="1614" spans="1:5" x14ac:dyDescent="0.25">
      <c r="B1614" s="115" t="s">
        <v>1138</v>
      </c>
      <c r="D1614" s="115" t="s">
        <v>3255</v>
      </c>
      <c r="E1614" s="115" t="s">
        <v>3256</v>
      </c>
    </row>
    <row r="1615" spans="1:5" x14ac:dyDescent="0.25">
      <c r="B1615" s="115" t="s">
        <v>1138</v>
      </c>
      <c r="D1615" s="115" t="s">
        <v>3257</v>
      </c>
      <c r="E1615" s="115" t="s">
        <v>3258</v>
      </c>
    </row>
    <row r="1616" spans="1:5" x14ac:dyDescent="0.25">
      <c r="B1616" s="115">
        <f>-91    -79</f>
        <v>-170</v>
      </c>
      <c r="D1616" s="115" t="s">
        <v>3259</v>
      </c>
      <c r="E1616" s="115" t="s">
        <v>3260</v>
      </c>
    </row>
    <row r="1617" spans="2:5" x14ac:dyDescent="0.25">
      <c r="B1617" s="115" t="s">
        <v>3261</v>
      </c>
      <c r="D1617" s="115" t="s">
        <v>1306</v>
      </c>
      <c r="E1617" s="115" t="s">
        <v>3262</v>
      </c>
    </row>
    <row r="1618" spans="2:5" x14ac:dyDescent="0.25">
      <c r="B1618" s="115" t="s">
        <v>1138</v>
      </c>
      <c r="D1618" s="115" t="s">
        <v>3263</v>
      </c>
      <c r="E1618" s="115" t="s">
        <v>3264</v>
      </c>
    </row>
    <row r="1619" spans="2:5" x14ac:dyDescent="0.25">
      <c r="B1619" s="115" t="s">
        <v>1138</v>
      </c>
      <c r="D1619" s="115" t="s">
        <v>3265</v>
      </c>
      <c r="E1619" s="115" t="s">
        <v>3266</v>
      </c>
    </row>
    <row r="1620" spans="2:5" x14ac:dyDescent="0.25">
      <c r="B1620" s="115" t="s">
        <v>1138</v>
      </c>
      <c r="D1620" s="115" t="s">
        <v>1139</v>
      </c>
      <c r="E1620" s="115" t="s">
        <v>1140</v>
      </c>
    </row>
    <row r="1621" spans="2:5" x14ac:dyDescent="0.25">
      <c r="B1621" s="115" t="s">
        <v>1138</v>
      </c>
      <c r="D1621" s="115" t="s">
        <v>1139</v>
      </c>
      <c r="E1621" s="115" t="s">
        <v>1140</v>
      </c>
    </row>
    <row r="1622" spans="2:5" x14ac:dyDescent="0.25">
      <c r="B1622" s="115" t="s">
        <v>1138</v>
      </c>
      <c r="D1622" s="115" t="s">
        <v>1139</v>
      </c>
      <c r="E1622" s="115" t="s">
        <v>1140</v>
      </c>
    </row>
    <row r="1623" spans="2:5" x14ac:dyDescent="0.25">
      <c r="B1623" s="115" t="s">
        <v>1138</v>
      </c>
      <c r="D1623" s="115" t="s">
        <v>1139</v>
      </c>
      <c r="E1623" s="115" t="s">
        <v>1140</v>
      </c>
    </row>
    <row r="1624" spans="2:5" x14ac:dyDescent="0.25">
      <c r="B1624" s="115" t="s">
        <v>1138</v>
      </c>
      <c r="D1624" s="115" t="s">
        <v>1139</v>
      </c>
      <c r="E1624" s="115" t="s">
        <v>1140</v>
      </c>
    </row>
    <row r="1625" spans="2:5" x14ac:dyDescent="0.25">
      <c r="B1625" s="115" t="s">
        <v>1138</v>
      </c>
      <c r="D1625" s="115" t="s">
        <v>1139</v>
      </c>
      <c r="E1625" s="115" t="s">
        <v>1140</v>
      </c>
    </row>
    <row r="1626" spans="2:5" x14ac:dyDescent="0.25">
      <c r="B1626" s="115" t="s">
        <v>1138</v>
      </c>
      <c r="D1626" s="115" t="s">
        <v>1139</v>
      </c>
      <c r="E1626" s="115" t="s">
        <v>1140</v>
      </c>
    </row>
    <row r="1627" spans="2:5" x14ac:dyDescent="0.25">
      <c r="B1627" s="115" t="s">
        <v>1138</v>
      </c>
      <c r="D1627" s="115" t="s">
        <v>1139</v>
      </c>
      <c r="E1627" s="115" t="s">
        <v>1140</v>
      </c>
    </row>
    <row r="1628" spans="2:5" x14ac:dyDescent="0.25">
      <c r="B1628" s="115" t="s">
        <v>1138</v>
      </c>
      <c r="D1628" s="115" t="s">
        <v>1139</v>
      </c>
      <c r="E1628" s="115" t="s">
        <v>1140</v>
      </c>
    </row>
    <row r="1629" spans="2:5" x14ac:dyDescent="0.25">
      <c r="B1629" s="115" t="s">
        <v>1138</v>
      </c>
      <c r="D1629" s="115" t="s">
        <v>1139</v>
      </c>
      <c r="E1629" s="115" t="s">
        <v>1140</v>
      </c>
    </row>
    <row r="1630" spans="2:5" x14ac:dyDescent="0.25">
      <c r="B1630" s="115" t="s">
        <v>1138</v>
      </c>
      <c r="D1630" s="115" t="s">
        <v>1139</v>
      </c>
      <c r="E1630" s="115" t="s">
        <v>1140</v>
      </c>
    </row>
    <row r="1631" spans="2:5" x14ac:dyDescent="0.25">
      <c r="B1631" s="115" t="s">
        <v>1138</v>
      </c>
      <c r="D1631" s="115" t="s">
        <v>1139</v>
      </c>
      <c r="E1631" s="115" t="s">
        <v>1140</v>
      </c>
    </row>
    <row r="1632" spans="2:5" x14ac:dyDescent="0.25">
      <c r="B1632" s="115" t="s">
        <v>1138</v>
      </c>
      <c r="D1632" s="115" t="s">
        <v>1139</v>
      </c>
      <c r="E1632" s="115" t="s">
        <v>1140</v>
      </c>
    </row>
    <row r="1633" spans="1:5" x14ac:dyDescent="0.25">
      <c r="B1633" s="115" t="s">
        <v>1138</v>
      </c>
      <c r="D1633" s="115" t="s">
        <v>1139</v>
      </c>
      <c r="E1633" s="115" t="s">
        <v>1140</v>
      </c>
    </row>
    <row r="1634" spans="1:5" x14ac:dyDescent="0.25">
      <c r="B1634" s="115" t="s">
        <v>1138</v>
      </c>
      <c r="D1634" s="115" t="s">
        <v>1139</v>
      </c>
      <c r="E1634" s="115" t="s">
        <v>1140</v>
      </c>
    </row>
    <row r="1635" spans="1:5" x14ac:dyDescent="0.25">
      <c r="B1635" s="115" t="s">
        <v>1138</v>
      </c>
      <c r="D1635" s="115" t="s">
        <v>1139</v>
      </c>
      <c r="E1635" s="115" t="s">
        <v>1140</v>
      </c>
    </row>
    <row r="1636" spans="1:5" x14ac:dyDescent="0.25">
      <c r="A1636" s="115" t="s">
        <v>1137</v>
      </c>
      <c r="B1636" s="115" t="s">
        <v>3267</v>
      </c>
      <c r="D1636" s="115" t="s">
        <v>3268</v>
      </c>
      <c r="E1636" s="115" t="s">
        <v>3269</v>
      </c>
    </row>
    <row r="1637" spans="1:5" x14ac:dyDescent="0.25">
      <c r="B1637" s="115" t="s">
        <v>1138</v>
      </c>
      <c r="D1637" s="115" t="s">
        <v>3270</v>
      </c>
      <c r="E1637" s="115" t="s">
        <v>1140</v>
      </c>
    </row>
    <row r="1638" spans="1:5" x14ac:dyDescent="0.25">
      <c r="B1638" s="115" t="s">
        <v>1138</v>
      </c>
      <c r="D1638" s="115" t="s">
        <v>3271</v>
      </c>
      <c r="E1638" s="115" t="s">
        <v>3272</v>
      </c>
    </row>
    <row r="1639" spans="1:5" x14ac:dyDescent="0.25">
      <c r="B1639" s="115" t="s">
        <v>3273</v>
      </c>
      <c r="D1639" s="115" t="s">
        <v>3274</v>
      </c>
      <c r="E1639" s="115" t="s">
        <v>3275</v>
      </c>
    </row>
    <row r="1640" spans="1:5" x14ac:dyDescent="0.25">
      <c r="B1640" s="115" t="s">
        <v>1138</v>
      </c>
      <c r="D1640" s="115" t="s">
        <v>2776</v>
      </c>
      <c r="E1640" s="115" t="s">
        <v>1758</v>
      </c>
    </row>
    <row r="1641" spans="1:5" x14ac:dyDescent="0.25">
      <c r="B1641" s="115" t="s">
        <v>1138</v>
      </c>
      <c r="D1641" s="115" t="s">
        <v>3276</v>
      </c>
      <c r="E1641" s="115" t="s">
        <v>1244</v>
      </c>
    </row>
    <row r="1642" spans="1:5" x14ac:dyDescent="0.25">
      <c r="B1642" s="115" t="s">
        <v>1618</v>
      </c>
      <c r="D1642" s="115" t="s">
        <v>3277</v>
      </c>
      <c r="E1642" s="115" t="s">
        <v>3278</v>
      </c>
    </row>
    <row r="1643" spans="1:5" x14ac:dyDescent="0.25">
      <c r="A1643" s="115">
        <v>-2</v>
      </c>
      <c r="B1643" s="115" t="s">
        <v>3279</v>
      </c>
      <c r="C1643" s="115" t="s">
        <v>1137</v>
      </c>
      <c r="D1643" s="115" t="s">
        <v>3280</v>
      </c>
      <c r="E1643" s="115" t="s">
        <v>1893</v>
      </c>
    </row>
    <row r="1644" spans="1:5" x14ac:dyDescent="0.25">
      <c r="B1644" s="115" t="s">
        <v>3281</v>
      </c>
      <c r="D1644" s="115" t="s">
        <v>3282</v>
      </c>
      <c r="E1644" s="115" t="s">
        <v>3283</v>
      </c>
    </row>
    <row r="1645" spans="1:5" x14ac:dyDescent="0.25">
      <c r="B1645" s="115" t="s">
        <v>3284</v>
      </c>
      <c r="D1645" s="115" t="s">
        <v>3285</v>
      </c>
      <c r="E1645" s="115" t="s">
        <v>3286</v>
      </c>
    </row>
    <row r="1646" spans="1:5" x14ac:dyDescent="0.25">
      <c r="A1646" s="115">
        <v>-1</v>
      </c>
      <c r="B1646" s="115" t="s">
        <v>3287</v>
      </c>
      <c r="D1646" s="115" t="s">
        <v>3288</v>
      </c>
      <c r="E1646" s="115" t="s">
        <v>1818</v>
      </c>
    </row>
    <row r="1647" spans="1:5" x14ac:dyDescent="0.25">
      <c r="A1647" s="115" t="s">
        <v>1137</v>
      </c>
      <c r="B1647" s="115" t="s">
        <v>3289</v>
      </c>
      <c r="D1647" s="115" t="s">
        <v>3290</v>
      </c>
      <c r="E1647" s="115" t="s">
        <v>3291</v>
      </c>
    </row>
    <row r="1648" spans="1:5" x14ac:dyDescent="0.25">
      <c r="B1648" s="115" t="s">
        <v>3292</v>
      </c>
      <c r="D1648" s="115" t="s">
        <v>3293</v>
      </c>
      <c r="E1648" s="115" t="s">
        <v>3294</v>
      </c>
    </row>
    <row r="1649" spans="1:5" x14ac:dyDescent="0.25">
      <c r="B1649" s="115" t="s">
        <v>3295</v>
      </c>
      <c r="D1649" s="115" t="s">
        <v>3296</v>
      </c>
      <c r="E1649" s="115" t="s">
        <v>1893</v>
      </c>
    </row>
    <row r="1650" spans="1:5" x14ac:dyDescent="0.25">
      <c r="B1650" s="115">
        <f>-44   -170</f>
        <v>-214</v>
      </c>
      <c r="D1650" s="115" t="s">
        <v>3297</v>
      </c>
      <c r="E1650" s="115" t="s">
        <v>3298</v>
      </c>
    </row>
    <row r="1651" spans="1:5" x14ac:dyDescent="0.25">
      <c r="A1651" s="115">
        <v>6</v>
      </c>
      <c r="B1651" s="115" t="s">
        <v>3299</v>
      </c>
      <c r="D1651" s="115" t="s">
        <v>3300</v>
      </c>
      <c r="E1651" s="115" t="s">
        <v>3301</v>
      </c>
    </row>
    <row r="1652" spans="1:5" x14ac:dyDescent="0.25">
      <c r="B1652" s="115" t="s">
        <v>1138</v>
      </c>
      <c r="D1652" s="115" t="s">
        <v>1139</v>
      </c>
      <c r="E1652" s="115" t="s">
        <v>1140</v>
      </c>
    </row>
    <row r="1653" spans="1:5" x14ac:dyDescent="0.25">
      <c r="B1653" s="115" t="s">
        <v>1138</v>
      </c>
      <c r="D1653" s="115" t="s">
        <v>1139</v>
      </c>
      <c r="E1653" s="115" t="s">
        <v>1140</v>
      </c>
    </row>
    <row r="1654" spans="1:5" x14ac:dyDescent="0.25">
      <c r="B1654" s="115" t="s">
        <v>1138</v>
      </c>
      <c r="D1654" s="115" t="s">
        <v>1139</v>
      </c>
      <c r="E1654" s="115" t="s">
        <v>1140</v>
      </c>
    </row>
    <row r="1655" spans="1:5" x14ac:dyDescent="0.25">
      <c r="B1655" s="115" t="s">
        <v>1138</v>
      </c>
      <c r="D1655" s="115" t="s">
        <v>1139</v>
      </c>
      <c r="E1655" s="115" t="s">
        <v>1140</v>
      </c>
    </row>
    <row r="1656" spans="1:5" x14ac:dyDescent="0.25">
      <c r="B1656" s="115" t="s">
        <v>1138</v>
      </c>
      <c r="D1656" s="115" t="s">
        <v>1139</v>
      </c>
      <c r="E1656" s="115" t="s">
        <v>1140</v>
      </c>
    </row>
    <row r="1657" spans="1:5" x14ac:dyDescent="0.25">
      <c r="B1657" s="115" t="s">
        <v>1138</v>
      </c>
      <c r="D1657" s="115" t="s">
        <v>1139</v>
      </c>
      <c r="E1657" s="115" t="s">
        <v>1140</v>
      </c>
    </row>
    <row r="1658" spans="1:5" x14ac:dyDescent="0.25">
      <c r="B1658" s="115" t="s">
        <v>1138</v>
      </c>
      <c r="D1658" s="115" t="s">
        <v>1139</v>
      </c>
      <c r="E1658" s="115" t="s">
        <v>1140</v>
      </c>
    </row>
    <row r="1659" spans="1:5" x14ac:dyDescent="0.25">
      <c r="B1659" s="115" t="s">
        <v>1138</v>
      </c>
      <c r="D1659" s="115" t="s">
        <v>1139</v>
      </c>
      <c r="E1659" s="115" t="s">
        <v>1140</v>
      </c>
    </row>
    <row r="1660" spans="1:5" x14ac:dyDescent="0.25">
      <c r="B1660" s="115" t="s">
        <v>1138</v>
      </c>
      <c r="D1660" s="115" t="s">
        <v>1139</v>
      </c>
      <c r="E1660" s="115" t="s">
        <v>1140</v>
      </c>
    </row>
    <row r="1661" spans="1:5" x14ac:dyDescent="0.25">
      <c r="B1661" s="115" t="s">
        <v>1138</v>
      </c>
      <c r="D1661" s="115" t="s">
        <v>1139</v>
      </c>
      <c r="E1661" s="115" t="s">
        <v>1140</v>
      </c>
    </row>
    <row r="1662" spans="1:5" x14ac:dyDescent="0.25">
      <c r="B1662" s="115" t="s">
        <v>1138</v>
      </c>
      <c r="D1662" s="115" t="s">
        <v>1139</v>
      </c>
      <c r="E1662" s="115" t="s">
        <v>1140</v>
      </c>
    </row>
    <row r="1663" spans="1:5" x14ac:dyDescent="0.25">
      <c r="B1663" s="115" t="s">
        <v>1138</v>
      </c>
      <c r="D1663" s="115" t="s">
        <v>1139</v>
      </c>
      <c r="E1663" s="115" t="s">
        <v>1140</v>
      </c>
    </row>
    <row r="1664" spans="1:5" x14ac:dyDescent="0.25">
      <c r="B1664" s="115" t="s">
        <v>1138</v>
      </c>
      <c r="D1664" s="115" t="s">
        <v>1139</v>
      </c>
      <c r="E1664" s="115" t="s">
        <v>1140</v>
      </c>
    </row>
    <row r="1665" spans="2:5" x14ac:dyDescent="0.25">
      <c r="B1665" s="115" t="s">
        <v>1138</v>
      </c>
      <c r="D1665" s="115" t="s">
        <v>1139</v>
      </c>
      <c r="E1665" s="115" t="s">
        <v>1140</v>
      </c>
    </row>
    <row r="1666" spans="2:5" x14ac:dyDescent="0.25">
      <c r="B1666" s="115" t="s">
        <v>1138</v>
      </c>
      <c r="D1666" s="115" t="s">
        <v>1139</v>
      </c>
      <c r="E1666" s="115" t="s">
        <v>1140</v>
      </c>
    </row>
    <row r="1667" spans="2:5" x14ac:dyDescent="0.25">
      <c r="B1667" s="115" t="s">
        <v>1138</v>
      </c>
      <c r="D1667" s="115" t="s">
        <v>1139</v>
      </c>
      <c r="E1667" s="115" t="s">
        <v>1140</v>
      </c>
    </row>
    <row r="1668" spans="2:5" x14ac:dyDescent="0.25">
      <c r="B1668" s="115" t="s">
        <v>3302</v>
      </c>
      <c r="D1668" s="115" t="s">
        <v>3303</v>
      </c>
      <c r="E1668" s="115" t="s">
        <v>3304</v>
      </c>
    </row>
    <row r="1669" spans="2:5" x14ac:dyDescent="0.25">
      <c r="B1669" s="115" t="s">
        <v>1138</v>
      </c>
      <c r="D1669" s="115" t="s">
        <v>3305</v>
      </c>
      <c r="E1669" s="115" t="s">
        <v>1140</v>
      </c>
    </row>
    <row r="1670" spans="2:5" x14ac:dyDescent="0.25">
      <c r="B1670" s="115" t="s">
        <v>1138</v>
      </c>
      <c r="D1670" s="115" t="s">
        <v>3306</v>
      </c>
      <c r="E1670" s="115" t="s">
        <v>3307</v>
      </c>
    </row>
    <row r="1671" spans="2:5" x14ac:dyDescent="0.25">
      <c r="B1671" s="115" t="s">
        <v>3308</v>
      </c>
      <c r="D1671" s="115" t="s">
        <v>3309</v>
      </c>
      <c r="E1671" s="115" t="s">
        <v>3310</v>
      </c>
    </row>
    <row r="1672" spans="2:5" x14ac:dyDescent="0.25">
      <c r="B1672" s="115" t="s">
        <v>2511</v>
      </c>
      <c r="D1672" s="115" t="s">
        <v>1139</v>
      </c>
      <c r="E1672" s="115" t="s">
        <v>3311</v>
      </c>
    </row>
    <row r="1673" spans="2:5" x14ac:dyDescent="0.25">
      <c r="B1673" s="115" t="s">
        <v>1138</v>
      </c>
      <c r="D1673" s="115" t="s">
        <v>3312</v>
      </c>
      <c r="E1673" s="115" t="s">
        <v>3313</v>
      </c>
    </row>
    <row r="1674" spans="2:5" x14ac:dyDescent="0.25">
      <c r="B1674" s="115" t="s">
        <v>1138</v>
      </c>
      <c r="D1674" s="115">
        <f>-448   -320   -101</f>
        <v>-869</v>
      </c>
      <c r="E1674" s="115" t="s">
        <v>3314</v>
      </c>
    </row>
    <row r="1675" spans="2:5" x14ac:dyDescent="0.25">
      <c r="B1675" s="115" t="s">
        <v>3315</v>
      </c>
      <c r="D1675" s="115" t="s">
        <v>3316</v>
      </c>
      <c r="E1675" s="115" t="s">
        <v>3317</v>
      </c>
    </row>
    <row r="1676" spans="2:5" x14ac:dyDescent="0.25">
      <c r="B1676" s="115" t="s">
        <v>3318</v>
      </c>
      <c r="D1676" s="115" t="s">
        <v>3319</v>
      </c>
      <c r="E1676" s="115" t="s">
        <v>3320</v>
      </c>
    </row>
    <row r="1677" spans="2:5" x14ac:dyDescent="0.25">
      <c r="B1677" s="115" t="s">
        <v>3321</v>
      </c>
      <c r="D1677" s="115" t="s">
        <v>3322</v>
      </c>
      <c r="E1677" s="115" t="s">
        <v>3323</v>
      </c>
    </row>
    <row r="1678" spans="2:5" x14ac:dyDescent="0.25">
      <c r="B1678" s="115" t="s">
        <v>3324</v>
      </c>
      <c r="D1678" s="115" t="s">
        <v>3325</v>
      </c>
      <c r="E1678" s="115" t="s">
        <v>3326</v>
      </c>
    </row>
    <row r="1679" spans="2:5" x14ac:dyDescent="0.25">
      <c r="B1679" s="115" t="s">
        <v>1307</v>
      </c>
      <c r="D1679" s="115" t="s">
        <v>3327</v>
      </c>
      <c r="E1679" s="115" t="s">
        <v>3328</v>
      </c>
    </row>
    <row r="1680" spans="2:5" x14ac:dyDescent="0.25">
      <c r="B1680" s="115" t="s">
        <v>3329</v>
      </c>
      <c r="D1680" s="115" t="s">
        <v>3330</v>
      </c>
      <c r="E1680" s="115" t="s">
        <v>3331</v>
      </c>
    </row>
    <row r="1681" spans="1:5" x14ac:dyDescent="0.25">
      <c r="B1681" s="115" t="s">
        <v>1138</v>
      </c>
      <c r="D1681" s="115" t="s">
        <v>3332</v>
      </c>
      <c r="E1681" s="115" t="s">
        <v>3333</v>
      </c>
    </row>
    <row r="1682" spans="1:5" x14ac:dyDescent="0.25">
      <c r="B1682" s="115" t="s">
        <v>2551</v>
      </c>
      <c r="D1682" s="115" t="s">
        <v>3334</v>
      </c>
      <c r="E1682" s="115" t="s">
        <v>3335</v>
      </c>
    </row>
    <row r="1683" spans="1:5" x14ac:dyDescent="0.25">
      <c r="A1683" s="115">
        <v>2</v>
      </c>
      <c r="B1683" s="115" t="s">
        <v>3336</v>
      </c>
      <c r="D1683" s="115" t="s">
        <v>3337</v>
      </c>
      <c r="E1683" s="115" t="s">
        <v>3338</v>
      </c>
    </row>
    <row r="1684" spans="1:5" x14ac:dyDescent="0.25">
      <c r="B1684" s="115" t="s">
        <v>3339</v>
      </c>
      <c r="D1684" s="115" t="s">
        <v>1139</v>
      </c>
      <c r="E1684" s="115" t="s">
        <v>1140</v>
      </c>
    </row>
    <row r="1685" spans="1:5" x14ac:dyDescent="0.25">
      <c r="B1685" s="115" t="s">
        <v>1138</v>
      </c>
      <c r="D1685" s="115" t="s">
        <v>1139</v>
      </c>
      <c r="E1685" s="115" t="s">
        <v>1140</v>
      </c>
    </row>
    <row r="1686" spans="1:5" x14ac:dyDescent="0.25">
      <c r="B1686" s="115" t="s">
        <v>1138</v>
      </c>
      <c r="D1686" s="115" t="s">
        <v>1139</v>
      </c>
      <c r="E1686" s="115" t="s">
        <v>1140</v>
      </c>
    </row>
    <row r="1687" spans="1:5" x14ac:dyDescent="0.25">
      <c r="B1687" s="115" t="s">
        <v>1138</v>
      </c>
      <c r="D1687" s="115" t="s">
        <v>1139</v>
      </c>
      <c r="E1687" s="115" t="s">
        <v>1140</v>
      </c>
    </row>
    <row r="1688" spans="1:5" x14ac:dyDescent="0.25">
      <c r="B1688" s="115" t="s">
        <v>1138</v>
      </c>
      <c r="D1688" s="115" t="s">
        <v>1139</v>
      </c>
      <c r="E1688" s="115" t="s">
        <v>1140</v>
      </c>
    </row>
    <row r="1689" spans="1:5" x14ac:dyDescent="0.25">
      <c r="B1689" s="115" t="s">
        <v>1138</v>
      </c>
      <c r="D1689" s="115" t="s">
        <v>1139</v>
      </c>
      <c r="E1689" s="115" t="s">
        <v>1140</v>
      </c>
    </row>
    <row r="1690" spans="1:5" x14ac:dyDescent="0.25">
      <c r="B1690" s="115" t="s">
        <v>1138</v>
      </c>
      <c r="D1690" s="115" t="s">
        <v>1139</v>
      </c>
      <c r="E1690" s="115" t="s">
        <v>1140</v>
      </c>
    </row>
    <row r="1691" spans="1:5" x14ac:dyDescent="0.25">
      <c r="B1691" s="115" t="s">
        <v>1138</v>
      </c>
      <c r="D1691" s="115" t="s">
        <v>1139</v>
      </c>
      <c r="E1691" s="115" t="s">
        <v>1140</v>
      </c>
    </row>
    <row r="1692" spans="1:5" x14ac:dyDescent="0.25">
      <c r="B1692" s="115" t="s">
        <v>1138</v>
      </c>
      <c r="D1692" s="115" t="s">
        <v>1139</v>
      </c>
      <c r="E1692" s="115" t="s">
        <v>1140</v>
      </c>
    </row>
    <row r="1693" spans="1:5" x14ac:dyDescent="0.25">
      <c r="B1693" s="115" t="s">
        <v>1138</v>
      </c>
      <c r="D1693" s="115" t="s">
        <v>1139</v>
      </c>
      <c r="E1693" s="115" t="s">
        <v>1140</v>
      </c>
    </row>
    <row r="1694" spans="1:5" x14ac:dyDescent="0.25">
      <c r="B1694" s="115" t="s">
        <v>1138</v>
      </c>
      <c r="D1694" s="115" t="s">
        <v>1139</v>
      </c>
      <c r="E1694" s="115" t="s">
        <v>1140</v>
      </c>
    </row>
    <row r="1695" spans="1:5" x14ac:dyDescent="0.25">
      <c r="B1695" s="115" t="s">
        <v>1138</v>
      </c>
      <c r="D1695" s="115" t="s">
        <v>1139</v>
      </c>
      <c r="E1695" s="115" t="s">
        <v>1140</v>
      </c>
    </row>
    <row r="1696" spans="1:5" x14ac:dyDescent="0.25">
      <c r="B1696" s="115" t="s">
        <v>1138</v>
      </c>
      <c r="D1696" s="115" t="s">
        <v>1139</v>
      </c>
      <c r="E1696" s="115" t="s">
        <v>1140</v>
      </c>
    </row>
    <row r="1697" spans="2:5" x14ac:dyDescent="0.25">
      <c r="B1697" s="115" t="s">
        <v>1138</v>
      </c>
      <c r="D1697" s="115" t="s">
        <v>1139</v>
      </c>
      <c r="E1697" s="115" t="s">
        <v>1140</v>
      </c>
    </row>
    <row r="1698" spans="2:5" x14ac:dyDescent="0.25">
      <c r="B1698" s="115" t="s">
        <v>1138</v>
      </c>
      <c r="D1698" s="115" t="s">
        <v>1139</v>
      </c>
      <c r="E1698" s="115" t="s">
        <v>1140</v>
      </c>
    </row>
    <row r="1699" spans="2:5" x14ac:dyDescent="0.25">
      <c r="B1699" s="115" t="s">
        <v>1138</v>
      </c>
      <c r="D1699" s="115" t="s">
        <v>1139</v>
      </c>
      <c r="E1699" s="115" t="s">
        <v>1140</v>
      </c>
    </row>
    <row r="1700" spans="2:5" x14ac:dyDescent="0.25">
      <c r="B1700" s="115" t="s">
        <v>1138</v>
      </c>
      <c r="D1700" s="115" t="s">
        <v>1139</v>
      </c>
      <c r="E1700" s="115" t="s">
        <v>1140</v>
      </c>
    </row>
    <row r="1701" spans="2:5" x14ac:dyDescent="0.25">
      <c r="B1701" s="115" t="s">
        <v>1138</v>
      </c>
      <c r="D1701" s="115" t="s">
        <v>1139</v>
      </c>
      <c r="E1701" s="115" t="s">
        <v>1140</v>
      </c>
    </row>
    <row r="1702" spans="2:5" x14ac:dyDescent="0.25">
      <c r="B1702" s="115" t="s">
        <v>1138</v>
      </c>
      <c r="D1702" s="115" t="s">
        <v>1139</v>
      </c>
      <c r="E1702" s="115" t="s">
        <v>1140</v>
      </c>
    </row>
    <row r="1703" spans="2:5" x14ac:dyDescent="0.25">
      <c r="B1703" s="115" t="s">
        <v>1138</v>
      </c>
      <c r="D1703" s="115" t="s">
        <v>1139</v>
      </c>
      <c r="E1703" s="115" t="s">
        <v>1140</v>
      </c>
    </row>
    <row r="1704" spans="2:5" x14ac:dyDescent="0.25">
      <c r="B1704" s="115" t="s">
        <v>1138</v>
      </c>
      <c r="D1704" s="115" t="s">
        <v>1139</v>
      </c>
      <c r="E1704" s="115" t="s">
        <v>1140</v>
      </c>
    </row>
    <row r="1705" spans="2:5" x14ac:dyDescent="0.25">
      <c r="B1705" s="115" t="s">
        <v>1138</v>
      </c>
      <c r="D1705" s="115" t="s">
        <v>1139</v>
      </c>
      <c r="E1705" s="115" t="s">
        <v>1140</v>
      </c>
    </row>
    <row r="1706" spans="2:5" x14ac:dyDescent="0.25">
      <c r="B1706" s="115" t="s">
        <v>1138</v>
      </c>
      <c r="D1706" s="115" t="s">
        <v>1139</v>
      </c>
      <c r="E1706" s="115" t="s">
        <v>1140</v>
      </c>
    </row>
    <row r="1707" spans="2:5" x14ac:dyDescent="0.25">
      <c r="B1707" s="115" t="s">
        <v>1138</v>
      </c>
      <c r="D1707" s="115" t="s">
        <v>1139</v>
      </c>
      <c r="E1707" s="115" t="s">
        <v>1140</v>
      </c>
    </row>
    <row r="1708" spans="2:5" x14ac:dyDescent="0.25">
      <c r="B1708" s="115" t="s">
        <v>1138</v>
      </c>
      <c r="D1708" s="115" t="s">
        <v>1139</v>
      </c>
      <c r="E1708" s="115" t="s">
        <v>1140</v>
      </c>
    </row>
    <row r="1709" spans="2:5" x14ac:dyDescent="0.25">
      <c r="B1709" s="115" t="s">
        <v>1138</v>
      </c>
      <c r="D1709" s="115" t="s">
        <v>1139</v>
      </c>
      <c r="E1709" s="115" t="s">
        <v>1140</v>
      </c>
    </row>
    <row r="1710" spans="2:5" x14ac:dyDescent="0.25">
      <c r="B1710" s="115" t="s">
        <v>1138</v>
      </c>
      <c r="D1710" s="115" t="s">
        <v>1139</v>
      </c>
      <c r="E1710" s="115" t="s">
        <v>1140</v>
      </c>
    </row>
    <row r="1711" spans="2:5" x14ac:dyDescent="0.25">
      <c r="B1711" s="115" t="s">
        <v>1138</v>
      </c>
      <c r="D1711" s="115" t="s">
        <v>1139</v>
      </c>
      <c r="E1711" s="115" t="s">
        <v>1140</v>
      </c>
    </row>
    <row r="1712" spans="2:5" x14ac:dyDescent="0.25">
      <c r="B1712" s="115" t="s">
        <v>1138</v>
      </c>
      <c r="D1712" s="115" t="s">
        <v>1139</v>
      </c>
      <c r="E1712" s="115" t="s">
        <v>1140</v>
      </c>
    </row>
    <row r="1713" spans="2:5" x14ac:dyDescent="0.25">
      <c r="B1713" s="115" t="s">
        <v>1138</v>
      </c>
      <c r="D1713" s="115" t="s">
        <v>1139</v>
      </c>
      <c r="E1713" s="115" t="s">
        <v>1140</v>
      </c>
    </row>
    <row r="1714" spans="2:5" x14ac:dyDescent="0.25">
      <c r="B1714" s="115" t="s">
        <v>1138</v>
      </c>
      <c r="D1714" s="115" t="s">
        <v>1139</v>
      </c>
      <c r="E1714" s="115" t="s">
        <v>1140</v>
      </c>
    </row>
    <row r="1715" spans="2:5" x14ac:dyDescent="0.25">
      <c r="B1715" s="115" t="s">
        <v>1138</v>
      </c>
      <c r="D1715" s="115" t="s">
        <v>1139</v>
      </c>
      <c r="E1715" s="115" t="s">
        <v>1140</v>
      </c>
    </row>
    <row r="1716" spans="2:5" x14ac:dyDescent="0.25">
      <c r="B1716" s="115" t="s">
        <v>1138</v>
      </c>
      <c r="D1716" s="115" t="s">
        <v>1139</v>
      </c>
      <c r="E1716" s="115" t="s">
        <v>1140</v>
      </c>
    </row>
    <row r="1717" spans="2:5" x14ac:dyDescent="0.25">
      <c r="B1717" s="115" t="s">
        <v>1138</v>
      </c>
      <c r="D1717" s="115" t="s">
        <v>1139</v>
      </c>
      <c r="E1717" s="115" t="s">
        <v>1140</v>
      </c>
    </row>
    <row r="1718" spans="2:5" x14ac:dyDescent="0.25">
      <c r="B1718" s="115" t="s">
        <v>1138</v>
      </c>
      <c r="D1718" s="115" t="s">
        <v>1139</v>
      </c>
      <c r="E1718" s="115" t="s">
        <v>1140</v>
      </c>
    </row>
    <row r="1719" spans="2:5" x14ac:dyDescent="0.25">
      <c r="B1719" s="115" t="s">
        <v>1138</v>
      </c>
      <c r="D1719" s="115" t="s">
        <v>1139</v>
      </c>
      <c r="E1719" s="115" t="s">
        <v>1140</v>
      </c>
    </row>
    <row r="1720" spans="2:5" x14ac:dyDescent="0.25">
      <c r="B1720" s="115" t="s">
        <v>1138</v>
      </c>
      <c r="D1720" s="115" t="s">
        <v>1139</v>
      </c>
      <c r="E1720" s="115" t="s">
        <v>1140</v>
      </c>
    </row>
    <row r="1721" spans="2:5" x14ac:dyDescent="0.25">
      <c r="B1721" s="115" t="s">
        <v>1138</v>
      </c>
      <c r="D1721" s="115" t="s">
        <v>1139</v>
      </c>
      <c r="E1721" s="115" t="s">
        <v>1140</v>
      </c>
    </row>
    <row r="1722" spans="2:5" x14ac:dyDescent="0.25">
      <c r="B1722" s="115" t="s">
        <v>1138</v>
      </c>
      <c r="D1722" s="115" t="s">
        <v>1139</v>
      </c>
      <c r="E1722" s="115" t="s">
        <v>1140</v>
      </c>
    </row>
    <row r="1723" spans="2:5" x14ac:dyDescent="0.25">
      <c r="B1723" s="115" t="s">
        <v>1138</v>
      </c>
      <c r="D1723" s="115" t="s">
        <v>1139</v>
      </c>
      <c r="E1723" s="115" t="s">
        <v>1140</v>
      </c>
    </row>
    <row r="1724" spans="2:5" x14ac:dyDescent="0.25">
      <c r="B1724" s="115" t="s">
        <v>1138</v>
      </c>
      <c r="D1724" s="115" t="s">
        <v>1139</v>
      </c>
      <c r="E1724" s="115" t="s">
        <v>1140</v>
      </c>
    </row>
    <row r="1725" spans="2:5" x14ac:dyDescent="0.25">
      <c r="B1725" s="115" t="s">
        <v>1138</v>
      </c>
      <c r="D1725" s="115" t="s">
        <v>1139</v>
      </c>
      <c r="E1725" s="115" t="s">
        <v>1140</v>
      </c>
    </row>
    <row r="1726" spans="2:5" x14ac:dyDescent="0.25">
      <c r="B1726" s="115" t="s">
        <v>1138</v>
      </c>
      <c r="D1726" s="115" t="s">
        <v>1139</v>
      </c>
      <c r="E1726" s="115" t="s">
        <v>1140</v>
      </c>
    </row>
    <row r="1727" spans="2:5" x14ac:dyDescent="0.25">
      <c r="B1727" s="115" t="s">
        <v>1138</v>
      </c>
      <c r="D1727" s="115" t="s">
        <v>1139</v>
      </c>
      <c r="E1727" s="115" t="s">
        <v>1140</v>
      </c>
    </row>
    <row r="1728" spans="2:5" x14ac:dyDescent="0.25">
      <c r="B1728" s="115" t="s">
        <v>1138</v>
      </c>
      <c r="D1728" s="115" t="s">
        <v>1139</v>
      </c>
      <c r="E1728" s="115" t="s">
        <v>1140</v>
      </c>
    </row>
    <row r="1729" spans="2:5" x14ac:dyDescent="0.25">
      <c r="B1729" s="115" t="s">
        <v>1138</v>
      </c>
      <c r="D1729" s="115" t="s">
        <v>1139</v>
      </c>
      <c r="E1729" s="115" t="s">
        <v>1140</v>
      </c>
    </row>
    <row r="1730" spans="2:5" x14ac:dyDescent="0.25">
      <c r="B1730" s="115" t="s">
        <v>1138</v>
      </c>
      <c r="D1730" s="115" t="s">
        <v>1139</v>
      </c>
      <c r="E1730" s="115" t="s">
        <v>1140</v>
      </c>
    </row>
    <row r="1731" spans="2:5" x14ac:dyDescent="0.25">
      <c r="B1731" s="115" t="s">
        <v>1138</v>
      </c>
      <c r="D1731" s="115" t="s">
        <v>1139</v>
      </c>
      <c r="E1731" s="115" t="s">
        <v>1140</v>
      </c>
    </row>
    <row r="1732" spans="2:5" x14ac:dyDescent="0.25">
      <c r="B1732" s="115" t="s">
        <v>1138</v>
      </c>
      <c r="D1732" s="115" t="s">
        <v>1139</v>
      </c>
      <c r="E1732" s="115" t="s">
        <v>1140</v>
      </c>
    </row>
    <row r="1733" spans="2:5" x14ac:dyDescent="0.25">
      <c r="B1733" s="115" t="s">
        <v>1138</v>
      </c>
      <c r="D1733" s="115" t="s">
        <v>1139</v>
      </c>
      <c r="E1733" s="115" t="s">
        <v>1140</v>
      </c>
    </row>
    <row r="1734" spans="2:5" x14ac:dyDescent="0.25">
      <c r="B1734" s="115" t="s">
        <v>1138</v>
      </c>
      <c r="D1734" s="115" t="s">
        <v>1139</v>
      </c>
      <c r="E1734" s="115" t="s">
        <v>1140</v>
      </c>
    </row>
    <row r="1735" spans="2:5" x14ac:dyDescent="0.25">
      <c r="B1735" s="115" t="s">
        <v>1138</v>
      </c>
      <c r="D1735" s="115" t="s">
        <v>1139</v>
      </c>
      <c r="E1735" s="115" t="s">
        <v>1140</v>
      </c>
    </row>
    <row r="1736" spans="2:5" x14ac:dyDescent="0.25">
      <c r="B1736" s="115" t="s">
        <v>1138</v>
      </c>
      <c r="D1736" s="115" t="s">
        <v>1139</v>
      </c>
      <c r="E1736" s="115" t="s">
        <v>1140</v>
      </c>
    </row>
    <row r="1737" spans="2:5" x14ac:dyDescent="0.25">
      <c r="B1737" s="115" t="s">
        <v>1138</v>
      </c>
      <c r="D1737" s="115" t="s">
        <v>1139</v>
      </c>
      <c r="E1737" s="115" t="s">
        <v>1140</v>
      </c>
    </row>
    <row r="1738" spans="2:5" x14ac:dyDescent="0.25">
      <c r="B1738" s="115" t="s">
        <v>1138</v>
      </c>
      <c r="D1738" s="115" t="s">
        <v>1139</v>
      </c>
      <c r="E1738" s="115" t="s">
        <v>1140</v>
      </c>
    </row>
    <row r="1739" spans="2:5" x14ac:dyDescent="0.25">
      <c r="B1739" s="115" t="s">
        <v>1138</v>
      </c>
      <c r="D1739" s="115" t="s">
        <v>1139</v>
      </c>
      <c r="E1739" s="115" t="s">
        <v>1140</v>
      </c>
    </row>
    <row r="1740" spans="2:5" x14ac:dyDescent="0.25">
      <c r="B1740" s="115" t="s">
        <v>1138</v>
      </c>
      <c r="D1740" s="115" t="s">
        <v>1139</v>
      </c>
      <c r="E1740" s="115" t="s">
        <v>1140</v>
      </c>
    </row>
    <row r="1741" spans="2:5" x14ac:dyDescent="0.25">
      <c r="B1741" s="115" t="s">
        <v>1138</v>
      </c>
      <c r="D1741" s="115" t="s">
        <v>1139</v>
      </c>
      <c r="E1741" s="115" t="s">
        <v>1140</v>
      </c>
    </row>
    <row r="1742" spans="2:5" x14ac:dyDescent="0.25">
      <c r="B1742" s="115" t="s">
        <v>1138</v>
      </c>
      <c r="D1742" s="115" t="s">
        <v>1139</v>
      </c>
      <c r="E1742" s="115" t="s">
        <v>1140</v>
      </c>
    </row>
    <row r="1743" spans="2:5" x14ac:dyDescent="0.25">
      <c r="B1743" s="115" t="s">
        <v>1138</v>
      </c>
      <c r="D1743" s="115" t="s">
        <v>1139</v>
      </c>
      <c r="E1743" s="115" t="s">
        <v>1140</v>
      </c>
    </row>
    <row r="1744" spans="2:5" x14ac:dyDescent="0.25">
      <c r="B1744" s="115" t="s">
        <v>1138</v>
      </c>
      <c r="D1744" s="115" t="s">
        <v>1139</v>
      </c>
      <c r="E1744" s="115" t="s">
        <v>1140</v>
      </c>
    </row>
    <row r="1745" spans="2:5" x14ac:dyDescent="0.25">
      <c r="B1745" s="115" t="s">
        <v>1138</v>
      </c>
      <c r="D1745" s="115" t="s">
        <v>1139</v>
      </c>
      <c r="E1745" s="115" t="s">
        <v>1140</v>
      </c>
    </row>
    <row r="1746" spans="2:5" x14ac:dyDescent="0.25">
      <c r="B1746" s="115" t="s">
        <v>1138</v>
      </c>
      <c r="D1746" s="115" t="s">
        <v>1139</v>
      </c>
      <c r="E1746" s="115" t="s">
        <v>1140</v>
      </c>
    </row>
    <row r="1747" spans="2:5" x14ac:dyDescent="0.25">
      <c r="B1747" s="115" t="s">
        <v>1138</v>
      </c>
      <c r="D1747" s="115" t="s">
        <v>1139</v>
      </c>
      <c r="E1747" s="115" t="s">
        <v>1140</v>
      </c>
    </row>
    <row r="1748" spans="2:5" x14ac:dyDescent="0.25">
      <c r="B1748" s="115" t="s">
        <v>1138</v>
      </c>
      <c r="D1748" s="115" t="s">
        <v>1139</v>
      </c>
      <c r="E1748" s="115" t="s">
        <v>1140</v>
      </c>
    </row>
    <row r="1749" spans="2:5" x14ac:dyDescent="0.25">
      <c r="B1749" s="115" t="s">
        <v>1138</v>
      </c>
      <c r="D1749" s="115" t="s">
        <v>1139</v>
      </c>
      <c r="E1749" s="115" t="s">
        <v>1140</v>
      </c>
    </row>
    <row r="1750" spans="2:5" x14ac:dyDescent="0.25">
      <c r="B1750" s="115" t="s">
        <v>1138</v>
      </c>
      <c r="D1750" s="115" t="s">
        <v>1139</v>
      </c>
      <c r="E1750" s="115" t="s">
        <v>1140</v>
      </c>
    </row>
    <row r="1751" spans="2:5" x14ac:dyDescent="0.25">
      <c r="B1751" s="115" t="s">
        <v>1138</v>
      </c>
      <c r="D1751" s="115" t="s">
        <v>1139</v>
      </c>
      <c r="E1751" s="115" t="s">
        <v>1140</v>
      </c>
    </row>
    <row r="1752" spans="2:5" x14ac:dyDescent="0.25">
      <c r="B1752" s="115" t="s">
        <v>1138</v>
      </c>
      <c r="D1752" s="115" t="s">
        <v>1139</v>
      </c>
      <c r="E1752" s="115" t="s">
        <v>1140</v>
      </c>
    </row>
    <row r="1753" spans="2:5" x14ac:dyDescent="0.25">
      <c r="B1753" s="115" t="s">
        <v>1138</v>
      </c>
      <c r="D1753" s="115" t="s">
        <v>1139</v>
      </c>
      <c r="E1753" s="115" t="s">
        <v>1140</v>
      </c>
    </row>
    <row r="1754" spans="2:5" x14ac:dyDescent="0.25">
      <c r="B1754" s="115" t="s">
        <v>1138</v>
      </c>
      <c r="D1754" s="115" t="s">
        <v>1139</v>
      </c>
      <c r="E1754" s="115" t="s">
        <v>1140</v>
      </c>
    </row>
    <row r="1755" spans="2:5" x14ac:dyDescent="0.25">
      <c r="B1755" s="115" t="s">
        <v>1138</v>
      </c>
      <c r="D1755" s="115" t="s">
        <v>1139</v>
      </c>
      <c r="E1755" s="115" t="s">
        <v>1140</v>
      </c>
    </row>
    <row r="1756" spans="2:5" x14ac:dyDescent="0.25">
      <c r="B1756" s="115" t="s">
        <v>1138</v>
      </c>
      <c r="D1756" s="115" t="s">
        <v>1139</v>
      </c>
      <c r="E1756" s="115" t="s">
        <v>1140</v>
      </c>
    </row>
    <row r="1757" spans="2:5" x14ac:dyDescent="0.25">
      <c r="B1757" s="115" t="s">
        <v>1138</v>
      </c>
      <c r="D1757" s="115" t="s">
        <v>1139</v>
      </c>
      <c r="E1757" s="115" t="s">
        <v>1140</v>
      </c>
    </row>
    <row r="1758" spans="2:5" x14ac:dyDescent="0.25">
      <c r="B1758" s="115" t="s">
        <v>1138</v>
      </c>
      <c r="D1758" s="115" t="s">
        <v>1139</v>
      </c>
      <c r="E1758" s="115" t="s">
        <v>1140</v>
      </c>
    </row>
    <row r="1759" spans="2:5" x14ac:dyDescent="0.25">
      <c r="B1759" s="115" t="s">
        <v>1138</v>
      </c>
      <c r="D1759" s="115" t="s">
        <v>1139</v>
      </c>
      <c r="E1759" s="115" t="s">
        <v>1140</v>
      </c>
    </row>
    <row r="1760" spans="2:5" x14ac:dyDescent="0.25">
      <c r="B1760" s="115" t="s">
        <v>1138</v>
      </c>
      <c r="D1760" s="115" t="s">
        <v>1139</v>
      </c>
      <c r="E1760" s="115" t="s">
        <v>1140</v>
      </c>
    </row>
    <row r="1761" spans="2:5" x14ac:dyDescent="0.25">
      <c r="B1761" s="115" t="s">
        <v>1138</v>
      </c>
      <c r="D1761" s="115" t="s">
        <v>1139</v>
      </c>
      <c r="E1761" s="115" t="s">
        <v>1140</v>
      </c>
    </row>
    <row r="1762" spans="2:5" x14ac:dyDescent="0.25">
      <c r="B1762" s="115" t="s">
        <v>1138</v>
      </c>
      <c r="D1762" s="115" t="s">
        <v>1139</v>
      </c>
      <c r="E1762" s="115" t="s">
        <v>1140</v>
      </c>
    </row>
    <row r="1763" spans="2:5" x14ac:dyDescent="0.25">
      <c r="B1763" s="115" t="s">
        <v>1138</v>
      </c>
      <c r="D1763" s="115" t="s">
        <v>1139</v>
      </c>
      <c r="E1763" s="115" t="s">
        <v>1140</v>
      </c>
    </row>
    <row r="1764" spans="2:5" x14ac:dyDescent="0.25">
      <c r="B1764" s="115" t="s">
        <v>1138</v>
      </c>
      <c r="D1764" s="115" t="s">
        <v>1139</v>
      </c>
      <c r="E1764" s="115" t="s">
        <v>1140</v>
      </c>
    </row>
    <row r="1765" spans="2:5" x14ac:dyDescent="0.25">
      <c r="B1765" s="115" t="s">
        <v>1138</v>
      </c>
      <c r="D1765" s="115" t="s">
        <v>1139</v>
      </c>
      <c r="E1765" s="115" t="s">
        <v>1140</v>
      </c>
    </row>
    <row r="1766" spans="2:5" x14ac:dyDescent="0.25">
      <c r="B1766" s="115" t="s">
        <v>1138</v>
      </c>
      <c r="D1766" s="115" t="s">
        <v>1139</v>
      </c>
      <c r="E1766" s="115" t="s">
        <v>1140</v>
      </c>
    </row>
    <row r="1767" spans="2:5" x14ac:dyDescent="0.25">
      <c r="B1767" s="115" t="s">
        <v>1138</v>
      </c>
      <c r="D1767" s="115" t="s">
        <v>1139</v>
      </c>
      <c r="E1767" s="115" t="s">
        <v>1140</v>
      </c>
    </row>
    <row r="1768" spans="2:5" x14ac:dyDescent="0.25">
      <c r="B1768" s="115" t="s">
        <v>1138</v>
      </c>
      <c r="D1768" s="115" t="s">
        <v>1139</v>
      </c>
      <c r="E1768" s="115" t="s">
        <v>1140</v>
      </c>
    </row>
    <row r="1769" spans="2:5" x14ac:dyDescent="0.25">
      <c r="B1769" s="115" t="s">
        <v>1138</v>
      </c>
      <c r="D1769" s="115" t="s">
        <v>1139</v>
      </c>
      <c r="E1769" s="115" t="s">
        <v>1140</v>
      </c>
    </row>
    <row r="1770" spans="2:5" x14ac:dyDescent="0.25">
      <c r="B1770" s="115" t="s">
        <v>1138</v>
      </c>
      <c r="D1770" s="115" t="s">
        <v>1139</v>
      </c>
      <c r="E1770" s="115" t="s">
        <v>1140</v>
      </c>
    </row>
    <row r="1771" spans="2:5" x14ac:dyDescent="0.25">
      <c r="B1771" s="115" t="s">
        <v>1138</v>
      </c>
      <c r="D1771" s="115" t="s">
        <v>1139</v>
      </c>
      <c r="E1771" s="115" t="s">
        <v>1140</v>
      </c>
    </row>
    <row r="1772" spans="2:5" x14ac:dyDescent="0.25">
      <c r="B1772" s="115" t="s">
        <v>1138</v>
      </c>
      <c r="D1772" s="115" t="s">
        <v>1139</v>
      </c>
      <c r="E1772" s="115" t="s">
        <v>1140</v>
      </c>
    </row>
    <row r="1773" spans="2:5" x14ac:dyDescent="0.25">
      <c r="B1773" s="115" t="s">
        <v>1138</v>
      </c>
      <c r="D1773" s="115" t="s">
        <v>1139</v>
      </c>
      <c r="E1773" s="115" t="s">
        <v>1140</v>
      </c>
    </row>
    <row r="1774" spans="2:5" x14ac:dyDescent="0.25">
      <c r="B1774" s="115" t="s">
        <v>1138</v>
      </c>
      <c r="D1774" s="115" t="s">
        <v>1139</v>
      </c>
      <c r="E1774" s="115" t="s">
        <v>1140</v>
      </c>
    </row>
    <row r="1775" spans="2:5" x14ac:dyDescent="0.25">
      <c r="B1775" s="115" t="s">
        <v>1138</v>
      </c>
      <c r="D1775" s="115" t="s">
        <v>1139</v>
      </c>
      <c r="E1775" s="115" t="s">
        <v>1140</v>
      </c>
    </row>
    <row r="1776" spans="2:5" x14ac:dyDescent="0.25">
      <c r="B1776" s="115" t="s">
        <v>1138</v>
      </c>
      <c r="D1776" s="115" t="s">
        <v>1139</v>
      </c>
      <c r="E1776" s="115" t="s">
        <v>1140</v>
      </c>
    </row>
    <row r="1777" spans="2:5" x14ac:dyDescent="0.25">
      <c r="B1777" s="115" t="s">
        <v>1138</v>
      </c>
      <c r="D1777" s="115" t="s">
        <v>1139</v>
      </c>
      <c r="E1777" s="115" t="s">
        <v>1140</v>
      </c>
    </row>
    <row r="1778" spans="2:5" x14ac:dyDescent="0.25">
      <c r="B1778" s="115" t="s">
        <v>1138</v>
      </c>
      <c r="D1778" s="115" t="s">
        <v>1139</v>
      </c>
      <c r="E1778" s="115" t="s">
        <v>1140</v>
      </c>
    </row>
    <row r="1779" spans="2:5" x14ac:dyDescent="0.25">
      <c r="B1779" s="115" t="s">
        <v>1138</v>
      </c>
      <c r="D1779" s="115" t="s">
        <v>1139</v>
      </c>
      <c r="E1779" s="115" t="s">
        <v>1140</v>
      </c>
    </row>
    <row r="1780" spans="2:5" x14ac:dyDescent="0.25">
      <c r="B1780" s="115" t="s">
        <v>1138</v>
      </c>
      <c r="D1780" s="115" t="s">
        <v>1139</v>
      </c>
      <c r="E1780" s="115" t="s">
        <v>1140</v>
      </c>
    </row>
    <row r="1781" spans="2:5" x14ac:dyDescent="0.25">
      <c r="B1781" s="115" t="s">
        <v>1138</v>
      </c>
      <c r="D1781" s="115" t="s">
        <v>1139</v>
      </c>
      <c r="E1781" s="115" t="s">
        <v>1140</v>
      </c>
    </row>
    <row r="1782" spans="2:5" x14ac:dyDescent="0.25">
      <c r="B1782" s="115" t="s">
        <v>1138</v>
      </c>
      <c r="D1782" s="115" t="s">
        <v>1139</v>
      </c>
      <c r="E1782" s="115" t="s">
        <v>1140</v>
      </c>
    </row>
    <row r="1783" spans="2:5" x14ac:dyDescent="0.25">
      <c r="B1783" s="115" t="s">
        <v>1138</v>
      </c>
      <c r="D1783" s="115" t="s">
        <v>1139</v>
      </c>
      <c r="E1783" s="115" t="s">
        <v>1140</v>
      </c>
    </row>
    <row r="1784" spans="2:5" x14ac:dyDescent="0.25">
      <c r="B1784" s="115" t="s">
        <v>1138</v>
      </c>
      <c r="D1784" s="115" t="s">
        <v>1139</v>
      </c>
      <c r="E1784" s="115" t="s">
        <v>1140</v>
      </c>
    </row>
    <row r="1785" spans="2:5" x14ac:dyDescent="0.25">
      <c r="B1785" s="115" t="s">
        <v>1138</v>
      </c>
      <c r="D1785" s="115" t="s">
        <v>1139</v>
      </c>
      <c r="E1785" s="115" t="s">
        <v>1140</v>
      </c>
    </row>
    <row r="1786" spans="2:5" x14ac:dyDescent="0.25">
      <c r="B1786" s="115" t="s">
        <v>1138</v>
      </c>
      <c r="D1786" s="115" t="s">
        <v>1139</v>
      </c>
      <c r="E1786" s="115" t="s">
        <v>1140</v>
      </c>
    </row>
    <row r="1787" spans="2:5" x14ac:dyDescent="0.25">
      <c r="B1787" s="115" t="s">
        <v>1138</v>
      </c>
      <c r="D1787" s="115" t="s">
        <v>1139</v>
      </c>
      <c r="E1787" s="115" t="s">
        <v>1140</v>
      </c>
    </row>
    <row r="1788" spans="2:5" x14ac:dyDescent="0.25">
      <c r="B1788" s="115" t="s">
        <v>1138</v>
      </c>
      <c r="D1788" s="115" t="s">
        <v>1139</v>
      </c>
      <c r="E1788" s="115" t="s">
        <v>1140</v>
      </c>
    </row>
    <row r="1789" spans="2:5" x14ac:dyDescent="0.25">
      <c r="B1789" s="115" t="s">
        <v>1138</v>
      </c>
      <c r="D1789" s="115" t="s">
        <v>1139</v>
      </c>
      <c r="E1789" s="115" t="s">
        <v>1140</v>
      </c>
    </row>
    <row r="1790" spans="2:5" x14ac:dyDescent="0.25">
      <c r="B1790" s="115" t="s">
        <v>1138</v>
      </c>
      <c r="D1790" s="115" t="s">
        <v>1139</v>
      </c>
      <c r="E1790" s="115" t="s">
        <v>1140</v>
      </c>
    </row>
    <row r="1791" spans="2:5" x14ac:dyDescent="0.25">
      <c r="B1791" s="115" t="s">
        <v>1138</v>
      </c>
      <c r="D1791" s="115" t="s">
        <v>1139</v>
      </c>
      <c r="E1791" s="115" t="s">
        <v>1140</v>
      </c>
    </row>
    <row r="1792" spans="2:5" x14ac:dyDescent="0.25">
      <c r="B1792" s="115" t="s">
        <v>1138</v>
      </c>
      <c r="D1792" s="115" t="s">
        <v>1139</v>
      </c>
      <c r="E1792" s="115" t="s">
        <v>1140</v>
      </c>
    </row>
    <row r="1793" spans="1:5" x14ac:dyDescent="0.25">
      <c r="B1793" s="115" t="s">
        <v>1138</v>
      </c>
      <c r="D1793" s="115" t="s">
        <v>1139</v>
      </c>
      <c r="E1793" s="115" t="s">
        <v>1140</v>
      </c>
    </row>
    <row r="1794" spans="1:5" x14ac:dyDescent="0.25">
      <c r="B1794" s="115" t="s">
        <v>1138</v>
      </c>
      <c r="D1794" s="115" t="s">
        <v>1139</v>
      </c>
      <c r="E1794" s="115" t="s">
        <v>1140</v>
      </c>
    </row>
    <row r="1795" spans="1:5" x14ac:dyDescent="0.25">
      <c r="B1795" s="115" t="s">
        <v>1138</v>
      </c>
      <c r="D1795" s="115" t="s">
        <v>1139</v>
      </c>
      <c r="E1795" s="115" t="s">
        <v>1140</v>
      </c>
    </row>
    <row r="1796" spans="1:5" x14ac:dyDescent="0.25">
      <c r="B1796" s="115" t="s">
        <v>1138</v>
      </c>
      <c r="D1796" s="115" t="s">
        <v>1139</v>
      </c>
      <c r="E1796" s="115" t="s">
        <v>1140</v>
      </c>
    </row>
    <row r="1797" spans="1:5" x14ac:dyDescent="0.25">
      <c r="B1797" s="115" t="s">
        <v>1138</v>
      </c>
      <c r="D1797" s="115" t="s">
        <v>1139</v>
      </c>
      <c r="E1797" s="115" t="s">
        <v>1140</v>
      </c>
    </row>
    <row r="1798" spans="1:5" x14ac:dyDescent="0.25">
      <c r="B1798" s="115" t="s">
        <v>1138</v>
      </c>
      <c r="D1798" s="115" t="s">
        <v>1139</v>
      </c>
      <c r="E1798" s="115" t="s">
        <v>1140</v>
      </c>
    </row>
    <row r="1799" spans="1:5" x14ac:dyDescent="0.25">
      <c r="B1799" s="115" t="s">
        <v>1138</v>
      </c>
      <c r="D1799" s="115" t="s">
        <v>1139</v>
      </c>
      <c r="E1799" s="115" t="s">
        <v>1140</v>
      </c>
    </row>
    <row r="1800" spans="1:5" x14ac:dyDescent="0.25">
      <c r="B1800" s="115" t="s">
        <v>1138</v>
      </c>
      <c r="D1800" s="115" t="s">
        <v>3340</v>
      </c>
      <c r="E1800" s="115" t="s">
        <v>3341</v>
      </c>
    </row>
    <row r="1801" spans="1:5" x14ac:dyDescent="0.25">
      <c r="B1801" s="115" t="s">
        <v>3302</v>
      </c>
      <c r="D1801" s="115" t="s">
        <v>3342</v>
      </c>
      <c r="E1801" s="115" t="s">
        <v>3343</v>
      </c>
    </row>
    <row r="1802" spans="1:5" x14ac:dyDescent="0.25">
      <c r="B1802" s="115" t="s">
        <v>1138</v>
      </c>
      <c r="D1802" s="115" t="s">
        <v>1139</v>
      </c>
      <c r="E1802" s="115" t="s">
        <v>3344</v>
      </c>
    </row>
    <row r="1803" spans="1:5" x14ac:dyDescent="0.25">
      <c r="B1803" s="115" t="s">
        <v>3345</v>
      </c>
      <c r="C1803" s="115" t="s">
        <v>1137</v>
      </c>
      <c r="D1803" s="115" t="s">
        <v>3346</v>
      </c>
      <c r="E1803" s="115" t="s">
        <v>3347</v>
      </c>
    </row>
    <row r="1804" spans="1:5" x14ac:dyDescent="0.25">
      <c r="A1804" s="115" t="s">
        <v>1137</v>
      </c>
      <c r="B1804" s="115" t="s">
        <v>3348</v>
      </c>
      <c r="D1804" s="115" t="s">
        <v>1560</v>
      </c>
      <c r="E1804" s="115" t="s">
        <v>1140</v>
      </c>
    </row>
    <row r="1805" spans="1:5" x14ac:dyDescent="0.25">
      <c r="A1805" s="115" t="s">
        <v>1137</v>
      </c>
      <c r="B1805" s="115" t="s">
        <v>3349</v>
      </c>
      <c r="D1805" s="115" t="s">
        <v>1139</v>
      </c>
      <c r="E1805" s="115" t="s">
        <v>3350</v>
      </c>
    </row>
    <row r="1806" spans="1:5" x14ac:dyDescent="0.25">
      <c r="B1806" s="115" t="s">
        <v>3351</v>
      </c>
      <c r="D1806" s="115" t="s">
        <v>1139</v>
      </c>
      <c r="E1806" s="115" t="s">
        <v>3352</v>
      </c>
    </row>
    <row r="1807" spans="1:5" x14ac:dyDescent="0.25">
      <c r="B1807" s="115" t="s">
        <v>1546</v>
      </c>
      <c r="D1807" s="115" t="s">
        <v>3353</v>
      </c>
      <c r="E1807" s="115" t="s">
        <v>3354</v>
      </c>
    </row>
    <row r="1808" spans="1:5" x14ac:dyDescent="0.25">
      <c r="B1808" s="115" t="s">
        <v>1297</v>
      </c>
      <c r="D1808" s="115" t="s">
        <v>3355</v>
      </c>
      <c r="E1808" s="115" t="s">
        <v>3356</v>
      </c>
    </row>
    <row r="1809" spans="1:5" x14ac:dyDescent="0.25">
      <c r="B1809" s="115" t="s">
        <v>3357</v>
      </c>
      <c r="D1809" s="115" t="s">
        <v>3358</v>
      </c>
      <c r="E1809" s="115" t="s">
        <v>3359</v>
      </c>
    </row>
    <row r="1810" spans="1:5" x14ac:dyDescent="0.25">
      <c r="A1810" s="115">
        <v>-1</v>
      </c>
      <c r="B1810" s="115" t="s">
        <v>3360</v>
      </c>
      <c r="D1810" s="115" t="s">
        <v>3361</v>
      </c>
      <c r="E1810" s="115" t="s">
        <v>3362</v>
      </c>
    </row>
    <row r="1811" spans="1:5" x14ac:dyDescent="0.25">
      <c r="B1811" s="115" t="s">
        <v>1905</v>
      </c>
      <c r="D1811" s="115" t="s">
        <v>3363</v>
      </c>
      <c r="E1811" s="115" t="s">
        <v>3364</v>
      </c>
    </row>
    <row r="1812" spans="1:5" x14ac:dyDescent="0.25">
      <c r="A1812" s="115" t="s">
        <v>1137</v>
      </c>
      <c r="B1812" s="115" t="s">
        <v>3365</v>
      </c>
      <c r="D1812" s="115" t="s">
        <v>3366</v>
      </c>
      <c r="E1812" s="115" t="s">
        <v>3367</v>
      </c>
    </row>
    <row r="1813" spans="1:5" x14ac:dyDescent="0.25">
      <c r="A1813" s="115" t="s">
        <v>1137</v>
      </c>
      <c r="B1813" s="115" t="s">
        <v>3368</v>
      </c>
      <c r="D1813" s="115" t="s">
        <v>2451</v>
      </c>
      <c r="E1813" s="115" t="s">
        <v>3369</v>
      </c>
    </row>
    <row r="1814" spans="1:5" x14ac:dyDescent="0.25">
      <c r="A1814" s="115" t="s">
        <v>1137</v>
      </c>
      <c r="B1814" s="115" t="s">
        <v>1670</v>
      </c>
      <c r="D1814" s="115" t="s">
        <v>3370</v>
      </c>
      <c r="E1814" s="115" t="s">
        <v>3371</v>
      </c>
    </row>
    <row r="1815" spans="1:5" x14ac:dyDescent="0.25">
      <c r="A1815" s="115">
        <v>-2</v>
      </c>
      <c r="B1815" s="115" t="s">
        <v>1519</v>
      </c>
      <c r="D1815" s="115" t="s">
        <v>3372</v>
      </c>
      <c r="E1815" s="115" t="s">
        <v>3373</v>
      </c>
    </row>
    <row r="1816" spans="1:5" x14ac:dyDescent="0.25">
      <c r="A1816" s="115">
        <v>13</v>
      </c>
      <c r="B1816" s="115" t="s">
        <v>3374</v>
      </c>
      <c r="D1816" s="115" t="s">
        <v>3375</v>
      </c>
      <c r="E1816" s="115" t="s">
        <v>3376</v>
      </c>
    </row>
    <row r="1817" spans="1:5" x14ac:dyDescent="0.25">
      <c r="B1817" s="115" t="s">
        <v>1138</v>
      </c>
      <c r="D1817" s="115" t="s">
        <v>3377</v>
      </c>
      <c r="E1817" s="115" t="s">
        <v>3378</v>
      </c>
    </row>
    <row r="1818" spans="1:5" x14ac:dyDescent="0.25">
      <c r="B1818" s="115" t="s">
        <v>3379</v>
      </c>
      <c r="D1818" s="115" t="s">
        <v>1233</v>
      </c>
      <c r="E1818" s="115" t="s">
        <v>3380</v>
      </c>
    </row>
    <row r="1819" spans="1:5" x14ac:dyDescent="0.25">
      <c r="B1819" s="115" t="s">
        <v>1138</v>
      </c>
      <c r="D1819" s="115" t="s">
        <v>1139</v>
      </c>
      <c r="E1819" s="115" t="s">
        <v>3381</v>
      </c>
    </row>
    <row r="1820" spans="1:5" x14ac:dyDescent="0.25">
      <c r="B1820" s="115" t="s">
        <v>3382</v>
      </c>
      <c r="C1820" s="115" t="s">
        <v>1137</v>
      </c>
      <c r="D1820" s="115" t="s">
        <v>3383</v>
      </c>
      <c r="E1820" s="115" t="s">
        <v>3384</v>
      </c>
    </row>
    <row r="1821" spans="1:5" x14ac:dyDescent="0.25">
      <c r="A1821" s="115">
        <v>1</v>
      </c>
      <c r="B1821" s="115" t="s">
        <v>3385</v>
      </c>
      <c r="D1821" s="115" t="s">
        <v>3386</v>
      </c>
      <c r="E1821" s="115" t="s">
        <v>1140</v>
      </c>
    </row>
    <row r="1822" spans="1:5" x14ac:dyDescent="0.25">
      <c r="A1822" s="115" t="s">
        <v>1137</v>
      </c>
      <c r="B1822" s="115" t="s">
        <v>1394</v>
      </c>
      <c r="D1822" s="115" t="s">
        <v>1139</v>
      </c>
      <c r="E1822" s="115" t="s">
        <v>3387</v>
      </c>
    </row>
    <row r="1823" spans="1:5" x14ac:dyDescent="0.25">
      <c r="B1823" s="115" t="s">
        <v>3388</v>
      </c>
      <c r="D1823" s="115" t="s">
        <v>1139</v>
      </c>
      <c r="E1823" s="115" t="s">
        <v>3389</v>
      </c>
    </row>
    <row r="1824" spans="1:5" x14ac:dyDescent="0.25">
      <c r="B1824" s="115" t="s">
        <v>3390</v>
      </c>
      <c r="D1824" s="115" t="s">
        <v>3391</v>
      </c>
      <c r="E1824" s="115" t="s">
        <v>3392</v>
      </c>
    </row>
    <row r="1825" spans="1:5" x14ac:dyDescent="0.25">
      <c r="B1825" s="115" t="s">
        <v>1549</v>
      </c>
      <c r="D1825" s="115" t="s">
        <v>3393</v>
      </c>
      <c r="E1825" s="115" t="s">
        <v>3394</v>
      </c>
    </row>
    <row r="1826" spans="1:5" x14ac:dyDescent="0.25">
      <c r="A1826" s="115" t="s">
        <v>1137</v>
      </c>
      <c r="B1826" s="115" t="s">
        <v>3395</v>
      </c>
      <c r="D1826" s="115" t="s">
        <v>3396</v>
      </c>
      <c r="E1826" s="115" t="s">
        <v>3397</v>
      </c>
    </row>
    <row r="1827" spans="1:5" x14ac:dyDescent="0.25">
      <c r="A1827" s="115">
        <v>-3</v>
      </c>
      <c r="B1827" s="115" t="s">
        <v>3398</v>
      </c>
      <c r="D1827" s="115" t="s">
        <v>3399</v>
      </c>
      <c r="E1827" s="115" t="s">
        <v>3400</v>
      </c>
    </row>
    <row r="1828" spans="1:5" x14ac:dyDescent="0.25">
      <c r="B1828" s="115" t="s">
        <v>1363</v>
      </c>
      <c r="D1828" s="115" t="s">
        <v>3401</v>
      </c>
      <c r="E1828" s="115" t="s">
        <v>3402</v>
      </c>
    </row>
    <row r="1829" spans="1:5" x14ac:dyDescent="0.25">
      <c r="A1829" s="115" t="s">
        <v>1137</v>
      </c>
      <c r="B1829" s="115" t="s">
        <v>3403</v>
      </c>
      <c r="C1829" s="115" t="s">
        <v>1137</v>
      </c>
      <c r="D1829" s="115" t="s">
        <v>3404</v>
      </c>
      <c r="E1829" s="115" t="s">
        <v>3405</v>
      </c>
    </row>
    <row r="1830" spans="1:5" x14ac:dyDescent="0.25">
      <c r="A1830" s="115">
        <v>-4</v>
      </c>
      <c r="B1830" s="115" t="s">
        <v>3406</v>
      </c>
      <c r="D1830" s="115" t="s">
        <v>3407</v>
      </c>
      <c r="E1830" s="115" t="s">
        <v>3408</v>
      </c>
    </row>
    <row r="1831" spans="1:5" x14ac:dyDescent="0.25">
      <c r="A1831" s="115" t="s">
        <v>1137</v>
      </c>
      <c r="B1831" s="115" t="s">
        <v>1182</v>
      </c>
      <c r="D1831" s="115" t="s">
        <v>3409</v>
      </c>
      <c r="E1831" s="115" t="s">
        <v>3410</v>
      </c>
    </row>
    <row r="1832" spans="1:5" x14ac:dyDescent="0.25">
      <c r="B1832" s="115" t="s">
        <v>1427</v>
      </c>
      <c r="D1832" s="115" t="s">
        <v>3411</v>
      </c>
      <c r="E1832" s="115" t="s">
        <v>3412</v>
      </c>
    </row>
    <row r="1833" spans="1:5" x14ac:dyDescent="0.25">
      <c r="A1833" s="115">
        <v>-1</v>
      </c>
      <c r="B1833" s="115" t="s">
        <v>1418</v>
      </c>
      <c r="D1833" s="115" t="s">
        <v>3413</v>
      </c>
      <c r="E1833" s="115" t="s">
        <v>3414</v>
      </c>
    </row>
    <row r="1834" spans="1:5" x14ac:dyDescent="0.25">
      <c r="B1834" s="115" t="s">
        <v>1138</v>
      </c>
      <c r="D1834" s="115" t="s">
        <v>3415</v>
      </c>
      <c r="E1834" s="115" t="s">
        <v>1701</v>
      </c>
    </row>
    <row r="1835" spans="1:5" x14ac:dyDescent="0.25">
      <c r="B1835" s="115" t="s">
        <v>1138</v>
      </c>
      <c r="D1835" s="115" t="s">
        <v>1139</v>
      </c>
      <c r="E1835" s="115" t="s">
        <v>1140</v>
      </c>
    </row>
    <row r="1836" spans="1:5" x14ac:dyDescent="0.25">
      <c r="B1836" s="115" t="s">
        <v>1138</v>
      </c>
      <c r="D1836" s="115" t="s">
        <v>1139</v>
      </c>
      <c r="E1836" s="115" t="s">
        <v>1140</v>
      </c>
    </row>
    <row r="1837" spans="1:5" x14ac:dyDescent="0.25">
      <c r="B1837" s="115" t="s">
        <v>1138</v>
      </c>
      <c r="D1837" s="115" t="s">
        <v>1139</v>
      </c>
      <c r="E1837" s="115" t="s">
        <v>1140</v>
      </c>
    </row>
    <row r="1838" spans="1:5" x14ac:dyDescent="0.25">
      <c r="B1838" s="115" t="s">
        <v>1138</v>
      </c>
      <c r="D1838" s="115" t="s">
        <v>1139</v>
      </c>
      <c r="E1838" s="115" t="s">
        <v>1140</v>
      </c>
    </row>
    <row r="1839" spans="1:5" x14ac:dyDescent="0.25">
      <c r="B1839" s="115" t="s">
        <v>1138</v>
      </c>
      <c r="D1839" s="115" t="s">
        <v>1139</v>
      </c>
      <c r="E1839" s="115" t="s">
        <v>1140</v>
      </c>
    </row>
    <row r="1840" spans="1:5" x14ac:dyDescent="0.25">
      <c r="B1840" s="115" t="s">
        <v>1138</v>
      </c>
      <c r="D1840" s="115" t="s">
        <v>1139</v>
      </c>
      <c r="E1840" s="115" t="s">
        <v>1140</v>
      </c>
    </row>
    <row r="1841" spans="1:5" x14ac:dyDescent="0.25">
      <c r="B1841" s="115" t="s">
        <v>1138</v>
      </c>
      <c r="D1841" s="115" t="s">
        <v>1139</v>
      </c>
      <c r="E1841" s="115" t="s">
        <v>1140</v>
      </c>
    </row>
    <row r="1842" spans="1:5" x14ac:dyDescent="0.25">
      <c r="B1842" s="115" t="s">
        <v>1138</v>
      </c>
      <c r="D1842" s="115" t="s">
        <v>1139</v>
      </c>
      <c r="E1842" s="115" t="s">
        <v>1140</v>
      </c>
    </row>
    <row r="1843" spans="1:5" x14ac:dyDescent="0.25">
      <c r="B1843" s="115" t="s">
        <v>1138</v>
      </c>
      <c r="D1843" s="115" t="s">
        <v>1139</v>
      </c>
      <c r="E1843" s="115" t="s">
        <v>1140</v>
      </c>
    </row>
    <row r="1844" spans="1:5" x14ac:dyDescent="0.25">
      <c r="B1844" s="115" t="s">
        <v>1138</v>
      </c>
      <c r="D1844" s="115" t="s">
        <v>1139</v>
      </c>
      <c r="E1844" s="115" t="s">
        <v>1140</v>
      </c>
    </row>
    <row r="1845" spans="1:5" x14ac:dyDescent="0.25">
      <c r="B1845" s="115" t="s">
        <v>1138</v>
      </c>
      <c r="D1845" s="115" t="s">
        <v>1139</v>
      </c>
      <c r="E1845" s="115" t="s">
        <v>1140</v>
      </c>
    </row>
    <row r="1846" spans="1:5" x14ac:dyDescent="0.25">
      <c r="B1846" s="115" t="s">
        <v>1138</v>
      </c>
      <c r="D1846" s="115" t="s">
        <v>1139</v>
      </c>
      <c r="E1846" s="115" t="s">
        <v>1140</v>
      </c>
    </row>
    <row r="1847" spans="1:5" x14ac:dyDescent="0.25">
      <c r="B1847" s="115" t="s">
        <v>1138</v>
      </c>
      <c r="D1847" s="115" t="s">
        <v>1139</v>
      </c>
      <c r="E1847" s="115" t="s">
        <v>1140</v>
      </c>
    </row>
    <row r="1848" spans="1:5" x14ac:dyDescent="0.25">
      <c r="B1848" s="115" t="s">
        <v>1138</v>
      </c>
      <c r="D1848" s="115" t="s">
        <v>1139</v>
      </c>
      <c r="E1848" s="115" t="s">
        <v>1140</v>
      </c>
    </row>
    <row r="1849" spans="1:5" x14ac:dyDescent="0.25">
      <c r="B1849" s="115" t="s">
        <v>1138</v>
      </c>
      <c r="D1849" s="115" t="s">
        <v>1139</v>
      </c>
      <c r="E1849" s="115" t="s">
        <v>1140</v>
      </c>
    </row>
    <row r="1850" spans="1:5" x14ac:dyDescent="0.25">
      <c r="B1850" s="115" t="s">
        <v>1138</v>
      </c>
      <c r="D1850" s="115" t="s">
        <v>1139</v>
      </c>
      <c r="E1850" s="115" t="s">
        <v>1140</v>
      </c>
    </row>
    <row r="1851" spans="1:5" x14ac:dyDescent="0.25">
      <c r="B1851" s="115" t="s">
        <v>1138</v>
      </c>
      <c r="D1851" s="115" t="s">
        <v>1139</v>
      </c>
      <c r="E1851" s="115" t="s">
        <v>3416</v>
      </c>
    </row>
    <row r="1852" spans="1:5" x14ac:dyDescent="0.25">
      <c r="A1852" s="115">
        <v>2</v>
      </c>
      <c r="B1852" s="115" t="s">
        <v>3417</v>
      </c>
      <c r="D1852" s="115" t="s">
        <v>3418</v>
      </c>
      <c r="E1852" s="115" t="s">
        <v>3419</v>
      </c>
    </row>
    <row r="1853" spans="1:5" x14ac:dyDescent="0.25">
      <c r="B1853" s="115" t="s">
        <v>3420</v>
      </c>
      <c r="D1853" s="115" t="s">
        <v>1139</v>
      </c>
      <c r="E1853" s="115" t="s">
        <v>1140</v>
      </c>
    </row>
    <row r="1854" spans="1:5" x14ac:dyDescent="0.25">
      <c r="A1854" s="115">
        <v>-2</v>
      </c>
      <c r="B1854" s="115" t="s">
        <v>3421</v>
      </c>
      <c r="D1854" s="115" t="s">
        <v>3422</v>
      </c>
      <c r="E1854" s="115" t="s">
        <v>3423</v>
      </c>
    </row>
    <row r="1855" spans="1:5" x14ac:dyDescent="0.25">
      <c r="B1855" s="115" t="s">
        <v>1138</v>
      </c>
      <c r="D1855" s="115" t="s">
        <v>3424</v>
      </c>
      <c r="E1855" s="115" t="s">
        <v>3425</v>
      </c>
    </row>
    <row r="1856" spans="1:5" x14ac:dyDescent="0.25">
      <c r="B1856" s="115" t="s">
        <v>1138</v>
      </c>
      <c r="D1856" s="115" t="s">
        <v>3426</v>
      </c>
      <c r="E1856" s="115" t="s">
        <v>1140</v>
      </c>
    </row>
    <row r="1857" spans="1:5" x14ac:dyDescent="0.25">
      <c r="B1857" s="115" t="s">
        <v>3427</v>
      </c>
      <c r="C1857" s="115" t="s">
        <v>1137</v>
      </c>
      <c r="D1857" s="115" t="s">
        <v>3428</v>
      </c>
      <c r="E1857" s="115" t="s">
        <v>3429</v>
      </c>
    </row>
    <row r="1858" spans="1:5" x14ac:dyDescent="0.25">
      <c r="A1858" s="115" t="s">
        <v>1137</v>
      </c>
      <c r="B1858" s="115" t="s">
        <v>3430</v>
      </c>
      <c r="D1858" s="115" t="s">
        <v>3431</v>
      </c>
      <c r="E1858" s="115" t="s">
        <v>3432</v>
      </c>
    </row>
    <row r="1859" spans="1:5" x14ac:dyDescent="0.25">
      <c r="B1859" s="115" t="s">
        <v>3433</v>
      </c>
      <c r="D1859" s="115" t="s">
        <v>3434</v>
      </c>
      <c r="E1859" s="115" t="s">
        <v>3435</v>
      </c>
    </row>
    <row r="1860" spans="1:5" x14ac:dyDescent="0.25">
      <c r="A1860" s="115">
        <v>-2</v>
      </c>
      <c r="B1860" s="115" t="s">
        <v>3436</v>
      </c>
      <c r="C1860" s="115" t="s">
        <v>1137</v>
      </c>
      <c r="D1860" s="115" t="s">
        <v>3437</v>
      </c>
      <c r="E1860" s="115" t="s">
        <v>3438</v>
      </c>
    </row>
    <row r="1861" spans="1:5" x14ac:dyDescent="0.25">
      <c r="A1861" s="115" t="s">
        <v>1137</v>
      </c>
      <c r="B1861" s="115" t="s">
        <v>3439</v>
      </c>
      <c r="D1861" s="115" t="s">
        <v>3440</v>
      </c>
      <c r="E1861" s="115" t="s">
        <v>3441</v>
      </c>
    </row>
    <row r="1862" spans="1:5" x14ac:dyDescent="0.25">
      <c r="B1862" s="115" t="s">
        <v>3442</v>
      </c>
      <c r="D1862" s="115" t="s">
        <v>3443</v>
      </c>
      <c r="E1862" s="115" t="s">
        <v>3444</v>
      </c>
    </row>
    <row r="1863" spans="1:5" x14ac:dyDescent="0.25">
      <c r="B1863" s="115" t="s">
        <v>3445</v>
      </c>
      <c r="C1863" s="115" t="s">
        <v>1137</v>
      </c>
      <c r="D1863" s="115" t="s">
        <v>3446</v>
      </c>
      <c r="E1863" s="115" t="s">
        <v>3447</v>
      </c>
    </row>
    <row r="1864" spans="1:5" x14ac:dyDescent="0.25">
      <c r="A1864" s="115" t="s">
        <v>1137</v>
      </c>
      <c r="B1864" s="115" t="s">
        <v>3448</v>
      </c>
      <c r="D1864" s="115" t="s">
        <v>3449</v>
      </c>
      <c r="E1864" s="115" t="s">
        <v>3450</v>
      </c>
    </row>
    <row r="1865" spans="1:5" x14ac:dyDescent="0.25">
      <c r="B1865" s="115" t="s">
        <v>2127</v>
      </c>
      <c r="D1865" s="115" t="s">
        <v>3451</v>
      </c>
      <c r="E1865" s="115" t="s">
        <v>3452</v>
      </c>
    </row>
    <row r="1866" spans="1:5" x14ac:dyDescent="0.25">
      <c r="B1866" s="115" t="s">
        <v>3453</v>
      </c>
      <c r="C1866" s="115" t="s">
        <v>1137</v>
      </c>
      <c r="D1866" s="115" t="s">
        <v>3454</v>
      </c>
      <c r="E1866" s="115" t="s">
        <v>3455</v>
      </c>
    </row>
    <row r="1867" spans="1:5" x14ac:dyDescent="0.25">
      <c r="B1867" s="115" t="s">
        <v>3456</v>
      </c>
      <c r="D1867" s="115" t="s">
        <v>3457</v>
      </c>
      <c r="E1867" s="115" t="s">
        <v>3458</v>
      </c>
    </row>
    <row r="1868" spans="1:5" x14ac:dyDescent="0.25">
      <c r="B1868" s="115" t="s">
        <v>1653</v>
      </c>
      <c r="D1868" s="115" t="s">
        <v>1139</v>
      </c>
      <c r="E1868" s="115" t="s">
        <v>3459</v>
      </c>
    </row>
    <row r="1869" spans="1:5" x14ac:dyDescent="0.25">
      <c r="B1869" s="115" t="s">
        <v>3460</v>
      </c>
      <c r="C1869" s="115">
        <v>5</v>
      </c>
      <c r="D1869" s="115" t="s">
        <v>3461</v>
      </c>
      <c r="E1869" s="115" t="s">
        <v>3462</v>
      </c>
    </row>
    <row r="1870" spans="1:5" x14ac:dyDescent="0.25">
      <c r="B1870" s="115" t="s">
        <v>1138</v>
      </c>
      <c r="D1870" s="115" t="s">
        <v>3463</v>
      </c>
      <c r="E1870" s="115" t="s">
        <v>1140</v>
      </c>
    </row>
    <row r="1871" spans="1:5" x14ac:dyDescent="0.25">
      <c r="B1871" s="115" t="s">
        <v>1138</v>
      </c>
      <c r="D1871" s="115" t="s">
        <v>3464</v>
      </c>
      <c r="E1871" s="115" t="s">
        <v>3465</v>
      </c>
    </row>
    <row r="1872" spans="1:5" x14ac:dyDescent="0.25">
      <c r="B1872" s="115">
        <f>-69    -80</f>
        <v>-149</v>
      </c>
      <c r="D1872" s="115" t="s">
        <v>1142</v>
      </c>
      <c r="E1872" s="115" t="s">
        <v>3466</v>
      </c>
    </row>
    <row r="1873" spans="1:5" x14ac:dyDescent="0.25">
      <c r="B1873" s="115" t="s">
        <v>3467</v>
      </c>
      <c r="D1873" s="115" t="s">
        <v>1139</v>
      </c>
      <c r="E1873" s="115" t="s">
        <v>3468</v>
      </c>
    </row>
    <row r="1874" spans="1:5" x14ac:dyDescent="0.25">
      <c r="B1874" s="115" t="s">
        <v>1138</v>
      </c>
      <c r="D1874" s="115" t="s">
        <v>3469</v>
      </c>
      <c r="E1874" s="115" t="s">
        <v>3470</v>
      </c>
    </row>
    <row r="1875" spans="1:5" x14ac:dyDescent="0.25">
      <c r="B1875" s="115" t="s">
        <v>1138</v>
      </c>
      <c r="D1875" s="115" t="s">
        <v>3471</v>
      </c>
      <c r="E1875" s="115" t="s">
        <v>3472</v>
      </c>
    </row>
    <row r="1876" spans="1:5" x14ac:dyDescent="0.25">
      <c r="B1876" s="115" t="s">
        <v>3473</v>
      </c>
      <c r="D1876" s="115" t="s">
        <v>3474</v>
      </c>
      <c r="E1876" s="115" t="s">
        <v>3475</v>
      </c>
    </row>
    <row r="1877" spans="1:5" x14ac:dyDescent="0.25">
      <c r="B1877" s="115" t="s">
        <v>1310</v>
      </c>
      <c r="D1877" s="115" t="s">
        <v>3476</v>
      </c>
      <c r="E1877" s="115" t="s">
        <v>3477</v>
      </c>
    </row>
    <row r="1878" spans="1:5" x14ac:dyDescent="0.25">
      <c r="A1878" s="115" t="s">
        <v>1137</v>
      </c>
      <c r="B1878" s="115" t="s">
        <v>3478</v>
      </c>
      <c r="D1878" s="115" t="s">
        <v>3479</v>
      </c>
      <c r="E1878" s="115" t="s">
        <v>3480</v>
      </c>
    </row>
    <row r="1879" spans="1:5" x14ac:dyDescent="0.25">
      <c r="B1879" s="115" t="s">
        <v>3481</v>
      </c>
      <c r="D1879" s="115" t="s">
        <v>3482</v>
      </c>
      <c r="E1879" s="115" t="s">
        <v>3483</v>
      </c>
    </row>
    <row r="1880" spans="1:5" x14ac:dyDescent="0.25">
      <c r="B1880" s="115" t="s">
        <v>2289</v>
      </c>
      <c r="D1880" s="115" t="s">
        <v>3484</v>
      </c>
      <c r="E1880" s="115" t="s">
        <v>3485</v>
      </c>
    </row>
    <row r="1881" spans="1:5" x14ac:dyDescent="0.25">
      <c r="B1881" s="115">
        <f>-91   -306</f>
        <v>-397</v>
      </c>
      <c r="D1881" s="115" t="s">
        <v>3486</v>
      </c>
      <c r="E1881" s="115" t="s">
        <v>3487</v>
      </c>
    </row>
    <row r="1882" spans="1:5" x14ac:dyDescent="0.25">
      <c r="B1882" s="115" t="s">
        <v>1138</v>
      </c>
      <c r="D1882" s="115" t="s">
        <v>3488</v>
      </c>
      <c r="E1882" s="115" t="s">
        <v>3489</v>
      </c>
    </row>
    <row r="1883" spans="1:5" x14ac:dyDescent="0.25">
      <c r="B1883" s="115" t="s">
        <v>3490</v>
      </c>
      <c r="D1883" s="115" t="s">
        <v>3491</v>
      </c>
      <c r="E1883" s="115" t="s">
        <v>3492</v>
      </c>
    </row>
    <row r="1884" spans="1:5" x14ac:dyDescent="0.25">
      <c r="B1884" s="115" t="s">
        <v>3493</v>
      </c>
      <c r="D1884" s="115" t="s">
        <v>3494</v>
      </c>
      <c r="E1884" s="115" t="s">
        <v>3495</v>
      </c>
    </row>
    <row r="1885" spans="1:5" x14ac:dyDescent="0.25">
      <c r="B1885" s="115" t="s">
        <v>3496</v>
      </c>
      <c r="D1885" s="115" t="s">
        <v>3497</v>
      </c>
      <c r="E1885" s="115" t="s">
        <v>1140</v>
      </c>
    </row>
    <row r="1886" spans="1:5" x14ac:dyDescent="0.25">
      <c r="B1886" s="115" t="s">
        <v>3498</v>
      </c>
      <c r="D1886" s="115" t="s">
        <v>3499</v>
      </c>
      <c r="E1886" s="115" t="s">
        <v>1140</v>
      </c>
    </row>
    <row r="1887" spans="1:5" x14ac:dyDescent="0.25">
      <c r="B1887" s="115" t="s">
        <v>1138</v>
      </c>
      <c r="D1887" s="115" t="s">
        <v>1139</v>
      </c>
      <c r="E1887" s="115" t="s">
        <v>1140</v>
      </c>
    </row>
    <row r="1888" spans="1:5" x14ac:dyDescent="0.25">
      <c r="B1888" s="115" t="s">
        <v>1138</v>
      </c>
      <c r="D1888" s="115" t="s">
        <v>1139</v>
      </c>
      <c r="E1888" s="115" t="s">
        <v>1140</v>
      </c>
    </row>
    <row r="1889" spans="2:5" x14ac:dyDescent="0.25">
      <c r="B1889" s="115" t="s">
        <v>1138</v>
      </c>
      <c r="D1889" s="115" t="s">
        <v>1139</v>
      </c>
      <c r="E1889" s="115" t="s">
        <v>1140</v>
      </c>
    </row>
    <row r="1890" spans="2:5" x14ac:dyDescent="0.25">
      <c r="B1890" s="115" t="s">
        <v>1138</v>
      </c>
      <c r="D1890" s="115" t="s">
        <v>1139</v>
      </c>
      <c r="E1890" s="115" t="s">
        <v>1140</v>
      </c>
    </row>
    <row r="1891" spans="2:5" x14ac:dyDescent="0.25">
      <c r="B1891" s="115" t="s">
        <v>1138</v>
      </c>
      <c r="D1891" s="115" t="s">
        <v>1139</v>
      </c>
      <c r="E1891" s="115" t="s">
        <v>1140</v>
      </c>
    </row>
    <row r="1892" spans="2:5" x14ac:dyDescent="0.25">
      <c r="B1892" s="115" t="s">
        <v>1138</v>
      </c>
      <c r="D1892" s="115" t="s">
        <v>1139</v>
      </c>
      <c r="E1892" s="115" t="s">
        <v>1140</v>
      </c>
    </row>
    <row r="1893" spans="2:5" x14ac:dyDescent="0.25">
      <c r="B1893" s="115" t="s">
        <v>1138</v>
      </c>
      <c r="D1893" s="115" t="s">
        <v>1139</v>
      </c>
      <c r="E1893" s="115" t="s">
        <v>1140</v>
      </c>
    </row>
    <row r="1894" spans="2:5" x14ac:dyDescent="0.25">
      <c r="B1894" s="115" t="s">
        <v>1138</v>
      </c>
      <c r="D1894" s="115" t="s">
        <v>1139</v>
      </c>
      <c r="E1894" s="115" t="s">
        <v>1140</v>
      </c>
    </row>
    <row r="1895" spans="2:5" x14ac:dyDescent="0.25">
      <c r="B1895" s="115" t="s">
        <v>1138</v>
      </c>
      <c r="D1895" s="115" t="s">
        <v>1139</v>
      </c>
      <c r="E1895" s="115" t="s">
        <v>1140</v>
      </c>
    </row>
    <row r="1896" spans="2:5" x14ac:dyDescent="0.25">
      <c r="B1896" s="115" t="s">
        <v>1138</v>
      </c>
      <c r="D1896" s="115" t="s">
        <v>1139</v>
      </c>
      <c r="E1896" s="115" t="s">
        <v>1140</v>
      </c>
    </row>
    <row r="1897" spans="2:5" x14ac:dyDescent="0.25">
      <c r="B1897" s="115" t="s">
        <v>1138</v>
      </c>
      <c r="D1897" s="115" t="s">
        <v>1139</v>
      </c>
      <c r="E1897" s="115" t="s">
        <v>1140</v>
      </c>
    </row>
    <row r="1898" spans="2:5" x14ac:dyDescent="0.25">
      <c r="B1898" s="115" t="s">
        <v>1138</v>
      </c>
      <c r="D1898" s="115" t="s">
        <v>1139</v>
      </c>
      <c r="E1898" s="115" t="s">
        <v>1140</v>
      </c>
    </row>
    <row r="1899" spans="2:5" x14ac:dyDescent="0.25">
      <c r="B1899" s="115" t="s">
        <v>1138</v>
      </c>
      <c r="D1899" s="115" t="s">
        <v>1139</v>
      </c>
      <c r="E1899" s="115" t="s">
        <v>1140</v>
      </c>
    </row>
    <row r="1900" spans="2:5" x14ac:dyDescent="0.25">
      <c r="B1900" s="115" t="s">
        <v>1138</v>
      </c>
      <c r="D1900" s="115" t="s">
        <v>1139</v>
      </c>
      <c r="E1900" s="115" t="s">
        <v>1140</v>
      </c>
    </row>
    <row r="1901" spans="2:5" x14ac:dyDescent="0.25">
      <c r="B1901" s="115" t="s">
        <v>1138</v>
      </c>
      <c r="D1901" s="115" t="s">
        <v>1139</v>
      </c>
      <c r="E1901" s="115" t="s">
        <v>1140</v>
      </c>
    </row>
    <row r="1902" spans="2:5" x14ac:dyDescent="0.25">
      <c r="B1902" s="115" t="s">
        <v>1138</v>
      </c>
      <c r="D1902" s="115" t="s">
        <v>1139</v>
      </c>
      <c r="E1902" s="115" t="s">
        <v>1140</v>
      </c>
    </row>
    <row r="1903" spans="2:5" x14ac:dyDescent="0.25">
      <c r="B1903" s="115" t="s">
        <v>1138</v>
      </c>
      <c r="D1903" s="115" t="s">
        <v>1139</v>
      </c>
      <c r="E1903" s="115" t="s">
        <v>1140</v>
      </c>
    </row>
    <row r="1904" spans="2:5" x14ac:dyDescent="0.25">
      <c r="B1904" s="115" t="s">
        <v>1138</v>
      </c>
      <c r="D1904" s="115" t="s">
        <v>1139</v>
      </c>
      <c r="E1904" s="115" t="s">
        <v>1140</v>
      </c>
    </row>
    <row r="1905" spans="2:5" x14ac:dyDescent="0.25">
      <c r="B1905" s="115" t="s">
        <v>1138</v>
      </c>
      <c r="D1905" s="115" t="s">
        <v>1139</v>
      </c>
      <c r="E1905" s="115" t="s">
        <v>1140</v>
      </c>
    </row>
    <row r="1906" spans="2:5" x14ac:dyDescent="0.25">
      <c r="B1906" s="115" t="s">
        <v>1138</v>
      </c>
      <c r="D1906" s="115" t="s">
        <v>1139</v>
      </c>
      <c r="E1906" s="115" t="s">
        <v>1140</v>
      </c>
    </row>
    <row r="1907" spans="2:5" x14ac:dyDescent="0.25">
      <c r="B1907" s="115" t="s">
        <v>1138</v>
      </c>
      <c r="D1907" s="115" t="s">
        <v>1139</v>
      </c>
      <c r="E1907" s="115" t="s">
        <v>1140</v>
      </c>
    </row>
    <row r="1908" spans="2:5" x14ac:dyDescent="0.25">
      <c r="B1908" s="115" t="s">
        <v>1138</v>
      </c>
      <c r="D1908" s="115" t="s">
        <v>1139</v>
      </c>
      <c r="E1908" s="115" t="s">
        <v>1140</v>
      </c>
    </row>
    <row r="1909" spans="2:5" x14ac:dyDescent="0.25">
      <c r="B1909" s="115" t="s">
        <v>1138</v>
      </c>
      <c r="D1909" s="115" t="s">
        <v>1139</v>
      </c>
      <c r="E1909" s="115" t="s">
        <v>1140</v>
      </c>
    </row>
    <row r="1910" spans="2:5" x14ac:dyDescent="0.25">
      <c r="B1910" s="115" t="s">
        <v>1138</v>
      </c>
      <c r="D1910" s="115" t="s">
        <v>1139</v>
      </c>
      <c r="E1910" s="115" t="s">
        <v>1140</v>
      </c>
    </row>
    <row r="1911" spans="2:5" x14ac:dyDescent="0.25">
      <c r="B1911" s="115" t="s">
        <v>1138</v>
      </c>
      <c r="D1911" s="115" t="s">
        <v>1139</v>
      </c>
      <c r="E1911" s="115" t="s">
        <v>1140</v>
      </c>
    </row>
    <row r="1912" spans="2:5" x14ac:dyDescent="0.25">
      <c r="B1912" s="115" t="s">
        <v>1138</v>
      </c>
      <c r="D1912" s="115" t="s">
        <v>1139</v>
      </c>
      <c r="E1912" s="115" t="s">
        <v>1140</v>
      </c>
    </row>
    <row r="1913" spans="2:5" x14ac:dyDescent="0.25">
      <c r="B1913" s="115" t="s">
        <v>1138</v>
      </c>
      <c r="D1913" s="115" t="s">
        <v>1139</v>
      </c>
      <c r="E1913" s="115" t="s">
        <v>1140</v>
      </c>
    </row>
    <row r="1914" spans="2:5" x14ac:dyDescent="0.25">
      <c r="B1914" s="115" t="s">
        <v>1138</v>
      </c>
      <c r="D1914" s="115" t="s">
        <v>1139</v>
      </c>
      <c r="E1914" s="115" t="s">
        <v>1140</v>
      </c>
    </row>
    <row r="1915" spans="2:5" x14ac:dyDescent="0.25">
      <c r="B1915" s="115" t="s">
        <v>1138</v>
      </c>
      <c r="D1915" s="115" t="s">
        <v>1139</v>
      </c>
      <c r="E1915" s="115" t="s">
        <v>1140</v>
      </c>
    </row>
    <row r="1916" spans="2:5" x14ac:dyDescent="0.25">
      <c r="B1916" s="115" t="s">
        <v>1138</v>
      </c>
      <c r="D1916" s="115" t="s">
        <v>1139</v>
      </c>
      <c r="E1916" s="115" t="s">
        <v>1140</v>
      </c>
    </row>
    <row r="1917" spans="2:5" x14ac:dyDescent="0.25">
      <c r="B1917" s="115" t="s">
        <v>1138</v>
      </c>
      <c r="D1917" s="115" t="s">
        <v>1139</v>
      </c>
      <c r="E1917" s="115" t="s">
        <v>1140</v>
      </c>
    </row>
    <row r="1918" spans="2:5" x14ac:dyDescent="0.25">
      <c r="B1918" s="115" t="s">
        <v>1138</v>
      </c>
      <c r="D1918" s="115" t="s">
        <v>1139</v>
      </c>
      <c r="E1918" s="115" t="s">
        <v>1140</v>
      </c>
    </row>
    <row r="1919" spans="2:5" x14ac:dyDescent="0.25">
      <c r="B1919" s="115" t="s">
        <v>1138</v>
      </c>
      <c r="D1919" s="115" t="s">
        <v>1139</v>
      </c>
      <c r="E1919" s="115" t="s">
        <v>1140</v>
      </c>
    </row>
    <row r="1920" spans="2:5" x14ac:dyDescent="0.25">
      <c r="B1920" s="115" t="s">
        <v>1138</v>
      </c>
      <c r="D1920" s="115" t="s">
        <v>1139</v>
      </c>
      <c r="E1920" s="115" t="s">
        <v>1140</v>
      </c>
    </row>
    <row r="1921" spans="2:5" x14ac:dyDescent="0.25">
      <c r="B1921" s="115" t="s">
        <v>1138</v>
      </c>
      <c r="D1921" s="115" t="s">
        <v>1139</v>
      </c>
      <c r="E1921" s="115" t="s">
        <v>1140</v>
      </c>
    </row>
    <row r="1922" spans="2:5" x14ac:dyDescent="0.25">
      <c r="B1922" s="115" t="s">
        <v>1138</v>
      </c>
      <c r="D1922" s="115" t="s">
        <v>1139</v>
      </c>
      <c r="E1922" s="115" t="s">
        <v>1140</v>
      </c>
    </row>
    <row r="1923" spans="2:5" x14ac:dyDescent="0.25">
      <c r="B1923" s="115" t="s">
        <v>1138</v>
      </c>
      <c r="D1923" s="115" t="s">
        <v>1139</v>
      </c>
      <c r="E1923" s="115" t="s">
        <v>1140</v>
      </c>
    </row>
    <row r="1924" spans="2:5" x14ac:dyDescent="0.25">
      <c r="B1924" s="115" t="s">
        <v>1138</v>
      </c>
      <c r="D1924" s="115" t="s">
        <v>1139</v>
      </c>
      <c r="E1924" s="115" t="s">
        <v>1140</v>
      </c>
    </row>
    <row r="1925" spans="2:5" x14ac:dyDescent="0.25">
      <c r="B1925" s="115" t="s">
        <v>1138</v>
      </c>
      <c r="D1925" s="115" t="s">
        <v>1139</v>
      </c>
      <c r="E1925" s="115" t="s">
        <v>1140</v>
      </c>
    </row>
    <row r="1926" spans="2:5" x14ac:dyDescent="0.25">
      <c r="B1926" s="115" t="s">
        <v>1138</v>
      </c>
      <c r="D1926" s="115" t="s">
        <v>1139</v>
      </c>
      <c r="E1926" s="115" t="s">
        <v>1140</v>
      </c>
    </row>
    <row r="1927" spans="2:5" x14ac:dyDescent="0.25">
      <c r="B1927" s="115" t="s">
        <v>1138</v>
      </c>
      <c r="D1927" s="115" t="s">
        <v>1139</v>
      </c>
      <c r="E1927" s="115" t="s">
        <v>1140</v>
      </c>
    </row>
    <row r="1928" spans="2:5" x14ac:dyDescent="0.25">
      <c r="B1928" s="115" t="s">
        <v>1138</v>
      </c>
      <c r="D1928" s="115" t="s">
        <v>1139</v>
      </c>
      <c r="E1928" s="115" t="s">
        <v>1140</v>
      </c>
    </row>
    <row r="1929" spans="2:5" x14ac:dyDescent="0.25">
      <c r="B1929" s="115" t="s">
        <v>1138</v>
      </c>
      <c r="D1929" s="115" t="s">
        <v>1139</v>
      </c>
      <c r="E1929" s="115" t="s">
        <v>1140</v>
      </c>
    </row>
    <row r="1930" spans="2:5" x14ac:dyDescent="0.25">
      <c r="B1930" s="115" t="s">
        <v>1138</v>
      </c>
      <c r="D1930" s="115" t="s">
        <v>1139</v>
      </c>
      <c r="E1930" s="115" t="s">
        <v>1140</v>
      </c>
    </row>
    <row r="1931" spans="2:5" x14ac:dyDescent="0.25">
      <c r="B1931" s="115" t="s">
        <v>1138</v>
      </c>
      <c r="D1931" s="115" t="s">
        <v>1139</v>
      </c>
      <c r="E1931" s="115" t="s">
        <v>1140</v>
      </c>
    </row>
    <row r="1932" spans="2:5" x14ac:dyDescent="0.25">
      <c r="B1932" s="115" t="s">
        <v>1138</v>
      </c>
      <c r="D1932" s="115" t="s">
        <v>1139</v>
      </c>
      <c r="E1932" s="115" t="s">
        <v>1140</v>
      </c>
    </row>
    <row r="1933" spans="2:5" x14ac:dyDescent="0.25">
      <c r="B1933" s="115" t="s">
        <v>1138</v>
      </c>
      <c r="D1933" s="115" t="s">
        <v>1139</v>
      </c>
      <c r="E1933" s="115" t="s">
        <v>1140</v>
      </c>
    </row>
    <row r="1934" spans="2:5" x14ac:dyDescent="0.25">
      <c r="B1934" s="115" t="s">
        <v>1138</v>
      </c>
      <c r="D1934" s="115" t="s">
        <v>1139</v>
      </c>
      <c r="E1934" s="115" t="s">
        <v>1140</v>
      </c>
    </row>
    <row r="1935" spans="2:5" x14ac:dyDescent="0.25">
      <c r="B1935" s="115" t="s">
        <v>1138</v>
      </c>
      <c r="D1935" s="115" t="s">
        <v>1139</v>
      </c>
      <c r="E1935" s="115" t="s">
        <v>1140</v>
      </c>
    </row>
    <row r="1936" spans="2:5" x14ac:dyDescent="0.25">
      <c r="B1936" s="115" t="s">
        <v>1138</v>
      </c>
      <c r="D1936" s="115" t="s">
        <v>1139</v>
      </c>
      <c r="E1936" s="115" t="s">
        <v>1140</v>
      </c>
    </row>
    <row r="1937" spans="2:5" x14ac:dyDescent="0.25">
      <c r="B1937" s="115" t="s">
        <v>1138</v>
      </c>
      <c r="D1937" s="115" t="s">
        <v>1139</v>
      </c>
      <c r="E1937" s="115" t="s">
        <v>1140</v>
      </c>
    </row>
    <row r="1938" spans="2:5" x14ac:dyDescent="0.25">
      <c r="B1938" s="115" t="s">
        <v>1138</v>
      </c>
      <c r="D1938" s="115" t="s">
        <v>1139</v>
      </c>
      <c r="E1938" s="115" t="s">
        <v>1140</v>
      </c>
    </row>
    <row r="1939" spans="2:5" x14ac:dyDescent="0.25">
      <c r="B1939" s="115" t="s">
        <v>1138</v>
      </c>
      <c r="D1939" s="115" t="s">
        <v>1139</v>
      </c>
      <c r="E1939" s="115" t="s">
        <v>1140</v>
      </c>
    </row>
    <row r="1940" spans="2:5" x14ac:dyDescent="0.25">
      <c r="B1940" s="115" t="s">
        <v>1138</v>
      </c>
      <c r="D1940" s="115" t="s">
        <v>1139</v>
      </c>
      <c r="E1940" s="115" t="s">
        <v>1140</v>
      </c>
    </row>
    <row r="1941" spans="2:5" x14ac:dyDescent="0.25">
      <c r="B1941" s="115" t="s">
        <v>1138</v>
      </c>
      <c r="D1941" s="115" t="s">
        <v>1139</v>
      </c>
      <c r="E1941" s="115" t="s">
        <v>1140</v>
      </c>
    </row>
    <row r="1942" spans="2:5" x14ac:dyDescent="0.25">
      <c r="B1942" s="115" t="s">
        <v>1138</v>
      </c>
      <c r="D1942" s="115" t="s">
        <v>1139</v>
      </c>
      <c r="E1942" s="115" t="s">
        <v>1140</v>
      </c>
    </row>
    <row r="1943" spans="2:5" x14ac:dyDescent="0.25">
      <c r="B1943" s="115" t="s">
        <v>1138</v>
      </c>
      <c r="D1943" s="115" t="s">
        <v>1139</v>
      </c>
      <c r="E1943" s="115" t="s">
        <v>1140</v>
      </c>
    </row>
    <row r="1944" spans="2:5" x14ac:dyDescent="0.25">
      <c r="B1944" s="115" t="s">
        <v>1138</v>
      </c>
      <c r="D1944" s="115" t="s">
        <v>1139</v>
      </c>
      <c r="E1944" s="115" t="s">
        <v>1140</v>
      </c>
    </row>
    <row r="1945" spans="2:5" x14ac:dyDescent="0.25">
      <c r="B1945" s="115" t="s">
        <v>1138</v>
      </c>
      <c r="D1945" s="115" t="s">
        <v>1139</v>
      </c>
      <c r="E1945" s="115" t="s">
        <v>1140</v>
      </c>
    </row>
    <row r="1946" spans="2:5" x14ac:dyDescent="0.25">
      <c r="B1946" s="115" t="s">
        <v>1138</v>
      </c>
      <c r="D1946" s="115" t="s">
        <v>1139</v>
      </c>
      <c r="E1946" s="115" t="s">
        <v>1140</v>
      </c>
    </row>
    <row r="1947" spans="2:5" x14ac:dyDescent="0.25">
      <c r="B1947" s="115" t="s">
        <v>1138</v>
      </c>
      <c r="D1947" s="115" t="s">
        <v>1139</v>
      </c>
      <c r="E1947" s="115" t="s">
        <v>1140</v>
      </c>
    </row>
    <row r="1948" spans="2:5" x14ac:dyDescent="0.25">
      <c r="B1948" s="115" t="s">
        <v>1138</v>
      </c>
      <c r="D1948" s="115" t="s">
        <v>1139</v>
      </c>
      <c r="E1948" s="115" t="s">
        <v>1140</v>
      </c>
    </row>
    <row r="1949" spans="2:5" x14ac:dyDescent="0.25">
      <c r="B1949" s="115" t="s">
        <v>1138</v>
      </c>
      <c r="D1949" s="115" t="s">
        <v>1139</v>
      </c>
      <c r="E1949" s="115" t="s">
        <v>1140</v>
      </c>
    </row>
    <row r="1950" spans="2:5" x14ac:dyDescent="0.25">
      <c r="B1950" s="115" t="s">
        <v>1138</v>
      </c>
      <c r="D1950" s="115" t="s">
        <v>1139</v>
      </c>
      <c r="E1950" s="115" t="s">
        <v>1140</v>
      </c>
    </row>
    <row r="1951" spans="2:5" x14ac:dyDescent="0.25">
      <c r="B1951" s="115" t="s">
        <v>1138</v>
      </c>
      <c r="D1951" s="115" t="s">
        <v>1139</v>
      </c>
      <c r="E1951" s="115" t="s">
        <v>1140</v>
      </c>
    </row>
    <row r="1952" spans="2:5" x14ac:dyDescent="0.25">
      <c r="B1952" s="115" t="s">
        <v>1138</v>
      </c>
      <c r="D1952" s="115" t="s">
        <v>1139</v>
      </c>
      <c r="E1952" s="115" t="s">
        <v>1140</v>
      </c>
    </row>
    <row r="1953" spans="2:5" x14ac:dyDescent="0.25">
      <c r="B1953" s="115" t="s">
        <v>1138</v>
      </c>
      <c r="D1953" s="115" t="s">
        <v>1139</v>
      </c>
      <c r="E1953" s="115" t="s">
        <v>1140</v>
      </c>
    </row>
    <row r="1954" spans="2:5" x14ac:dyDescent="0.25">
      <c r="B1954" s="115" t="s">
        <v>1138</v>
      </c>
      <c r="D1954" s="115" t="s">
        <v>1139</v>
      </c>
      <c r="E1954" s="115" t="s">
        <v>1140</v>
      </c>
    </row>
    <row r="1955" spans="2:5" x14ac:dyDescent="0.25">
      <c r="B1955" s="115" t="s">
        <v>1138</v>
      </c>
      <c r="D1955" s="115" t="s">
        <v>1139</v>
      </c>
      <c r="E1955" s="115" t="s">
        <v>1140</v>
      </c>
    </row>
    <row r="1956" spans="2:5" x14ac:dyDescent="0.25">
      <c r="B1956" s="115" t="s">
        <v>1138</v>
      </c>
      <c r="D1956" s="115" t="s">
        <v>1139</v>
      </c>
      <c r="E1956" s="115" t="s">
        <v>1140</v>
      </c>
    </row>
    <row r="1957" spans="2:5" x14ac:dyDescent="0.25">
      <c r="B1957" s="115" t="s">
        <v>1138</v>
      </c>
      <c r="D1957" s="115" t="s">
        <v>1139</v>
      </c>
      <c r="E1957" s="115" t="s">
        <v>1140</v>
      </c>
    </row>
    <row r="1958" spans="2:5" x14ac:dyDescent="0.25">
      <c r="B1958" s="115" t="s">
        <v>1138</v>
      </c>
      <c r="D1958" s="115" t="s">
        <v>1139</v>
      </c>
      <c r="E1958" s="115" t="s">
        <v>1140</v>
      </c>
    </row>
    <row r="1959" spans="2:5" x14ac:dyDescent="0.25">
      <c r="B1959" s="115" t="s">
        <v>1138</v>
      </c>
      <c r="D1959" s="115" t="s">
        <v>1139</v>
      </c>
      <c r="E1959" s="115" t="s">
        <v>1140</v>
      </c>
    </row>
    <row r="1960" spans="2:5" x14ac:dyDescent="0.25">
      <c r="B1960" s="115" t="s">
        <v>1138</v>
      </c>
      <c r="D1960" s="115" t="s">
        <v>1139</v>
      </c>
      <c r="E1960" s="115" t="s">
        <v>1140</v>
      </c>
    </row>
    <row r="1961" spans="2:5" x14ac:dyDescent="0.25">
      <c r="B1961" s="115" t="s">
        <v>1138</v>
      </c>
      <c r="D1961" s="115" t="s">
        <v>1139</v>
      </c>
      <c r="E1961" s="115" t="s">
        <v>1140</v>
      </c>
    </row>
    <row r="1962" spans="2:5" x14ac:dyDescent="0.25">
      <c r="B1962" s="115" t="s">
        <v>1138</v>
      </c>
      <c r="D1962" s="115" t="s">
        <v>1139</v>
      </c>
      <c r="E1962" s="115" t="s">
        <v>1140</v>
      </c>
    </row>
    <row r="1963" spans="2:5" x14ac:dyDescent="0.25">
      <c r="B1963" s="115" t="s">
        <v>1138</v>
      </c>
      <c r="D1963" s="115" t="s">
        <v>1139</v>
      </c>
      <c r="E1963" s="115" t="s">
        <v>1140</v>
      </c>
    </row>
    <row r="1964" spans="2:5" x14ac:dyDescent="0.25">
      <c r="B1964" s="115" t="s">
        <v>1138</v>
      </c>
      <c r="D1964" s="115" t="s">
        <v>1139</v>
      </c>
      <c r="E1964" s="115" t="s">
        <v>1140</v>
      </c>
    </row>
    <row r="1965" spans="2:5" x14ac:dyDescent="0.25">
      <c r="B1965" s="115" t="s">
        <v>1138</v>
      </c>
      <c r="D1965" s="115" t="s">
        <v>1139</v>
      </c>
      <c r="E1965" s="115" t="s">
        <v>1140</v>
      </c>
    </row>
    <row r="1966" spans="2:5" x14ac:dyDescent="0.25">
      <c r="B1966" s="115" t="s">
        <v>1138</v>
      </c>
      <c r="D1966" s="115" t="s">
        <v>1139</v>
      </c>
      <c r="E1966" s="115" t="s">
        <v>1140</v>
      </c>
    </row>
    <row r="1967" spans="2:5" x14ac:dyDescent="0.25">
      <c r="B1967" s="115" t="s">
        <v>1138</v>
      </c>
      <c r="D1967" s="115" t="s">
        <v>1139</v>
      </c>
      <c r="E1967" s="115" t="s">
        <v>1140</v>
      </c>
    </row>
    <row r="1968" spans="2:5" x14ac:dyDescent="0.25">
      <c r="B1968" s="115" t="s">
        <v>1138</v>
      </c>
      <c r="D1968" s="115" t="s">
        <v>1139</v>
      </c>
      <c r="E1968" s="115" t="s">
        <v>1140</v>
      </c>
    </row>
    <row r="1969" spans="1:5" x14ac:dyDescent="0.25">
      <c r="B1969" s="115" t="s">
        <v>1138</v>
      </c>
      <c r="D1969" s="115" t="s">
        <v>1139</v>
      </c>
      <c r="E1969" s="115" t="s">
        <v>1140</v>
      </c>
    </row>
    <row r="1970" spans="1:5" x14ac:dyDescent="0.25">
      <c r="B1970" s="115" t="s">
        <v>1138</v>
      </c>
      <c r="D1970" s="115" t="s">
        <v>1139</v>
      </c>
      <c r="E1970" s="115" t="s">
        <v>1140</v>
      </c>
    </row>
    <row r="1971" spans="1:5" x14ac:dyDescent="0.25">
      <c r="B1971" s="115" t="s">
        <v>1138</v>
      </c>
      <c r="D1971" s="115" t="s">
        <v>1139</v>
      </c>
      <c r="E1971" s="115" t="s">
        <v>1140</v>
      </c>
    </row>
    <row r="1972" spans="1:5" x14ac:dyDescent="0.25">
      <c r="B1972" s="115" t="s">
        <v>1138</v>
      </c>
      <c r="D1972" s="115" t="s">
        <v>1139</v>
      </c>
      <c r="E1972" s="115" t="s">
        <v>1140</v>
      </c>
    </row>
    <row r="1973" spans="1:5" x14ac:dyDescent="0.25">
      <c r="B1973" s="115" t="s">
        <v>1138</v>
      </c>
      <c r="D1973" s="115" t="s">
        <v>1139</v>
      </c>
      <c r="E1973" s="115" t="s">
        <v>1140</v>
      </c>
    </row>
    <row r="1974" spans="1:5" x14ac:dyDescent="0.25">
      <c r="B1974" s="115" t="s">
        <v>1138</v>
      </c>
      <c r="D1974" s="115" t="s">
        <v>1139</v>
      </c>
      <c r="E1974" s="115" t="s">
        <v>1140</v>
      </c>
    </row>
    <row r="1975" spans="1:5" x14ac:dyDescent="0.25">
      <c r="B1975" s="115" t="s">
        <v>3500</v>
      </c>
      <c r="C1975" s="115" t="s">
        <v>1137</v>
      </c>
      <c r="D1975" s="115" t="s">
        <v>3501</v>
      </c>
      <c r="E1975" s="115" t="s">
        <v>3502</v>
      </c>
    </row>
    <row r="1976" spans="1:5" x14ac:dyDescent="0.25">
      <c r="B1976" s="115" t="s">
        <v>1138</v>
      </c>
      <c r="D1976" s="115" t="s">
        <v>3503</v>
      </c>
      <c r="E1976" s="115" t="s">
        <v>1140</v>
      </c>
    </row>
    <row r="1977" spans="1:5" x14ac:dyDescent="0.25">
      <c r="B1977" s="115" t="s">
        <v>1138</v>
      </c>
      <c r="D1977" s="115" t="s">
        <v>3504</v>
      </c>
      <c r="E1977" s="115" t="s">
        <v>3505</v>
      </c>
    </row>
    <row r="1978" spans="1:5" x14ac:dyDescent="0.25">
      <c r="A1978" s="115">
        <v>9</v>
      </c>
      <c r="B1978" s="115" t="s">
        <v>3506</v>
      </c>
      <c r="D1978" s="115" t="s">
        <v>3507</v>
      </c>
      <c r="E1978" s="115" t="s">
        <v>3508</v>
      </c>
    </row>
    <row r="1979" spans="1:5" x14ac:dyDescent="0.25">
      <c r="B1979" s="115" t="s">
        <v>1138</v>
      </c>
      <c r="D1979" s="115" t="s">
        <v>3509</v>
      </c>
      <c r="E1979" s="115" t="s">
        <v>2259</v>
      </c>
    </row>
    <row r="1980" spans="1:5" x14ac:dyDescent="0.25">
      <c r="B1980" s="115" t="s">
        <v>1138</v>
      </c>
      <c r="D1980" s="115" t="s">
        <v>3510</v>
      </c>
      <c r="E1980" s="115" t="s">
        <v>3511</v>
      </c>
    </row>
    <row r="1981" spans="1:5" x14ac:dyDescent="0.25">
      <c r="B1981" s="115" t="s">
        <v>3512</v>
      </c>
      <c r="D1981" s="115" t="s">
        <v>3513</v>
      </c>
      <c r="E1981" s="115" t="s">
        <v>3514</v>
      </c>
    </row>
    <row r="1982" spans="1:5" x14ac:dyDescent="0.25">
      <c r="A1982" s="115">
        <v>-3</v>
      </c>
      <c r="B1982" s="115" t="s">
        <v>3515</v>
      </c>
      <c r="C1982" s="115" t="s">
        <v>1137</v>
      </c>
      <c r="D1982" s="115" t="s">
        <v>3516</v>
      </c>
      <c r="E1982" s="115" t="s">
        <v>1858</v>
      </c>
    </row>
    <row r="1983" spans="1:5" x14ac:dyDescent="0.25">
      <c r="A1983" s="115">
        <v>-2</v>
      </c>
      <c r="B1983" s="115" t="s">
        <v>3517</v>
      </c>
      <c r="C1983" s="115" t="s">
        <v>1137</v>
      </c>
      <c r="D1983" s="115" t="s">
        <v>3518</v>
      </c>
      <c r="E1983" s="115" t="s">
        <v>3519</v>
      </c>
    </row>
    <row r="1984" spans="1:5" x14ac:dyDescent="0.25">
      <c r="A1984" s="115">
        <v>27</v>
      </c>
      <c r="B1984" s="115" t="s">
        <v>3520</v>
      </c>
      <c r="D1984" s="115" t="s">
        <v>3521</v>
      </c>
      <c r="E1984" s="115" t="s">
        <v>3522</v>
      </c>
    </row>
    <row r="1985" spans="1:5" x14ac:dyDescent="0.25">
      <c r="B1985" s="115" t="s">
        <v>1423</v>
      </c>
      <c r="D1985" s="115" t="s">
        <v>3523</v>
      </c>
      <c r="E1985" s="115" t="s">
        <v>1818</v>
      </c>
    </row>
    <row r="1986" spans="1:5" x14ac:dyDescent="0.25">
      <c r="B1986" s="115" t="s">
        <v>3524</v>
      </c>
      <c r="D1986" s="115" t="s">
        <v>3525</v>
      </c>
      <c r="E1986" s="115" t="s">
        <v>3526</v>
      </c>
    </row>
    <row r="1987" spans="1:5" x14ac:dyDescent="0.25">
      <c r="A1987" s="115">
        <v>25</v>
      </c>
      <c r="B1987" s="115" t="s">
        <v>3527</v>
      </c>
      <c r="D1987" s="115" t="s">
        <v>3528</v>
      </c>
      <c r="E1987" s="115" t="s">
        <v>3529</v>
      </c>
    </row>
    <row r="1988" spans="1:5" x14ac:dyDescent="0.25">
      <c r="B1988" s="115" t="s">
        <v>1515</v>
      </c>
      <c r="D1988" s="115" t="s">
        <v>3530</v>
      </c>
      <c r="E1988" s="115" t="s">
        <v>1858</v>
      </c>
    </row>
    <row r="1989" spans="1:5" x14ac:dyDescent="0.25">
      <c r="A1989" s="115" t="s">
        <v>1137</v>
      </c>
      <c r="B1989" s="115" t="s">
        <v>3531</v>
      </c>
      <c r="D1989" s="115" t="s">
        <v>3532</v>
      </c>
      <c r="E1989" s="115" t="s">
        <v>3533</v>
      </c>
    </row>
    <row r="1990" spans="1:5" x14ac:dyDescent="0.25">
      <c r="A1990" s="115">
        <v>25</v>
      </c>
      <c r="B1990" s="115" t="s">
        <v>3534</v>
      </c>
      <c r="D1990" s="115" t="s">
        <v>3535</v>
      </c>
      <c r="E1990" s="115" t="s">
        <v>3536</v>
      </c>
    </row>
    <row r="1991" spans="1:5" x14ac:dyDescent="0.25">
      <c r="B1991" s="115" t="s">
        <v>1350</v>
      </c>
      <c r="D1991" s="115" t="s">
        <v>3537</v>
      </c>
      <c r="E1991" s="115" t="s">
        <v>1140</v>
      </c>
    </row>
    <row r="1992" spans="1:5" x14ac:dyDescent="0.25">
      <c r="A1992" s="115" t="s">
        <v>1137</v>
      </c>
      <c r="B1992" s="115" t="s">
        <v>3538</v>
      </c>
      <c r="D1992" s="115" t="s">
        <v>3539</v>
      </c>
      <c r="E1992" s="115" t="s">
        <v>1140</v>
      </c>
    </row>
    <row r="1993" spans="1:5" x14ac:dyDescent="0.25">
      <c r="A1993" s="115">
        <v>-1</v>
      </c>
      <c r="B1993" s="115" t="s">
        <v>3540</v>
      </c>
      <c r="C1993" s="115" t="s">
        <v>1137</v>
      </c>
      <c r="D1993" s="115" t="s">
        <v>3541</v>
      </c>
      <c r="E1993" s="115" t="s">
        <v>3542</v>
      </c>
    </row>
    <row r="1994" spans="1:5" x14ac:dyDescent="0.25">
      <c r="B1994" s="115" t="s">
        <v>1138</v>
      </c>
      <c r="D1994" s="115" t="s">
        <v>3543</v>
      </c>
      <c r="E1994" s="115" t="s">
        <v>1140</v>
      </c>
    </row>
    <row r="1995" spans="1:5" x14ac:dyDescent="0.25">
      <c r="B1995" s="115" t="s">
        <v>1138</v>
      </c>
      <c r="D1995" s="115" t="s">
        <v>3544</v>
      </c>
      <c r="E1995" s="115" t="s">
        <v>3545</v>
      </c>
    </row>
    <row r="1996" spans="1:5" x14ac:dyDescent="0.25">
      <c r="A1996" s="115" t="s">
        <v>1137</v>
      </c>
      <c r="B1996" s="115" t="s">
        <v>3546</v>
      </c>
      <c r="D1996" s="115" t="s">
        <v>3547</v>
      </c>
      <c r="E1996" s="115" t="s">
        <v>3548</v>
      </c>
    </row>
    <row r="1997" spans="1:5" x14ac:dyDescent="0.25">
      <c r="B1997" s="115" t="s">
        <v>1138</v>
      </c>
      <c r="D1997" s="115" t="s">
        <v>1859</v>
      </c>
      <c r="E1997" s="115" t="s">
        <v>1140</v>
      </c>
    </row>
    <row r="1998" spans="1:5" x14ac:dyDescent="0.25">
      <c r="B1998" s="115" t="s">
        <v>1138</v>
      </c>
      <c r="D1998" s="115" t="s">
        <v>3549</v>
      </c>
      <c r="E1998" s="115" t="s">
        <v>3550</v>
      </c>
    </row>
    <row r="1999" spans="1:5" x14ac:dyDescent="0.25">
      <c r="B1999" s="115" t="s">
        <v>3551</v>
      </c>
      <c r="D1999" s="115" t="s">
        <v>3552</v>
      </c>
      <c r="E1999" s="115" t="s">
        <v>3553</v>
      </c>
    </row>
    <row r="2000" spans="1:5" x14ac:dyDescent="0.25">
      <c r="B2000" s="115" t="s">
        <v>3554</v>
      </c>
      <c r="D2000" s="115" t="s">
        <v>3555</v>
      </c>
      <c r="E2000" s="115" t="s">
        <v>2259</v>
      </c>
    </row>
    <row r="2001" spans="1:5" x14ac:dyDescent="0.25">
      <c r="B2001" s="115" t="s">
        <v>3556</v>
      </c>
      <c r="D2001" s="115" t="s">
        <v>3557</v>
      </c>
      <c r="E2001" s="115" t="s">
        <v>3558</v>
      </c>
    </row>
    <row r="2002" spans="1:5" x14ac:dyDescent="0.25">
      <c r="A2002" s="115">
        <v>-2</v>
      </c>
      <c r="B2002" s="115" t="s">
        <v>3559</v>
      </c>
      <c r="D2002" s="115" t="s">
        <v>3560</v>
      </c>
      <c r="E2002" s="115" t="s">
        <v>3561</v>
      </c>
    </row>
    <row r="2003" spans="1:5" x14ac:dyDescent="0.25">
      <c r="A2003" s="115" t="s">
        <v>1137</v>
      </c>
      <c r="B2003" s="115" t="s">
        <v>3562</v>
      </c>
      <c r="D2003" s="115">
        <f>-542  -1257   -421   -53</f>
        <v>-2273</v>
      </c>
      <c r="E2003" s="115" t="s">
        <v>1140</v>
      </c>
    </row>
    <row r="2004" spans="1:5" x14ac:dyDescent="0.25">
      <c r="B2004" s="115" t="s">
        <v>3563</v>
      </c>
      <c r="D2004" s="115" t="s">
        <v>3564</v>
      </c>
      <c r="E2004" s="115" t="s">
        <v>3565</v>
      </c>
    </row>
    <row r="2005" spans="1:5" x14ac:dyDescent="0.25">
      <c r="B2005" s="115" t="s">
        <v>1393</v>
      </c>
      <c r="D2005" s="115" t="s">
        <v>3566</v>
      </c>
      <c r="E2005" s="115" t="s">
        <v>3567</v>
      </c>
    </row>
    <row r="2006" spans="1:5" x14ac:dyDescent="0.25">
      <c r="B2006" s="115" t="s">
        <v>2360</v>
      </c>
      <c r="D2006" s="115" t="s">
        <v>3568</v>
      </c>
      <c r="E2006" s="115" t="s">
        <v>2689</v>
      </c>
    </row>
    <row r="2007" spans="1:5" x14ac:dyDescent="0.25">
      <c r="B2007" s="115" t="s">
        <v>3569</v>
      </c>
      <c r="D2007" s="115" t="s">
        <v>3570</v>
      </c>
      <c r="E2007" s="115" t="s">
        <v>3571</v>
      </c>
    </row>
    <row r="2008" spans="1:5" x14ac:dyDescent="0.25">
      <c r="A2008" s="115" t="s">
        <v>1137</v>
      </c>
      <c r="B2008" s="115" t="s">
        <v>3572</v>
      </c>
      <c r="D2008" s="115" t="s">
        <v>3573</v>
      </c>
      <c r="E2008" s="115" t="s">
        <v>3574</v>
      </c>
    </row>
    <row r="2009" spans="1:5" x14ac:dyDescent="0.25">
      <c r="A2009" s="115" t="s">
        <v>1137</v>
      </c>
      <c r="B2009" s="115" t="s">
        <v>3575</v>
      </c>
      <c r="D2009" s="115" t="s">
        <v>3576</v>
      </c>
      <c r="E2009" s="115" t="s">
        <v>1140</v>
      </c>
    </row>
    <row r="2010" spans="1:5" x14ac:dyDescent="0.25">
      <c r="B2010" s="115" t="s">
        <v>3577</v>
      </c>
      <c r="D2010" s="115" t="s">
        <v>3578</v>
      </c>
      <c r="E2010" s="115" t="s">
        <v>1140</v>
      </c>
    </row>
    <row r="2011" spans="1:5" x14ac:dyDescent="0.25">
      <c r="A2011" s="115">
        <v>16</v>
      </c>
      <c r="B2011" s="115" t="s">
        <v>3579</v>
      </c>
      <c r="D2011" s="115" t="s">
        <v>3580</v>
      </c>
      <c r="E2011" s="115" t="s">
        <v>3581</v>
      </c>
    </row>
    <row r="2012" spans="1:5" x14ac:dyDescent="0.25">
      <c r="B2012" s="115" t="s">
        <v>1138</v>
      </c>
      <c r="D2012" s="115" t="s">
        <v>3582</v>
      </c>
      <c r="E2012" s="115" t="s">
        <v>1140</v>
      </c>
    </row>
    <row r="2013" spans="1:5" x14ac:dyDescent="0.25">
      <c r="B2013" s="115" t="s">
        <v>1138</v>
      </c>
      <c r="D2013" s="115" t="s">
        <v>3583</v>
      </c>
      <c r="E2013" s="115" t="s">
        <v>3584</v>
      </c>
    </row>
    <row r="2014" spans="1:5" x14ac:dyDescent="0.25">
      <c r="B2014" s="115" t="s">
        <v>3585</v>
      </c>
      <c r="D2014" s="115" t="s">
        <v>1424</v>
      </c>
      <c r="E2014" s="115" t="s">
        <v>3586</v>
      </c>
    </row>
    <row r="2015" spans="1:5" x14ac:dyDescent="0.25">
      <c r="B2015" s="115" t="s">
        <v>1574</v>
      </c>
      <c r="D2015" s="115" t="s">
        <v>1139</v>
      </c>
      <c r="E2015" s="115" t="s">
        <v>3587</v>
      </c>
    </row>
    <row r="2016" spans="1:5" x14ac:dyDescent="0.25">
      <c r="B2016" s="115" t="s">
        <v>1138</v>
      </c>
      <c r="D2016" s="115" t="s">
        <v>3588</v>
      </c>
      <c r="E2016" s="115" t="s">
        <v>3589</v>
      </c>
    </row>
    <row r="2017" spans="1:5" x14ac:dyDescent="0.25">
      <c r="B2017" s="115" t="s">
        <v>1138</v>
      </c>
      <c r="D2017" s="115">
        <f>-704  -1520   -119</f>
        <v>-2343</v>
      </c>
      <c r="E2017" s="115" t="s">
        <v>3590</v>
      </c>
    </row>
    <row r="2018" spans="1:5" x14ac:dyDescent="0.25">
      <c r="A2018" s="115" t="s">
        <v>1137</v>
      </c>
      <c r="B2018" s="115" t="s">
        <v>3591</v>
      </c>
      <c r="D2018" s="115" t="s">
        <v>3592</v>
      </c>
      <c r="E2018" s="115" t="s">
        <v>3593</v>
      </c>
    </row>
    <row r="2019" spans="1:5" x14ac:dyDescent="0.25">
      <c r="B2019" s="115" t="s">
        <v>1550</v>
      </c>
      <c r="D2019" s="115" t="s">
        <v>3594</v>
      </c>
      <c r="E2019" s="115" t="s">
        <v>3595</v>
      </c>
    </row>
    <row r="2020" spans="1:5" x14ac:dyDescent="0.25">
      <c r="A2020" s="115">
        <v>1</v>
      </c>
      <c r="B2020" s="115" t="s">
        <v>3596</v>
      </c>
      <c r="D2020" s="115" t="s">
        <v>3597</v>
      </c>
      <c r="E2020" s="115" t="s">
        <v>3598</v>
      </c>
    </row>
    <row r="2021" spans="1:5" x14ac:dyDescent="0.25">
      <c r="A2021" s="115" t="s">
        <v>1137</v>
      </c>
      <c r="B2021" s="115" t="s">
        <v>3599</v>
      </c>
      <c r="D2021" s="115" t="s">
        <v>3600</v>
      </c>
      <c r="E2021" s="115" t="s">
        <v>3601</v>
      </c>
    </row>
    <row r="2022" spans="1:5" x14ac:dyDescent="0.25">
      <c r="B2022" s="115" t="s">
        <v>3602</v>
      </c>
      <c r="D2022" s="115" t="s">
        <v>3603</v>
      </c>
      <c r="E2022" s="115" t="s">
        <v>3604</v>
      </c>
    </row>
    <row r="2023" spans="1:5" x14ac:dyDescent="0.25">
      <c r="B2023" s="115" t="s">
        <v>3605</v>
      </c>
      <c r="D2023" s="115" t="s">
        <v>3606</v>
      </c>
      <c r="E2023" s="115" t="s">
        <v>3607</v>
      </c>
    </row>
    <row r="2024" spans="1:5" x14ac:dyDescent="0.25">
      <c r="B2024" s="115" t="s">
        <v>1138</v>
      </c>
      <c r="D2024" s="115" t="s">
        <v>3608</v>
      </c>
      <c r="E2024" s="115" t="s">
        <v>3609</v>
      </c>
    </row>
    <row r="2025" spans="1:5" x14ac:dyDescent="0.25">
      <c r="B2025" s="115" t="s">
        <v>3610</v>
      </c>
      <c r="D2025" s="115" t="s">
        <v>3611</v>
      </c>
      <c r="E2025" s="115" t="s">
        <v>2572</v>
      </c>
    </row>
    <row r="2026" spans="1:5" x14ac:dyDescent="0.25">
      <c r="B2026" s="115" t="s">
        <v>3612</v>
      </c>
      <c r="D2026" s="115">
        <f>-208  -3868   -587</f>
        <v>-4663</v>
      </c>
      <c r="E2026" s="115" t="s">
        <v>3613</v>
      </c>
    </row>
    <row r="2027" spans="1:5" x14ac:dyDescent="0.25">
      <c r="B2027" s="115" t="s">
        <v>1399</v>
      </c>
      <c r="D2027" s="115" t="s">
        <v>1436</v>
      </c>
      <c r="E2027" s="115" t="s">
        <v>1140</v>
      </c>
    </row>
    <row r="2028" spans="1:5" x14ac:dyDescent="0.25">
      <c r="B2028" s="115" t="s">
        <v>3614</v>
      </c>
      <c r="D2028" s="115" t="s">
        <v>3615</v>
      </c>
      <c r="E2028" s="115" t="s">
        <v>1140</v>
      </c>
    </row>
    <row r="2029" spans="1:5" x14ac:dyDescent="0.25">
      <c r="B2029" s="115" t="s">
        <v>3616</v>
      </c>
      <c r="C2029" s="115" t="s">
        <v>1137</v>
      </c>
      <c r="D2029" s="115" t="s">
        <v>3617</v>
      </c>
      <c r="E2029" s="115" t="s">
        <v>3618</v>
      </c>
    </row>
    <row r="2030" spans="1:5" x14ac:dyDescent="0.25">
      <c r="B2030" s="115" t="s">
        <v>1480</v>
      </c>
      <c r="D2030" s="115" t="s">
        <v>2383</v>
      </c>
      <c r="E2030" s="115" t="s">
        <v>3619</v>
      </c>
    </row>
    <row r="2031" spans="1:5" x14ac:dyDescent="0.25">
      <c r="B2031" s="115" t="s">
        <v>1138</v>
      </c>
      <c r="D2031" s="115" t="s">
        <v>3620</v>
      </c>
      <c r="E2031" s="115" t="s">
        <v>3621</v>
      </c>
    </row>
    <row r="2032" spans="1:5" x14ac:dyDescent="0.25">
      <c r="B2032" s="115" t="s">
        <v>3622</v>
      </c>
      <c r="D2032" s="115" t="s">
        <v>3623</v>
      </c>
      <c r="E2032" s="115" t="s">
        <v>3624</v>
      </c>
    </row>
    <row r="2033" spans="1:5" x14ac:dyDescent="0.25">
      <c r="B2033" s="115" t="s">
        <v>1138</v>
      </c>
      <c r="D2033" s="115" t="s">
        <v>1421</v>
      </c>
      <c r="E2033" s="115" t="s">
        <v>3625</v>
      </c>
    </row>
    <row r="2034" spans="1:5" x14ac:dyDescent="0.25">
      <c r="B2034" s="115" t="s">
        <v>1138</v>
      </c>
      <c r="D2034" s="115" t="s">
        <v>1139</v>
      </c>
      <c r="E2034" s="115" t="s">
        <v>3626</v>
      </c>
    </row>
    <row r="2035" spans="1:5" x14ac:dyDescent="0.25">
      <c r="B2035" s="115" t="s">
        <v>1138</v>
      </c>
      <c r="D2035" s="115" t="s">
        <v>3627</v>
      </c>
      <c r="E2035" s="115" t="s">
        <v>3628</v>
      </c>
    </row>
    <row r="2036" spans="1:5" x14ac:dyDescent="0.25">
      <c r="B2036" s="115" t="s">
        <v>1250</v>
      </c>
      <c r="D2036" s="115">
        <f>-133    -89    -82    -1</f>
        <v>-305</v>
      </c>
      <c r="E2036" s="115" t="s">
        <v>3629</v>
      </c>
    </row>
    <row r="2037" spans="1:5" x14ac:dyDescent="0.25">
      <c r="B2037" s="115" t="s">
        <v>1138</v>
      </c>
      <c r="D2037" s="115" t="s">
        <v>3630</v>
      </c>
      <c r="E2037" s="115" t="s">
        <v>3631</v>
      </c>
    </row>
    <row r="2038" spans="1:5" x14ac:dyDescent="0.25">
      <c r="A2038" s="115">
        <v>1</v>
      </c>
      <c r="B2038" s="115" t="s">
        <v>3632</v>
      </c>
      <c r="D2038" s="115" t="s">
        <v>3633</v>
      </c>
      <c r="E2038" s="115" t="s">
        <v>3634</v>
      </c>
    </row>
    <row r="2039" spans="1:5" x14ac:dyDescent="0.25">
      <c r="B2039" s="115" t="s">
        <v>1138</v>
      </c>
      <c r="D2039" s="115" t="s">
        <v>3635</v>
      </c>
      <c r="E2039" s="115" t="s">
        <v>3636</v>
      </c>
    </row>
    <row r="2040" spans="1:5" x14ac:dyDescent="0.25">
      <c r="B2040" s="115" t="s">
        <v>1138</v>
      </c>
      <c r="D2040" s="115" t="s">
        <v>3637</v>
      </c>
      <c r="E2040" s="115" t="s">
        <v>3638</v>
      </c>
    </row>
    <row r="2041" spans="1:5" x14ac:dyDescent="0.25">
      <c r="A2041" s="115" t="s">
        <v>1137</v>
      </c>
      <c r="B2041" s="115" t="s">
        <v>3639</v>
      </c>
      <c r="D2041" s="115" t="s">
        <v>3640</v>
      </c>
      <c r="E2041" s="115" t="s">
        <v>3641</v>
      </c>
    </row>
    <row r="2042" spans="1:5" x14ac:dyDescent="0.25">
      <c r="B2042" s="115" t="s">
        <v>1387</v>
      </c>
      <c r="D2042" s="115" t="s">
        <v>3642</v>
      </c>
      <c r="E2042" s="115" t="s">
        <v>3643</v>
      </c>
    </row>
    <row r="2043" spans="1:5" x14ac:dyDescent="0.25">
      <c r="B2043" s="115" t="s">
        <v>1138</v>
      </c>
      <c r="D2043" s="115" t="s">
        <v>3644</v>
      </c>
      <c r="E2043" s="115" t="s">
        <v>3645</v>
      </c>
    </row>
    <row r="2044" spans="1:5" x14ac:dyDescent="0.25">
      <c r="B2044" s="115" t="s">
        <v>1138</v>
      </c>
      <c r="D2044" s="115" t="s">
        <v>3646</v>
      </c>
      <c r="E2044" s="115" t="s">
        <v>3647</v>
      </c>
    </row>
    <row r="2045" spans="1:5" x14ac:dyDescent="0.25">
      <c r="B2045" s="115" t="s">
        <v>3648</v>
      </c>
      <c r="D2045" s="115" t="s">
        <v>3649</v>
      </c>
      <c r="E2045" s="115" t="s">
        <v>2536</v>
      </c>
    </row>
    <row r="2046" spans="1:5" x14ac:dyDescent="0.25">
      <c r="B2046" s="115" t="s">
        <v>1138</v>
      </c>
      <c r="D2046" s="115" t="s">
        <v>3650</v>
      </c>
      <c r="E2046" s="115" t="s">
        <v>3651</v>
      </c>
    </row>
    <row r="2047" spans="1:5" x14ac:dyDescent="0.25">
      <c r="B2047" s="115" t="s">
        <v>1138</v>
      </c>
      <c r="D2047" s="115" t="s">
        <v>3652</v>
      </c>
      <c r="E2047" s="115" t="s">
        <v>3653</v>
      </c>
    </row>
    <row r="2048" spans="1:5" x14ac:dyDescent="0.25">
      <c r="B2048" s="115" t="s">
        <v>1138</v>
      </c>
      <c r="D2048" s="115" t="s">
        <v>3654</v>
      </c>
      <c r="E2048" s="115" t="s">
        <v>3655</v>
      </c>
    </row>
    <row r="2049" spans="1:5" x14ac:dyDescent="0.25">
      <c r="B2049" s="115" t="s">
        <v>1138</v>
      </c>
      <c r="D2049" s="115" t="s">
        <v>1139</v>
      </c>
      <c r="E2049" s="115" t="s">
        <v>3656</v>
      </c>
    </row>
    <row r="2050" spans="1:5" x14ac:dyDescent="0.25">
      <c r="B2050" s="115" t="s">
        <v>1138</v>
      </c>
      <c r="D2050" s="115" t="s">
        <v>3657</v>
      </c>
      <c r="E2050" s="115" t="s">
        <v>3658</v>
      </c>
    </row>
    <row r="2051" spans="1:5" x14ac:dyDescent="0.25">
      <c r="B2051" s="115" t="s">
        <v>1377</v>
      </c>
      <c r="D2051" s="115" t="s">
        <v>1139</v>
      </c>
      <c r="E2051" s="115" t="s">
        <v>2689</v>
      </c>
    </row>
    <row r="2052" spans="1:5" x14ac:dyDescent="0.25">
      <c r="B2052" s="115" t="s">
        <v>1659</v>
      </c>
      <c r="D2052" s="115" t="s">
        <v>1139</v>
      </c>
      <c r="E2052" s="115" t="s">
        <v>3659</v>
      </c>
    </row>
    <row r="2053" spans="1:5" x14ac:dyDescent="0.25">
      <c r="A2053" s="115">
        <v>1</v>
      </c>
      <c r="B2053" s="115" t="s">
        <v>3660</v>
      </c>
      <c r="D2053" s="115" t="s">
        <v>1186</v>
      </c>
      <c r="E2053" s="115" t="s">
        <v>3661</v>
      </c>
    </row>
    <row r="2054" spans="1:5" x14ac:dyDescent="0.25">
      <c r="B2054" s="115" t="s">
        <v>1138</v>
      </c>
      <c r="D2054" s="115" t="s">
        <v>3662</v>
      </c>
      <c r="E2054" s="115" t="s">
        <v>3663</v>
      </c>
    </row>
    <row r="2055" spans="1:5" x14ac:dyDescent="0.25">
      <c r="B2055" s="115" t="s">
        <v>3664</v>
      </c>
      <c r="D2055" s="115" t="s">
        <v>1139</v>
      </c>
      <c r="E2055" s="115" t="s">
        <v>3665</v>
      </c>
    </row>
    <row r="2056" spans="1:5" x14ac:dyDescent="0.25">
      <c r="A2056" s="115">
        <v>1</v>
      </c>
      <c r="B2056" s="115" t="s">
        <v>3666</v>
      </c>
      <c r="D2056" s="115" t="s">
        <v>3667</v>
      </c>
      <c r="E2056" s="115" t="s">
        <v>3668</v>
      </c>
    </row>
    <row r="2057" spans="1:5" x14ac:dyDescent="0.25">
      <c r="A2057" s="115">
        <v>-6</v>
      </c>
      <c r="B2057" s="115" t="s">
        <v>3669</v>
      </c>
      <c r="C2057" s="115" t="s">
        <v>1137</v>
      </c>
      <c r="D2057" s="115" t="s">
        <v>3670</v>
      </c>
      <c r="E2057" s="115" t="s">
        <v>3671</v>
      </c>
    </row>
    <row r="2058" spans="1:5" x14ac:dyDescent="0.25">
      <c r="A2058" s="115" t="s">
        <v>1137</v>
      </c>
      <c r="B2058" s="115" t="s">
        <v>3672</v>
      </c>
      <c r="D2058" s="115" t="s">
        <v>1139</v>
      </c>
      <c r="E2058" s="115" t="s">
        <v>3673</v>
      </c>
    </row>
    <row r="2059" spans="1:5" x14ac:dyDescent="0.25">
      <c r="A2059" s="115">
        <v>1</v>
      </c>
      <c r="B2059" s="115" t="s">
        <v>3674</v>
      </c>
      <c r="D2059" s="115" t="s">
        <v>3675</v>
      </c>
      <c r="E2059" s="115" t="s">
        <v>3676</v>
      </c>
    </row>
    <row r="2060" spans="1:5" x14ac:dyDescent="0.25">
      <c r="B2060" s="115" t="s">
        <v>3677</v>
      </c>
      <c r="D2060" s="115" t="s">
        <v>3678</v>
      </c>
      <c r="E2060" s="115" t="s">
        <v>3679</v>
      </c>
    </row>
    <row r="2061" spans="1:5" x14ac:dyDescent="0.25">
      <c r="B2061" s="115" t="s">
        <v>3680</v>
      </c>
      <c r="D2061" s="115" t="s">
        <v>1139</v>
      </c>
      <c r="E2061" s="115" t="s">
        <v>3681</v>
      </c>
    </row>
    <row r="2062" spans="1:5" x14ac:dyDescent="0.25">
      <c r="A2062" s="115">
        <v>1</v>
      </c>
      <c r="B2062" s="115" t="s">
        <v>3682</v>
      </c>
      <c r="D2062" s="115" t="s">
        <v>3683</v>
      </c>
      <c r="E2062" s="115" t="s">
        <v>3684</v>
      </c>
    </row>
    <row r="2063" spans="1:5" x14ac:dyDescent="0.25">
      <c r="B2063" s="115" t="s">
        <v>3685</v>
      </c>
      <c r="D2063" s="115" t="s">
        <v>3686</v>
      </c>
      <c r="E2063" s="115" t="s">
        <v>3687</v>
      </c>
    </row>
    <row r="2064" spans="1:5" x14ac:dyDescent="0.25">
      <c r="B2064" s="115" t="s">
        <v>1138</v>
      </c>
      <c r="D2064" s="115" t="s">
        <v>1139</v>
      </c>
      <c r="E2064" s="115" t="s">
        <v>3688</v>
      </c>
    </row>
    <row r="2065" spans="1:5" x14ac:dyDescent="0.25">
      <c r="A2065" s="115">
        <v>-6</v>
      </c>
      <c r="B2065" s="115" t="s">
        <v>1265</v>
      </c>
      <c r="D2065" s="115" t="s">
        <v>1139</v>
      </c>
      <c r="E2065" s="115" t="s">
        <v>3689</v>
      </c>
    </row>
    <row r="2066" spans="1:5" x14ac:dyDescent="0.25">
      <c r="A2066" s="115" t="s">
        <v>1137</v>
      </c>
      <c r="B2066" s="115" t="s">
        <v>3690</v>
      </c>
      <c r="D2066" s="115" t="s">
        <v>3691</v>
      </c>
      <c r="E2066" s="115" t="s">
        <v>3692</v>
      </c>
    </row>
    <row r="2067" spans="1:5" x14ac:dyDescent="0.25">
      <c r="B2067" s="115" t="s">
        <v>1138</v>
      </c>
      <c r="D2067" s="115" t="s">
        <v>3693</v>
      </c>
      <c r="E2067" s="115" t="s">
        <v>1140</v>
      </c>
    </row>
    <row r="2068" spans="1:5" x14ac:dyDescent="0.25">
      <c r="B2068" s="115" t="s">
        <v>1138</v>
      </c>
      <c r="D2068" s="115" t="s">
        <v>3694</v>
      </c>
      <c r="E2068" s="115" t="s">
        <v>3695</v>
      </c>
    </row>
    <row r="2069" spans="1:5" x14ac:dyDescent="0.25">
      <c r="A2069" s="115">
        <v>-1</v>
      </c>
      <c r="B2069" s="115" t="s">
        <v>3696</v>
      </c>
      <c r="D2069" s="115" t="s">
        <v>2892</v>
      </c>
      <c r="E2069" s="115" t="s">
        <v>3697</v>
      </c>
    </row>
    <row r="2070" spans="1:5" x14ac:dyDescent="0.25">
      <c r="B2070" s="115" t="s">
        <v>1138</v>
      </c>
      <c r="D2070" s="115" t="s">
        <v>3698</v>
      </c>
      <c r="E2070" s="115" t="s">
        <v>1140</v>
      </c>
    </row>
    <row r="2071" spans="1:5" x14ac:dyDescent="0.25">
      <c r="B2071" s="115" t="s">
        <v>1138</v>
      </c>
      <c r="D2071" s="115" t="s">
        <v>3699</v>
      </c>
      <c r="E2071" s="115" t="s">
        <v>3700</v>
      </c>
    </row>
    <row r="2072" spans="1:5" x14ac:dyDescent="0.25">
      <c r="B2072" s="115" t="s">
        <v>3701</v>
      </c>
      <c r="C2072" s="115" t="s">
        <v>1137</v>
      </c>
      <c r="D2072" s="115" t="s">
        <v>3702</v>
      </c>
      <c r="E2072" s="115" t="s">
        <v>3703</v>
      </c>
    </row>
    <row r="2073" spans="1:5" x14ac:dyDescent="0.25">
      <c r="B2073" s="115" t="s">
        <v>3704</v>
      </c>
      <c r="D2073" s="115" t="s">
        <v>3705</v>
      </c>
      <c r="E2073" s="115" t="s">
        <v>1818</v>
      </c>
    </row>
    <row r="2074" spans="1:5" x14ac:dyDescent="0.25">
      <c r="A2074" s="115">
        <v>-2</v>
      </c>
      <c r="B2074" s="115" t="s">
        <v>3706</v>
      </c>
      <c r="D2074" s="115" t="s">
        <v>3707</v>
      </c>
      <c r="E2074" s="115" t="s">
        <v>3708</v>
      </c>
    </row>
    <row r="2075" spans="1:5" x14ac:dyDescent="0.25">
      <c r="A2075" s="115">
        <v>-1</v>
      </c>
      <c r="B2075" s="115" t="s">
        <v>3709</v>
      </c>
      <c r="D2075" s="115" t="s">
        <v>3710</v>
      </c>
      <c r="E2075" s="115" t="s">
        <v>3711</v>
      </c>
    </row>
    <row r="2076" spans="1:5" x14ac:dyDescent="0.25">
      <c r="A2076" s="115" t="s">
        <v>1137</v>
      </c>
      <c r="B2076" s="115" t="s">
        <v>1547</v>
      </c>
      <c r="D2076" s="115" t="s">
        <v>3712</v>
      </c>
      <c r="E2076" s="115" t="s">
        <v>2689</v>
      </c>
    </row>
    <row r="2077" spans="1:5" x14ac:dyDescent="0.25">
      <c r="A2077" s="115" t="s">
        <v>1137</v>
      </c>
      <c r="B2077" s="115" t="s">
        <v>3713</v>
      </c>
      <c r="D2077" s="115" t="s">
        <v>3714</v>
      </c>
      <c r="E2077" s="115" t="s">
        <v>3715</v>
      </c>
    </row>
    <row r="2078" spans="1:5" x14ac:dyDescent="0.25">
      <c r="A2078" s="115">
        <v>-1</v>
      </c>
      <c r="B2078" s="115" t="s">
        <v>3716</v>
      </c>
      <c r="D2078" s="115" t="s">
        <v>3717</v>
      </c>
      <c r="E2078" s="115" t="s">
        <v>3718</v>
      </c>
    </row>
    <row r="2079" spans="1:5" x14ac:dyDescent="0.25">
      <c r="B2079" s="115" t="s">
        <v>3719</v>
      </c>
      <c r="D2079" s="115" t="s">
        <v>3720</v>
      </c>
      <c r="E2079" s="115" t="s">
        <v>2536</v>
      </c>
    </row>
    <row r="2080" spans="1:5" x14ac:dyDescent="0.25">
      <c r="A2080" s="115" t="s">
        <v>1137</v>
      </c>
      <c r="B2080" s="115" t="s">
        <v>3721</v>
      </c>
      <c r="D2080" s="115" t="s">
        <v>3722</v>
      </c>
      <c r="E2080" s="115" t="s">
        <v>3723</v>
      </c>
    </row>
    <row r="2081" spans="1:5" x14ac:dyDescent="0.25">
      <c r="A2081" s="115" t="s">
        <v>1137</v>
      </c>
      <c r="B2081" s="115" t="s">
        <v>3724</v>
      </c>
      <c r="D2081" s="115" t="s">
        <v>3725</v>
      </c>
      <c r="E2081" s="115" t="s">
        <v>3726</v>
      </c>
    </row>
    <row r="2082" spans="1:5" x14ac:dyDescent="0.25">
      <c r="B2082" s="115" t="s">
        <v>3727</v>
      </c>
      <c r="D2082" s="115" t="s">
        <v>3728</v>
      </c>
      <c r="E2082" s="115" t="s">
        <v>1140</v>
      </c>
    </row>
    <row r="2083" spans="1:5" x14ac:dyDescent="0.25">
      <c r="A2083" s="115" t="s">
        <v>1137</v>
      </c>
      <c r="B2083" s="115" t="s">
        <v>3729</v>
      </c>
      <c r="D2083" s="115" t="s">
        <v>3730</v>
      </c>
      <c r="E2083" s="115" t="s">
        <v>1140</v>
      </c>
    </row>
    <row r="2084" spans="1:5" x14ac:dyDescent="0.25">
      <c r="A2084" s="115">
        <v>-12</v>
      </c>
      <c r="B2084" s="115" t="s">
        <v>3731</v>
      </c>
      <c r="D2084" s="115" t="s">
        <v>3732</v>
      </c>
      <c r="E2084" s="115" t="s">
        <v>3733</v>
      </c>
    </row>
    <row r="2085" spans="1:5" x14ac:dyDescent="0.25">
      <c r="B2085" s="115" t="s">
        <v>3734</v>
      </c>
      <c r="D2085" s="115" t="s">
        <v>3735</v>
      </c>
      <c r="E2085" s="115" t="s">
        <v>3736</v>
      </c>
    </row>
    <row r="2086" spans="1:5" x14ac:dyDescent="0.25">
      <c r="B2086" s="115" t="s">
        <v>1138</v>
      </c>
      <c r="D2086" s="115" t="s">
        <v>1139</v>
      </c>
      <c r="E2086" s="115" t="s">
        <v>3737</v>
      </c>
    </row>
    <row r="2087" spans="1:5" x14ac:dyDescent="0.25">
      <c r="B2087" s="115" t="s">
        <v>3738</v>
      </c>
      <c r="D2087" s="115" t="s">
        <v>3739</v>
      </c>
      <c r="E2087" s="115" t="s">
        <v>3740</v>
      </c>
    </row>
    <row r="2088" spans="1:5" x14ac:dyDescent="0.25">
      <c r="B2088" s="115" t="s">
        <v>1600</v>
      </c>
      <c r="D2088" s="115" t="s">
        <v>3741</v>
      </c>
      <c r="E2088" s="115" t="s">
        <v>1140</v>
      </c>
    </row>
    <row r="2089" spans="1:5" x14ac:dyDescent="0.25">
      <c r="B2089" s="115" t="s">
        <v>1628</v>
      </c>
      <c r="D2089" s="115" t="s">
        <v>1139</v>
      </c>
      <c r="E2089" s="115" t="s">
        <v>3742</v>
      </c>
    </row>
    <row r="2090" spans="1:5" x14ac:dyDescent="0.25">
      <c r="B2090" s="115" t="s">
        <v>3743</v>
      </c>
      <c r="D2090" s="115" t="s">
        <v>1139</v>
      </c>
      <c r="E2090" s="115" t="s">
        <v>3744</v>
      </c>
    </row>
    <row r="2091" spans="1:5" x14ac:dyDescent="0.25">
      <c r="B2091" s="115" t="s">
        <v>3745</v>
      </c>
      <c r="D2091" s="115" t="s">
        <v>3746</v>
      </c>
      <c r="E2091" s="115" t="s">
        <v>3747</v>
      </c>
    </row>
    <row r="2092" spans="1:5" x14ac:dyDescent="0.25">
      <c r="B2092" s="115" t="s">
        <v>1629</v>
      </c>
      <c r="D2092" s="115" t="s">
        <v>3748</v>
      </c>
      <c r="E2092" s="115" t="s">
        <v>3749</v>
      </c>
    </row>
    <row r="2093" spans="1:5" x14ac:dyDescent="0.25">
      <c r="A2093" s="115" t="s">
        <v>1137</v>
      </c>
      <c r="B2093" s="115" t="s">
        <v>3750</v>
      </c>
      <c r="D2093" s="115" t="s">
        <v>3751</v>
      </c>
      <c r="E2093" s="115" t="s">
        <v>3752</v>
      </c>
    </row>
    <row r="2094" spans="1:5" x14ac:dyDescent="0.25">
      <c r="A2094" s="115">
        <v>-1</v>
      </c>
      <c r="B2094" s="115" t="s">
        <v>3753</v>
      </c>
      <c r="D2094" s="115" t="s">
        <v>3754</v>
      </c>
      <c r="E2094" s="115" t="s">
        <v>3755</v>
      </c>
    </row>
    <row r="2095" spans="1:5" x14ac:dyDescent="0.25">
      <c r="A2095" s="115" t="s">
        <v>1137</v>
      </c>
      <c r="B2095" s="115" t="s">
        <v>1144</v>
      </c>
      <c r="D2095" s="115" t="s">
        <v>2361</v>
      </c>
      <c r="E2095" s="115" t="s">
        <v>3756</v>
      </c>
    </row>
    <row r="2096" spans="1:5" x14ac:dyDescent="0.25">
      <c r="A2096" s="115" t="s">
        <v>1137</v>
      </c>
      <c r="B2096" s="115" t="s">
        <v>3757</v>
      </c>
      <c r="D2096" s="115" t="s">
        <v>3758</v>
      </c>
      <c r="E2096" s="115" t="s">
        <v>3759</v>
      </c>
    </row>
    <row r="2097" spans="1:5" x14ac:dyDescent="0.25">
      <c r="A2097" s="115">
        <v>-1</v>
      </c>
      <c r="B2097" s="115" t="s">
        <v>3760</v>
      </c>
      <c r="D2097" s="115" t="s">
        <v>3761</v>
      </c>
      <c r="E2097" s="115" t="s">
        <v>3762</v>
      </c>
    </row>
    <row r="2098" spans="1:5" x14ac:dyDescent="0.25">
      <c r="A2098" s="115" t="s">
        <v>1137</v>
      </c>
      <c r="B2098" s="115" t="s">
        <v>1179</v>
      </c>
      <c r="D2098" s="115" t="s">
        <v>3763</v>
      </c>
      <c r="E2098" s="115" t="s">
        <v>3764</v>
      </c>
    </row>
    <row r="2099" spans="1:5" x14ac:dyDescent="0.25">
      <c r="B2099" s="115" t="s">
        <v>1194</v>
      </c>
      <c r="D2099" s="115" t="s">
        <v>3765</v>
      </c>
      <c r="E2099" s="115" t="s">
        <v>3766</v>
      </c>
    </row>
    <row r="2100" spans="1:5" x14ac:dyDescent="0.25">
      <c r="A2100" s="115">
        <v>-1</v>
      </c>
      <c r="B2100" s="115" t="s">
        <v>1337</v>
      </c>
      <c r="D2100" s="115" t="s">
        <v>3767</v>
      </c>
      <c r="E2100" s="115" t="s">
        <v>3768</v>
      </c>
    </row>
    <row r="2101" spans="1:5" x14ac:dyDescent="0.25">
      <c r="B2101" s="115" t="s">
        <v>1138</v>
      </c>
      <c r="D2101" s="115" t="s">
        <v>3769</v>
      </c>
      <c r="E2101" s="115" t="s">
        <v>3770</v>
      </c>
    </row>
    <row r="2102" spans="1:5" x14ac:dyDescent="0.25">
      <c r="B2102" s="115" t="s">
        <v>1138</v>
      </c>
      <c r="D2102" s="115" t="s">
        <v>3771</v>
      </c>
      <c r="E2102" s="115" t="s">
        <v>3772</v>
      </c>
    </row>
    <row r="2103" spans="1:5" x14ac:dyDescent="0.25">
      <c r="A2103" s="115">
        <v>-19</v>
      </c>
      <c r="B2103" s="115" t="s">
        <v>3773</v>
      </c>
      <c r="D2103" s="115" t="s">
        <v>1139</v>
      </c>
      <c r="E2103" s="115" t="s">
        <v>1140</v>
      </c>
    </row>
    <row r="2104" spans="1:5" x14ac:dyDescent="0.25">
      <c r="B2104" s="115" t="s">
        <v>1138</v>
      </c>
      <c r="D2104" s="115" t="s">
        <v>1139</v>
      </c>
      <c r="E2104" s="115" t="s">
        <v>1140</v>
      </c>
    </row>
    <row r="2105" spans="1:5" x14ac:dyDescent="0.25">
      <c r="B2105" s="115" t="s">
        <v>1138</v>
      </c>
      <c r="D2105" s="115" t="s">
        <v>1139</v>
      </c>
      <c r="E2105" s="115" t="s">
        <v>1140</v>
      </c>
    </row>
    <row r="2106" spans="1:5" x14ac:dyDescent="0.25">
      <c r="B2106" s="115" t="s">
        <v>1138</v>
      </c>
      <c r="D2106" s="115" t="s">
        <v>1139</v>
      </c>
      <c r="E2106" s="115" t="s">
        <v>1140</v>
      </c>
    </row>
    <row r="2107" spans="1:5" x14ac:dyDescent="0.25">
      <c r="B2107" s="115" t="s">
        <v>1138</v>
      </c>
      <c r="D2107" s="115" t="s">
        <v>1139</v>
      </c>
      <c r="E2107" s="115" t="s">
        <v>1140</v>
      </c>
    </row>
    <row r="2108" spans="1:5" x14ac:dyDescent="0.25">
      <c r="B2108" s="115" t="s">
        <v>1138</v>
      </c>
      <c r="D2108" s="115" t="s">
        <v>1139</v>
      </c>
      <c r="E2108" s="115" t="s">
        <v>1140</v>
      </c>
    </row>
    <row r="2109" spans="1:5" x14ac:dyDescent="0.25">
      <c r="B2109" s="115" t="s">
        <v>1138</v>
      </c>
      <c r="D2109" s="115" t="s">
        <v>1139</v>
      </c>
      <c r="E2109" s="115" t="s">
        <v>1140</v>
      </c>
    </row>
    <row r="2110" spans="1:5" x14ac:dyDescent="0.25">
      <c r="B2110" s="115" t="s">
        <v>1138</v>
      </c>
      <c r="D2110" s="115" t="s">
        <v>1139</v>
      </c>
      <c r="E2110" s="115" t="s">
        <v>1140</v>
      </c>
    </row>
    <row r="2111" spans="1:5" x14ac:dyDescent="0.25">
      <c r="B2111" s="115" t="s">
        <v>1138</v>
      </c>
      <c r="D2111" s="115" t="s">
        <v>1139</v>
      </c>
      <c r="E2111" s="115" t="s">
        <v>1140</v>
      </c>
    </row>
    <row r="2112" spans="1:5" x14ac:dyDescent="0.25">
      <c r="B2112" s="115" t="s">
        <v>1138</v>
      </c>
      <c r="D2112" s="115" t="s">
        <v>1139</v>
      </c>
      <c r="E2112" s="115" t="s">
        <v>1140</v>
      </c>
    </row>
    <row r="2113" spans="2:5" x14ac:dyDescent="0.25">
      <c r="B2113" s="115" t="s">
        <v>1138</v>
      </c>
      <c r="D2113" s="115" t="s">
        <v>1139</v>
      </c>
      <c r="E2113" s="115" t="s">
        <v>1140</v>
      </c>
    </row>
    <row r="2114" spans="2:5" x14ac:dyDescent="0.25">
      <c r="B2114" s="115" t="s">
        <v>1138</v>
      </c>
      <c r="D2114" s="115" t="s">
        <v>1139</v>
      </c>
      <c r="E2114" s="115" t="s">
        <v>1140</v>
      </c>
    </row>
    <row r="2115" spans="2:5" x14ac:dyDescent="0.25">
      <c r="B2115" s="115" t="s">
        <v>1138</v>
      </c>
      <c r="D2115" s="115" t="s">
        <v>1139</v>
      </c>
      <c r="E2115" s="115" t="s">
        <v>1140</v>
      </c>
    </row>
    <row r="2116" spans="2:5" x14ac:dyDescent="0.25">
      <c r="B2116" s="115" t="s">
        <v>1138</v>
      </c>
      <c r="D2116" s="115" t="s">
        <v>1139</v>
      </c>
      <c r="E2116" s="115" t="s">
        <v>1140</v>
      </c>
    </row>
    <row r="2117" spans="2:5" x14ac:dyDescent="0.25">
      <c r="B2117" s="115" t="s">
        <v>1138</v>
      </c>
      <c r="D2117" s="115" t="s">
        <v>1139</v>
      </c>
      <c r="E2117" s="115" t="s">
        <v>1140</v>
      </c>
    </row>
    <row r="2118" spans="2:5" x14ac:dyDescent="0.25">
      <c r="B2118" s="115" t="s">
        <v>1138</v>
      </c>
      <c r="D2118" s="115" t="s">
        <v>1139</v>
      </c>
      <c r="E2118" s="115" t="s">
        <v>1140</v>
      </c>
    </row>
    <row r="2119" spans="2:5" x14ac:dyDescent="0.25">
      <c r="B2119" s="115" t="s">
        <v>1138</v>
      </c>
      <c r="D2119" s="115" t="s">
        <v>1139</v>
      </c>
      <c r="E2119" s="115" t="s">
        <v>1140</v>
      </c>
    </row>
    <row r="2120" spans="2:5" x14ac:dyDescent="0.25">
      <c r="B2120" s="115" t="s">
        <v>1138</v>
      </c>
      <c r="D2120" s="115" t="s">
        <v>1139</v>
      </c>
      <c r="E2120" s="115" t="s">
        <v>1140</v>
      </c>
    </row>
    <row r="2121" spans="2:5" x14ac:dyDescent="0.25">
      <c r="B2121" s="115" t="s">
        <v>1138</v>
      </c>
      <c r="D2121" s="115" t="s">
        <v>1139</v>
      </c>
      <c r="E2121" s="115" t="s">
        <v>1140</v>
      </c>
    </row>
    <row r="2122" spans="2:5" x14ac:dyDescent="0.25">
      <c r="B2122" s="115" t="s">
        <v>1138</v>
      </c>
      <c r="D2122" s="115" t="s">
        <v>1139</v>
      </c>
      <c r="E2122" s="115" t="s">
        <v>1140</v>
      </c>
    </row>
    <row r="2123" spans="2:5" x14ac:dyDescent="0.25">
      <c r="B2123" s="115" t="s">
        <v>1138</v>
      </c>
      <c r="D2123" s="115" t="s">
        <v>1139</v>
      </c>
      <c r="E2123" s="115" t="s">
        <v>1140</v>
      </c>
    </row>
    <row r="2124" spans="2:5" x14ac:dyDescent="0.25">
      <c r="B2124" s="115" t="s">
        <v>1138</v>
      </c>
      <c r="D2124" s="115" t="s">
        <v>1139</v>
      </c>
      <c r="E2124" s="115" t="s">
        <v>1140</v>
      </c>
    </row>
    <row r="2125" spans="2:5" x14ac:dyDescent="0.25">
      <c r="B2125" s="115" t="s">
        <v>1138</v>
      </c>
      <c r="D2125" s="115" t="s">
        <v>1139</v>
      </c>
      <c r="E2125" s="115" t="s">
        <v>1140</v>
      </c>
    </row>
    <row r="2126" spans="2:5" x14ac:dyDescent="0.25">
      <c r="B2126" s="115" t="s">
        <v>1138</v>
      </c>
      <c r="D2126" s="115" t="s">
        <v>1139</v>
      </c>
      <c r="E2126" s="115" t="s">
        <v>1140</v>
      </c>
    </row>
    <row r="2127" spans="2:5" x14ac:dyDescent="0.25">
      <c r="B2127" s="115" t="s">
        <v>1138</v>
      </c>
      <c r="D2127" s="115" t="s">
        <v>1139</v>
      </c>
      <c r="E2127" s="115" t="s">
        <v>1140</v>
      </c>
    </row>
    <row r="2128" spans="2:5" x14ac:dyDescent="0.25">
      <c r="B2128" s="115" t="s">
        <v>1138</v>
      </c>
      <c r="D2128" s="115" t="s">
        <v>1139</v>
      </c>
      <c r="E2128" s="115" t="s">
        <v>1140</v>
      </c>
    </row>
    <row r="2129" spans="2:5" x14ac:dyDescent="0.25">
      <c r="B2129" s="115" t="s">
        <v>1138</v>
      </c>
      <c r="D2129" s="115" t="s">
        <v>1139</v>
      </c>
      <c r="E2129" s="115" t="s">
        <v>1140</v>
      </c>
    </row>
    <row r="2130" spans="2:5" x14ac:dyDescent="0.25">
      <c r="B2130" s="115" t="s">
        <v>1138</v>
      </c>
      <c r="D2130" s="115" t="s">
        <v>1139</v>
      </c>
      <c r="E2130" s="115" t="s">
        <v>1140</v>
      </c>
    </row>
    <row r="2131" spans="2:5" x14ac:dyDescent="0.25">
      <c r="B2131" s="115" t="s">
        <v>1138</v>
      </c>
      <c r="D2131" s="115" t="s">
        <v>1139</v>
      </c>
      <c r="E2131" s="115" t="s">
        <v>1140</v>
      </c>
    </row>
    <row r="2132" spans="2:5" x14ac:dyDescent="0.25">
      <c r="B2132" s="115" t="s">
        <v>1138</v>
      </c>
      <c r="D2132" s="115" t="s">
        <v>1139</v>
      </c>
      <c r="E2132" s="115" t="s">
        <v>1140</v>
      </c>
    </row>
    <row r="2133" spans="2:5" x14ac:dyDescent="0.25">
      <c r="B2133" s="115" t="s">
        <v>1138</v>
      </c>
      <c r="D2133" s="115" t="s">
        <v>1139</v>
      </c>
      <c r="E2133" s="115" t="s">
        <v>1140</v>
      </c>
    </row>
    <row r="2134" spans="2:5" x14ac:dyDescent="0.25">
      <c r="B2134" s="115" t="s">
        <v>1138</v>
      </c>
      <c r="D2134" s="115" t="s">
        <v>1139</v>
      </c>
      <c r="E2134" s="115" t="s">
        <v>1140</v>
      </c>
    </row>
    <row r="2135" spans="2:5" x14ac:dyDescent="0.25">
      <c r="B2135" s="115" t="s">
        <v>1138</v>
      </c>
      <c r="D2135" s="115" t="s">
        <v>1139</v>
      </c>
      <c r="E2135" s="115" t="s">
        <v>1140</v>
      </c>
    </row>
    <row r="2136" spans="2:5" x14ac:dyDescent="0.25">
      <c r="B2136" s="115" t="s">
        <v>1138</v>
      </c>
      <c r="D2136" s="115" t="s">
        <v>1139</v>
      </c>
      <c r="E2136" s="115" t="s">
        <v>1140</v>
      </c>
    </row>
    <row r="2137" spans="2:5" x14ac:dyDescent="0.25">
      <c r="B2137" s="115" t="s">
        <v>1138</v>
      </c>
      <c r="D2137" s="115" t="s">
        <v>1139</v>
      </c>
      <c r="E2137" s="115" t="s">
        <v>1140</v>
      </c>
    </row>
    <row r="2138" spans="2:5" x14ac:dyDescent="0.25">
      <c r="B2138" s="115" t="s">
        <v>1138</v>
      </c>
      <c r="D2138" s="115" t="s">
        <v>1139</v>
      </c>
      <c r="E2138" s="115" t="s">
        <v>1140</v>
      </c>
    </row>
    <row r="2139" spans="2:5" x14ac:dyDescent="0.25">
      <c r="B2139" s="115" t="s">
        <v>1138</v>
      </c>
      <c r="D2139" s="115" t="s">
        <v>1139</v>
      </c>
      <c r="E2139" s="115" t="s">
        <v>1140</v>
      </c>
    </row>
    <row r="2140" spans="2:5" x14ac:dyDescent="0.25">
      <c r="B2140" s="115" t="s">
        <v>1138</v>
      </c>
      <c r="D2140" s="115" t="s">
        <v>1139</v>
      </c>
      <c r="E2140" s="115" t="s">
        <v>1140</v>
      </c>
    </row>
    <row r="2141" spans="2:5" x14ac:dyDescent="0.25">
      <c r="B2141" s="115" t="s">
        <v>1138</v>
      </c>
      <c r="D2141" s="115" t="s">
        <v>1139</v>
      </c>
      <c r="E2141" s="115" t="s">
        <v>1140</v>
      </c>
    </row>
    <row r="2142" spans="2:5" x14ac:dyDescent="0.25">
      <c r="B2142" s="115" t="s">
        <v>1138</v>
      </c>
      <c r="D2142" s="115" t="s">
        <v>1139</v>
      </c>
      <c r="E2142" s="115" t="s">
        <v>1140</v>
      </c>
    </row>
    <row r="2143" spans="2:5" x14ac:dyDescent="0.25">
      <c r="B2143" s="115" t="s">
        <v>1138</v>
      </c>
      <c r="D2143" s="115" t="s">
        <v>1139</v>
      </c>
      <c r="E2143" s="115" t="s">
        <v>1140</v>
      </c>
    </row>
    <row r="2144" spans="2:5" x14ac:dyDescent="0.25">
      <c r="B2144" s="115" t="s">
        <v>1138</v>
      </c>
      <c r="D2144" s="115" t="s">
        <v>1139</v>
      </c>
      <c r="E2144" s="115" t="s">
        <v>1140</v>
      </c>
    </row>
    <row r="2145" spans="2:5" x14ac:dyDescent="0.25">
      <c r="B2145" s="115" t="s">
        <v>1138</v>
      </c>
      <c r="D2145" s="115" t="s">
        <v>1139</v>
      </c>
      <c r="E2145" s="115" t="s">
        <v>1140</v>
      </c>
    </row>
    <row r="2146" spans="2:5" x14ac:dyDescent="0.25">
      <c r="B2146" s="115" t="s">
        <v>1138</v>
      </c>
      <c r="D2146" s="115" t="s">
        <v>1139</v>
      </c>
      <c r="E2146" s="115" t="s">
        <v>1140</v>
      </c>
    </row>
    <row r="2147" spans="2:5" x14ac:dyDescent="0.25">
      <c r="B2147" s="115" t="s">
        <v>1138</v>
      </c>
      <c r="D2147" s="115" t="s">
        <v>1139</v>
      </c>
      <c r="E2147" s="115" t="s">
        <v>1140</v>
      </c>
    </row>
    <row r="2148" spans="2:5" x14ac:dyDescent="0.25">
      <c r="B2148" s="115" t="s">
        <v>1138</v>
      </c>
      <c r="D2148" s="115" t="s">
        <v>1139</v>
      </c>
      <c r="E2148" s="115" t="s">
        <v>1140</v>
      </c>
    </row>
    <row r="2149" spans="2:5" x14ac:dyDescent="0.25">
      <c r="B2149" s="115" t="s">
        <v>1138</v>
      </c>
      <c r="D2149" s="115" t="s">
        <v>1139</v>
      </c>
      <c r="E2149" s="115" t="s">
        <v>1140</v>
      </c>
    </row>
    <row r="2150" spans="2:5" x14ac:dyDescent="0.25">
      <c r="B2150" s="115" t="s">
        <v>1138</v>
      </c>
      <c r="D2150" s="115" t="s">
        <v>1139</v>
      </c>
      <c r="E2150" s="115" t="s">
        <v>1140</v>
      </c>
    </row>
    <row r="2151" spans="2:5" x14ac:dyDescent="0.25">
      <c r="B2151" s="115" t="s">
        <v>1138</v>
      </c>
      <c r="D2151" s="115" t="s">
        <v>1139</v>
      </c>
      <c r="E2151" s="115" t="s">
        <v>1140</v>
      </c>
    </row>
    <row r="2152" spans="2:5" x14ac:dyDescent="0.25">
      <c r="B2152" s="115" t="s">
        <v>1138</v>
      </c>
      <c r="D2152" s="115" t="s">
        <v>1139</v>
      </c>
      <c r="E2152" s="115" t="s">
        <v>1140</v>
      </c>
    </row>
    <row r="2153" spans="2:5" x14ac:dyDescent="0.25">
      <c r="B2153" s="115" t="s">
        <v>1138</v>
      </c>
      <c r="D2153" s="115" t="s">
        <v>1139</v>
      </c>
      <c r="E2153" s="115" t="s">
        <v>1140</v>
      </c>
    </row>
    <row r="2154" spans="2:5" x14ac:dyDescent="0.25">
      <c r="B2154" s="115" t="s">
        <v>1138</v>
      </c>
      <c r="D2154" s="115" t="s">
        <v>1139</v>
      </c>
      <c r="E2154" s="115" t="s">
        <v>1140</v>
      </c>
    </row>
    <row r="2155" spans="2:5" x14ac:dyDescent="0.25">
      <c r="B2155" s="115" t="s">
        <v>1138</v>
      </c>
      <c r="D2155" s="115" t="s">
        <v>1139</v>
      </c>
      <c r="E2155" s="115" t="s">
        <v>1140</v>
      </c>
    </row>
    <row r="2156" spans="2:5" x14ac:dyDescent="0.25">
      <c r="B2156" s="115" t="s">
        <v>1138</v>
      </c>
      <c r="D2156" s="115" t="s">
        <v>1139</v>
      </c>
      <c r="E2156" s="115" t="s">
        <v>1140</v>
      </c>
    </row>
    <row r="2157" spans="2:5" x14ac:dyDescent="0.25">
      <c r="B2157" s="115" t="s">
        <v>1138</v>
      </c>
      <c r="D2157" s="115" t="s">
        <v>1139</v>
      </c>
      <c r="E2157" s="115" t="s">
        <v>1140</v>
      </c>
    </row>
    <row r="2158" spans="2:5" x14ac:dyDescent="0.25">
      <c r="B2158" s="115" t="s">
        <v>1138</v>
      </c>
      <c r="D2158" s="115" t="s">
        <v>1139</v>
      </c>
      <c r="E2158" s="115" t="s">
        <v>1140</v>
      </c>
    </row>
    <row r="2159" spans="2:5" x14ac:dyDescent="0.25">
      <c r="B2159" s="115" t="s">
        <v>1138</v>
      </c>
      <c r="D2159" s="115" t="s">
        <v>3774</v>
      </c>
      <c r="E2159" s="115" t="s">
        <v>3775</v>
      </c>
    </row>
    <row r="2160" spans="2:5" x14ac:dyDescent="0.25">
      <c r="B2160" s="115" t="s">
        <v>1525</v>
      </c>
      <c r="D2160" s="115" t="s">
        <v>1267</v>
      </c>
      <c r="E2160" s="115" t="s">
        <v>3776</v>
      </c>
    </row>
    <row r="2161" spans="1:5" x14ac:dyDescent="0.25">
      <c r="B2161" s="115" t="s">
        <v>1138</v>
      </c>
      <c r="D2161" s="115" t="s">
        <v>1139</v>
      </c>
      <c r="E2161" s="115" t="s">
        <v>3777</v>
      </c>
    </row>
    <row r="2162" spans="1:5" x14ac:dyDescent="0.25">
      <c r="B2162" s="115" t="s">
        <v>1588</v>
      </c>
      <c r="D2162" s="115" t="s">
        <v>3778</v>
      </c>
      <c r="E2162" s="115" t="s">
        <v>3779</v>
      </c>
    </row>
    <row r="2163" spans="1:5" x14ac:dyDescent="0.25">
      <c r="B2163" s="115" t="s">
        <v>1342</v>
      </c>
      <c r="D2163" s="115" t="s">
        <v>3780</v>
      </c>
      <c r="E2163" s="115" t="s">
        <v>1140</v>
      </c>
    </row>
    <row r="2164" spans="1:5" x14ac:dyDescent="0.25">
      <c r="B2164" s="115" t="s">
        <v>1629</v>
      </c>
      <c r="D2164" s="115" t="s">
        <v>1139</v>
      </c>
      <c r="E2164" s="115" t="s">
        <v>3781</v>
      </c>
    </row>
    <row r="2165" spans="1:5" x14ac:dyDescent="0.25">
      <c r="B2165" s="115" t="s">
        <v>3782</v>
      </c>
      <c r="D2165" s="115" t="s">
        <v>1139</v>
      </c>
      <c r="E2165" s="115" t="s">
        <v>3783</v>
      </c>
    </row>
    <row r="2166" spans="1:5" x14ac:dyDescent="0.25">
      <c r="B2166" s="115" t="s">
        <v>3784</v>
      </c>
      <c r="D2166" s="115" t="s">
        <v>3785</v>
      </c>
      <c r="E2166" s="115" t="s">
        <v>3786</v>
      </c>
    </row>
    <row r="2167" spans="1:5" x14ac:dyDescent="0.25">
      <c r="A2167" s="115" t="s">
        <v>1137</v>
      </c>
      <c r="B2167" s="115" t="s">
        <v>3787</v>
      </c>
      <c r="D2167" s="115" t="s">
        <v>3788</v>
      </c>
      <c r="E2167" s="115" t="s">
        <v>3789</v>
      </c>
    </row>
    <row r="2168" spans="1:5" x14ac:dyDescent="0.25">
      <c r="A2168" s="115" t="s">
        <v>1137</v>
      </c>
      <c r="B2168" s="115" t="s">
        <v>3790</v>
      </c>
      <c r="D2168" s="115" t="s">
        <v>3791</v>
      </c>
      <c r="E2168" s="115" t="s">
        <v>3792</v>
      </c>
    </row>
    <row r="2169" spans="1:5" x14ac:dyDescent="0.25">
      <c r="A2169" s="115" t="s">
        <v>1137</v>
      </c>
      <c r="B2169" s="115" t="s">
        <v>3793</v>
      </c>
      <c r="D2169" s="115" t="s">
        <v>3794</v>
      </c>
      <c r="E2169" s="115" t="s">
        <v>3795</v>
      </c>
    </row>
    <row r="2170" spans="1:5" x14ac:dyDescent="0.25">
      <c r="A2170" s="115" t="s">
        <v>1137</v>
      </c>
      <c r="B2170" s="115" t="s">
        <v>1341</v>
      </c>
      <c r="D2170" s="115" t="s">
        <v>1849</v>
      </c>
      <c r="E2170" s="115" t="s">
        <v>3796</v>
      </c>
    </row>
    <row r="2171" spans="1:5" x14ac:dyDescent="0.25">
      <c r="B2171" s="115" t="s">
        <v>3797</v>
      </c>
      <c r="D2171" s="115" t="s">
        <v>3798</v>
      </c>
      <c r="E2171" s="115" t="s">
        <v>3799</v>
      </c>
    </row>
    <row r="2172" spans="1:5" x14ac:dyDescent="0.25">
      <c r="A2172" s="115" t="s">
        <v>1137</v>
      </c>
      <c r="B2172" s="115" t="s">
        <v>3800</v>
      </c>
      <c r="D2172" s="115" t="s">
        <v>3801</v>
      </c>
      <c r="E2172" s="115" t="s">
        <v>3802</v>
      </c>
    </row>
    <row r="2173" spans="1:5" x14ac:dyDescent="0.25">
      <c r="A2173" s="115" t="s">
        <v>1137</v>
      </c>
      <c r="B2173" s="115" t="s">
        <v>1680</v>
      </c>
      <c r="D2173" s="115" t="s">
        <v>2624</v>
      </c>
      <c r="E2173" s="115" t="s">
        <v>3803</v>
      </c>
    </row>
    <row r="2174" spans="1:5" x14ac:dyDescent="0.25">
      <c r="B2174" s="115" t="s">
        <v>1645</v>
      </c>
      <c r="D2174" s="115" t="s">
        <v>3804</v>
      </c>
      <c r="E2174" s="115" t="s">
        <v>3805</v>
      </c>
    </row>
    <row r="2175" spans="1:5" x14ac:dyDescent="0.25">
      <c r="A2175" s="115" t="s">
        <v>1137</v>
      </c>
      <c r="B2175" s="115" t="s">
        <v>3806</v>
      </c>
      <c r="D2175" s="115" t="s">
        <v>3807</v>
      </c>
      <c r="E2175" s="115" t="s">
        <v>3808</v>
      </c>
    </row>
    <row r="2176" spans="1:5" x14ac:dyDescent="0.25">
      <c r="B2176" s="115" t="s">
        <v>1138</v>
      </c>
      <c r="D2176" s="115" t="s">
        <v>3809</v>
      </c>
      <c r="E2176" s="115" t="s">
        <v>3810</v>
      </c>
    </row>
    <row r="2177" spans="1:5" x14ac:dyDescent="0.25">
      <c r="B2177" s="115" t="s">
        <v>1138</v>
      </c>
      <c r="D2177" s="115" t="s">
        <v>3811</v>
      </c>
      <c r="E2177" s="115" t="s">
        <v>3812</v>
      </c>
    </row>
    <row r="2178" spans="1:5" x14ac:dyDescent="0.25">
      <c r="A2178" s="115">
        <v>-8</v>
      </c>
      <c r="B2178" s="115" t="s">
        <v>3813</v>
      </c>
      <c r="D2178" s="115" t="s">
        <v>1139</v>
      </c>
      <c r="E2178" s="115" t="s">
        <v>1140</v>
      </c>
    </row>
    <row r="2179" spans="1:5" x14ac:dyDescent="0.25">
      <c r="B2179" s="115" t="s">
        <v>1138</v>
      </c>
      <c r="D2179" s="115" t="s">
        <v>1139</v>
      </c>
      <c r="E2179" s="115" t="s">
        <v>1140</v>
      </c>
    </row>
    <row r="2180" spans="1:5" x14ac:dyDescent="0.25">
      <c r="B2180" s="115" t="s">
        <v>1138</v>
      </c>
      <c r="D2180" s="115" t="s">
        <v>1139</v>
      </c>
      <c r="E2180" s="115" t="s">
        <v>1140</v>
      </c>
    </row>
    <row r="2181" spans="1:5" x14ac:dyDescent="0.25">
      <c r="B2181" s="115" t="s">
        <v>1138</v>
      </c>
      <c r="D2181" s="115" t="s">
        <v>1139</v>
      </c>
      <c r="E2181" s="115" t="s">
        <v>1140</v>
      </c>
    </row>
    <row r="2182" spans="1:5" x14ac:dyDescent="0.25">
      <c r="B2182" s="115" t="s">
        <v>1138</v>
      </c>
      <c r="D2182" s="115" t="s">
        <v>1139</v>
      </c>
      <c r="E2182" s="115" t="s">
        <v>1140</v>
      </c>
    </row>
    <row r="2183" spans="1:5" x14ac:dyDescent="0.25">
      <c r="B2183" s="115" t="s">
        <v>1138</v>
      </c>
      <c r="D2183" s="115" t="s">
        <v>1139</v>
      </c>
      <c r="E2183" s="115" t="s">
        <v>1140</v>
      </c>
    </row>
    <row r="2184" spans="1:5" x14ac:dyDescent="0.25">
      <c r="B2184" s="115" t="s">
        <v>1138</v>
      </c>
      <c r="D2184" s="115" t="s">
        <v>1139</v>
      </c>
      <c r="E2184" s="115" t="s">
        <v>1140</v>
      </c>
    </row>
    <row r="2185" spans="1:5" x14ac:dyDescent="0.25">
      <c r="B2185" s="115" t="s">
        <v>1138</v>
      </c>
      <c r="D2185" s="115" t="s">
        <v>1139</v>
      </c>
      <c r="E2185" s="115" t="s">
        <v>1140</v>
      </c>
    </row>
    <row r="2186" spans="1:5" x14ac:dyDescent="0.25">
      <c r="B2186" s="115" t="s">
        <v>1138</v>
      </c>
      <c r="D2186" s="115" t="s">
        <v>1139</v>
      </c>
      <c r="E2186" s="115" t="s">
        <v>1140</v>
      </c>
    </row>
    <row r="2187" spans="1:5" x14ac:dyDescent="0.25">
      <c r="B2187" s="115" t="s">
        <v>1138</v>
      </c>
      <c r="D2187" s="115" t="s">
        <v>1139</v>
      </c>
      <c r="E2187" s="115" t="s">
        <v>1140</v>
      </c>
    </row>
    <row r="2188" spans="1:5" x14ac:dyDescent="0.25">
      <c r="B2188" s="115" t="s">
        <v>1138</v>
      </c>
      <c r="D2188" s="115" t="s">
        <v>1139</v>
      </c>
      <c r="E2188" s="115" t="s">
        <v>1140</v>
      </c>
    </row>
    <row r="2189" spans="1:5" x14ac:dyDescent="0.25">
      <c r="B2189" s="115" t="s">
        <v>1138</v>
      </c>
      <c r="D2189" s="115" t="s">
        <v>1139</v>
      </c>
      <c r="E2189" s="115" t="s">
        <v>1140</v>
      </c>
    </row>
    <row r="2190" spans="1:5" x14ac:dyDescent="0.25">
      <c r="B2190" s="115" t="s">
        <v>1138</v>
      </c>
      <c r="D2190" s="115" t="s">
        <v>1139</v>
      </c>
      <c r="E2190" s="115" t="s">
        <v>1140</v>
      </c>
    </row>
    <row r="2191" spans="1:5" x14ac:dyDescent="0.25">
      <c r="B2191" s="115" t="s">
        <v>1138</v>
      </c>
      <c r="D2191" s="115" t="s">
        <v>1139</v>
      </c>
      <c r="E2191" s="115" t="s">
        <v>1140</v>
      </c>
    </row>
    <row r="2192" spans="1:5" x14ac:dyDescent="0.25">
      <c r="B2192" s="115" t="s">
        <v>1138</v>
      </c>
      <c r="D2192" s="115" t="s">
        <v>1139</v>
      </c>
      <c r="E2192" s="115" t="s">
        <v>1140</v>
      </c>
    </row>
    <row r="2193" spans="1:5" x14ac:dyDescent="0.25">
      <c r="B2193" s="115" t="s">
        <v>1138</v>
      </c>
      <c r="D2193" s="115" t="s">
        <v>1139</v>
      </c>
      <c r="E2193" s="115" t="s">
        <v>1140</v>
      </c>
    </row>
    <row r="2194" spans="1:5" x14ac:dyDescent="0.25">
      <c r="B2194" s="115" t="s">
        <v>1138</v>
      </c>
      <c r="D2194" s="115" t="s">
        <v>1139</v>
      </c>
      <c r="E2194" s="115" t="s">
        <v>1140</v>
      </c>
    </row>
    <row r="2195" spans="1:5" x14ac:dyDescent="0.25">
      <c r="B2195" s="115" t="s">
        <v>1138</v>
      </c>
      <c r="D2195" s="115" t="s">
        <v>1139</v>
      </c>
      <c r="E2195" s="115" t="s">
        <v>1140</v>
      </c>
    </row>
    <row r="2196" spans="1:5" x14ac:dyDescent="0.25">
      <c r="B2196" s="115" t="s">
        <v>1138</v>
      </c>
      <c r="D2196" s="115" t="s">
        <v>1139</v>
      </c>
      <c r="E2196" s="115" t="s">
        <v>1140</v>
      </c>
    </row>
    <row r="2197" spans="1:5" x14ac:dyDescent="0.25">
      <c r="B2197" s="115" t="s">
        <v>1138</v>
      </c>
      <c r="D2197" s="115" t="s">
        <v>1139</v>
      </c>
      <c r="E2197" s="115" t="s">
        <v>3814</v>
      </c>
    </row>
    <row r="2198" spans="1:5" x14ac:dyDescent="0.25">
      <c r="B2198" s="115" t="s">
        <v>1138</v>
      </c>
      <c r="D2198" s="115" t="s">
        <v>3815</v>
      </c>
      <c r="E2198" s="115" t="s">
        <v>3816</v>
      </c>
    </row>
    <row r="2199" spans="1:5" x14ac:dyDescent="0.25">
      <c r="B2199" s="115" t="s">
        <v>1138</v>
      </c>
      <c r="D2199" s="115" t="s">
        <v>1139</v>
      </c>
      <c r="E2199" s="115" t="s">
        <v>3817</v>
      </c>
    </row>
    <row r="2200" spans="1:5" x14ac:dyDescent="0.25">
      <c r="B2200" s="115" t="s">
        <v>1138</v>
      </c>
      <c r="D2200" s="115" t="s">
        <v>3818</v>
      </c>
      <c r="E2200" s="115" t="s">
        <v>3819</v>
      </c>
    </row>
    <row r="2201" spans="1:5" x14ac:dyDescent="0.25">
      <c r="B2201" s="115" t="s">
        <v>3820</v>
      </c>
      <c r="D2201" s="115" t="s">
        <v>3821</v>
      </c>
      <c r="E2201" s="115" t="s">
        <v>2689</v>
      </c>
    </row>
    <row r="2202" spans="1:5" x14ac:dyDescent="0.25">
      <c r="B2202" s="115" t="s">
        <v>2496</v>
      </c>
      <c r="D2202" s="115" t="s">
        <v>1139</v>
      </c>
      <c r="E2202" s="115" t="s">
        <v>3822</v>
      </c>
    </row>
    <row r="2203" spans="1:5" x14ac:dyDescent="0.25">
      <c r="A2203" s="115">
        <v>2</v>
      </c>
      <c r="B2203" s="115" t="s">
        <v>1575</v>
      </c>
      <c r="D2203" s="115" t="s">
        <v>3823</v>
      </c>
      <c r="E2203" s="115" t="s">
        <v>3824</v>
      </c>
    </row>
    <row r="2204" spans="1:5" x14ac:dyDescent="0.25">
      <c r="B2204" s="115" t="s">
        <v>1138</v>
      </c>
      <c r="D2204" s="115" t="s">
        <v>3825</v>
      </c>
      <c r="E2204" s="115" t="s">
        <v>3826</v>
      </c>
    </row>
    <row r="2205" spans="1:5" x14ac:dyDescent="0.25">
      <c r="B2205" s="115" t="s">
        <v>3827</v>
      </c>
      <c r="D2205" s="115" t="s">
        <v>1139</v>
      </c>
      <c r="E2205" s="115" t="s">
        <v>3828</v>
      </c>
    </row>
    <row r="2206" spans="1:5" x14ac:dyDescent="0.25">
      <c r="A2206" s="115">
        <v>2</v>
      </c>
      <c r="B2206" s="115" t="s">
        <v>3829</v>
      </c>
      <c r="D2206" s="115" t="s">
        <v>3830</v>
      </c>
      <c r="E2206" s="115" t="s">
        <v>3831</v>
      </c>
    </row>
    <row r="2207" spans="1:5" x14ac:dyDescent="0.25">
      <c r="B2207" s="115" t="s">
        <v>3832</v>
      </c>
      <c r="D2207" s="115" t="s">
        <v>3833</v>
      </c>
      <c r="E2207" s="115" t="s">
        <v>3834</v>
      </c>
    </row>
    <row r="2208" spans="1:5" x14ac:dyDescent="0.25">
      <c r="B2208" s="115">
        <f>-16   -240</f>
        <v>-256</v>
      </c>
      <c r="D2208" s="115" t="s">
        <v>1139</v>
      </c>
      <c r="E2208" s="115" t="s">
        <v>3835</v>
      </c>
    </row>
    <row r="2209" spans="1:5" x14ac:dyDescent="0.25">
      <c r="A2209" s="115">
        <v>2</v>
      </c>
      <c r="B2209" s="115" t="s">
        <v>3836</v>
      </c>
      <c r="D2209" s="115" t="s">
        <v>3837</v>
      </c>
      <c r="E2209" s="115" t="s">
        <v>3838</v>
      </c>
    </row>
    <row r="2210" spans="1:5" x14ac:dyDescent="0.25">
      <c r="B2210" s="115" t="s">
        <v>1598</v>
      </c>
      <c r="C2210" s="115" t="s">
        <v>1137</v>
      </c>
      <c r="D2210" s="115" t="s">
        <v>3839</v>
      </c>
      <c r="E2210" s="115" t="s">
        <v>3840</v>
      </c>
    </row>
    <row r="2211" spans="1:5" x14ac:dyDescent="0.25">
      <c r="A2211" s="115" t="s">
        <v>1137</v>
      </c>
      <c r="B2211" s="115" t="s">
        <v>3841</v>
      </c>
      <c r="D2211" s="115" t="s">
        <v>1139</v>
      </c>
      <c r="E2211" s="115" t="s">
        <v>3842</v>
      </c>
    </row>
    <row r="2212" spans="1:5" x14ac:dyDescent="0.25">
      <c r="A2212" s="115">
        <v>2</v>
      </c>
      <c r="B2212" s="115" t="s">
        <v>3843</v>
      </c>
      <c r="D2212" s="115" t="s">
        <v>3844</v>
      </c>
      <c r="E2212" s="115" t="s">
        <v>3845</v>
      </c>
    </row>
    <row r="2213" spans="1:5" x14ac:dyDescent="0.25">
      <c r="B2213" s="115" t="s">
        <v>3846</v>
      </c>
      <c r="D2213" s="115" t="s">
        <v>1242</v>
      </c>
      <c r="E2213" s="115" t="s">
        <v>3847</v>
      </c>
    </row>
    <row r="2214" spans="1:5" x14ac:dyDescent="0.25">
      <c r="B2214" s="115" t="s">
        <v>1138</v>
      </c>
      <c r="D2214" s="115" t="s">
        <v>1139</v>
      </c>
      <c r="E2214" s="115" t="s">
        <v>3848</v>
      </c>
    </row>
    <row r="2215" spans="1:5" x14ac:dyDescent="0.25">
      <c r="A2215" s="115">
        <v>1</v>
      </c>
      <c r="B2215" s="115" t="s">
        <v>3849</v>
      </c>
      <c r="D2215" s="115" t="s">
        <v>1139</v>
      </c>
      <c r="E2215" s="115" t="s">
        <v>3850</v>
      </c>
    </row>
    <row r="2216" spans="1:5" x14ac:dyDescent="0.25">
      <c r="A2216" s="115">
        <v>-2</v>
      </c>
      <c r="B2216" s="115" t="s">
        <v>3851</v>
      </c>
      <c r="D2216" s="115" t="s">
        <v>3852</v>
      </c>
      <c r="E2216" s="115" t="s">
        <v>3853</v>
      </c>
    </row>
    <row r="2217" spans="1:5" x14ac:dyDescent="0.25">
      <c r="B2217" s="115" t="s">
        <v>1138</v>
      </c>
      <c r="D2217" s="115" t="s">
        <v>1139</v>
      </c>
      <c r="E2217" s="115" t="s">
        <v>1140</v>
      </c>
    </row>
    <row r="2218" spans="1:5" x14ac:dyDescent="0.25">
      <c r="B2218" s="115" t="s">
        <v>1138</v>
      </c>
      <c r="D2218" s="115" t="s">
        <v>1139</v>
      </c>
      <c r="E2218" s="115" t="s">
        <v>1140</v>
      </c>
    </row>
    <row r="2219" spans="1:5" x14ac:dyDescent="0.25">
      <c r="B2219" s="115" t="s">
        <v>1138</v>
      </c>
      <c r="D2219" s="115" t="s">
        <v>1139</v>
      </c>
      <c r="E2219" s="115" t="s">
        <v>1140</v>
      </c>
    </row>
    <row r="2220" spans="1:5" x14ac:dyDescent="0.25">
      <c r="B2220" s="115" t="s">
        <v>1138</v>
      </c>
      <c r="D2220" s="115" t="s">
        <v>1139</v>
      </c>
      <c r="E2220" s="115" t="s">
        <v>1140</v>
      </c>
    </row>
    <row r="2221" spans="1:5" x14ac:dyDescent="0.25">
      <c r="B2221" s="115" t="s">
        <v>1138</v>
      </c>
      <c r="D2221" s="115" t="s">
        <v>1139</v>
      </c>
      <c r="E2221" s="115" t="s">
        <v>1140</v>
      </c>
    </row>
    <row r="2222" spans="1:5" x14ac:dyDescent="0.25">
      <c r="B2222" s="115" t="s">
        <v>1138</v>
      </c>
      <c r="D2222" s="115" t="s">
        <v>1139</v>
      </c>
      <c r="E2222" s="115" t="s">
        <v>1140</v>
      </c>
    </row>
    <row r="2223" spans="1:5" x14ac:dyDescent="0.25">
      <c r="B2223" s="115" t="s">
        <v>1138</v>
      </c>
      <c r="D2223" s="115" t="s">
        <v>1139</v>
      </c>
      <c r="E2223" s="115" t="s">
        <v>1140</v>
      </c>
    </row>
    <row r="2224" spans="1:5" x14ac:dyDescent="0.25">
      <c r="B2224" s="115" t="s">
        <v>1138</v>
      </c>
      <c r="D2224" s="115" t="s">
        <v>1139</v>
      </c>
      <c r="E2224" s="115" t="s">
        <v>1140</v>
      </c>
    </row>
    <row r="2225" spans="2:5" x14ac:dyDescent="0.25">
      <c r="B2225" s="115" t="s">
        <v>1138</v>
      </c>
      <c r="D2225" s="115" t="s">
        <v>1139</v>
      </c>
      <c r="E2225" s="115" t="s">
        <v>1140</v>
      </c>
    </row>
    <row r="2226" spans="2:5" x14ac:dyDescent="0.25">
      <c r="B2226" s="115" t="s">
        <v>1138</v>
      </c>
      <c r="D2226" s="115" t="s">
        <v>1139</v>
      </c>
      <c r="E2226" s="115" t="s">
        <v>1140</v>
      </c>
    </row>
    <row r="2227" spans="2:5" x14ac:dyDescent="0.25">
      <c r="B2227" s="115" t="s">
        <v>1138</v>
      </c>
      <c r="D2227" s="115" t="s">
        <v>1139</v>
      </c>
      <c r="E2227" s="115" t="s">
        <v>1140</v>
      </c>
    </row>
    <row r="2228" spans="2:5" x14ac:dyDescent="0.25">
      <c r="B2228" s="115" t="s">
        <v>1138</v>
      </c>
      <c r="D2228" s="115" t="s">
        <v>1139</v>
      </c>
      <c r="E2228" s="115" t="s">
        <v>1140</v>
      </c>
    </row>
    <row r="2229" spans="2:5" x14ac:dyDescent="0.25">
      <c r="B2229" s="115" t="s">
        <v>1138</v>
      </c>
      <c r="D2229" s="115" t="s">
        <v>1139</v>
      </c>
      <c r="E2229" s="115" t="s">
        <v>1140</v>
      </c>
    </row>
    <row r="2230" spans="2:5" x14ac:dyDescent="0.25">
      <c r="B2230" s="115" t="s">
        <v>1138</v>
      </c>
      <c r="D2230" s="115" t="s">
        <v>1139</v>
      </c>
      <c r="E2230" s="115" t="s">
        <v>1140</v>
      </c>
    </row>
    <row r="2231" spans="2:5" x14ac:dyDescent="0.25">
      <c r="B2231" s="115" t="s">
        <v>1138</v>
      </c>
      <c r="D2231" s="115" t="s">
        <v>1139</v>
      </c>
      <c r="E2231" s="115" t="s">
        <v>1140</v>
      </c>
    </row>
    <row r="2232" spans="2:5" x14ac:dyDescent="0.25">
      <c r="B2232" s="115" t="s">
        <v>1138</v>
      </c>
      <c r="D2232" s="115" t="s">
        <v>1139</v>
      </c>
      <c r="E2232" s="115" t="s">
        <v>1140</v>
      </c>
    </row>
    <row r="2233" spans="2:5" x14ac:dyDescent="0.25">
      <c r="B2233" s="115" t="s">
        <v>1138</v>
      </c>
      <c r="D2233" s="115" t="s">
        <v>1139</v>
      </c>
      <c r="E2233" s="115" t="s">
        <v>1140</v>
      </c>
    </row>
    <row r="2234" spans="2:5" x14ac:dyDescent="0.25">
      <c r="B2234" s="115" t="s">
        <v>1138</v>
      </c>
      <c r="D2234" s="115" t="s">
        <v>1139</v>
      </c>
      <c r="E2234" s="115" t="s">
        <v>1140</v>
      </c>
    </row>
    <row r="2235" spans="2:5" x14ac:dyDescent="0.25">
      <c r="B2235" s="115" t="s">
        <v>1138</v>
      </c>
      <c r="D2235" s="115" t="s">
        <v>1139</v>
      </c>
      <c r="E2235" s="115" t="s">
        <v>1140</v>
      </c>
    </row>
    <row r="2236" spans="2:5" x14ac:dyDescent="0.25">
      <c r="B2236" s="115" t="s">
        <v>1138</v>
      </c>
      <c r="D2236" s="115" t="s">
        <v>1139</v>
      </c>
      <c r="E2236" s="115" t="s">
        <v>1140</v>
      </c>
    </row>
    <row r="2237" spans="2:5" x14ac:dyDescent="0.25">
      <c r="B2237" s="115" t="s">
        <v>1138</v>
      </c>
      <c r="D2237" s="115" t="s">
        <v>1139</v>
      </c>
      <c r="E2237" s="115" t="s">
        <v>1140</v>
      </c>
    </row>
    <row r="2238" spans="2:5" x14ac:dyDescent="0.25">
      <c r="B2238" s="115" t="s">
        <v>1138</v>
      </c>
      <c r="D2238" s="115" t="s">
        <v>1139</v>
      </c>
      <c r="E2238" s="115" t="s">
        <v>1140</v>
      </c>
    </row>
    <row r="2239" spans="2:5" x14ac:dyDescent="0.25">
      <c r="B2239" s="115" t="s">
        <v>1138</v>
      </c>
      <c r="D2239" s="115" t="s">
        <v>1139</v>
      </c>
      <c r="E2239" s="115" t="s">
        <v>1140</v>
      </c>
    </row>
    <row r="2240" spans="2:5" x14ac:dyDescent="0.25">
      <c r="B2240" s="115" t="s">
        <v>1138</v>
      </c>
      <c r="D2240" s="115" t="s">
        <v>1139</v>
      </c>
      <c r="E2240" s="115" t="s">
        <v>1140</v>
      </c>
    </row>
    <row r="2241" spans="2:5" x14ac:dyDescent="0.25">
      <c r="B2241" s="115" t="s">
        <v>1138</v>
      </c>
      <c r="D2241" s="115" t="s">
        <v>1139</v>
      </c>
      <c r="E2241" s="115" t="s">
        <v>1140</v>
      </c>
    </row>
    <row r="2242" spans="2:5" x14ac:dyDescent="0.25">
      <c r="B2242" s="115" t="s">
        <v>1138</v>
      </c>
      <c r="D2242" s="115" t="s">
        <v>1139</v>
      </c>
      <c r="E2242" s="115" t="s">
        <v>1140</v>
      </c>
    </row>
    <row r="2243" spans="2:5" x14ac:dyDescent="0.25">
      <c r="B2243" s="115" t="s">
        <v>1138</v>
      </c>
      <c r="D2243" s="115" t="s">
        <v>1139</v>
      </c>
      <c r="E2243" s="115" t="s">
        <v>1140</v>
      </c>
    </row>
    <row r="2244" spans="2:5" x14ac:dyDescent="0.25">
      <c r="B2244" s="115" t="s">
        <v>1138</v>
      </c>
      <c r="D2244" s="115" t="s">
        <v>1139</v>
      </c>
      <c r="E2244" s="115" t="s">
        <v>1140</v>
      </c>
    </row>
    <row r="2245" spans="2:5" x14ac:dyDescent="0.25">
      <c r="B2245" s="115" t="s">
        <v>1138</v>
      </c>
      <c r="D2245" s="115" t="s">
        <v>1139</v>
      </c>
      <c r="E2245" s="115" t="s">
        <v>1140</v>
      </c>
    </row>
    <row r="2246" spans="2:5" x14ac:dyDescent="0.25">
      <c r="B2246" s="115" t="s">
        <v>1138</v>
      </c>
      <c r="D2246" s="115" t="s">
        <v>1139</v>
      </c>
      <c r="E2246" s="115" t="s">
        <v>1140</v>
      </c>
    </row>
    <row r="2247" spans="2:5" x14ac:dyDescent="0.25">
      <c r="B2247" s="115" t="s">
        <v>1138</v>
      </c>
      <c r="D2247" s="115" t="s">
        <v>1139</v>
      </c>
      <c r="E2247" s="115" t="s">
        <v>1140</v>
      </c>
    </row>
    <row r="2248" spans="2:5" x14ac:dyDescent="0.25">
      <c r="B2248" s="115" t="s">
        <v>1138</v>
      </c>
      <c r="D2248" s="115" t="s">
        <v>1139</v>
      </c>
      <c r="E2248" s="115" t="s">
        <v>1140</v>
      </c>
    </row>
    <row r="2249" spans="2:5" x14ac:dyDescent="0.25">
      <c r="B2249" s="115" t="s">
        <v>1138</v>
      </c>
      <c r="D2249" s="115" t="s">
        <v>1139</v>
      </c>
      <c r="E2249" s="115" t="s">
        <v>1140</v>
      </c>
    </row>
    <row r="2250" spans="2:5" x14ac:dyDescent="0.25">
      <c r="B2250" s="115" t="s">
        <v>1138</v>
      </c>
      <c r="D2250" s="115" t="s">
        <v>1139</v>
      </c>
      <c r="E2250" s="115" t="s">
        <v>1140</v>
      </c>
    </row>
    <row r="2251" spans="2:5" x14ac:dyDescent="0.25">
      <c r="B2251" s="115" t="s">
        <v>1138</v>
      </c>
      <c r="D2251" s="115" t="s">
        <v>1139</v>
      </c>
      <c r="E2251" s="115" t="s">
        <v>1140</v>
      </c>
    </row>
    <row r="2252" spans="2:5" x14ac:dyDescent="0.25">
      <c r="B2252" s="115" t="s">
        <v>1138</v>
      </c>
      <c r="D2252" s="115" t="s">
        <v>1139</v>
      </c>
      <c r="E2252" s="115" t="s">
        <v>1140</v>
      </c>
    </row>
    <row r="2253" spans="2:5" x14ac:dyDescent="0.25">
      <c r="B2253" s="115" t="s">
        <v>1138</v>
      </c>
      <c r="D2253" s="115" t="s">
        <v>1139</v>
      </c>
      <c r="E2253" s="115" t="s">
        <v>1140</v>
      </c>
    </row>
    <row r="2254" spans="2:5" x14ac:dyDescent="0.25">
      <c r="B2254" s="115" t="s">
        <v>1138</v>
      </c>
      <c r="D2254" s="115" t="s">
        <v>1139</v>
      </c>
      <c r="E2254" s="115" t="s">
        <v>1140</v>
      </c>
    </row>
    <row r="2255" spans="2:5" x14ac:dyDescent="0.25">
      <c r="B2255" s="115" t="s">
        <v>1138</v>
      </c>
      <c r="D2255" s="115" t="s">
        <v>3854</v>
      </c>
      <c r="E2255" s="115" t="s">
        <v>3855</v>
      </c>
    </row>
    <row r="2256" spans="2:5" x14ac:dyDescent="0.25">
      <c r="B2256" s="115" t="s">
        <v>1655</v>
      </c>
      <c r="D2256" s="115" t="s">
        <v>3856</v>
      </c>
      <c r="E2256" s="115" t="s">
        <v>3857</v>
      </c>
    </row>
    <row r="2257" spans="1:5" x14ac:dyDescent="0.25">
      <c r="B2257" s="115" t="s">
        <v>1138</v>
      </c>
      <c r="D2257" s="115" t="s">
        <v>1139</v>
      </c>
      <c r="E2257" s="115" t="s">
        <v>3858</v>
      </c>
    </row>
    <row r="2258" spans="1:5" x14ac:dyDescent="0.25">
      <c r="B2258" s="115" t="s">
        <v>3859</v>
      </c>
      <c r="D2258" s="115" t="s">
        <v>3860</v>
      </c>
      <c r="E2258" s="115" t="s">
        <v>3861</v>
      </c>
    </row>
    <row r="2259" spans="1:5" x14ac:dyDescent="0.25">
      <c r="A2259" s="115" t="s">
        <v>1137</v>
      </c>
      <c r="B2259" s="115" t="s">
        <v>1286</v>
      </c>
      <c r="D2259" s="115" t="s">
        <v>3862</v>
      </c>
      <c r="E2259" s="115" t="s">
        <v>1140</v>
      </c>
    </row>
    <row r="2260" spans="1:5" x14ac:dyDescent="0.25">
      <c r="B2260" s="115" t="s">
        <v>1503</v>
      </c>
      <c r="D2260" s="115" t="s">
        <v>1139</v>
      </c>
      <c r="E2260" s="115" t="s">
        <v>3863</v>
      </c>
    </row>
    <row r="2261" spans="1:5" x14ac:dyDescent="0.25">
      <c r="B2261" s="115" t="s">
        <v>3864</v>
      </c>
      <c r="D2261" s="115" t="s">
        <v>1139</v>
      </c>
      <c r="E2261" s="115" t="s">
        <v>3865</v>
      </c>
    </row>
    <row r="2262" spans="1:5" x14ac:dyDescent="0.25">
      <c r="B2262" s="115" t="s">
        <v>1556</v>
      </c>
      <c r="D2262" s="115" t="s">
        <v>3866</v>
      </c>
      <c r="E2262" s="115" t="s">
        <v>3867</v>
      </c>
    </row>
    <row r="2263" spans="1:5" x14ac:dyDescent="0.25">
      <c r="A2263" s="115">
        <v>-1</v>
      </c>
      <c r="B2263" s="115" t="s">
        <v>1568</v>
      </c>
      <c r="D2263" s="115" t="s">
        <v>1847</v>
      </c>
      <c r="E2263" s="115" t="s">
        <v>3868</v>
      </c>
    </row>
    <row r="2264" spans="1:5" x14ac:dyDescent="0.25">
      <c r="B2264" s="115" t="s">
        <v>3869</v>
      </c>
      <c r="D2264" s="115" t="s">
        <v>3870</v>
      </c>
      <c r="E2264" s="115" t="s">
        <v>3871</v>
      </c>
    </row>
    <row r="2265" spans="1:5" x14ac:dyDescent="0.25">
      <c r="A2265" s="115" t="s">
        <v>1137</v>
      </c>
      <c r="B2265" s="115" t="s">
        <v>3872</v>
      </c>
      <c r="D2265" s="115" t="s">
        <v>3873</v>
      </c>
      <c r="E2265" s="115" t="s">
        <v>3874</v>
      </c>
    </row>
    <row r="2266" spans="1:5" x14ac:dyDescent="0.25">
      <c r="A2266" s="115">
        <v>-4</v>
      </c>
      <c r="B2266" s="115" t="s">
        <v>1406</v>
      </c>
      <c r="D2266" s="115" t="s">
        <v>3875</v>
      </c>
      <c r="E2266" s="115" t="s">
        <v>3876</v>
      </c>
    </row>
    <row r="2267" spans="1:5" x14ac:dyDescent="0.25">
      <c r="B2267" s="115" t="s">
        <v>3877</v>
      </c>
      <c r="D2267" s="115" t="s">
        <v>3878</v>
      </c>
      <c r="E2267" s="115" t="s">
        <v>3879</v>
      </c>
    </row>
    <row r="2268" spans="1:5" x14ac:dyDescent="0.25">
      <c r="B2268" s="115">
        <f>-70   -348</f>
        <v>-418</v>
      </c>
      <c r="D2268" s="115" t="s">
        <v>3880</v>
      </c>
      <c r="E2268" s="115" t="s">
        <v>3881</v>
      </c>
    </row>
    <row r="2269" spans="1:5" x14ac:dyDescent="0.25">
      <c r="A2269" s="115">
        <v>-6</v>
      </c>
      <c r="B2269" s="115" t="s">
        <v>3882</v>
      </c>
      <c r="D2269" s="115" t="s">
        <v>3809</v>
      </c>
      <c r="E2269" s="115" t="s">
        <v>3883</v>
      </c>
    </row>
    <row r="2270" spans="1:5" x14ac:dyDescent="0.25">
      <c r="B2270" s="115" t="s">
        <v>1320</v>
      </c>
      <c r="D2270" s="115" t="s">
        <v>3884</v>
      </c>
      <c r="E2270" s="115" t="s">
        <v>3885</v>
      </c>
    </row>
    <row r="2271" spans="1:5" x14ac:dyDescent="0.25">
      <c r="A2271" s="115" t="s">
        <v>1137</v>
      </c>
      <c r="B2271" s="115" t="s">
        <v>3886</v>
      </c>
      <c r="D2271" s="115" t="s">
        <v>3887</v>
      </c>
      <c r="E2271" s="115" t="s">
        <v>3888</v>
      </c>
    </row>
    <row r="2272" spans="1:5" x14ac:dyDescent="0.25">
      <c r="B2272" s="115" t="s">
        <v>1138</v>
      </c>
      <c r="D2272" s="115" t="s">
        <v>3013</v>
      </c>
      <c r="E2272" s="115" t="s">
        <v>3889</v>
      </c>
    </row>
    <row r="2273" spans="1:5" x14ac:dyDescent="0.25">
      <c r="B2273" s="115" t="s">
        <v>1138</v>
      </c>
      <c r="D2273" s="115" t="s">
        <v>3890</v>
      </c>
      <c r="E2273" s="115" t="s">
        <v>3891</v>
      </c>
    </row>
    <row r="2274" spans="1:5" x14ac:dyDescent="0.25">
      <c r="A2274" s="115">
        <v>-11</v>
      </c>
      <c r="B2274" s="115" t="s">
        <v>3892</v>
      </c>
      <c r="D2274" s="115" t="s">
        <v>3893</v>
      </c>
      <c r="E2274" s="115" t="s">
        <v>3894</v>
      </c>
    </row>
    <row r="2275" spans="1:5" x14ac:dyDescent="0.25">
      <c r="B2275" s="115" t="s">
        <v>1138</v>
      </c>
      <c r="D2275" s="115" t="s">
        <v>1139</v>
      </c>
      <c r="E2275" s="115" t="s">
        <v>1140</v>
      </c>
    </row>
    <row r="2276" spans="1:5" x14ac:dyDescent="0.25">
      <c r="B2276" s="115" t="s">
        <v>1138</v>
      </c>
      <c r="D2276" s="115" t="s">
        <v>1139</v>
      </c>
      <c r="E2276" s="115" t="s">
        <v>1140</v>
      </c>
    </row>
    <row r="2277" spans="1:5" x14ac:dyDescent="0.25">
      <c r="B2277" s="115" t="s">
        <v>1138</v>
      </c>
      <c r="D2277" s="115" t="s">
        <v>1139</v>
      </c>
      <c r="E2277" s="115" t="s">
        <v>1140</v>
      </c>
    </row>
    <row r="2278" spans="1:5" x14ac:dyDescent="0.25">
      <c r="B2278" s="115" t="s">
        <v>1138</v>
      </c>
      <c r="D2278" s="115" t="s">
        <v>1139</v>
      </c>
      <c r="E2278" s="115" t="s">
        <v>1140</v>
      </c>
    </row>
    <row r="2279" spans="1:5" x14ac:dyDescent="0.25">
      <c r="B2279" s="115" t="s">
        <v>1138</v>
      </c>
      <c r="D2279" s="115" t="s">
        <v>1139</v>
      </c>
      <c r="E2279" s="115" t="s">
        <v>1140</v>
      </c>
    </row>
    <row r="2280" spans="1:5" x14ac:dyDescent="0.25">
      <c r="B2280" s="115" t="s">
        <v>1138</v>
      </c>
      <c r="D2280" s="115" t="s">
        <v>1139</v>
      </c>
      <c r="E2280" s="115" t="s">
        <v>1140</v>
      </c>
    </row>
    <row r="2281" spans="1:5" x14ac:dyDescent="0.25">
      <c r="B2281" s="115" t="s">
        <v>1138</v>
      </c>
      <c r="D2281" s="115" t="s">
        <v>1139</v>
      </c>
      <c r="E2281" s="115" t="s">
        <v>1140</v>
      </c>
    </row>
    <row r="2282" spans="1:5" x14ac:dyDescent="0.25">
      <c r="B2282" s="115" t="s">
        <v>1138</v>
      </c>
      <c r="D2282" s="115" t="s">
        <v>1139</v>
      </c>
      <c r="E2282" s="115" t="s">
        <v>1140</v>
      </c>
    </row>
    <row r="2283" spans="1:5" x14ac:dyDescent="0.25">
      <c r="B2283" s="115" t="s">
        <v>1138</v>
      </c>
      <c r="D2283" s="115" t="s">
        <v>1139</v>
      </c>
      <c r="E2283" s="115" t="s">
        <v>1140</v>
      </c>
    </row>
    <row r="2284" spans="1:5" x14ac:dyDescent="0.25">
      <c r="B2284" s="115" t="s">
        <v>1138</v>
      </c>
      <c r="D2284" s="115" t="s">
        <v>1139</v>
      </c>
      <c r="E2284" s="115" t="s">
        <v>1140</v>
      </c>
    </row>
    <row r="2285" spans="1:5" x14ac:dyDescent="0.25">
      <c r="B2285" s="115" t="s">
        <v>1138</v>
      </c>
      <c r="D2285" s="115" t="s">
        <v>1139</v>
      </c>
      <c r="E2285" s="115" t="s">
        <v>1140</v>
      </c>
    </row>
    <row r="2286" spans="1:5" x14ac:dyDescent="0.25">
      <c r="B2286" s="115" t="s">
        <v>1138</v>
      </c>
      <c r="D2286" s="115" t="s">
        <v>1139</v>
      </c>
      <c r="E2286" s="115" t="s">
        <v>1140</v>
      </c>
    </row>
    <row r="2287" spans="1:5" x14ac:dyDescent="0.25">
      <c r="B2287" s="115" t="s">
        <v>1138</v>
      </c>
      <c r="D2287" s="115" t="s">
        <v>1139</v>
      </c>
      <c r="E2287" s="115" t="s">
        <v>1140</v>
      </c>
    </row>
    <row r="2288" spans="1:5" x14ac:dyDescent="0.25">
      <c r="B2288" s="115" t="s">
        <v>1138</v>
      </c>
      <c r="D2288" s="115" t="s">
        <v>1139</v>
      </c>
      <c r="E2288" s="115" t="s">
        <v>1140</v>
      </c>
    </row>
    <row r="2289" spans="2:5" x14ac:dyDescent="0.25">
      <c r="B2289" s="115" t="s">
        <v>1138</v>
      </c>
      <c r="D2289" s="115" t="s">
        <v>1139</v>
      </c>
      <c r="E2289" s="115" t="s">
        <v>1140</v>
      </c>
    </row>
    <row r="2290" spans="2:5" x14ac:dyDescent="0.25">
      <c r="B2290" s="115" t="s">
        <v>1138</v>
      </c>
      <c r="D2290" s="115" t="s">
        <v>1139</v>
      </c>
      <c r="E2290" s="115" t="s">
        <v>1140</v>
      </c>
    </row>
    <row r="2291" spans="2:5" x14ac:dyDescent="0.25">
      <c r="B2291" s="115" t="s">
        <v>1138</v>
      </c>
      <c r="D2291" s="115" t="s">
        <v>1139</v>
      </c>
      <c r="E2291" s="115" t="s">
        <v>1140</v>
      </c>
    </row>
    <row r="2292" spans="2:5" x14ac:dyDescent="0.25">
      <c r="B2292" s="115" t="s">
        <v>1138</v>
      </c>
      <c r="D2292" s="115" t="s">
        <v>1139</v>
      </c>
      <c r="E2292" s="115" t="s">
        <v>1140</v>
      </c>
    </row>
    <row r="2293" spans="2:5" x14ac:dyDescent="0.25">
      <c r="B2293" s="115" t="s">
        <v>1138</v>
      </c>
      <c r="D2293" s="115" t="s">
        <v>1139</v>
      </c>
      <c r="E2293" s="115" t="s">
        <v>1140</v>
      </c>
    </row>
    <row r="2294" spans="2:5" x14ac:dyDescent="0.25">
      <c r="B2294" s="115" t="s">
        <v>1138</v>
      </c>
      <c r="D2294" s="115" t="s">
        <v>1139</v>
      </c>
      <c r="E2294" s="115" t="s">
        <v>1140</v>
      </c>
    </row>
    <row r="2295" spans="2:5" x14ac:dyDescent="0.25">
      <c r="B2295" s="115" t="s">
        <v>1138</v>
      </c>
      <c r="D2295" s="115" t="s">
        <v>1139</v>
      </c>
      <c r="E2295" s="115" t="s">
        <v>1140</v>
      </c>
    </row>
    <row r="2296" spans="2:5" x14ac:dyDescent="0.25">
      <c r="B2296" s="115" t="s">
        <v>1138</v>
      </c>
      <c r="D2296" s="115" t="s">
        <v>1139</v>
      </c>
      <c r="E2296" s="115" t="s">
        <v>1140</v>
      </c>
    </row>
    <row r="2297" spans="2:5" x14ac:dyDescent="0.25">
      <c r="B2297" s="115" t="s">
        <v>1138</v>
      </c>
      <c r="D2297" s="115" t="s">
        <v>1139</v>
      </c>
      <c r="E2297" s="115" t="s">
        <v>1140</v>
      </c>
    </row>
    <row r="2298" spans="2:5" x14ac:dyDescent="0.25">
      <c r="B2298" s="115" t="s">
        <v>1138</v>
      </c>
      <c r="D2298" s="115" t="s">
        <v>1139</v>
      </c>
      <c r="E2298" s="115" t="s">
        <v>1140</v>
      </c>
    </row>
    <row r="2299" spans="2:5" x14ac:dyDescent="0.25">
      <c r="B2299" s="115" t="s">
        <v>1138</v>
      </c>
      <c r="D2299" s="115" t="s">
        <v>1139</v>
      </c>
      <c r="E2299" s="115" t="s">
        <v>1140</v>
      </c>
    </row>
    <row r="2300" spans="2:5" x14ac:dyDescent="0.25">
      <c r="B2300" s="115" t="s">
        <v>1138</v>
      </c>
      <c r="D2300" s="115" t="s">
        <v>1139</v>
      </c>
      <c r="E2300" s="115" t="s">
        <v>1140</v>
      </c>
    </row>
    <row r="2301" spans="2:5" x14ac:dyDescent="0.25">
      <c r="B2301" s="115" t="s">
        <v>1138</v>
      </c>
      <c r="D2301" s="115" t="s">
        <v>1139</v>
      </c>
      <c r="E2301" s="115" t="s">
        <v>1140</v>
      </c>
    </row>
    <row r="2302" spans="2:5" x14ac:dyDescent="0.25">
      <c r="B2302" s="115" t="s">
        <v>1138</v>
      </c>
      <c r="D2302" s="115" t="s">
        <v>1139</v>
      </c>
      <c r="E2302" s="115" t="s">
        <v>1140</v>
      </c>
    </row>
    <row r="2303" spans="2:5" x14ac:dyDescent="0.25">
      <c r="B2303" s="115" t="s">
        <v>1138</v>
      </c>
      <c r="D2303" s="115" t="s">
        <v>1139</v>
      </c>
      <c r="E2303" s="115" t="s">
        <v>1140</v>
      </c>
    </row>
    <row r="2304" spans="2:5" x14ac:dyDescent="0.25">
      <c r="B2304" s="115" t="s">
        <v>1138</v>
      </c>
      <c r="D2304" s="115" t="s">
        <v>1139</v>
      </c>
      <c r="E2304" s="115" t="s">
        <v>1140</v>
      </c>
    </row>
    <row r="2305" spans="2:5" x14ac:dyDescent="0.25">
      <c r="B2305" s="115" t="s">
        <v>1138</v>
      </c>
      <c r="D2305" s="115" t="s">
        <v>1139</v>
      </c>
      <c r="E2305" s="115" t="s">
        <v>1140</v>
      </c>
    </row>
    <row r="2306" spans="2:5" x14ac:dyDescent="0.25">
      <c r="B2306" s="115" t="s">
        <v>1138</v>
      </c>
      <c r="D2306" s="115" t="s">
        <v>1139</v>
      </c>
      <c r="E2306" s="115" t="s">
        <v>1140</v>
      </c>
    </row>
    <row r="2307" spans="2:5" x14ac:dyDescent="0.25">
      <c r="B2307" s="115" t="s">
        <v>1138</v>
      </c>
      <c r="D2307" s="115" t="s">
        <v>1139</v>
      </c>
      <c r="E2307" s="115" t="s">
        <v>1140</v>
      </c>
    </row>
    <row r="2308" spans="2:5" x14ac:dyDescent="0.25">
      <c r="B2308" s="115" t="s">
        <v>1138</v>
      </c>
      <c r="D2308" s="115" t="s">
        <v>1139</v>
      </c>
      <c r="E2308" s="115" t="s">
        <v>1140</v>
      </c>
    </row>
    <row r="2309" spans="2:5" x14ac:dyDescent="0.25">
      <c r="B2309" s="115" t="s">
        <v>1138</v>
      </c>
      <c r="D2309" s="115" t="s">
        <v>1139</v>
      </c>
      <c r="E2309" s="115" t="s">
        <v>1140</v>
      </c>
    </row>
    <row r="2310" spans="2:5" x14ac:dyDescent="0.25">
      <c r="B2310" s="115" t="s">
        <v>1138</v>
      </c>
      <c r="D2310" s="115" t="s">
        <v>1139</v>
      </c>
      <c r="E2310" s="115" t="s">
        <v>1140</v>
      </c>
    </row>
    <row r="2311" spans="2:5" x14ac:dyDescent="0.25">
      <c r="B2311" s="115" t="s">
        <v>1138</v>
      </c>
      <c r="D2311" s="115" t="s">
        <v>1139</v>
      </c>
      <c r="E2311" s="115" t="s">
        <v>1140</v>
      </c>
    </row>
    <row r="2312" spans="2:5" x14ac:dyDescent="0.25">
      <c r="B2312" s="115" t="s">
        <v>1138</v>
      </c>
      <c r="D2312" s="115" t="s">
        <v>1139</v>
      </c>
      <c r="E2312" s="115" t="s">
        <v>1140</v>
      </c>
    </row>
    <row r="2313" spans="2:5" x14ac:dyDescent="0.25">
      <c r="B2313" s="115" t="s">
        <v>1138</v>
      </c>
      <c r="D2313" s="115" t="s">
        <v>1139</v>
      </c>
      <c r="E2313" s="115" t="s">
        <v>1140</v>
      </c>
    </row>
    <row r="2314" spans="2:5" x14ac:dyDescent="0.25">
      <c r="B2314" s="115" t="s">
        <v>1138</v>
      </c>
      <c r="D2314" s="115" t="s">
        <v>1139</v>
      </c>
      <c r="E2314" s="115" t="s">
        <v>1140</v>
      </c>
    </row>
    <row r="2315" spans="2:5" x14ac:dyDescent="0.25">
      <c r="B2315" s="115" t="s">
        <v>1138</v>
      </c>
      <c r="D2315" s="115" t="s">
        <v>1139</v>
      </c>
      <c r="E2315" s="115" t="s">
        <v>1140</v>
      </c>
    </row>
    <row r="2316" spans="2:5" x14ac:dyDescent="0.25">
      <c r="B2316" s="115" t="s">
        <v>1138</v>
      </c>
      <c r="D2316" s="115" t="s">
        <v>1139</v>
      </c>
      <c r="E2316" s="115" t="s">
        <v>1140</v>
      </c>
    </row>
    <row r="2317" spans="2:5" x14ac:dyDescent="0.25">
      <c r="B2317" s="115" t="s">
        <v>1138</v>
      </c>
      <c r="D2317" s="115" t="s">
        <v>1139</v>
      </c>
      <c r="E2317" s="115" t="s">
        <v>1140</v>
      </c>
    </row>
    <row r="2318" spans="2:5" x14ac:dyDescent="0.25">
      <c r="B2318" s="115" t="s">
        <v>1138</v>
      </c>
      <c r="D2318" s="115" t="s">
        <v>1139</v>
      </c>
      <c r="E2318" s="115" t="s">
        <v>1140</v>
      </c>
    </row>
    <row r="2319" spans="2:5" x14ac:dyDescent="0.25">
      <c r="B2319" s="115" t="s">
        <v>1138</v>
      </c>
      <c r="D2319" s="115" t="s">
        <v>1139</v>
      </c>
      <c r="E2319" s="115" t="s">
        <v>1140</v>
      </c>
    </row>
    <row r="2320" spans="2:5" x14ac:dyDescent="0.25">
      <c r="B2320" s="115" t="s">
        <v>1138</v>
      </c>
      <c r="D2320" s="115" t="s">
        <v>1139</v>
      </c>
      <c r="E2320" s="115" t="s">
        <v>1140</v>
      </c>
    </row>
    <row r="2321" spans="2:5" x14ac:dyDescent="0.25">
      <c r="B2321" s="115" t="s">
        <v>1138</v>
      </c>
      <c r="D2321" s="115" t="s">
        <v>1139</v>
      </c>
      <c r="E2321" s="115" t="s">
        <v>1140</v>
      </c>
    </row>
    <row r="2322" spans="2:5" x14ac:dyDescent="0.25">
      <c r="B2322" s="115" t="s">
        <v>1138</v>
      </c>
      <c r="D2322" s="115" t="s">
        <v>1139</v>
      </c>
      <c r="E2322" s="115" t="s">
        <v>1140</v>
      </c>
    </row>
    <row r="2323" spans="2:5" x14ac:dyDescent="0.25">
      <c r="B2323" s="115" t="s">
        <v>1138</v>
      </c>
      <c r="D2323" s="115" t="s">
        <v>1139</v>
      </c>
      <c r="E2323" s="115" t="s">
        <v>1140</v>
      </c>
    </row>
    <row r="2324" spans="2:5" x14ac:dyDescent="0.25">
      <c r="B2324" s="115" t="s">
        <v>1138</v>
      </c>
      <c r="D2324" s="115" t="s">
        <v>1139</v>
      </c>
      <c r="E2324" s="115" t="s">
        <v>1140</v>
      </c>
    </row>
    <row r="2325" spans="2:5" x14ac:dyDescent="0.25">
      <c r="B2325" s="115" t="s">
        <v>1138</v>
      </c>
      <c r="D2325" s="115" t="s">
        <v>1139</v>
      </c>
      <c r="E2325" s="115" t="s">
        <v>1140</v>
      </c>
    </row>
    <row r="2326" spans="2:5" x14ac:dyDescent="0.25">
      <c r="B2326" s="115" t="s">
        <v>1138</v>
      </c>
      <c r="D2326" s="115" t="s">
        <v>1139</v>
      </c>
      <c r="E2326" s="115" t="s">
        <v>1140</v>
      </c>
    </row>
    <row r="2327" spans="2:5" x14ac:dyDescent="0.25">
      <c r="B2327" s="115" t="s">
        <v>1138</v>
      </c>
      <c r="D2327" s="115" t="s">
        <v>1139</v>
      </c>
      <c r="E2327" s="115" t="s">
        <v>1140</v>
      </c>
    </row>
    <row r="2328" spans="2:5" x14ac:dyDescent="0.25">
      <c r="B2328" s="115" t="s">
        <v>1138</v>
      </c>
      <c r="D2328" s="115" t="s">
        <v>1139</v>
      </c>
      <c r="E2328" s="115" t="s">
        <v>1140</v>
      </c>
    </row>
    <row r="2329" spans="2:5" x14ac:dyDescent="0.25">
      <c r="B2329" s="115" t="s">
        <v>1138</v>
      </c>
      <c r="D2329" s="115" t="s">
        <v>1139</v>
      </c>
      <c r="E2329" s="115" t="s">
        <v>1140</v>
      </c>
    </row>
    <row r="2330" spans="2:5" x14ac:dyDescent="0.25">
      <c r="B2330" s="115" t="s">
        <v>1138</v>
      </c>
      <c r="D2330" s="115" t="s">
        <v>1139</v>
      </c>
      <c r="E2330" s="115" t="s">
        <v>1140</v>
      </c>
    </row>
    <row r="2331" spans="2:5" x14ac:dyDescent="0.25">
      <c r="B2331" s="115" t="s">
        <v>1138</v>
      </c>
      <c r="D2331" s="115" t="s">
        <v>1139</v>
      </c>
      <c r="E2331" s="115" t="s">
        <v>1140</v>
      </c>
    </row>
    <row r="2332" spans="2:5" x14ac:dyDescent="0.25">
      <c r="B2332" s="115" t="s">
        <v>1138</v>
      </c>
      <c r="D2332" s="115" t="s">
        <v>1139</v>
      </c>
      <c r="E2332" s="115" t="s">
        <v>1140</v>
      </c>
    </row>
    <row r="2333" spans="2:5" x14ac:dyDescent="0.25">
      <c r="B2333" s="115" t="s">
        <v>1138</v>
      </c>
      <c r="D2333" s="115" t="s">
        <v>1139</v>
      </c>
      <c r="E2333" s="115" t="s">
        <v>1140</v>
      </c>
    </row>
    <row r="2334" spans="2:5" x14ac:dyDescent="0.25">
      <c r="B2334" s="115" t="s">
        <v>1138</v>
      </c>
      <c r="D2334" s="115" t="s">
        <v>1139</v>
      </c>
      <c r="E2334" s="115" t="s">
        <v>1140</v>
      </c>
    </row>
    <row r="2335" spans="2:5" x14ac:dyDescent="0.25">
      <c r="B2335" s="115" t="s">
        <v>1138</v>
      </c>
      <c r="D2335" s="115" t="s">
        <v>1139</v>
      </c>
      <c r="E2335" s="115" t="s">
        <v>1140</v>
      </c>
    </row>
    <row r="2336" spans="2:5" x14ac:dyDescent="0.25">
      <c r="B2336" s="115" t="s">
        <v>1138</v>
      </c>
      <c r="D2336" s="115" t="s">
        <v>1139</v>
      </c>
      <c r="E2336" s="115" t="s">
        <v>1140</v>
      </c>
    </row>
    <row r="2337" spans="2:5" x14ac:dyDescent="0.25">
      <c r="B2337" s="115" t="s">
        <v>1138</v>
      </c>
      <c r="D2337" s="115" t="s">
        <v>1139</v>
      </c>
      <c r="E2337" s="115" t="s">
        <v>1140</v>
      </c>
    </row>
    <row r="2338" spans="2:5" x14ac:dyDescent="0.25">
      <c r="B2338" s="115" t="s">
        <v>1138</v>
      </c>
      <c r="D2338" s="115" t="s">
        <v>1139</v>
      </c>
      <c r="E2338" s="115" t="s">
        <v>1140</v>
      </c>
    </row>
    <row r="2339" spans="2:5" x14ac:dyDescent="0.25">
      <c r="B2339" s="115" t="s">
        <v>1138</v>
      </c>
      <c r="D2339" s="115" t="s">
        <v>1139</v>
      </c>
      <c r="E2339" s="115" t="s">
        <v>1140</v>
      </c>
    </row>
    <row r="2340" spans="2:5" x14ac:dyDescent="0.25">
      <c r="B2340" s="115" t="s">
        <v>1138</v>
      </c>
      <c r="D2340" s="115" t="s">
        <v>1139</v>
      </c>
      <c r="E2340" s="115" t="s">
        <v>1140</v>
      </c>
    </row>
    <row r="2341" spans="2:5" x14ac:dyDescent="0.25">
      <c r="B2341" s="115" t="s">
        <v>1138</v>
      </c>
      <c r="D2341" s="115" t="s">
        <v>1139</v>
      </c>
      <c r="E2341" s="115" t="s">
        <v>1140</v>
      </c>
    </row>
    <row r="2342" spans="2:5" x14ac:dyDescent="0.25">
      <c r="B2342" s="115" t="s">
        <v>1138</v>
      </c>
      <c r="D2342" s="115" t="s">
        <v>1139</v>
      </c>
      <c r="E2342" s="115" t="s">
        <v>1140</v>
      </c>
    </row>
    <row r="2343" spans="2:5" x14ac:dyDescent="0.25">
      <c r="B2343" s="115" t="s">
        <v>1138</v>
      </c>
      <c r="D2343" s="115" t="s">
        <v>1139</v>
      </c>
      <c r="E2343" s="115" t="s">
        <v>1140</v>
      </c>
    </row>
    <row r="2344" spans="2:5" x14ac:dyDescent="0.25">
      <c r="B2344" s="115" t="s">
        <v>1138</v>
      </c>
      <c r="D2344" s="115" t="s">
        <v>1139</v>
      </c>
      <c r="E2344" s="115" t="s">
        <v>1140</v>
      </c>
    </row>
    <row r="2345" spans="2:5" x14ac:dyDescent="0.25">
      <c r="B2345" s="115" t="s">
        <v>1138</v>
      </c>
      <c r="D2345" s="115" t="s">
        <v>1139</v>
      </c>
      <c r="E2345" s="115" t="s">
        <v>1140</v>
      </c>
    </row>
    <row r="2346" spans="2:5" x14ac:dyDescent="0.25">
      <c r="B2346" s="115" t="s">
        <v>1138</v>
      </c>
      <c r="D2346" s="115" t="s">
        <v>1139</v>
      </c>
      <c r="E2346" s="115" t="s">
        <v>1140</v>
      </c>
    </row>
    <row r="2347" spans="2:5" x14ac:dyDescent="0.25">
      <c r="B2347" s="115" t="s">
        <v>1138</v>
      </c>
      <c r="D2347" s="115" t="s">
        <v>1139</v>
      </c>
      <c r="E2347" s="115" t="s">
        <v>1140</v>
      </c>
    </row>
    <row r="2348" spans="2:5" x14ac:dyDescent="0.25">
      <c r="B2348" s="115" t="s">
        <v>1138</v>
      </c>
      <c r="D2348" s="115" t="s">
        <v>1139</v>
      </c>
      <c r="E2348" s="115" t="s">
        <v>1140</v>
      </c>
    </row>
    <row r="2349" spans="2:5" x14ac:dyDescent="0.25">
      <c r="B2349" s="115" t="s">
        <v>1138</v>
      </c>
      <c r="D2349" s="115" t="s">
        <v>1139</v>
      </c>
      <c r="E2349" s="115" t="s">
        <v>1140</v>
      </c>
    </row>
    <row r="2350" spans="2:5" x14ac:dyDescent="0.25">
      <c r="B2350" s="115" t="s">
        <v>1138</v>
      </c>
      <c r="D2350" s="115" t="s">
        <v>1139</v>
      </c>
      <c r="E2350" s="115" t="s">
        <v>1140</v>
      </c>
    </row>
    <row r="2351" spans="2:5" x14ac:dyDescent="0.25">
      <c r="B2351" s="115" t="s">
        <v>1138</v>
      </c>
      <c r="D2351" s="115" t="s">
        <v>1139</v>
      </c>
      <c r="E2351" s="115" t="s">
        <v>1140</v>
      </c>
    </row>
    <row r="2352" spans="2:5" x14ac:dyDescent="0.25">
      <c r="B2352" s="115" t="s">
        <v>1138</v>
      </c>
      <c r="D2352" s="115" t="s">
        <v>1139</v>
      </c>
      <c r="E2352" s="115" t="s">
        <v>1140</v>
      </c>
    </row>
    <row r="2353" spans="1:5" x14ac:dyDescent="0.25">
      <c r="B2353" s="115" t="s">
        <v>1138</v>
      </c>
      <c r="D2353" s="115" t="s">
        <v>1139</v>
      </c>
      <c r="E2353" s="115" t="s">
        <v>1140</v>
      </c>
    </row>
    <row r="2354" spans="1:5" x14ac:dyDescent="0.25">
      <c r="B2354" s="115" t="s">
        <v>3895</v>
      </c>
      <c r="D2354" s="115" t="s">
        <v>3896</v>
      </c>
      <c r="E2354" s="115" t="s">
        <v>3897</v>
      </c>
    </row>
    <row r="2355" spans="1:5" x14ac:dyDescent="0.25">
      <c r="B2355" s="115" t="s">
        <v>1138</v>
      </c>
      <c r="D2355" s="115" t="s">
        <v>3898</v>
      </c>
      <c r="E2355" s="115" t="s">
        <v>1140</v>
      </c>
    </row>
    <row r="2356" spans="1:5" x14ac:dyDescent="0.25">
      <c r="B2356" s="115" t="s">
        <v>1138</v>
      </c>
      <c r="D2356" s="115" t="s">
        <v>3899</v>
      </c>
      <c r="E2356" s="115" t="s">
        <v>3900</v>
      </c>
    </row>
    <row r="2357" spans="1:5" x14ac:dyDescent="0.25">
      <c r="A2357" s="115" t="s">
        <v>1137</v>
      </c>
      <c r="B2357" s="115" t="s">
        <v>3901</v>
      </c>
      <c r="D2357" s="115" t="s">
        <v>1139</v>
      </c>
      <c r="E2357" s="115" t="s">
        <v>3902</v>
      </c>
    </row>
    <row r="2358" spans="1:5" x14ac:dyDescent="0.25">
      <c r="B2358" s="115" t="s">
        <v>1138</v>
      </c>
      <c r="D2358" s="115" t="s">
        <v>2337</v>
      </c>
      <c r="E2358" s="115" t="s">
        <v>2536</v>
      </c>
    </row>
    <row r="2359" spans="1:5" x14ac:dyDescent="0.25">
      <c r="B2359" s="115" t="s">
        <v>1138</v>
      </c>
      <c r="D2359" s="115" t="s">
        <v>3903</v>
      </c>
      <c r="E2359" s="115" t="s">
        <v>3904</v>
      </c>
    </row>
    <row r="2360" spans="1:5" x14ac:dyDescent="0.25">
      <c r="B2360" s="115" t="s">
        <v>1370</v>
      </c>
      <c r="D2360" s="115" t="s">
        <v>3905</v>
      </c>
      <c r="E2360" s="115" t="s">
        <v>3906</v>
      </c>
    </row>
    <row r="2361" spans="1:5" x14ac:dyDescent="0.25">
      <c r="A2361" s="115" t="s">
        <v>1137</v>
      </c>
      <c r="B2361" s="115" t="s">
        <v>3907</v>
      </c>
      <c r="D2361" s="115" t="s">
        <v>3908</v>
      </c>
      <c r="E2361" s="115" t="s">
        <v>2689</v>
      </c>
    </row>
    <row r="2362" spans="1:5" x14ac:dyDescent="0.25">
      <c r="A2362" s="115">
        <v>-2</v>
      </c>
      <c r="B2362" s="115" t="s">
        <v>3909</v>
      </c>
      <c r="D2362" s="115" t="s">
        <v>3910</v>
      </c>
      <c r="E2362" s="115" t="s">
        <v>3911</v>
      </c>
    </row>
    <row r="2363" spans="1:5" x14ac:dyDescent="0.25">
      <c r="B2363" s="115" t="s">
        <v>3912</v>
      </c>
      <c r="D2363" s="115" t="s">
        <v>3913</v>
      </c>
      <c r="E2363" s="115" t="s">
        <v>3914</v>
      </c>
    </row>
    <row r="2364" spans="1:5" x14ac:dyDescent="0.25">
      <c r="A2364" s="115" t="s">
        <v>1137</v>
      </c>
      <c r="B2364" s="115" t="s">
        <v>1286</v>
      </c>
      <c r="D2364" s="115" t="s">
        <v>3915</v>
      </c>
      <c r="E2364" s="115" t="s">
        <v>1893</v>
      </c>
    </row>
    <row r="2365" spans="1:5" x14ac:dyDescent="0.25">
      <c r="A2365" s="115">
        <v>-2</v>
      </c>
      <c r="B2365" s="115" t="s">
        <v>3916</v>
      </c>
      <c r="D2365" s="115" t="s">
        <v>3917</v>
      </c>
      <c r="E2365" s="115" t="s">
        <v>3918</v>
      </c>
    </row>
    <row r="2366" spans="1:5" x14ac:dyDescent="0.25">
      <c r="B2366" s="115" t="s">
        <v>3919</v>
      </c>
      <c r="D2366" s="115" t="s">
        <v>3920</v>
      </c>
      <c r="E2366" s="115" t="s">
        <v>3921</v>
      </c>
    </row>
    <row r="2367" spans="1:5" x14ac:dyDescent="0.25">
      <c r="B2367" s="115" t="s">
        <v>3922</v>
      </c>
      <c r="D2367" s="115" t="s">
        <v>3923</v>
      </c>
      <c r="E2367" s="115" t="s">
        <v>2259</v>
      </c>
    </row>
    <row r="2368" spans="1:5" x14ac:dyDescent="0.25">
      <c r="A2368" s="115">
        <v>-4</v>
      </c>
      <c r="B2368" s="115" t="s">
        <v>3924</v>
      </c>
      <c r="D2368" s="115" t="s">
        <v>3925</v>
      </c>
      <c r="E2368" s="115" t="s">
        <v>3926</v>
      </c>
    </row>
    <row r="2369" spans="1:5" x14ac:dyDescent="0.25">
      <c r="B2369" s="115" t="s">
        <v>3927</v>
      </c>
      <c r="D2369" s="115" t="s">
        <v>3928</v>
      </c>
      <c r="E2369" s="115" t="s">
        <v>3929</v>
      </c>
    </row>
    <row r="2370" spans="1:5" x14ac:dyDescent="0.25">
      <c r="A2370" s="115" t="s">
        <v>1137</v>
      </c>
      <c r="B2370" s="115" t="s">
        <v>1317</v>
      </c>
      <c r="D2370" s="115" t="s">
        <v>3930</v>
      </c>
      <c r="E2370" s="115" t="s">
        <v>1140</v>
      </c>
    </row>
    <row r="2371" spans="1:5" x14ac:dyDescent="0.25">
      <c r="A2371" s="115">
        <v>-5</v>
      </c>
      <c r="B2371" s="115" t="s">
        <v>3931</v>
      </c>
      <c r="D2371" s="115" t="s">
        <v>3932</v>
      </c>
      <c r="E2371" s="115" t="s">
        <v>1140</v>
      </c>
    </row>
    <row r="2372" spans="1:5" x14ac:dyDescent="0.25">
      <c r="A2372" s="115">
        <v>7</v>
      </c>
      <c r="B2372" s="115" t="s">
        <v>3933</v>
      </c>
      <c r="C2372" s="115" t="s">
        <v>1137</v>
      </c>
      <c r="D2372" s="115" t="s">
        <v>3934</v>
      </c>
      <c r="E2372" s="115" t="s">
        <v>3935</v>
      </c>
    </row>
    <row r="2373" spans="1:5" x14ac:dyDescent="0.25">
      <c r="A2373" s="115">
        <v>2</v>
      </c>
      <c r="B2373" s="115" t="s">
        <v>1519</v>
      </c>
      <c r="D2373" s="115" t="s">
        <v>3936</v>
      </c>
      <c r="E2373" s="115" t="s">
        <v>1758</v>
      </c>
    </row>
    <row r="2374" spans="1:5" x14ac:dyDescent="0.25">
      <c r="A2374" s="115">
        <v>1</v>
      </c>
      <c r="B2374" s="115" t="s">
        <v>3937</v>
      </c>
      <c r="C2374" s="115" t="s">
        <v>1137</v>
      </c>
      <c r="D2374" s="115" t="s">
        <v>3938</v>
      </c>
      <c r="E2374" s="115" t="s">
        <v>3939</v>
      </c>
    </row>
    <row r="2375" spans="1:5" x14ac:dyDescent="0.25">
      <c r="B2375" s="115" t="s">
        <v>1138</v>
      </c>
      <c r="D2375" s="115" t="s">
        <v>3940</v>
      </c>
      <c r="E2375" s="115" t="s">
        <v>1140</v>
      </c>
    </row>
    <row r="2376" spans="1:5" x14ac:dyDescent="0.25">
      <c r="B2376" s="115" t="s">
        <v>1138</v>
      </c>
      <c r="D2376" s="115" t="s">
        <v>3941</v>
      </c>
      <c r="E2376" s="115" t="s">
        <v>3942</v>
      </c>
    </row>
    <row r="2377" spans="1:5" x14ac:dyDescent="0.25">
      <c r="A2377" s="115">
        <v>-2</v>
      </c>
      <c r="B2377" s="115" t="s">
        <v>3943</v>
      </c>
      <c r="D2377" s="115" t="s">
        <v>3944</v>
      </c>
      <c r="E2377" s="115" t="s">
        <v>3945</v>
      </c>
    </row>
    <row r="2378" spans="1:5" x14ac:dyDescent="0.25">
      <c r="B2378" s="115" t="s">
        <v>1138</v>
      </c>
      <c r="D2378" s="115" t="s">
        <v>3946</v>
      </c>
      <c r="E2378" s="115" t="s">
        <v>1701</v>
      </c>
    </row>
    <row r="2379" spans="1:5" x14ac:dyDescent="0.25">
      <c r="B2379" s="115" t="s">
        <v>1138</v>
      </c>
      <c r="D2379" s="115" t="s">
        <v>3947</v>
      </c>
      <c r="E2379" s="115" t="s">
        <v>3948</v>
      </c>
    </row>
    <row r="2380" spans="1:5" x14ac:dyDescent="0.25">
      <c r="B2380" s="115" t="s">
        <v>3949</v>
      </c>
      <c r="D2380" s="115" t="s">
        <v>3950</v>
      </c>
      <c r="E2380" s="115" t="s">
        <v>3951</v>
      </c>
    </row>
    <row r="2381" spans="1:5" x14ac:dyDescent="0.25">
      <c r="B2381" s="115" t="s">
        <v>3952</v>
      </c>
      <c r="D2381" s="115" t="s">
        <v>3953</v>
      </c>
      <c r="E2381" s="115" t="s">
        <v>2689</v>
      </c>
    </row>
    <row r="2382" spans="1:5" x14ac:dyDescent="0.25">
      <c r="A2382" s="115">
        <v>1</v>
      </c>
      <c r="B2382" s="115" t="s">
        <v>3954</v>
      </c>
      <c r="D2382" s="115" t="s">
        <v>3955</v>
      </c>
      <c r="E2382" s="115" t="s">
        <v>3956</v>
      </c>
    </row>
    <row r="2383" spans="1:5" x14ac:dyDescent="0.25">
      <c r="A2383" s="115">
        <v>-1</v>
      </c>
      <c r="B2383" s="115" t="s">
        <v>3957</v>
      </c>
      <c r="D2383" s="115" t="s">
        <v>3958</v>
      </c>
      <c r="E2383" s="115" t="s">
        <v>3959</v>
      </c>
    </row>
    <row r="2384" spans="1:5" x14ac:dyDescent="0.25">
      <c r="A2384" s="115" t="s">
        <v>1137</v>
      </c>
      <c r="B2384" s="115" t="s">
        <v>1189</v>
      </c>
      <c r="D2384" s="115">
        <f>-185    -28    -17   -12</f>
        <v>-242</v>
      </c>
      <c r="E2384" s="115" t="s">
        <v>1858</v>
      </c>
    </row>
    <row r="2385" spans="1:5" x14ac:dyDescent="0.25">
      <c r="B2385" s="115" t="s">
        <v>3960</v>
      </c>
      <c r="D2385" s="115" t="s">
        <v>3961</v>
      </c>
      <c r="E2385" s="115" t="s">
        <v>3962</v>
      </c>
    </row>
    <row r="2386" spans="1:5" x14ac:dyDescent="0.25">
      <c r="A2386" s="115">
        <v>1</v>
      </c>
      <c r="B2386" s="115" t="s">
        <v>1572</v>
      </c>
      <c r="D2386" s="115" t="s">
        <v>3963</v>
      </c>
      <c r="E2386" s="115" t="s">
        <v>3964</v>
      </c>
    </row>
    <row r="2387" spans="1:5" x14ac:dyDescent="0.25">
      <c r="B2387" s="115" t="s">
        <v>1544</v>
      </c>
      <c r="D2387" s="115" t="s">
        <v>3965</v>
      </c>
      <c r="E2387" s="115" t="s">
        <v>2081</v>
      </c>
    </row>
    <row r="2388" spans="1:5" x14ac:dyDescent="0.25">
      <c r="B2388" s="115" t="s">
        <v>3966</v>
      </c>
      <c r="D2388" s="115" t="s">
        <v>3967</v>
      </c>
      <c r="E2388" s="115" t="s">
        <v>3968</v>
      </c>
    </row>
    <row r="2389" spans="1:5" x14ac:dyDescent="0.25">
      <c r="A2389" s="115" t="s">
        <v>1137</v>
      </c>
      <c r="B2389" s="115" t="s">
        <v>3969</v>
      </c>
      <c r="D2389" s="115" t="s">
        <v>3970</v>
      </c>
      <c r="E2389" s="115" t="s">
        <v>3971</v>
      </c>
    </row>
    <row r="2390" spans="1:5" x14ac:dyDescent="0.25">
      <c r="A2390" s="115" t="s">
        <v>1137</v>
      </c>
      <c r="B2390" s="115" t="s">
        <v>1461</v>
      </c>
      <c r="D2390" s="115" t="s">
        <v>3972</v>
      </c>
      <c r="E2390" s="115" t="s">
        <v>1140</v>
      </c>
    </row>
    <row r="2391" spans="1:5" x14ac:dyDescent="0.25">
      <c r="B2391" s="115" t="s">
        <v>3973</v>
      </c>
      <c r="D2391" s="115" t="s">
        <v>3974</v>
      </c>
      <c r="E2391" s="115" t="s">
        <v>1140</v>
      </c>
    </row>
    <row r="2392" spans="1:5" x14ac:dyDescent="0.25">
      <c r="A2392" s="115">
        <v>12</v>
      </c>
      <c r="B2392" s="115" t="s">
        <v>3975</v>
      </c>
      <c r="D2392" s="115" t="s">
        <v>3976</v>
      </c>
      <c r="E2392" s="115" t="s">
        <v>3977</v>
      </c>
    </row>
    <row r="2393" spans="1:5" x14ac:dyDescent="0.25">
      <c r="A2393" s="115">
        <v>3</v>
      </c>
      <c r="B2393" s="115" t="s">
        <v>1163</v>
      </c>
      <c r="D2393" s="115" t="s">
        <v>3978</v>
      </c>
      <c r="E2393" s="115" t="s">
        <v>1140</v>
      </c>
    </row>
    <row r="2394" spans="1:5" x14ac:dyDescent="0.25">
      <c r="A2394" s="115">
        <v>-5</v>
      </c>
      <c r="B2394" s="115" t="s">
        <v>3979</v>
      </c>
      <c r="D2394" s="115">
        <f>-249  -6304  -1852</f>
        <v>-8405</v>
      </c>
      <c r="E2394" s="115" t="s">
        <v>3980</v>
      </c>
    </row>
    <row r="2395" spans="1:5" x14ac:dyDescent="0.25">
      <c r="B2395" s="115" t="s">
        <v>1138</v>
      </c>
      <c r="D2395" s="115" t="s">
        <v>3981</v>
      </c>
      <c r="E2395" s="115" t="s">
        <v>1140</v>
      </c>
    </row>
    <row r="2396" spans="1:5" x14ac:dyDescent="0.25">
      <c r="B2396" s="115" t="s">
        <v>1138</v>
      </c>
      <c r="D2396" s="115" t="s">
        <v>3982</v>
      </c>
      <c r="E2396" s="115" t="s">
        <v>3983</v>
      </c>
    </row>
    <row r="2397" spans="1:5" x14ac:dyDescent="0.25">
      <c r="A2397" s="115" t="s">
        <v>1137</v>
      </c>
      <c r="B2397" s="115" t="s">
        <v>3984</v>
      </c>
      <c r="D2397" s="115" t="s">
        <v>3985</v>
      </c>
      <c r="E2397" s="115" t="s">
        <v>3986</v>
      </c>
    </row>
    <row r="2398" spans="1:5" x14ac:dyDescent="0.25">
      <c r="B2398" s="115" t="s">
        <v>1652</v>
      </c>
      <c r="D2398" s="115" t="s">
        <v>1139</v>
      </c>
      <c r="E2398" s="115" t="s">
        <v>3987</v>
      </c>
    </row>
    <row r="2399" spans="1:5" x14ac:dyDescent="0.25">
      <c r="B2399" s="115" t="s">
        <v>1138</v>
      </c>
      <c r="D2399" s="115" t="s">
        <v>3988</v>
      </c>
      <c r="E2399" s="115" t="s">
        <v>3989</v>
      </c>
    </row>
    <row r="2400" spans="1:5" x14ac:dyDescent="0.25">
      <c r="B2400" s="115" t="s">
        <v>1138</v>
      </c>
      <c r="D2400" s="115" t="s">
        <v>3990</v>
      </c>
      <c r="E2400" s="115" t="s">
        <v>3991</v>
      </c>
    </row>
    <row r="2401" spans="1:5" x14ac:dyDescent="0.25">
      <c r="B2401" s="115" t="s">
        <v>3992</v>
      </c>
      <c r="D2401" s="115" t="s">
        <v>3993</v>
      </c>
      <c r="E2401" s="115" t="s">
        <v>3994</v>
      </c>
    </row>
    <row r="2402" spans="1:5" x14ac:dyDescent="0.25">
      <c r="B2402" s="115" t="s">
        <v>3995</v>
      </c>
      <c r="D2402" s="115" t="s">
        <v>3996</v>
      </c>
      <c r="E2402" s="115" t="s">
        <v>3997</v>
      </c>
    </row>
    <row r="2403" spans="1:5" x14ac:dyDescent="0.25">
      <c r="A2403" s="115">
        <v>-1</v>
      </c>
      <c r="B2403" s="115" t="s">
        <v>3998</v>
      </c>
      <c r="D2403" s="115" t="s">
        <v>3999</v>
      </c>
      <c r="E2403" s="115" t="s">
        <v>4000</v>
      </c>
    </row>
    <row r="2404" spans="1:5" x14ac:dyDescent="0.25">
      <c r="B2404" s="115" t="s">
        <v>1643</v>
      </c>
      <c r="D2404" s="115" t="s">
        <v>4001</v>
      </c>
      <c r="E2404" s="115" t="s">
        <v>4002</v>
      </c>
    </row>
    <row r="2405" spans="1:5" x14ac:dyDescent="0.25">
      <c r="B2405" s="115" t="s">
        <v>4003</v>
      </c>
      <c r="D2405" s="115" t="s">
        <v>4004</v>
      </c>
      <c r="E2405" s="115" t="s">
        <v>4005</v>
      </c>
    </row>
    <row r="2406" spans="1:5" x14ac:dyDescent="0.25">
      <c r="A2406" s="115" t="s">
        <v>1137</v>
      </c>
      <c r="B2406" s="115" t="s">
        <v>4006</v>
      </c>
      <c r="D2406" s="115" t="s">
        <v>4007</v>
      </c>
      <c r="E2406" s="115" t="s">
        <v>4008</v>
      </c>
    </row>
    <row r="2407" spans="1:5" x14ac:dyDescent="0.25">
      <c r="B2407" s="115" t="s">
        <v>1138</v>
      </c>
      <c r="D2407" s="115" t="s">
        <v>4009</v>
      </c>
      <c r="E2407" s="115" t="s">
        <v>4010</v>
      </c>
    </row>
    <row r="2408" spans="1:5" x14ac:dyDescent="0.25">
      <c r="B2408" s="115" t="s">
        <v>4011</v>
      </c>
      <c r="D2408" s="115" t="s">
        <v>4012</v>
      </c>
      <c r="E2408" s="115" t="s">
        <v>4013</v>
      </c>
    </row>
    <row r="2409" spans="1:5" x14ac:dyDescent="0.25">
      <c r="A2409" s="115">
        <v>-1</v>
      </c>
      <c r="B2409" s="115" t="s">
        <v>4014</v>
      </c>
      <c r="D2409" s="115" t="s">
        <v>4015</v>
      </c>
      <c r="E2409" s="115" t="s">
        <v>4016</v>
      </c>
    </row>
    <row r="2410" spans="1:5" x14ac:dyDescent="0.25">
      <c r="B2410" s="115" t="s">
        <v>4017</v>
      </c>
      <c r="D2410" s="115" t="s">
        <v>1311</v>
      </c>
      <c r="E2410" s="115" t="s">
        <v>1140</v>
      </c>
    </row>
    <row r="2411" spans="1:5" x14ac:dyDescent="0.25">
      <c r="B2411" s="115" t="s">
        <v>4018</v>
      </c>
      <c r="D2411" s="115" t="s">
        <v>4019</v>
      </c>
      <c r="E2411" s="115" t="s">
        <v>1758</v>
      </c>
    </row>
    <row r="2412" spans="1:5" x14ac:dyDescent="0.25">
      <c r="B2412" s="115" t="s">
        <v>4020</v>
      </c>
      <c r="C2412" s="115">
        <v>1</v>
      </c>
      <c r="D2412" s="115" t="s">
        <v>4021</v>
      </c>
      <c r="E2412" s="115" t="s">
        <v>4022</v>
      </c>
    </row>
    <row r="2413" spans="1:5" x14ac:dyDescent="0.25">
      <c r="B2413" s="115" t="s">
        <v>4023</v>
      </c>
      <c r="D2413" s="115" t="s">
        <v>4024</v>
      </c>
      <c r="E2413" s="115" t="s">
        <v>4025</v>
      </c>
    </row>
    <row r="2414" spans="1:5" x14ac:dyDescent="0.25">
      <c r="B2414" s="115" t="s">
        <v>4026</v>
      </c>
      <c r="D2414" s="115" t="s">
        <v>4027</v>
      </c>
      <c r="E2414" s="115" t="s">
        <v>4028</v>
      </c>
    </row>
    <row r="2415" spans="1:5" x14ac:dyDescent="0.25">
      <c r="B2415" s="115" t="s">
        <v>4029</v>
      </c>
      <c r="D2415" s="115" t="s">
        <v>4030</v>
      </c>
      <c r="E2415" s="115" t="s">
        <v>4031</v>
      </c>
    </row>
    <row r="2416" spans="1:5" x14ac:dyDescent="0.25">
      <c r="B2416" s="115" t="s">
        <v>1138</v>
      </c>
      <c r="D2416" s="115" t="s">
        <v>4032</v>
      </c>
      <c r="E2416" s="115" t="s">
        <v>4033</v>
      </c>
    </row>
    <row r="2417" spans="1:5" x14ac:dyDescent="0.25">
      <c r="A2417" s="115">
        <v>-1</v>
      </c>
      <c r="B2417" s="115" t="s">
        <v>4034</v>
      </c>
      <c r="D2417" s="115" t="s">
        <v>4035</v>
      </c>
      <c r="E2417" s="115" t="s">
        <v>4036</v>
      </c>
    </row>
    <row r="2418" spans="1:5" x14ac:dyDescent="0.25">
      <c r="B2418" s="115" t="s">
        <v>1138</v>
      </c>
      <c r="D2418" s="115" t="s">
        <v>4037</v>
      </c>
      <c r="E2418" s="115" t="s">
        <v>4038</v>
      </c>
    </row>
    <row r="2419" spans="1:5" x14ac:dyDescent="0.25">
      <c r="B2419" s="115" t="s">
        <v>1138</v>
      </c>
      <c r="D2419" s="115" t="s">
        <v>1139</v>
      </c>
      <c r="E2419" s="115" t="s">
        <v>4039</v>
      </c>
    </row>
    <row r="2420" spans="1:5" x14ac:dyDescent="0.25">
      <c r="B2420" s="115" t="s">
        <v>1138</v>
      </c>
      <c r="D2420" s="115" t="s">
        <v>4040</v>
      </c>
      <c r="E2420" s="115" t="s">
        <v>4041</v>
      </c>
    </row>
    <row r="2421" spans="1:5" x14ac:dyDescent="0.25">
      <c r="A2421" s="115">
        <v>-2</v>
      </c>
      <c r="B2421" s="115" t="s">
        <v>1178</v>
      </c>
      <c r="D2421" s="115" t="s">
        <v>4042</v>
      </c>
      <c r="E2421" s="115" t="s">
        <v>4043</v>
      </c>
    </row>
    <row r="2422" spans="1:5" x14ac:dyDescent="0.25">
      <c r="B2422" s="115" t="s">
        <v>1138</v>
      </c>
      <c r="D2422" s="115" t="s">
        <v>4044</v>
      </c>
      <c r="E2422" s="115" t="s">
        <v>4045</v>
      </c>
    </row>
    <row r="2423" spans="1:5" x14ac:dyDescent="0.25">
      <c r="A2423" s="115">
        <v>-4</v>
      </c>
      <c r="B2423" s="115" t="s">
        <v>1444</v>
      </c>
      <c r="C2423" s="115" t="s">
        <v>1137</v>
      </c>
      <c r="D2423" s="115" t="s">
        <v>4046</v>
      </c>
      <c r="E2423" s="115" t="s">
        <v>4047</v>
      </c>
    </row>
    <row r="2424" spans="1:5" x14ac:dyDescent="0.25">
      <c r="B2424" s="115" t="s">
        <v>1138</v>
      </c>
      <c r="D2424" s="115" t="s">
        <v>4048</v>
      </c>
      <c r="E2424" s="115" t="s">
        <v>4049</v>
      </c>
    </row>
    <row r="2425" spans="1:5" x14ac:dyDescent="0.25">
      <c r="B2425" s="115" t="s">
        <v>1138</v>
      </c>
      <c r="D2425" s="115" t="s">
        <v>4050</v>
      </c>
      <c r="E2425" s="115" t="s">
        <v>4051</v>
      </c>
    </row>
    <row r="2426" spans="1:5" x14ac:dyDescent="0.25">
      <c r="A2426" s="115">
        <v>-5</v>
      </c>
      <c r="B2426" s="115" t="s">
        <v>4052</v>
      </c>
      <c r="C2426" s="115" t="s">
        <v>1137</v>
      </c>
      <c r="D2426" s="115" t="s">
        <v>4053</v>
      </c>
      <c r="E2426" s="115" t="s">
        <v>4054</v>
      </c>
    </row>
    <row r="2427" spans="1:5" x14ac:dyDescent="0.25">
      <c r="B2427" s="115" t="s">
        <v>4055</v>
      </c>
      <c r="D2427" s="115" t="s">
        <v>4056</v>
      </c>
      <c r="E2427" s="115" t="s">
        <v>4057</v>
      </c>
    </row>
    <row r="2428" spans="1:5" x14ac:dyDescent="0.25">
      <c r="B2428" s="115" t="s">
        <v>1138</v>
      </c>
      <c r="D2428" s="115" t="s">
        <v>4058</v>
      </c>
      <c r="E2428" s="115" t="s">
        <v>4059</v>
      </c>
    </row>
    <row r="2429" spans="1:5" x14ac:dyDescent="0.25">
      <c r="B2429" s="115" t="s">
        <v>1138</v>
      </c>
      <c r="D2429" s="115" t="s">
        <v>4060</v>
      </c>
      <c r="E2429" s="115" t="s">
        <v>4061</v>
      </c>
    </row>
    <row r="2430" spans="1:5" x14ac:dyDescent="0.25">
      <c r="B2430" s="115" t="s">
        <v>4062</v>
      </c>
      <c r="D2430" s="115" t="s">
        <v>4063</v>
      </c>
      <c r="E2430" s="115" t="s">
        <v>2081</v>
      </c>
    </row>
    <row r="2431" spans="1:5" x14ac:dyDescent="0.25">
      <c r="B2431" s="115" t="s">
        <v>1138</v>
      </c>
      <c r="D2431" s="115" t="s">
        <v>4064</v>
      </c>
      <c r="E2431" s="115" t="s">
        <v>4065</v>
      </c>
    </row>
    <row r="2432" spans="1:5" x14ac:dyDescent="0.25">
      <c r="B2432" s="115" t="s">
        <v>1138</v>
      </c>
      <c r="D2432" s="115" t="s">
        <v>4066</v>
      </c>
      <c r="E2432" s="115" t="s">
        <v>4067</v>
      </c>
    </row>
    <row r="2433" spans="1:5" x14ac:dyDescent="0.25">
      <c r="B2433" s="115" t="s">
        <v>1138</v>
      </c>
      <c r="D2433" s="115" t="s">
        <v>4068</v>
      </c>
      <c r="E2433" s="115" t="s">
        <v>4069</v>
      </c>
    </row>
    <row r="2434" spans="1:5" x14ac:dyDescent="0.25">
      <c r="B2434" s="115" t="s">
        <v>1138</v>
      </c>
      <c r="D2434" s="115" t="s">
        <v>4070</v>
      </c>
      <c r="E2434" s="115" t="s">
        <v>4071</v>
      </c>
    </row>
    <row r="2435" spans="1:5" x14ac:dyDescent="0.25">
      <c r="B2435" s="115" t="s">
        <v>1138</v>
      </c>
      <c r="D2435" s="115" t="s">
        <v>4072</v>
      </c>
      <c r="E2435" s="115" t="s">
        <v>4073</v>
      </c>
    </row>
    <row r="2436" spans="1:5" x14ac:dyDescent="0.25">
      <c r="B2436" s="115" t="s">
        <v>1138</v>
      </c>
      <c r="D2436" s="115" t="s">
        <v>1139</v>
      </c>
      <c r="E2436" s="115" t="s">
        <v>4074</v>
      </c>
    </row>
    <row r="2437" spans="1:5" x14ac:dyDescent="0.25">
      <c r="B2437" s="115" t="s">
        <v>1138</v>
      </c>
      <c r="D2437" s="115" t="s">
        <v>4075</v>
      </c>
      <c r="E2437" s="115" t="s">
        <v>4076</v>
      </c>
    </row>
    <row r="2438" spans="1:5" x14ac:dyDescent="0.25">
      <c r="B2438" s="115" t="s">
        <v>4077</v>
      </c>
      <c r="D2438" s="115" t="s">
        <v>4078</v>
      </c>
      <c r="E2438" s="115" t="s">
        <v>1701</v>
      </c>
    </row>
    <row r="2439" spans="1:5" x14ac:dyDescent="0.25">
      <c r="B2439" s="115" t="s">
        <v>3196</v>
      </c>
      <c r="D2439" s="115" t="s">
        <v>1139</v>
      </c>
      <c r="E2439" s="115" t="s">
        <v>4079</v>
      </c>
    </row>
    <row r="2440" spans="1:5" x14ac:dyDescent="0.25">
      <c r="A2440" s="115" t="s">
        <v>1137</v>
      </c>
      <c r="B2440" s="115" t="s">
        <v>1491</v>
      </c>
      <c r="C2440" s="115">
        <v>-1</v>
      </c>
      <c r="D2440" s="115" t="s">
        <v>4080</v>
      </c>
      <c r="E2440" s="115" t="s">
        <v>4081</v>
      </c>
    </row>
    <row r="2441" spans="1:5" x14ac:dyDescent="0.25">
      <c r="B2441" s="115" t="s">
        <v>1138</v>
      </c>
      <c r="D2441" s="115" t="s">
        <v>4082</v>
      </c>
      <c r="E2441" s="115" t="s">
        <v>4083</v>
      </c>
    </row>
    <row r="2442" spans="1:5" x14ac:dyDescent="0.25">
      <c r="B2442" s="115">
        <f>-45   -799</f>
        <v>-844</v>
      </c>
      <c r="D2442" s="115" t="s">
        <v>1139</v>
      </c>
      <c r="E2442" s="115" t="s">
        <v>4084</v>
      </c>
    </row>
    <row r="2443" spans="1:5" x14ac:dyDescent="0.25">
      <c r="A2443" s="115">
        <v>3</v>
      </c>
      <c r="B2443" s="115" t="s">
        <v>4085</v>
      </c>
      <c r="C2443" s="115">
        <v>-2</v>
      </c>
      <c r="D2443" s="115" t="s">
        <v>4086</v>
      </c>
      <c r="E2443" s="115" t="s">
        <v>4087</v>
      </c>
    </row>
    <row r="2444" spans="1:5" x14ac:dyDescent="0.25">
      <c r="B2444" s="115" t="s">
        <v>4088</v>
      </c>
      <c r="C2444" s="115" t="s">
        <v>1137</v>
      </c>
      <c r="D2444" s="115" t="s">
        <v>4089</v>
      </c>
      <c r="E2444" s="115" t="s">
        <v>4090</v>
      </c>
    </row>
    <row r="2445" spans="1:5" x14ac:dyDescent="0.25">
      <c r="A2445" s="115" t="s">
        <v>1137</v>
      </c>
      <c r="B2445" s="115" t="s">
        <v>4091</v>
      </c>
      <c r="D2445" s="115" t="s">
        <v>1139</v>
      </c>
      <c r="E2445" s="115" t="s">
        <v>4092</v>
      </c>
    </row>
    <row r="2446" spans="1:5" x14ac:dyDescent="0.25">
      <c r="A2446" s="115">
        <v>3</v>
      </c>
      <c r="B2446" s="115" t="s">
        <v>4093</v>
      </c>
      <c r="C2446" s="115">
        <v>-2</v>
      </c>
      <c r="D2446" s="115" t="s">
        <v>4094</v>
      </c>
      <c r="E2446" s="115" t="s">
        <v>4095</v>
      </c>
    </row>
    <row r="2447" spans="1:5" x14ac:dyDescent="0.25">
      <c r="B2447" s="115" t="s">
        <v>4096</v>
      </c>
      <c r="D2447" s="115" t="s">
        <v>4097</v>
      </c>
      <c r="E2447" s="115" t="s">
        <v>4098</v>
      </c>
    </row>
    <row r="2448" spans="1:5" x14ac:dyDescent="0.25">
      <c r="B2448" s="115" t="s">
        <v>4099</v>
      </c>
      <c r="D2448" s="115" t="s">
        <v>1139</v>
      </c>
      <c r="E2448" s="115" t="s">
        <v>4100</v>
      </c>
    </row>
    <row r="2449" spans="1:5" x14ac:dyDescent="0.25">
      <c r="B2449" s="115" t="s">
        <v>4101</v>
      </c>
      <c r="D2449" s="115" t="s">
        <v>1990</v>
      </c>
      <c r="E2449" s="115" t="s">
        <v>4102</v>
      </c>
    </row>
    <row r="2450" spans="1:5" x14ac:dyDescent="0.25">
      <c r="B2450" s="115" t="s">
        <v>4103</v>
      </c>
      <c r="D2450" s="115" t="s">
        <v>4104</v>
      </c>
      <c r="E2450" s="115" t="s">
        <v>4105</v>
      </c>
    </row>
    <row r="2451" spans="1:5" x14ac:dyDescent="0.25">
      <c r="B2451" s="115" t="s">
        <v>1138</v>
      </c>
      <c r="D2451" s="115" t="s">
        <v>1139</v>
      </c>
      <c r="E2451" s="115" t="s">
        <v>4106</v>
      </c>
    </row>
    <row r="2452" spans="1:5" x14ac:dyDescent="0.25">
      <c r="A2452" s="115">
        <v>-1</v>
      </c>
      <c r="B2452" s="115" t="s">
        <v>4107</v>
      </c>
      <c r="D2452" s="115" t="s">
        <v>1139</v>
      </c>
      <c r="E2452" s="115" t="s">
        <v>4108</v>
      </c>
    </row>
    <row r="2453" spans="1:5" x14ac:dyDescent="0.25">
      <c r="A2453" s="115">
        <v>-3</v>
      </c>
      <c r="B2453" s="115" t="s">
        <v>4109</v>
      </c>
      <c r="D2453" s="115" t="s">
        <v>4110</v>
      </c>
      <c r="E2453" s="115" t="s">
        <v>4111</v>
      </c>
    </row>
    <row r="2454" spans="1:5" x14ac:dyDescent="0.25">
      <c r="B2454" s="115" t="s">
        <v>4112</v>
      </c>
      <c r="D2454" s="115" t="s">
        <v>1139</v>
      </c>
      <c r="E2454" s="115" t="s">
        <v>4113</v>
      </c>
    </row>
    <row r="2455" spans="1:5" x14ac:dyDescent="0.25">
      <c r="A2455" s="115">
        <v>-1</v>
      </c>
      <c r="B2455" s="115" t="s">
        <v>4114</v>
      </c>
      <c r="C2455" s="115" t="s">
        <v>1137</v>
      </c>
      <c r="D2455" s="115" t="s">
        <v>4115</v>
      </c>
      <c r="E2455" s="115" t="s">
        <v>4116</v>
      </c>
    </row>
    <row r="2456" spans="1:5" x14ac:dyDescent="0.25">
      <c r="B2456" s="115" t="s">
        <v>1138</v>
      </c>
      <c r="D2456" s="115" t="s">
        <v>4117</v>
      </c>
      <c r="E2456" s="115" t="s">
        <v>1140</v>
      </c>
    </row>
    <row r="2457" spans="1:5" x14ac:dyDescent="0.25">
      <c r="B2457" s="115" t="s">
        <v>1138</v>
      </c>
      <c r="D2457" s="115" t="s">
        <v>4118</v>
      </c>
      <c r="E2457" s="115" t="s">
        <v>4119</v>
      </c>
    </row>
    <row r="2458" spans="1:5" x14ac:dyDescent="0.25">
      <c r="B2458" s="115" t="s">
        <v>4120</v>
      </c>
      <c r="D2458" s="115" t="s">
        <v>4121</v>
      </c>
      <c r="E2458" s="115" t="s">
        <v>4122</v>
      </c>
    </row>
    <row r="2459" spans="1:5" x14ac:dyDescent="0.25">
      <c r="B2459" s="115" t="s">
        <v>1138</v>
      </c>
      <c r="D2459" s="115" t="s">
        <v>4123</v>
      </c>
      <c r="E2459" s="115" t="s">
        <v>1758</v>
      </c>
    </row>
    <row r="2460" spans="1:5" x14ac:dyDescent="0.25">
      <c r="B2460" s="115" t="s">
        <v>1138</v>
      </c>
      <c r="D2460" s="115" t="s">
        <v>4124</v>
      </c>
      <c r="E2460" s="115" t="s">
        <v>4125</v>
      </c>
    </row>
    <row r="2461" spans="1:5" x14ac:dyDescent="0.25">
      <c r="B2461" s="115" t="s">
        <v>4126</v>
      </c>
      <c r="C2461" s="115" t="s">
        <v>1137</v>
      </c>
      <c r="D2461" s="115" t="s">
        <v>4127</v>
      </c>
      <c r="E2461" s="115" t="s">
        <v>4128</v>
      </c>
    </row>
    <row r="2462" spans="1:5" x14ac:dyDescent="0.25">
      <c r="A2462" s="115">
        <v>1</v>
      </c>
      <c r="B2462" s="115" t="s">
        <v>4129</v>
      </c>
      <c r="C2462" s="115" t="s">
        <v>1137</v>
      </c>
      <c r="D2462" s="115" t="s">
        <v>4130</v>
      </c>
      <c r="E2462" s="115" t="s">
        <v>1858</v>
      </c>
    </row>
    <row r="2463" spans="1:5" x14ac:dyDescent="0.25">
      <c r="B2463" s="115" t="s">
        <v>4131</v>
      </c>
      <c r="C2463" s="115">
        <v>1</v>
      </c>
      <c r="D2463" s="115" t="s">
        <v>4132</v>
      </c>
      <c r="E2463" s="115" t="s">
        <v>4133</v>
      </c>
    </row>
    <row r="2464" spans="1:5" x14ac:dyDescent="0.25">
      <c r="A2464" s="115">
        <v>-3</v>
      </c>
      <c r="B2464" s="115" t="s">
        <v>4134</v>
      </c>
      <c r="D2464" s="115" t="s">
        <v>4135</v>
      </c>
      <c r="E2464" s="115" t="s">
        <v>4136</v>
      </c>
    </row>
    <row r="2465" spans="1:5" x14ac:dyDescent="0.25">
      <c r="A2465" s="115">
        <v>2</v>
      </c>
      <c r="B2465" s="115" t="s">
        <v>4137</v>
      </c>
      <c r="D2465" s="115" t="s">
        <v>4138</v>
      </c>
      <c r="E2465" s="115" t="s">
        <v>1858</v>
      </c>
    </row>
    <row r="2466" spans="1:5" x14ac:dyDescent="0.25">
      <c r="A2466" s="115">
        <v>1</v>
      </c>
      <c r="B2466" s="115" t="s">
        <v>4139</v>
      </c>
      <c r="D2466" s="115" t="s">
        <v>4140</v>
      </c>
      <c r="E2466" s="115" t="s">
        <v>4141</v>
      </c>
    </row>
    <row r="2467" spans="1:5" x14ac:dyDescent="0.25">
      <c r="A2467" s="115">
        <v>-3</v>
      </c>
      <c r="B2467" s="115" t="s">
        <v>4142</v>
      </c>
      <c r="D2467" s="115" t="s">
        <v>4143</v>
      </c>
      <c r="E2467" s="115" t="s">
        <v>4144</v>
      </c>
    </row>
    <row r="2468" spans="1:5" x14ac:dyDescent="0.25">
      <c r="B2468" s="115" t="s">
        <v>4145</v>
      </c>
      <c r="D2468" s="115" t="s">
        <v>4146</v>
      </c>
      <c r="E2468" s="115" t="s">
        <v>1818</v>
      </c>
    </row>
    <row r="2469" spans="1:5" x14ac:dyDescent="0.25">
      <c r="B2469" s="115" t="s">
        <v>4147</v>
      </c>
      <c r="D2469" s="115" t="s">
        <v>4148</v>
      </c>
      <c r="E2469" s="115" t="s">
        <v>4149</v>
      </c>
    </row>
    <row r="2470" spans="1:5" x14ac:dyDescent="0.25">
      <c r="B2470" s="115" t="s">
        <v>4150</v>
      </c>
      <c r="C2470" s="115" t="s">
        <v>1137</v>
      </c>
      <c r="D2470" s="115" t="s">
        <v>4151</v>
      </c>
      <c r="E2470" s="115" t="s">
        <v>4152</v>
      </c>
    </row>
    <row r="2471" spans="1:5" x14ac:dyDescent="0.25">
      <c r="B2471" s="115" t="s">
        <v>4153</v>
      </c>
      <c r="D2471" s="115" t="s">
        <v>4154</v>
      </c>
      <c r="E2471" s="115" t="s">
        <v>1140</v>
      </c>
    </row>
    <row r="2472" spans="1:5" x14ac:dyDescent="0.25">
      <c r="A2472" s="115">
        <v>1</v>
      </c>
      <c r="B2472" s="115" t="s">
        <v>4155</v>
      </c>
      <c r="D2472" s="115" t="s">
        <v>4156</v>
      </c>
      <c r="E2472" s="115" t="s">
        <v>1140</v>
      </c>
    </row>
    <row r="2473" spans="1:5" x14ac:dyDescent="0.25">
      <c r="A2473" s="115">
        <v>4</v>
      </c>
      <c r="B2473" s="115" t="s">
        <v>4157</v>
      </c>
      <c r="C2473" s="115" t="s">
        <v>1137</v>
      </c>
      <c r="D2473" s="115" t="s">
        <v>4158</v>
      </c>
      <c r="E2473" s="115" t="s">
        <v>4159</v>
      </c>
    </row>
    <row r="2474" spans="1:5" x14ac:dyDescent="0.25">
      <c r="B2474" s="115" t="s">
        <v>1420</v>
      </c>
      <c r="C2474" s="115" t="s">
        <v>1137</v>
      </c>
      <c r="D2474" s="115" t="s">
        <v>4160</v>
      </c>
      <c r="E2474" s="115" t="s">
        <v>2689</v>
      </c>
    </row>
    <row r="2475" spans="1:5" x14ac:dyDescent="0.25">
      <c r="A2475" s="115">
        <v>-2</v>
      </c>
      <c r="B2475" s="115" t="s">
        <v>4161</v>
      </c>
      <c r="C2475" s="115">
        <v>2</v>
      </c>
      <c r="D2475" s="115" t="s">
        <v>4162</v>
      </c>
      <c r="E2475" s="115" t="s">
        <v>4163</v>
      </c>
    </row>
    <row r="2476" spans="1:5" x14ac:dyDescent="0.25">
      <c r="B2476" s="115" t="s">
        <v>4164</v>
      </c>
      <c r="D2476" s="115" t="s">
        <v>4165</v>
      </c>
      <c r="E2476" s="115" t="s">
        <v>4166</v>
      </c>
    </row>
    <row r="2477" spans="1:5" x14ac:dyDescent="0.25">
      <c r="B2477" s="115" t="s">
        <v>1138</v>
      </c>
      <c r="D2477" s="115" t="s">
        <v>1139</v>
      </c>
      <c r="E2477" s="115" t="s">
        <v>4167</v>
      </c>
    </row>
    <row r="2478" spans="1:5" x14ac:dyDescent="0.25">
      <c r="B2478" s="115" t="s">
        <v>4168</v>
      </c>
      <c r="D2478" s="115" t="s">
        <v>4169</v>
      </c>
      <c r="E2478" s="115" t="s">
        <v>4170</v>
      </c>
    </row>
    <row r="2479" spans="1:5" x14ac:dyDescent="0.25">
      <c r="A2479" s="115" t="s">
        <v>1137</v>
      </c>
      <c r="B2479" s="115" t="s">
        <v>1487</v>
      </c>
      <c r="D2479" s="115" t="s">
        <v>4171</v>
      </c>
      <c r="E2479" s="115" t="s">
        <v>1140</v>
      </c>
    </row>
    <row r="2480" spans="1:5" x14ac:dyDescent="0.25">
      <c r="A2480" s="115" t="s">
        <v>1137</v>
      </c>
      <c r="B2480" s="115" t="s">
        <v>4172</v>
      </c>
      <c r="D2480" s="115" t="s">
        <v>1139</v>
      </c>
      <c r="E2480" s="115" t="s">
        <v>4173</v>
      </c>
    </row>
    <row r="2481" spans="1:5" x14ac:dyDescent="0.25">
      <c r="B2481" s="115" t="s">
        <v>4174</v>
      </c>
      <c r="D2481" s="115" t="s">
        <v>1139</v>
      </c>
      <c r="E2481" s="115" t="s">
        <v>4175</v>
      </c>
    </row>
    <row r="2482" spans="1:5" x14ac:dyDescent="0.25">
      <c r="B2482" s="115" t="s">
        <v>4176</v>
      </c>
      <c r="D2482" s="115" t="s">
        <v>4177</v>
      </c>
      <c r="E2482" s="115" t="s">
        <v>4178</v>
      </c>
    </row>
    <row r="2483" spans="1:5" x14ac:dyDescent="0.25">
      <c r="A2483" s="115">
        <v>1</v>
      </c>
      <c r="B2483" s="115" t="s">
        <v>1483</v>
      </c>
      <c r="D2483" s="115" t="s">
        <v>4179</v>
      </c>
      <c r="E2483" s="115" t="s">
        <v>4180</v>
      </c>
    </row>
    <row r="2484" spans="1:5" x14ac:dyDescent="0.25">
      <c r="B2484" s="115" t="s">
        <v>4181</v>
      </c>
      <c r="D2484" s="115" t="s">
        <v>4182</v>
      </c>
      <c r="E2484" s="115" t="s">
        <v>4183</v>
      </c>
    </row>
    <row r="2485" spans="1:5" x14ac:dyDescent="0.25">
      <c r="B2485" s="115" t="s">
        <v>4184</v>
      </c>
      <c r="D2485" s="115" t="s">
        <v>4185</v>
      </c>
      <c r="E2485" s="115" t="s">
        <v>4186</v>
      </c>
    </row>
    <row r="2486" spans="1:5" x14ac:dyDescent="0.25">
      <c r="B2486" s="115" t="s">
        <v>1256</v>
      </c>
      <c r="D2486" s="115" t="s">
        <v>4187</v>
      </c>
      <c r="E2486" s="115" t="s">
        <v>4188</v>
      </c>
    </row>
    <row r="2487" spans="1:5" x14ac:dyDescent="0.25">
      <c r="A2487" s="115">
        <v>-4</v>
      </c>
      <c r="B2487" s="115" t="s">
        <v>4189</v>
      </c>
      <c r="C2487" s="115" t="s">
        <v>1137</v>
      </c>
      <c r="D2487" s="115" t="s">
        <v>4190</v>
      </c>
      <c r="E2487" s="115" t="s">
        <v>4191</v>
      </c>
    </row>
    <row r="2488" spans="1:5" x14ac:dyDescent="0.25">
      <c r="A2488" s="115">
        <v>-1</v>
      </c>
      <c r="B2488" s="115" t="s">
        <v>4192</v>
      </c>
      <c r="D2488" s="115" t="s">
        <v>4193</v>
      </c>
      <c r="E2488" s="115" t="s">
        <v>4194</v>
      </c>
    </row>
    <row r="2489" spans="1:5" x14ac:dyDescent="0.25">
      <c r="A2489" s="115" t="s">
        <v>1137</v>
      </c>
      <c r="B2489" s="115" t="s">
        <v>4195</v>
      </c>
      <c r="D2489" s="115" t="s">
        <v>4196</v>
      </c>
      <c r="E2489" s="115" t="s">
        <v>4197</v>
      </c>
    </row>
    <row r="2490" spans="1:5" x14ac:dyDescent="0.25">
      <c r="B2490" s="115" t="s">
        <v>1364</v>
      </c>
      <c r="D2490" s="115" t="s">
        <v>4198</v>
      </c>
      <c r="E2490" s="115" t="s">
        <v>4199</v>
      </c>
    </row>
    <row r="2491" spans="1:5" x14ac:dyDescent="0.25">
      <c r="B2491" s="115" t="s">
        <v>1162</v>
      </c>
      <c r="D2491" s="115" t="s">
        <v>4200</v>
      </c>
      <c r="E2491" s="115" t="s">
        <v>4201</v>
      </c>
    </row>
    <row r="2492" spans="1:5" x14ac:dyDescent="0.25">
      <c r="B2492" s="115" t="s">
        <v>1138</v>
      </c>
      <c r="D2492" s="115" t="s">
        <v>4202</v>
      </c>
      <c r="E2492" s="115" t="s">
        <v>4203</v>
      </c>
    </row>
    <row r="2493" spans="1:5" x14ac:dyDescent="0.25">
      <c r="B2493" s="115" t="s">
        <v>1138</v>
      </c>
      <c r="D2493" s="115" t="s">
        <v>4204</v>
      </c>
      <c r="E2493" s="115" t="s">
        <v>4205</v>
      </c>
    </row>
    <row r="2494" spans="1:5" x14ac:dyDescent="0.25">
      <c r="A2494" s="115">
        <v>-1</v>
      </c>
      <c r="B2494" s="115" t="s">
        <v>4206</v>
      </c>
      <c r="D2494" s="115" t="s">
        <v>4207</v>
      </c>
      <c r="E2494" s="115" t="s">
        <v>4208</v>
      </c>
    </row>
    <row r="2495" spans="1:5" x14ac:dyDescent="0.25">
      <c r="A2495" s="115" t="s">
        <v>1137</v>
      </c>
      <c r="B2495" s="115" t="s">
        <v>1443</v>
      </c>
      <c r="D2495" s="115" t="s">
        <v>4209</v>
      </c>
      <c r="E2495" s="115" t="s">
        <v>4210</v>
      </c>
    </row>
    <row r="2496" spans="1:5" x14ac:dyDescent="0.25">
      <c r="A2496" s="115">
        <v>33</v>
      </c>
      <c r="B2496" s="115" t="s">
        <v>4211</v>
      </c>
      <c r="D2496" s="115">
        <f>-117  -2631  -1517</f>
        <v>-4265</v>
      </c>
      <c r="E2496" s="115" t="s">
        <v>4212</v>
      </c>
    </row>
    <row r="2497" spans="1:5" x14ac:dyDescent="0.25">
      <c r="B2497" s="115" t="s">
        <v>1138</v>
      </c>
      <c r="D2497" s="115" t="s">
        <v>4213</v>
      </c>
      <c r="E2497" s="115" t="s">
        <v>1140</v>
      </c>
    </row>
    <row r="2498" spans="1:5" x14ac:dyDescent="0.25">
      <c r="B2498" s="115" t="s">
        <v>1138</v>
      </c>
      <c r="D2498" s="115" t="s">
        <v>4214</v>
      </c>
      <c r="E2498" s="115" t="s">
        <v>4215</v>
      </c>
    </row>
    <row r="2499" spans="1:5" x14ac:dyDescent="0.25">
      <c r="A2499" s="115">
        <v>-14</v>
      </c>
      <c r="B2499" s="115" t="s">
        <v>4216</v>
      </c>
      <c r="D2499" s="115" t="s">
        <v>1373</v>
      </c>
      <c r="E2499" s="115" t="s">
        <v>4217</v>
      </c>
    </row>
    <row r="2500" spans="1:5" x14ac:dyDescent="0.25">
      <c r="B2500" s="115" t="s">
        <v>4218</v>
      </c>
      <c r="D2500" s="115" t="s">
        <v>1139</v>
      </c>
      <c r="E2500" s="115" t="s">
        <v>4219</v>
      </c>
    </row>
    <row r="2501" spans="1:5" x14ac:dyDescent="0.25">
      <c r="B2501" s="115" t="s">
        <v>1138</v>
      </c>
      <c r="D2501" s="115" t="s">
        <v>4220</v>
      </c>
      <c r="E2501" s="115" t="s">
        <v>4221</v>
      </c>
    </row>
    <row r="2502" spans="1:5" x14ac:dyDescent="0.25">
      <c r="B2502" s="115" t="s">
        <v>1138</v>
      </c>
      <c r="D2502" s="115" t="s">
        <v>4222</v>
      </c>
      <c r="E2502" s="115" t="s">
        <v>4223</v>
      </c>
    </row>
    <row r="2503" spans="1:5" x14ac:dyDescent="0.25">
      <c r="B2503" s="115" t="s">
        <v>4224</v>
      </c>
      <c r="D2503" s="115" t="s">
        <v>4225</v>
      </c>
      <c r="E2503" s="115" t="s">
        <v>4226</v>
      </c>
    </row>
    <row r="2504" spans="1:5" x14ac:dyDescent="0.25">
      <c r="B2504" s="115" t="s">
        <v>1391</v>
      </c>
      <c r="D2504" s="115" t="s">
        <v>4227</v>
      </c>
      <c r="E2504" s="115" t="s">
        <v>4228</v>
      </c>
    </row>
    <row r="2505" spans="1:5" x14ac:dyDescent="0.25">
      <c r="A2505" s="115">
        <v>-31</v>
      </c>
      <c r="B2505" s="115" t="s">
        <v>4229</v>
      </c>
      <c r="D2505" s="115" t="s">
        <v>4230</v>
      </c>
      <c r="E2505" s="115" t="s">
        <v>4231</v>
      </c>
    </row>
    <row r="2506" spans="1:5" x14ac:dyDescent="0.25">
      <c r="A2506" s="115" t="s">
        <v>1137</v>
      </c>
      <c r="B2506" s="115" t="s">
        <v>4232</v>
      </c>
      <c r="D2506" s="115" t="s">
        <v>4233</v>
      </c>
      <c r="E2506" s="115" t="s">
        <v>4234</v>
      </c>
    </row>
    <row r="2507" spans="1:5" x14ac:dyDescent="0.25">
      <c r="B2507" s="115" t="s">
        <v>4235</v>
      </c>
      <c r="D2507" s="115" t="s">
        <v>4236</v>
      </c>
      <c r="E2507" s="115" t="s">
        <v>4237</v>
      </c>
    </row>
    <row r="2508" spans="1:5" x14ac:dyDescent="0.25">
      <c r="A2508" s="115">
        <v>-18</v>
      </c>
      <c r="B2508" s="115" t="s">
        <v>4238</v>
      </c>
      <c r="D2508" s="115" t="s">
        <v>1656</v>
      </c>
      <c r="E2508" s="115" t="s">
        <v>4239</v>
      </c>
    </row>
    <row r="2509" spans="1:5" x14ac:dyDescent="0.25">
      <c r="B2509" s="115" t="s">
        <v>1138</v>
      </c>
      <c r="D2509" s="115" t="s">
        <v>4240</v>
      </c>
      <c r="E2509" s="115" t="s">
        <v>4241</v>
      </c>
    </row>
    <row r="2510" spans="1:5" x14ac:dyDescent="0.25">
      <c r="B2510" s="115" t="s">
        <v>4242</v>
      </c>
      <c r="D2510" s="115" t="s">
        <v>4243</v>
      </c>
      <c r="E2510" s="115" t="s">
        <v>4244</v>
      </c>
    </row>
    <row r="2511" spans="1:5" x14ac:dyDescent="0.25">
      <c r="A2511" s="115">
        <v>-17</v>
      </c>
      <c r="B2511" s="115" t="s">
        <v>4245</v>
      </c>
      <c r="D2511" s="115" t="s">
        <v>4246</v>
      </c>
      <c r="E2511" s="115" t="s">
        <v>4247</v>
      </c>
    </row>
    <row r="2512" spans="1:5" x14ac:dyDescent="0.25">
      <c r="B2512" s="115" t="s">
        <v>4248</v>
      </c>
      <c r="D2512" s="115" t="s">
        <v>4249</v>
      </c>
      <c r="E2512" s="115" t="s">
        <v>1140</v>
      </c>
    </row>
    <row r="2513" spans="1:5" x14ac:dyDescent="0.25">
      <c r="B2513" s="115" t="s">
        <v>4250</v>
      </c>
      <c r="D2513" s="115" t="s">
        <v>4251</v>
      </c>
      <c r="E2513" s="115" t="s">
        <v>1858</v>
      </c>
    </row>
    <row r="2514" spans="1:5" x14ac:dyDescent="0.25">
      <c r="B2514" s="115" t="s">
        <v>4252</v>
      </c>
      <c r="D2514" s="115" t="s">
        <v>4253</v>
      </c>
      <c r="E2514" s="115" t="s">
        <v>4254</v>
      </c>
    </row>
    <row r="2515" spans="1:5" x14ac:dyDescent="0.25">
      <c r="B2515" s="115" t="s">
        <v>4255</v>
      </c>
      <c r="D2515" s="115" t="s">
        <v>1671</v>
      </c>
      <c r="E2515" s="115" t="s">
        <v>4256</v>
      </c>
    </row>
    <row r="2516" spans="1:5" x14ac:dyDescent="0.25">
      <c r="B2516" s="115" t="s">
        <v>4257</v>
      </c>
      <c r="D2516" s="115" t="s">
        <v>4258</v>
      </c>
      <c r="E2516" s="115" t="s">
        <v>4259</v>
      </c>
    </row>
    <row r="2517" spans="1:5" x14ac:dyDescent="0.25">
      <c r="A2517" s="115">
        <v>-3</v>
      </c>
      <c r="B2517" s="115" t="s">
        <v>4260</v>
      </c>
      <c r="D2517" s="115" t="s">
        <v>4261</v>
      </c>
      <c r="E2517" s="115" t="s">
        <v>4262</v>
      </c>
    </row>
    <row r="2518" spans="1:5" x14ac:dyDescent="0.25">
      <c r="B2518" s="115" t="s">
        <v>4263</v>
      </c>
      <c r="D2518" s="115" t="s">
        <v>1139</v>
      </c>
      <c r="E2518" s="115" t="s">
        <v>1140</v>
      </c>
    </row>
    <row r="2519" spans="1:5" x14ac:dyDescent="0.25">
      <c r="B2519" s="115" t="s">
        <v>4264</v>
      </c>
      <c r="D2519" s="115" t="s">
        <v>4265</v>
      </c>
      <c r="E2519" s="115" t="s">
        <v>4266</v>
      </c>
    </row>
    <row r="2520" spans="1:5" x14ac:dyDescent="0.25">
      <c r="B2520" s="115" t="s">
        <v>1138</v>
      </c>
      <c r="D2520" s="115" t="s">
        <v>4267</v>
      </c>
      <c r="E2520" s="115" t="s">
        <v>4268</v>
      </c>
    </row>
    <row r="2521" spans="1:5" x14ac:dyDescent="0.25">
      <c r="B2521" s="115" t="s">
        <v>1138</v>
      </c>
      <c r="D2521" s="115" t="s">
        <v>1536</v>
      </c>
      <c r="E2521" s="115" t="s">
        <v>1140</v>
      </c>
    </row>
    <row r="2522" spans="1:5" x14ac:dyDescent="0.25">
      <c r="B2522" s="115" t="s">
        <v>4269</v>
      </c>
      <c r="C2522" s="115" t="s">
        <v>1137</v>
      </c>
      <c r="D2522" s="115" t="s">
        <v>4270</v>
      </c>
      <c r="E2522" s="115" t="s">
        <v>4271</v>
      </c>
    </row>
    <row r="2523" spans="1:5" x14ac:dyDescent="0.25">
      <c r="A2523" s="115" t="s">
        <v>1137</v>
      </c>
      <c r="B2523" s="115" t="s">
        <v>4272</v>
      </c>
      <c r="D2523" s="115" t="s">
        <v>4273</v>
      </c>
      <c r="E2523" s="115" t="s">
        <v>4274</v>
      </c>
    </row>
    <row r="2524" spans="1:5" x14ac:dyDescent="0.25">
      <c r="A2524" s="115">
        <v>1</v>
      </c>
      <c r="B2524" s="115" t="s">
        <v>4275</v>
      </c>
      <c r="D2524" s="115" t="s">
        <v>4276</v>
      </c>
      <c r="E2524" s="115" t="s">
        <v>4277</v>
      </c>
    </row>
    <row r="2525" spans="1:5" x14ac:dyDescent="0.25">
      <c r="A2525" s="115">
        <v>7</v>
      </c>
      <c r="B2525" s="115" t="s">
        <v>4278</v>
      </c>
      <c r="D2525" s="115" t="s">
        <v>4279</v>
      </c>
      <c r="E2525" s="115" t="s">
        <v>4280</v>
      </c>
    </row>
    <row r="2526" spans="1:5" x14ac:dyDescent="0.25">
      <c r="B2526" s="115" t="s">
        <v>4281</v>
      </c>
      <c r="D2526" s="115" t="s">
        <v>4282</v>
      </c>
      <c r="E2526" s="115" t="s">
        <v>4283</v>
      </c>
    </row>
    <row r="2527" spans="1:5" x14ac:dyDescent="0.25">
      <c r="A2527" s="115" t="s">
        <v>1137</v>
      </c>
      <c r="B2527" s="115" t="s">
        <v>4284</v>
      </c>
      <c r="D2527" s="115" t="s">
        <v>4285</v>
      </c>
      <c r="E2527" s="115" t="s">
        <v>4286</v>
      </c>
    </row>
    <row r="2528" spans="1:5" x14ac:dyDescent="0.25">
      <c r="B2528" s="115" t="s">
        <v>4287</v>
      </c>
      <c r="D2528" s="115">
        <f>-324  -2323  -3306  -439</f>
        <v>-6392</v>
      </c>
      <c r="E2528" s="115" t="s">
        <v>4288</v>
      </c>
    </row>
    <row r="2529" spans="1:5" x14ac:dyDescent="0.25">
      <c r="B2529" s="115" t="s">
        <v>1475</v>
      </c>
      <c r="D2529" s="115" t="s">
        <v>4289</v>
      </c>
      <c r="E2529" s="115" t="s">
        <v>4290</v>
      </c>
    </row>
    <row r="2530" spans="1:5" x14ac:dyDescent="0.25">
      <c r="B2530" s="115" t="s">
        <v>4291</v>
      </c>
      <c r="D2530" s="115" t="s">
        <v>4292</v>
      </c>
      <c r="E2530" s="115" t="s">
        <v>4293</v>
      </c>
    </row>
    <row r="2531" spans="1:5" x14ac:dyDescent="0.25">
      <c r="B2531" s="115" t="s">
        <v>4294</v>
      </c>
      <c r="C2531" s="115" t="s">
        <v>1137</v>
      </c>
      <c r="D2531" s="115" t="s">
        <v>4295</v>
      </c>
      <c r="E2531" s="115" t="s">
        <v>4296</v>
      </c>
    </row>
    <row r="2532" spans="1:5" x14ac:dyDescent="0.25">
      <c r="A2532" s="115" t="s">
        <v>1137</v>
      </c>
      <c r="B2532" s="115" t="s">
        <v>4297</v>
      </c>
      <c r="D2532" s="115" t="s">
        <v>4298</v>
      </c>
      <c r="E2532" s="115" t="s">
        <v>4299</v>
      </c>
    </row>
    <row r="2533" spans="1:5" x14ac:dyDescent="0.25">
      <c r="A2533" s="115" t="s">
        <v>1137</v>
      </c>
      <c r="B2533" s="115" t="s">
        <v>4300</v>
      </c>
      <c r="D2533" s="115" t="s">
        <v>1139</v>
      </c>
      <c r="E2533" s="115" t="s">
        <v>4301</v>
      </c>
    </row>
    <row r="2534" spans="1:5" x14ac:dyDescent="0.25">
      <c r="B2534" s="115" t="s">
        <v>4302</v>
      </c>
      <c r="C2534" s="115" t="s">
        <v>1137</v>
      </c>
      <c r="D2534" s="115" t="s">
        <v>4303</v>
      </c>
      <c r="E2534" s="115" t="s">
        <v>4304</v>
      </c>
    </row>
    <row r="2535" spans="1:5" x14ac:dyDescent="0.25">
      <c r="B2535" s="115" t="s">
        <v>4305</v>
      </c>
      <c r="D2535" s="115" t="s">
        <v>4306</v>
      </c>
      <c r="E2535" s="115" t="s">
        <v>4307</v>
      </c>
    </row>
    <row r="2536" spans="1:5" x14ac:dyDescent="0.25">
      <c r="A2536" s="115">
        <v>-1</v>
      </c>
      <c r="B2536" s="115" t="s">
        <v>1216</v>
      </c>
      <c r="D2536" s="115" t="s">
        <v>4308</v>
      </c>
      <c r="E2536" s="115" t="s">
        <v>4309</v>
      </c>
    </row>
    <row r="2537" spans="1:5" x14ac:dyDescent="0.25">
      <c r="A2537" s="115">
        <v>6</v>
      </c>
      <c r="B2537" s="115" t="s">
        <v>4310</v>
      </c>
      <c r="C2537" s="115">
        <v>1</v>
      </c>
      <c r="D2537" s="115" t="s">
        <v>4311</v>
      </c>
      <c r="E2537" s="115" t="s">
        <v>1701</v>
      </c>
    </row>
    <row r="2538" spans="1:5" x14ac:dyDescent="0.25">
      <c r="B2538" s="115" t="s">
        <v>1138</v>
      </c>
      <c r="D2538" s="115" t="s">
        <v>1139</v>
      </c>
      <c r="E2538" s="115" t="s">
        <v>1140</v>
      </c>
    </row>
    <row r="2539" spans="1:5" x14ac:dyDescent="0.25">
      <c r="B2539" s="115" t="s">
        <v>1138</v>
      </c>
      <c r="D2539" s="115" t="s">
        <v>1139</v>
      </c>
      <c r="E2539" s="115" t="s">
        <v>1140</v>
      </c>
    </row>
    <row r="2540" spans="1:5" x14ac:dyDescent="0.25">
      <c r="B2540" s="115" t="s">
        <v>1138</v>
      </c>
      <c r="D2540" s="115" t="s">
        <v>1139</v>
      </c>
      <c r="E2540" s="115" t="s">
        <v>1140</v>
      </c>
    </row>
    <row r="2541" spans="1:5" x14ac:dyDescent="0.25">
      <c r="B2541" s="115" t="s">
        <v>1138</v>
      </c>
      <c r="D2541" s="115" t="s">
        <v>1139</v>
      </c>
      <c r="E2541" s="115" t="s">
        <v>1140</v>
      </c>
    </row>
    <row r="2542" spans="1:5" x14ac:dyDescent="0.25">
      <c r="B2542" s="115" t="s">
        <v>1138</v>
      </c>
      <c r="D2542" s="115" t="s">
        <v>1139</v>
      </c>
      <c r="E2542" s="115" t="s">
        <v>1140</v>
      </c>
    </row>
    <row r="2543" spans="1:5" x14ac:dyDescent="0.25">
      <c r="B2543" s="115" t="s">
        <v>1138</v>
      </c>
      <c r="D2543" s="115" t="s">
        <v>1139</v>
      </c>
      <c r="E2543" s="115" t="s">
        <v>1140</v>
      </c>
    </row>
    <row r="2544" spans="1:5" x14ac:dyDescent="0.25">
      <c r="B2544" s="115" t="s">
        <v>1138</v>
      </c>
      <c r="D2544" s="115" t="s">
        <v>1139</v>
      </c>
      <c r="E2544" s="115" t="s">
        <v>1140</v>
      </c>
    </row>
    <row r="2545" spans="2:5" x14ac:dyDescent="0.25">
      <c r="B2545" s="115" t="s">
        <v>1138</v>
      </c>
      <c r="D2545" s="115" t="s">
        <v>1139</v>
      </c>
      <c r="E2545" s="115" t="s">
        <v>1140</v>
      </c>
    </row>
    <row r="2546" spans="2:5" x14ac:dyDescent="0.25">
      <c r="B2546" s="115" t="s">
        <v>1138</v>
      </c>
      <c r="D2546" s="115" t="s">
        <v>1139</v>
      </c>
      <c r="E2546" s="115" t="s">
        <v>1140</v>
      </c>
    </row>
    <row r="2547" spans="2:5" x14ac:dyDescent="0.25">
      <c r="B2547" s="115" t="s">
        <v>1138</v>
      </c>
      <c r="D2547" s="115" t="s">
        <v>1139</v>
      </c>
      <c r="E2547" s="115" t="s">
        <v>1140</v>
      </c>
    </row>
    <row r="2548" spans="2:5" x14ac:dyDescent="0.25">
      <c r="B2548" s="115" t="s">
        <v>1138</v>
      </c>
      <c r="D2548" s="115" t="s">
        <v>1139</v>
      </c>
      <c r="E2548" s="115" t="s">
        <v>1140</v>
      </c>
    </row>
    <row r="2549" spans="2:5" x14ac:dyDescent="0.25">
      <c r="B2549" s="115" t="s">
        <v>1138</v>
      </c>
      <c r="D2549" s="115" t="s">
        <v>1139</v>
      </c>
      <c r="E2549" s="115" t="s">
        <v>1140</v>
      </c>
    </row>
    <row r="2550" spans="2:5" x14ac:dyDescent="0.25">
      <c r="B2550" s="115" t="s">
        <v>1138</v>
      </c>
      <c r="D2550" s="115" t="s">
        <v>1139</v>
      </c>
      <c r="E2550" s="115" t="s">
        <v>1140</v>
      </c>
    </row>
    <row r="2551" spans="2:5" x14ac:dyDescent="0.25">
      <c r="B2551" s="115" t="s">
        <v>1138</v>
      </c>
      <c r="D2551" s="115" t="s">
        <v>1139</v>
      </c>
      <c r="E2551" s="115" t="s">
        <v>1140</v>
      </c>
    </row>
    <row r="2552" spans="2:5" x14ac:dyDescent="0.25">
      <c r="B2552" s="115" t="s">
        <v>1138</v>
      </c>
      <c r="D2552" s="115" t="s">
        <v>1139</v>
      </c>
      <c r="E2552" s="115" t="s">
        <v>1140</v>
      </c>
    </row>
    <row r="2553" spans="2:5" x14ac:dyDescent="0.25">
      <c r="B2553" s="115" t="s">
        <v>1138</v>
      </c>
      <c r="D2553" s="115" t="s">
        <v>1139</v>
      </c>
      <c r="E2553" s="115" t="s">
        <v>1140</v>
      </c>
    </row>
    <row r="2554" spans="2:5" x14ac:dyDescent="0.25">
      <c r="B2554" s="115" t="s">
        <v>1138</v>
      </c>
      <c r="D2554" s="115" t="s">
        <v>1139</v>
      </c>
      <c r="E2554" s="115" t="s">
        <v>1140</v>
      </c>
    </row>
    <row r="2555" spans="2:5" x14ac:dyDescent="0.25">
      <c r="B2555" s="115" t="s">
        <v>1138</v>
      </c>
      <c r="D2555" s="115" t="s">
        <v>1139</v>
      </c>
      <c r="E2555" s="115" t="s">
        <v>1140</v>
      </c>
    </row>
    <row r="2556" spans="2:5" x14ac:dyDescent="0.25">
      <c r="B2556" s="115" t="s">
        <v>1138</v>
      </c>
      <c r="D2556" s="115" t="s">
        <v>1139</v>
      </c>
      <c r="E2556" s="115" t="s">
        <v>1140</v>
      </c>
    </row>
    <row r="2557" spans="2:5" x14ac:dyDescent="0.25">
      <c r="B2557" s="115" t="s">
        <v>1138</v>
      </c>
      <c r="D2557" s="115" t="s">
        <v>1139</v>
      </c>
      <c r="E2557" s="115" t="s">
        <v>1140</v>
      </c>
    </row>
    <row r="2558" spans="2:5" x14ac:dyDescent="0.25">
      <c r="B2558" s="115" t="s">
        <v>1138</v>
      </c>
      <c r="D2558" s="115" t="s">
        <v>1139</v>
      </c>
      <c r="E2558" s="115" t="s">
        <v>1140</v>
      </c>
    </row>
    <row r="2559" spans="2:5" x14ac:dyDescent="0.25">
      <c r="B2559" s="115" t="s">
        <v>1138</v>
      </c>
      <c r="D2559" s="115" t="s">
        <v>1139</v>
      </c>
      <c r="E2559" s="115" t="s">
        <v>1140</v>
      </c>
    </row>
    <row r="2560" spans="2:5" x14ac:dyDescent="0.25">
      <c r="B2560" s="115" t="s">
        <v>1138</v>
      </c>
      <c r="D2560" s="115" t="s">
        <v>1139</v>
      </c>
      <c r="E2560" s="115" t="s">
        <v>1140</v>
      </c>
    </row>
    <row r="2561" spans="2:5" x14ac:dyDescent="0.25">
      <c r="B2561" s="115" t="s">
        <v>1138</v>
      </c>
      <c r="D2561" s="115" t="s">
        <v>1139</v>
      </c>
      <c r="E2561" s="115" t="s">
        <v>1140</v>
      </c>
    </row>
    <row r="2562" spans="2:5" x14ac:dyDescent="0.25">
      <c r="B2562" s="115" t="s">
        <v>1138</v>
      </c>
      <c r="D2562" s="115" t="s">
        <v>1139</v>
      </c>
      <c r="E2562" s="115" t="s">
        <v>1140</v>
      </c>
    </row>
    <row r="2563" spans="2:5" x14ac:dyDescent="0.25">
      <c r="B2563" s="115" t="s">
        <v>1138</v>
      </c>
      <c r="D2563" s="115" t="s">
        <v>1139</v>
      </c>
      <c r="E2563" s="115" t="s">
        <v>1140</v>
      </c>
    </row>
    <row r="2564" spans="2:5" x14ac:dyDescent="0.25">
      <c r="B2564" s="115" t="s">
        <v>1138</v>
      </c>
      <c r="D2564" s="115" t="s">
        <v>1139</v>
      </c>
      <c r="E2564" s="115" t="s">
        <v>1140</v>
      </c>
    </row>
    <row r="2565" spans="2:5" x14ac:dyDescent="0.25">
      <c r="B2565" s="115" t="s">
        <v>1138</v>
      </c>
      <c r="D2565" s="115" t="s">
        <v>1139</v>
      </c>
      <c r="E2565" s="115" t="s">
        <v>1140</v>
      </c>
    </row>
    <row r="2566" spans="2:5" x14ac:dyDescent="0.25">
      <c r="B2566" s="115" t="s">
        <v>1138</v>
      </c>
      <c r="D2566" s="115" t="s">
        <v>1139</v>
      </c>
      <c r="E2566" s="115" t="s">
        <v>1140</v>
      </c>
    </row>
    <row r="2567" spans="2:5" x14ac:dyDescent="0.25">
      <c r="B2567" s="115" t="s">
        <v>1138</v>
      </c>
      <c r="D2567" s="115" t="s">
        <v>1139</v>
      </c>
      <c r="E2567" s="115" t="s">
        <v>1140</v>
      </c>
    </row>
    <row r="2568" spans="2:5" x14ac:dyDescent="0.25">
      <c r="B2568" s="115" t="s">
        <v>1138</v>
      </c>
      <c r="D2568" s="115" t="s">
        <v>1139</v>
      </c>
      <c r="E2568" s="115" t="s">
        <v>1140</v>
      </c>
    </row>
    <row r="2569" spans="2:5" x14ac:dyDescent="0.25">
      <c r="B2569" s="115" t="s">
        <v>1138</v>
      </c>
      <c r="D2569" s="115" t="s">
        <v>1139</v>
      </c>
      <c r="E2569" s="115" t="s">
        <v>1140</v>
      </c>
    </row>
    <row r="2570" spans="2:5" x14ac:dyDescent="0.25">
      <c r="B2570" s="115" t="s">
        <v>1138</v>
      </c>
      <c r="D2570" s="115" t="s">
        <v>1139</v>
      </c>
      <c r="E2570" s="115" t="s">
        <v>1140</v>
      </c>
    </row>
    <row r="2571" spans="2:5" x14ac:dyDescent="0.25">
      <c r="B2571" s="115" t="s">
        <v>1138</v>
      </c>
      <c r="D2571" s="115" t="s">
        <v>1139</v>
      </c>
      <c r="E2571" s="115" t="s">
        <v>1140</v>
      </c>
    </row>
    <row r="2572" spans="2:5" x14ac:dyDescent="0.25">
      <c r="B2572" s="115" t="s">
        <v>1138</v>
      </c>
      <c r="D2572" s="115" t="s">
        <v>1139</v>
      </c>
      <c r="E2572" s="115" t="s">
        <v>1140</v>
      </c>
    </row>
    <row r="2573" spans="2:5" x14ac:dyDescent="0.25">
      <c r="B2573" s="115" t="s">
        <v>1138</v>
      </c>
      <c r="D2573" s="115" t="s">
        <v>1139</v>
      </c>
      <c r="E2573" s="115" t="s">
        <v>1140</v>
      </c>
    </row>
    <row r="2574" spans="2:5" x14ac:dyDescent="0.25">
      <c r="B2574" s="115" t="s">
        <v>1138</v>
      </c>
      <c r="D2574" s="115" t="s">
        <v>1139</v>
      </c>
      <c r="E2574" s="115" t="s">
        <v>1140</v>
      </c>
    </row>
    <row r="2575" spans="2:5" x14ac:dyDescent="0.25">
      <c r="B2575" s="115" t="s">
        <v>1138</v>
      </c>
      <c r="D2575" s="115" t="s">
        <v>1139</v>
      </c>
      <c r="E2575" s="115" t="s">
        <v>1140</v>
      </c>
    </row>
    <row r="2576" spans="2:5" x14ac:dyDescent="0.25">
      <c r="B2576" s="115" t="s">
        <v>1138</v>
      </c>
      <c r="D2576" s="115" t="s">
        <v>1139</v>
      </c>
      <c r="E2576" s="115" t="s">
        <v>1140</v>
      </c>
    </row>
    <row r="2577" spans="2:5" x14ac:dyDescent="0.25">
      <c r="B2577" s="115" t="s">
        <v>1138</v>
      </c>
      <c r="D2577" s="115" t="s">
        <v>1139</v>
      </c>
      <c r="E2577" s="115" t="s">
        <v>1140</v>
      </c>
    </row>
    <row r="2578" spans="2:5" x14ac:dyDescent="0.25">
      <c r="B2578" s="115" t="s">
        <v>1138</v>
      </c>
      <c r="D2578" s="115" t="s">
        <v>1139</v>
      </c>
      <c r="E2578" s="115" t="s">
        <v>1140</v>
      </c>
    </row>
    <row r="2579" spans="2:5" x14ac:dyDescent="0.25">
      <c r="B2579" s="115" t="s">
        <v>1138</v>
      </c>
      <c r="D2579" s="115" t="s">
        <v>1139</v>
      </c>
      <c r="E2579" s="115" t="s">
        <v>1140</v>
      </c>
    </row>
    <row r="2580" spans="2:5" x14ac:dyDescent="0.25">
      <c r="B2580" s="115" t="s">
        <v>1138</v>
      </c>
      <c r="D2580" s="115" t="s">
        <v>1139</v>
      </c>
      <c r="E2580" s="115" t="s">
        <v>1140</v>
      </c>
    </row>
    <row r="2581" spans="2:5" x14ac:dyDescent="0.25">
      <c r="B2581" s="115" t="s">
        <v>1138</v>
      </c>
      <c r="D2581" s="115" t="s">
        <v>1139</v>
      </c>
      <c r="E2581" s="115" t="s">
        <v>1140</v>
      </c>
    </row>
    <row r="2582" spans="2:5" x14ac:dyDescent="0.25">
      <c r="B2582" s="115" t="s">
        <v>1138</v>
      </c>
      <c r="D2582" s="115" t="s">
        <v>1139</v>
      </c>
      <c r="E2582" s="115" t="s">
        <v>1140</v>
      </c>
    </row>
    <row r="2583" spans="2:5" x14ac:dyDescent="0.25">
      <c r="B2583" s="115" t="s">
        <v>1138</v>
      </c>
      <c r="D2583" s="115" t="s">
        <v>1139</v>
      </c>
      <c r="E2583" s="115" t="s">
        <v>1140</v>
      </c>
    </row>
    <row r="2584" spans="2:5" x14ac:dyDescent="0.25">
      <c r="B2584" s="115" t="s">
        <v>1138</v>
      </c>
      <c r="D2584" s="115" t="s">
        <v>1139</v>
      </c>
      <c r="E2584" s="115" t="s">
        <v>1140</v>
      </c>
    </row>
    <row r="2585" spans="2:5" x14ac:dyDescent="0.25">
      <c r="B2585" s="115" t="s">
        <v>1138</v>
      </c>
      <c r="D2585" s="115" t="s">
        <v>1139</v>
      </c>
      <c r="E2585" s="115" t="s">
        <v>1140</v>
      </c>
    </row>
    <row r="2586" spans="2:5" x14ac:dyDescent="0.25">
      <c r="B2586" s="115" t="s">
        <v>1138</v>
      </c>
      <c r="D2586" s="115" t="s">
        <v>1139</v>
      </c>
      <c r="E2586" s="115" t="s">
        <v>1140</v>
      </c>
    </row>
    <row r="2587" spans="2:5" x14ac:dyDescent="0.25">
      <c r="B2587" s="115" t="s">
        <v>1138</v>
      </c>
      <c r="D2587" s="115" t="s">
        <v>1139</v>
      </c>
      <c r="E2587" s="115" t="s">
        <v>1140</v>
      </c>
    </row>
    <row r="2588" spans="2:5" x14ac:dyDescent="0.25">
      <c r="B2588" s="115" t="s">
        <v>1138</v>
      </c>
      <c r="D2588" s="115" t="s">
        <v>1139</v>
      </c>
      <c r="E2588" s="115" t="s">
        <v>1140</v>
      </c>
    </row>
    <row r="2589" spans="2:5" x14ac:dyDescent="0.25">
      <c r="B2589" s="115" t="s">
        <v>1138</v>
      </c>
      <c r="D2589" s="115" t="s">
        <v>1139</v>
      </c>
      <c r="E2589" s="115" t="s">
        <v>1140</v>
      </c>
    </row>
    <row r="2590" spans="2:5" x14ac:dyDescent="0.25">
      <c r="B2590" s="115" t="s">
        <v>1138</v>
      </c>
      <c r="D2590" s="115" t="s">
        <v>1139</v>
      </c>
      <c r="E2590" s="115" t="s">
        <v>1140</v>
      </c>
    </row>
    <row r="2591" spans="2:5" x14ac:dyDescent="0.25">
      <c r="B2591" s="115" t="s">
        <v>1138</v>
      </c>
      <c r="D2591" s="115" t="s">
        <v>1139</v>
      </c>
      <c r="E2591" s="115" t="s">
        <v>1140</v>
      </c>
    </row>
    <row r="2592" spans="2:5" x14ac:dyDescent="0.25">
      <c r="B2592" s="115" t="s">
        <v>1138</v>
      </c>
      <c r="D2592" s="115" t="s">
        <v>1139</v>
      </c>
      <c r="E2592" s="115" t="s">
        <v>1140</v>
      </c>
    </row>
    <row r="2593" spans="2:5" x14ac:dyDescent="0.25">
      <c r="B2593" s="115" t="s">
        <v>1138</v>
      </c>
      <c r="D2593" s="115" t="s">
        <v>1139</v>
      </c>
      <c r="E2593" s="115" t="s">
        <v>1140</v>
      </c>
    </row>
    <row r="2594" spans="2:5" x14ac:dyDescent="0.25">
      <c r="B2594" s="115" t="s">
        <v>1138</v>
      </c>
      <c r="D2594" s="115" t="s">
        <v>1139</v>
      </c>
      <c r="E2594" s="115" t="s">
        <v>1140</v>
      </c>
    </row>
    <row r="2595" spans="2:5" x14ac:dyDescent="0.25">
      <c r="B2595" s="115" t="s">
        <v>1138</v>
      </c>
      <c r="D2595" s="115" t="s">
        <v>1139</v>
      </c>
      <c r="E2595" s="115" t="s">
        <v>1140</v>
      </c>
    </row>
    <row r="2596" spans="2:5" x14ac:dyDescent="0.25">
      <c r="B2596" s="115" t="s">
        <v>1138</v>
      </c>
      <c r="D2596" s="115" t="s">
        <v>1139</v>
      </c>
      <c r="E2596" s="115" t="s">
        <v>1140</v>
      </c>
    </row>
    <row r="2597" spans="2:5" x14ac:dyDescent="0.25">
      <c r="B2597" s="115" t="s">
        <v>1138</v>
      </c>
      <c r="D2597" s="115" t="s">
        <v>1139</v>
      </c>
      <c r="E2597" s="115" t="s">
        <v>1140</v>
      </c>
    </row>
    <row r="2598" spans="2:5" x14ac:dyDescent="0.25">
      <c r="B2598" s="115" t="s">
        <v>1138</v>
      </c>
      <c r="D2598" s="115" t="s">
        <v>1139</v>
      </c>
      <c r="E2598" s="115" t="s">
        <v>1140</v>
      </c>
    </row>
    <row r="2599" spans="2:5" x14ac:dyDescent="0.25">
      <c r="B2599" s="115" t="s">
        <v>1138</v>
      </c>
      <c r="D2599" s="115" t="s">
        <v>1139</v>
      </c>
      <c r="E2599" s="115" t="s">
        <v>1140</v>
      </c>
    </row>
    <row r="2600" spans="2:5" x14ac:dyDescent="0.25">
      <c r="B2600" s="115" t="s">
        <v>1138</v>
      </c>
      <c r="D2600" s="115" t="s">
        <v>1139</v>
      </c>
      <c r="E2600" s="115" t="s">
        <v>1140</v>
      </c>
    </row>
    <row r="2601" spans="2:5" x14ac:dyDescent="0.25">
      <c r="B2601" s="115" t="s">
        <v>1138</v>
      </c>
      <c r="D2601" s="115" t="s">
        <v>1139</v>
      </c>
      <c r="E2601" s="115" t="s">
        <v>1140</v>
      </c>
    </row>
    <row r="2602" spans="2:5" x14ac:dyDescent="0.25">
      <c r="B2602" s="115" t="s">
        <v>1138</v>
      </c>
      <c r="D2602" s="115" t="s">
        <v>1139</v>
      </c>
      <c r="E2602" s="115" t="s">
        <v>1140</v>
      </c>
    </row>
    <row r="2603" spans="2:5" x14ac:dyDescent="0.25">
      <c r="B2603" s="115" t="s">
        <v>1138</v>
      </c>
      <c r="D2603" s="115" t="s">
        <v>1139</v>
      </c>
      <c r="E2603" s="115" t="s">
        <v>1140</v>
      </c>
    </row>
    <row r="2604" spans="2:5" x14ac:dyDescent="0.25">
      <c r="B2604" s="115" t="s">
        <v>1138</v>
      </c>
      <c r="D2604" s="115" t="s">
        <v>1139</v>
      </c>
      <c r="E2604" s="115" t="s">
        <v>1140</v>
      </c>
    </row>
    <row r="2605" spans="2:5" x14ac:dyDescent="0.25">
      <c r="B2605" s="115" t="s">
        <v>1138</v>
      </c>
      <c r="D2605" s="115" t="s">
        <v>1139</v>
      </c>
      <c r="E2605" s="115" t="s">
        <v>1140</v>
      </c>
    </row>
    <row r="2606" spans="2:5" x14ac:dyDescent="0.25">
      <c r="B2606" s="115" t="s">
        <v>1138</v>
      </c>
      <c r="D2606" s="115" t="s">
        <v>1139</v>
      </c>
      <c r="E2606" s="115" t="s">
        <v>1140</v>
      </c>
    </row>
    <row r="2607" spans="2:5" x14ac:dyDescent="0.25">
      <c r="B2607" s="115" t="s">
        <v>1138</v>
      </c>
      <c r="D2607" s="115" t="s">
        <v>1139</v>
      </c>
      <c r="E2607" s="115" t="s">
        <v>1140</v>
      </c>
    </row>
    <row r="2608" spans="2:5" x14ac:dyDescent="0.25">
      <c r="B2608" s="115" t="s">
        <v>1138</v>
      </c>
      <c r="D2608" s="115" t="s">
        <v>1139</v>
      </c>
      <c r="E2608" s="115" t="s">
        <v>1140</v>
      </c>
    </row>
    <row r="2609" spans="2:5" x14ac:dyDescent="0.25">
      <c r="B2609" s="115" t="s">
        <v>1138</v>
      </c>
      <c r="D2609" s="115" t="s">
        <v>1139</v>
      </c>
      <c r="E2609" s="115" t="s">
        <v>1140</v>
      </c>
    </row>
    <row r="2610" spans="2:5" x14ac:dyDescent="0.25">
      <c r="B2610" s="115" t="s">
        <v>1138</v>
      </c>
      <c r="D2610" s="115" t="s">
        <v>1139</v>
      </c>
      <c r="E2610" s="115" t="s">
        <v>1140</v>
      </c>
    </row>
    <row r="2611" spans="2:5" x14ac:dyDescent="0.25">
      <c r="B2611" s="115" t="s">
        <v>1138</v>
      </c>
      <c r="D2611" s="115" t="s">
        <v>1139</v>
      </c>
      <c r="E2611" s="115" t="s">
        <v>1140</v>
      </c>
    </row>
    <row r="2612" spans="2:5" x14ac:dyDescent="0.25">
      <c r="B2612" s="115" t="s">
        <v>1138</v>
      </c>
      <c r="D2612" s="115" t="s">
        <v>1139</v>
      </c>
      <c r="E2612" s="115" t="s">
        <v>1140</v>
      </c>
    </row>
    <row r="2613" spans="2:5" x14ac:dyDescent="0.25">
      <c r="B2613" s="115" t="s">
        <v>1138</v>
      </c>
      <c r="D2613" s="115" t="s">
        <v>1139</v>
      </c>
      <c r="E2613" s="115" t="s">
        <v>1140</v>
      </c>
    </row>
    <row r="2614" spans="2:5" x14ac:dyDescent="0.25">
      <c r="B2614" s="115" t="s">
        <v>1138</v>
      </c>
      <c r="D2614" s="115" t="s">
        <v>1139</v>
      </c>
      <c r="E2614" s="115" t="s">
        <v>1140</v>
      </c>
    </row>
    <row r="2615" spans="2:5" x14ac:dyDescent="0.25">
      <c r="B2615" s="115" t="s">
        <v>1138</v>
      </c>
      <c r="D2615" s="115" t="s">
        <v>1139</v>
      </c>
      <c r="E2615" s="115" t="s">
        <v>1140</v>
      </c>
    </row>
    <row r="2616" spans="2:5" x14ac:dyDescent="0.25">
      <c r="B2616" s="115" t="s">
        <v>1138</v>
      </c>
      <c r="D2616" s="115" t="s">
        <v>1139</v>
      </c>
      <c r="E2616" s="115" t="s">
        <v>1140</v>
      </c>
    </row>
    <row r="2617" spans="2:5" x14ac:dyDescent="0.25">
      <c r="B2617" s="115" t="s">
        <v>1138</v>
      </c>
      <c r="D2617" s="115" t="s">
        <v>1139</v>
      </c>
      <c r="E2617" s="115" t="s">
        <v>1140</v>
      </c>
    </row>
    <row r="2618" spans="2:5" x14ac:dyDescent="0.25">
      <c r="B2618" s="115" t="s">
        <v>1138</v>
      </c>
      <c r="D2618" s="115" t="s">
        <v>1139</v>
      </c>
      <c r="E2618" s="115" t="s">
        <v>1140</v>
      </c>
    </row>
    <row r="2619" spans="2:5" x14ac:dyDescent="0.25">
      <c r="B2619" s="115" t="s">
        <v>1138</v>
      </c>
      <c r="D2619" s="115" t="s">
        <v>1139</v>
      </c>
      <c r="E2619" s="115" t="s">
        <v>1140</v>
      </c>
    </row>
    <row r="2620" spans="2:5" x14ac:dyDescent="0.25">
      <c r="B2620" s="115" t="s">
        <v>1138</v>
      </c>
      <c r="D2620" s="115" t="s">
        <v>1139</v>
      </c>
      <c r="E2620" s="115" t="s">
        <v>1140</v>
      </c>
    </row>
    <row r="2621" spans="2:5" x14ac:dyDescent="0.25">
      <c r="B2621" s="115" t="s">
        <v>1138</v>
      </c>
      <c r="D2621" s="115" t="s">
        <v>1139</v>
      </c>
      <c r="E2621" s="115" t="s">
        <v>1140</v>
      </c>
    </row>
    <row r="2622" spans="2:5" x14ac:dyDescent="0.25">
      <c r="B2622" s="115" t="s">
        <v>1138</v>
      </c>
      <c r="D2622" s="115" t="s">
        <v>1139</v>
      </c>
      <c r="E2622" s="115" t="s">
        <v>1140</v>
      </c>
    </row>
    <row r="2623" spans="2:5" x14ac:dyDescent="0.25">
      <c r="B2623" s="115" t="s">
        <v>1138</v>
      </c>
      <c r="D2623" s="115" t="s">
        <v>1139</v>
      </c>
      <c r="E2623" s="115" t="s">
        <v>1140</v>
      </c>
    </row>
    <row r="2624" spans="2:5" x14ac:dyDescent="0.25">
      <c r="B2624" s="115" t="s">
        <v>1138</v>
      </c>
      <c r="D2624" s="115" t="s">
        <v>1139</v>
      </c>
      <c r="E2624" s="115" t="s">
        <v>1140</v>
      </c>
    </row>
    <row r="2625" spans="2:5" x14ac:dyDescent="0.25">
      <c r="B2625" s="115" t="s">
        <v>1138</v>
      </c>
      <c r="D2625" s="115" t="s">
        <v>1139</v>
      </c>
      <c r="E2625" s="115" t="s">
        <v>1140</v>
      </c>
    </row>
    <row r="2626" spans="2:5" x14ac:dyDescent="0.25">
      <c r="B2626" s="115" t="s">
        <v>1138</v>
      </c>
      <c r="D2626" s="115" t="s">
        <v>1139</v>
      </c>
      <c r="E2626" s="115" t="s">
        <v>1140</v>
      </c>
    </row>
    <row r="2627" spans="2:5" x14ac:dyDescent="0.25">
      <c r="B2627" s="115" t="s">
        <v>1138</v>
      </c>
      <c r="D2627" s="115" t="s">
        <v>1139</v>
      </c>
      <c r="E2627" s="115" t="s">
        <v>1140</v>
      </c>
    </row>
    <row r="2628" spans="2:5" x14ac:dyDescent="0.25">
      <c r="B2628" s="115" t="s">
        <v>1138</v>
      </c>
      <c r="D2628" s="115" t="s">
        <v>1139</v>
      </c>
      <c r="E2628" s="115" t="s">
        <v>1140</v>
      </c>
    </row>
    <row r="2629" spans="2:5" x14ac:dyDescent="0.25">
      <c r="B2629" s="115" t="s">
        <v>1138</v>
      </c>
      <c r="D2629" s="115" t="s">
        <v>1139</v>
      </c>
      <c r="E2629" s="115" t="s">
        <v>1140</v>
      </c>
    </row>
    <row r="2630" spans="2:5" x14ac:dyDescent="0.25">
      <c r="B2630" s="115" t="s">
        <v>1138</v>
      </c>
      <c r="D2630" s="115" t="s">
        <v>1139</v>
      </c>
      <c r="E2630" s="115" t="s">
        <v>1140</v>
      </c>
    </row>
    <row r="2631" spans="2:5" x14ac:dyDescent="0.25">
      <c r="B2631" s="115" t="s">
        <v>1138</v>
      </c>
      <c r="D2631" s="115" t="s">
        <v>1139</v>
      </c>
      <c r="E2631" s="115" t="s">
        <v>1140</v>
      </c>
    </row>
    <row r="2632" spans="2:5" x14ac:dyDescent="0.25">
      <c r="B2632" s="115" t="s">
        <v>1138</v>
      </c>
      <c r="D2632" s="115" t="s">
        <v>1139</v>
      </c>
      <c r="E2632" s="115" t="s">
        <v>1140</v>
      </c>
    </row>
    <row r="2633" spans="2:5" x14ac:dyDescent="0.25">
      <c r="B2633" s="115" t="s">
        <v>1138</v>
      </c>
      <c r="D2633" s="115" t="s">
        <v>1139</v>
      </c>
      <c r="E2633" s="115" t="s">
        <v>1140</v>
      </c>
    </row>
    <row r="2634" spans="2:5" x14ac:dyDescent="0.25">
      <c r="B2634" s="115" t="s">
        <v>1138</v>
      </c>
      <c r="D2634" s="115" t="s">
        <v>1139</v>
      </c>
      <c r="E2634" s="115" t="s">
        <v>1140</v>
      </c>
    </row>
    <row r="2635" spans="2:5" x14ac:dyDescent="0.25">
      <c r="B2635" s="115" t="s">
        <v>1138</v>
      </c>
      <c r="D2635" s="115" t="s">
        <v>1139</v>
      </c>
      <c r="E2635" s="115" t="s">
        <v>1140</v>
      </c>
    </row>
    <row r="2636" spans="2:5" x14ac:dyDescent="0.25">
      <c r="B2636" s="115" t="s">
        <v>1138</v>
      </c>
      <c r="D2636" s="115" t="s">
        <v>1139</v>
      </c>
      <c r="E2636" s="115" t="s">
        <v>1140</v>
      </c>
    </row>
    <row r="2637" spans="2:5" x14ac:dyDescent="0.25">
      <c r="B2637" s="115" t="s">
        <v>1138</v>
      </c>
      <c r="D2637" s="115" t="s">
        <v>1139</v>
      </c>
      <c r="E2637" s="115" t="s">
        <v>1140</v>
      </c>
    </row>
    <row r="2638" spans="2:5" x14ac:dyDescent="0.25">
      <c r="B2638" s="115" t="s">
        <v>1138</v>
      </c>
      <c r="D2638" s="115" t="s">
        <v>1139</v>
      </c>
      <c r="E2638" s="115" t="s">
        <v>1140</v>
      </c>
    </row>
    <row r="2639" spans="2:5" x14ac:dyDescent="0.25">
      <c r="B2639" s="115" t="s">
        <v>1138</v>
      </c>
      <c r="D2639" s="115" t="s">
        <v>1139</v>
      </c>
      <c r="E2639" s="115" t="s">
        <v>1140</v>
      </c>
    </row>
    <row r="2640" spans="2:5" x14ac:dyDescent="0.25">
      <c r="B2640" s="115" t="s">
        <v>1138</v>
      </c>
      <c r="D2640" s="115" t="s">
        <v>1139</v>
      </c>
      <c r="E2640" s="115" t="s">
        <v>1140</v>
      </c>
    </row>
    <row r="2641" spans="2:5" x14ac:dyDescent="0.25">
      <c r="B2641" s="115" t="s">
        <v>1138</v>
      </c>
      <c r="D2641" s="115" t="s">
        <v>1139</v>
      </c>
      <c r="E2641" s="115" t="s">
        <v>1140</v>
      </c>
    </row>
    <row r="2642" spans="2:5" x14ac:dyDescent="0.25">
      <c r="B2642" s="115" t="s">
        <v>1138</v>
      </c>
      <c r="D2642" s="115" t="s">
        <v>1139</v>
      </c>
      <c r="E2642" s="115" t="s">
        <v>1140</v>
      </c>
    </row>
    <row r="2643" spans="2:5" x14ac:dyDescent="0.25">
      <c r="B2643" s="115" t="s">
        <v>1138</v>
      </c>
      <c r="D2643" s="115" t="s">
        <v>1139</v>
      </c>
      <c r="E2643" s="115" t="s">
        <v>1140</v>
      </c>
    </row>
    <row r="2644" spans="2:5" x14ac:dyDescent="0.25">
      <c r="B2644" s="115" t="s">
        <v>1138</v>
      </c>
      <c r="D2644" s="115" t="s">
        <v>1139</v>
      </c>
      <c r="E2644" s="115" t="s">
        <v>1140</v>
      </c>
    </row>
    <row r="2645" spans="2:5" x14ac:dyDescent="0.25">
      <c r="B2645" s="115" t="s">
        <v>1138</v>
      </c>
      <c r="D2645" s="115" t="s">
        <v>1139</v>
      </c>
      <c r="E2645" s="115" t="s">
        <v>1140</v>
      </c>
    </row>
    <row r="2646" spans="2:5" x14ac:dyDescent="0.25">
      <c r="B2646" s="115" t="s">
        <v>1138</v>
      </c>
      <c r="D2646" s="115" t="s">
        <v>1139</v>
      </c>
      <c r="E2646" s="115" t="s">
        <v>1140</v>
      </c>
    </row>
    <row r="2647" spans="2:5" x14ac:dyDescent="0.25">
      <c r="B2647" s="115" t="s">
        <v>1138</v>
      </c>
      <c r="D2647" s="115" t="s">
        <v>1139</v>
      </c>
      <c r="E2647" s="115" t="s">
        <v>1140</v>
      </c>
    </row>
    <row r="2648" spans="2:5" x14ac:dyDescent="0.25">
      <c r="B2648" s="115" t="s">
        <v>1138</v>
      </c>
      <c r="D2648" s="115" t="s">
        <v>1139</v>
      </c>
      <c r="E2648" s="115" t="s">
        <v>1140</v>
      </c>
    </row>
    <row r="2649" spans="2:5" x14ac:dyDescent="0.25">
      <c r="B2649" s="115" t="s">
        <v>1138</v>
      </c>
      <c r="D2649" s="115" t="s">
        <v>1139</v>
      </c>
      <c r="E2649" s="115" t="s">
        <v>1140</v>
      </c>
    </row>
    <row r="2650" spans="2:5" x14ac:dyDescent="0.25">
      <c r="B2650" s="115" t="s">
        <v>1138</v>
      </c>
      <c r="D2650" s="115" t="s">
        <v>1139</v>
      </c>
      <c r="E2650" s="115" t="s">
        <v>1140</v>
      </c>
    </row>
    <row r="2651" spans="2:5" x14ac:dyDescent="0.25">
      <c r="B2651" s="115" t="s">
        <v>1138</v>
      </c>
      <c r="D2651" s="115" t="s">
        <v>1139</v>
      </c>
      <c r="E2651" s="115" t="s">
        <v>1140</v>
      </c>
    </row>
    <row r="2652" spans="2:5" x14ac:dyDescent="0.25">
      <c r="B2652" s="115" t="s">
        <v>1138</v>
      </c>
      <c r="D2652" s="115" t="s">
        <v>1139</v>
      </c>
      <c r="E2652" s="115" t="s">
        <v>1140</v>
      </c>
    </row>
    <row r="2653" spans="2:5" x14ac:dyDescent="0.25">
      <c r="B2653" s="115" t="s">
        <v>1138</v>
      </c>
      <c r="D2653" s="115" t="s">
        <v>1139</v>
      </c>
      <c r="E2653" s="115" t="s">
        <v>1140</v>
      </c>
    </row>
    <row r="2654" spans="2:5" x14ac:dyDescent="0.25">
      <c r="B2654" s="115" t="s">
        <v>1138</v>
      </c>
      <c r="D2654" s="115" t="s">
        <v>1139</v>
      </c>
      <c r="E2654" s="115" t="s">
        <v>1140</v>
      </c>
    </row>
    <row r="2655" spans="2:5" x14ac:dyDescent="0.25">
      <c r="B2655" s="115" t="s">
        <v>1138</v>
      </c>
      <c r="D2655" s="115" t="s">
        <v>1139</v>
      </c>
      <c r="E2655" s="115" t="s">
        <v>1140</v>
      </c>
    </row>
    <row r="2656" spans="2:5" x14ac:dyDescent="0.25">
      <c r="B2656" s="115" t="s">
        <v>1138</v>
      </c>
      <c r="D2656" s="115" t="s">
        <v>1139</v>
      </c>
      <c r="E2656" s="115" t="s">
        <v>1140</v>
      </c>
    </row>
    <row r="2657" spans="2:5" x14ac:dyDescent="0.25">
      <c r="B2657" s="115" t="s">
        <v>1138</v>
      </c>
      <c r="D2657" s="115" t="s">
        <v>1139</v>
      </c>
      <c r="E2657" s="115" t="s">
        <v>1140</v>
      </c>
    </row>
    <row r="2658" spans="2:5" x14ac:dyDescent="0.25">
      <c r="B2658" s="115" t="s">
        <v>1138</v>
      </c>
      <c r="D2658" s="115" t="s">
        <v>1139</v>
      </c>
      <c r="E2658" s="115" t="s">
        <v>1140</v>
      </c>
    </row>
    <row r="2659" spans="2:5" x14ac:dyDescent="0.25">
      <c r="B2659" s="115" t="s">
        <v>1138</v>
      </c>
      <c r="D2659" s="115" t="s">
        <v>1139</v>
      </c>
      <c r="E2659" s="115" t="s">
        <v>1140</v>
      </c>
    </row>
    <row r="2660" spans="2:5" x14ac:dyDescent="0.25">
      <c r="B2660" s="115" t="s">
        <v>1138</v>
      </c>
      <c r="D2660" s="115" t="s">
        <v>1139</v>
      </c>
      <c r="E2660" s="115" t="s">
        <v>1140</v>
      </c>
    </row>
    <row r="2661" spans="2:5" x14ac:dyDescent="0.25">
      <c r="B2661" s="115" t="s">
        <v>1138</v>
      </c>
      <c r="D2661" s="115" t="s">
        <v>1139</v>
      </c>
      <c r="E2661" s="115" t="s">
        <v>1140</v>
      </c>
    </row>
    <row r="2662" spans="2:5" x14ac:dyDescent="0.25">
      <c r="B2662" s="115" t="s">
        <v>1138</v>
      </c>
      <c r="D2662" s="115" t="s">
        <v>1139</v>
      </c>
      <c r="E2662" s="115" t="s">
        <v>1140</v>
      </c>
    </row>
    <row r="2663" spans="2:5" x14ac:dyDescent="0.25">
      <c r="B2663" s="115" t="s">
        <v>1138</v>
      </c>
      <c r="D2663" s="115" t="s">
        <v>1139</v>
      </c>
      <c r="E2663" s="115" t="s">
        <v>1140</v>
      </c>
    </row>
    <row r="2664" spans="2:5" x14ac:dyDescent="0.25">
      <c r="B2664" s="115" t="s">
        <v>1138</v>
      </c>
      <c r="D2664" s="115" t="s">
        <v>1139</v>
      </c>
      <c r="E2664" s="115" t="s">
        <v>1140</v>
      </c>
    </row>
    <row r="2665" spans="2:5" x14ac:dyDescent="0.25">
      <c r="B2665" s="115" t="s">
        <v>1138</v>
      </c>
      <c r="D2665" s="115" t="s">
        <v>1139</v>
      </c>
      <c r="E2665" s="115" t="s">
        <v>1140</v>
      </c>
    </row>
    <row r="2666" spans="2:5" x14ac:dyDescent="0.25">
      <c r="B2666" s="115" t="s">
        <v>1138</v>
      </c>
      <c r="D2666" s="115" t="s">
        <v>1139</v>
      </c>
      <c r="E2666" s="115" t="s">
        <v>1140</v>
      </c>
    </row>
    <row r="2667" spans="2:5" x14ac:dyDescent="0.25">
      <c r="B2667" s="115" t="s">
        <v>1138</v>
      </c>
      <c r="D2667" s="115" t="s">
        <v>1139</v>
      </c>
      <c r="E2667" s="115" t="s">
        <v>1140</v>
      </c>
    </row>
    <row r="2668" spans="2:5" x14ac:dyDescent="0.25">
      <c r="B2668" s="115" t="s">
        <v>1138</v>
      </c>
      <c r="D2668" s="115" t="s">
        <v>1139</v>
      </c>
      <c r="E2668" s="115" t="s">
        <v>1140</v>
      </c>
    </row>
    <row r="2669" spans="2:5" x14ac:dyDescent="0.25">
      <c r="B2669" s="115" t="s">
        <v>1138</v>
      </c>
      <c r="D2669" s="115" t="s">
        <v>1139</v>
      </c>
      <c r="E2669" s="115" t="s">
        <v>1140</v>
      </c>
    </row>
    <row r="2670" spans="2:5" x14ac:dyDescent="0.25">
      <c r="B2670" s="115" t="s">
        <v>1138</v>
      </c>
      <c r="D2670" s="115" t="s">
        <v>1139</v>
      </c>
      <c r="E2670" s="115" t="s">
        <v>1140</v>
      </c>
    </row>
    <row r="2671" spans="2:5" x14ac:dyDescent="0.25">
      <c r="B2671" s="115" t="s">
        <v>1138</v>
      </c>
      <c r="D2671" s="115" t="s">
        <v>1139</v>
      </c>
      <c r="E2671" s="115" t="s">
        <v>1140</v>
      </c>
    </row>
    <row r="2672" spans="2:5" x14ac:dyDescent="0.25">
      <c r="B2672" s="115" t="s">
        <v>1138</v>
      </c>
      <c r="D2672" s="115" t="s">
        <v>1139</v>
      </c>
      <c r="E2672" s="115" t="s">
        <v>1140</v>
      </c>
    </row>
    <row r="2673" spans="2:5" x14ac:dyDescent="0.25">
      <c r="B2673" s="115" t="s">
        <v>1138</v>
      </c>
      <c r="D2673" s="115" t="s">
        <v>1139</v>
      </c>
      <c r="E2673" s="115" t="s">
        <v>1140</v>
      </c>
    </row>
    <row r="2674" spans="2:5" x14ac:dyDescent="0.25">
      <c r="B2674" s="115" t="s">
        <v>1138</v>
      </c>
      <c r="D2674" s="115" t="s">
        <v>1139</v>
      </c>
      <c r="E2674" s="115" t="s">
        <v>1140</v>
      </c>
    </row>
    <row r="2675" spans="2:5" x14ac:dyDescent="0.25">
      <c r="B2675" s="115" t="s">
        <v>1138</v>
      </c>
      <c r="D2675" s="115" t="s">
        <v>1139</v>
      </c>
      <c r="E2675" s="115" t="s">
        <v>1140</v>
      </c>
    </row>
    <row r="2676" spans="2:5" x14ac:dyDescent="0.25">
      <c r="B2676" s="115" t="s">
        <v>1138</v>
      </c>
      <c r="D2676" s="115" t="s">
        <v>1139</v>
      </c>
      <c r="E2676" s="115" t="s">
        <v>1140</v>
      </c>
    </row>
    <row r="2677" spans="2:5" x14ac:dyDescent="0.25">
      <c r="B2677" s="115" t="s">
        <v>1138</v>
      </c>
      <c r="D2677" s="115" t="s">
        <v>1139</v>
      </c>
      <c r="E2677" s="115" t="s">
        <v>1140</v>
      </c>
    </row>
    <row r="2678" spans="2:5" x14ac:dyDescent="0.25">
      <c r="B2678" s="115" t="s">
        <v>1138</v>
      </c>
      <c r="D2678" s="115" t="s">
        <v>1139</v>
      </c>
      <c r="E2678" s="115" t="s">
        <v>1140</v>
      </c>
    </row>
    <row r="2679" spans="2:5" x14ac:dyDescent="0.25">
      <c r="B2679" s="115" t="s">
        <v>1138</v>
      </c>
      <c r="D2679" s="115" t="s">
        <v>1139</v>
      </c>
      <c r="E2679" s="115" t="s">
        <v>1140</v>
      </c>
    </row>
    <row r="2680" spans="2:5" x14ac:dyDescent="0.25">
      <c r="B2680" s="115" t="s">
        <v>1138</v>
      </c>
      <c r="D2680" s="115" t="s">
        <v>1139</v>
      </c>
      <c r="E2680" s="115" t="s">
        <v>1140</v>
      </c>
    </row>
    <row r="2681" spans="2:5" x14ac:dyDescent="0.25">
      <c r="B2681" s="115" t="s">
        <v>1138</v>
      </c>
      <c r="D2681" s="115" t="s">
        <v>1139</v>
      </c>
      <c r="E2681" s="115" t="s">
        <v>1140</v>
      </c>
    </row>
    <row r="2682" spans="2:5" x14ac:dyDescent="0.25">
      <c r="B2682" s="115" t="s">
        <v>1138</v>
      </c>
      <c r="D2682" s="115" t="s">
        <v>1139</v>
      </c>
      <c r="E2682" s="115" t="s">
        <v>1140</v>
      </c>
    </row>
    <row r="2683" spans="2:5" x14ac:dyDescent="0.25">
      <c r="B2683" s="115" t="s">
        <v>1138</v>
      </c>
      <c r="D2683" s="115" t="s">
        <v>1139</v>
      </c>
      <c r="E2683" s="115" t="s">
        <v>1140</v>
      </c>
    </row>
    <row r="2684" spans="2:5" x14ac:dyDescent="0.25">
      <c r="B2684" s="115" t="s">
        <v>1138</v>
      </c>
      <c r="D2684" s="115" t="s">
        <v>1139</v>
      </c>
      <c r="E2684" s="115" t="s">
        <v>1140</v>
      </c>
    </row>
    <row r="2685" spans="2:5" x14ac:dyDescent="0.25">
      <c r="B2685" s="115" t="s">
        <v>1138</v>
      </c>
      <c r="D2685" s="115" t="s">
        <v>1139</v>
      </c>
      <c r="E2685" s="115" t="s">
        <v>1140</v>
      </c>
    </row>
    <row r="2686" spans="2:5" x14ac:dyDescent="0.25">
      <c r="B2686" s="115" t="s">
        <v>4312</v>
      </c>
      <c r="D2686" s="115" t="s">
        <v>4313</v>
      </c>
      <c r="E2686" s="115" t="s">
        <v>4314</v>
      </c>
    </row>
    <row r="2687" spans="2:5" x14ac:dyDescent="0.25">
      <c r="B2687" s="115" t="s">
        <v>1138</v>
      </c>
      <c r="D2687" s="115" t="s">
        <v>4315</v>
      </c>
      <c r="E2687" s="115" t="s">
        <v>1140</v>
      </c>
    </row>
    <row r="2688" spans="2:5" x14ac:dyDescent="0.25">
      <c r="B2688" s="115" t="s">
        <v>1138</v>
      </c>
      <c r="D2688" s="115" t="s">
        <v>4316</v>
      </c>
      <c r="E2688" s="115" t="s">
        <v>4317</v>
      </c>
    </row>
    <row r="2689" spans="1:5" x14ac:dyDescent="0.25">
      <c r="B2689" s="115" t="s">
        <v>4318</v>
      </c>
      <c r="D2689" s="115" t="s">
        <v>3013</v>
      </c>
      <c r="E2689" s="115" t="s">
        <v>4319</v>
      </c>
    </row>
    <row r="2690" spans="1:5" x14ac:dyDescent="0.25">
      <c r="B2690" s="115" t="s">
        <v>1138</v>
      </c>
      <c r="D2690" s="115" t="s">
        <v>4320</v>
      </c>
      <c r="E2690" s="115" t="s">
        <v>2689</v>
      </c>
    </row>
    <row r="2691" spans="1:5" x14ac:dyDescent="0.25">
      <c r="B2691" s="115" t="s">
        <v>1138</v>
      </c>
      <c r="D2691" s="115" t="s">
        <v>4321</v>
      </c>
      <c r="E2691" s="115" t="s">
        <v>4322</v>
      </c>
    </row>
    <row r="2692" spans="1:5" x14ac:dyDescent="0.25">
      <c r="B2692" s="115" t="s">
        <v>1540</v>
      </c>
      <c r="D2692" s="115" t="s">
        <v>4323</v>
      </c>
      <c r="E2692" s="115" t="s">
        <v>4324</v>
      </c>
    </row>
    <row r="2693" spans="1:5" x14ac:dyDescent="0.25">
      <c r="A2693" s="115" t="s">
        <v>1137</v>
      </c>
      <c r="B2693" s="115" t="s">
        <v>4325</v>
      </c>
      <c r="D2693" s="115" t="s">
        <v>4326</v>
      </c>
      <c r="E2693" s="115" t="s">
        <v>1893</v>
      </c>
    </row>
    <row r="2694" spans="1:5" x14ac:dyDescent="0.25">
      <c r="A2694" s="115" t="s">
        <v>1137</v>
      </c>
      <c r="B2694" s="115" t="s">
        <v>4327</v>
      </c>
      <c r="C2694" s="115" t="s">
        <v>1137</v>
      </c>
      <c r="D2694" s="115" t="s">
        <v>4328</v>
      </c>
      <c r="E2694" s="115" t="s">
        <v>4329</v>
      </c>
    </row>
    <row r="2695" spans="1:5" x14ac:dyDescent="0.25">
      <c r="B2695" s="115" t="s">
        <v>4330</v>
      </c>
      <c r="D2695" s="115" t="s">
        <v>4331</v>
      </c>
      <c r="E2695" s="115" t="s">
        <v>4332</v>
      </c>
    </row>
    <row r="2696" spans="1:5" x14ac:dyDescent="0.25">
      <c r="A2696" s="115" t="s">
        <v>1137</v>
      </c>
      <c r="B2696" s="115" t="s">
        <v>1181</v>
      </c>
      <c r="D2696" s="115" t="s">
        <v>4333</v>
      </c>
      <c r="E2696" s="115" t="s">
        <v>1858</v>
      </c>
    </row>
    <row r="2697" spans="1:5" x14ac:dyDescent="0.25">
      <c r="A2697" s="115" t="s">
        <v>1137</v>
      </c>
      <c r="B2697" s="115" t="s">
        <v>4334</v>
      </c>
      <c r="D2697" s="115" t="s">
        <v>4335</v>
      </c>
      <c r="E2697" s="115" t="s">
        <v>4336</v>
      </c>
    </row>
    <row r="2698" spans="1:5" x14ac:dyDescent="0.25">
      <c r="A2698" s="115" t="s">
        <v>1137</v>
      </c>
      <c r="B2698" s="115" t="s">
        <v>1397</v>
      </c>
      <c r="D2698" s="115" t="s">
        <v>4337</v>
      </c>
      <c r="E2698" s="115" t="s">
        <v>4338</v>
      </c>
    </row>
    <row r="2699" spans="1:5" x14ac:dyDescent="0.25">
      <c r="B2699" s="115" t="s">
        <v>4339</v>
      </c>
      <c r="D2699" s="115" t="s">
        <v>4340</v>
      </c>
      <c r="E2699" s="115" t="s">
        <v>1858</v>
      </c>
    </row>
    <row r="2700" spans="1:5" x14ac:dyDescent="0.25">
      <c r="B2700" s="115" t="s">
        <v>4341</v>
      </c>
      <c r="D2700" s="115" t="s">
        <v>4342</v>
      </c>
      <c r="E2700" s="115" t="s">
        <v>4343</v>
      </c>
    </row>
    <row r="2701" spans="1:5" x14ac:dyDescent="0.25">
      <c r="A2701" s="115">
        <v>-2</v>
      </c>
      <c r="B2701" s="115" t="s">
        <v>4344</v>
      </c>
      <c r="D2701" s="115" t="s">
        <v>4345</v>
      </c>
      <c r="E2701" s="115" t="s">
        <v>4346</v>
      </c>
    </row>
    <row r="2702" spans="1:5" x14ac:dyDescent="0.25">
      <c r="A2702" s="115">
        <v>-3</v>
      </c>
      <c r="B2702" s="115" t="s">
        <v>1178</v>
      </c>
      <c r="C2702" s="115" t="s">
        <v>1137</v>
      </c>
      <c r="D2702" s="115" t="s">
        <v>4347</v>
      </c>
      <c r="E2702" s="115" t="s">
        <v>1140</v>
      </c>
    </row>
    <row r="2703" spans="1:5" x14ac:dyDescent="0.25">
      <c r="A2703" s="115" t="s">
        <v>1137</v>
      </c>
      <c r="B2703" s="115" t="s">
        <v>4348</v>
      </c>
      <c r="D2703" s="115" t="s">
        <v>4349</v>
      </c>
      <c r="E2703" s="115" t="s">
        <v>1140</v>
      </c>
    </row>
    <row r="2704" spans="1:5" x14ac:dyDescent="0.25">
      <c r="A2704" s="115" t="s">
        <v>1137</v>
      </c>
      <c r="B2704" s="115" t="s">
        <v>4350</v>
      </c>
      <c r="D2704" s="115" t="s">
        <v>4351</v>
      </c>
      <c r="E2704" s="115" t="s">
        <v>4352</v>
      </c>
    </row>
    <row r="2705" spans="1:5" x14ac:dyDescent="0.25">
      <c r="A2705" s="115" t="s">
        <v>1137</v>
      </c>
      <c r="B2705" s="115" t="s">
        <v>1212</v>
      </c>
      <c r="D2705" s="115" t="s">
        <v>4353</v>
      </c>
      <c r="E2705" s="115" t="s">
        <v>1701</v>
      </c>
    </row>
    <row r="2706" spans="1:5" x14ac:dyDescent="0.25">
      <c r="A2706" s="115">
        <v>-1</v>
      </c>
      <c r="B2706" s="115" t="s">
        <v>4354</v>
      </c>
      <c r="C2706" s="115" t="s">
        <v>1137</v>
      </c>
      <c r="D2706" s="115" t="s">
        <v>4355</v>
      </c>
      <c r="E2706" s="115" t="s">
        <v>4356</v>
      </c>
    </row>
    <row r="2707" spans="1:5" x14ac:dyDescent="0.25">
      <c r="B2707" s="115" t="s">
        <v>1138</v>
      </c>
      <c r="D2707" s="115" t="s">
        <v>1139</v>
      </c>
      <c r="E2707" s="115" t="s">
        <v>4357</v>
      </c>
    </row>
    <row r="2708" spans="1:5" x14ac:dyDescent="0.25">
      <c r="B2708" s="115" t="s">
        <v>1138</v>
      </c>
      <c r="D2708" s="115" t="s">
        <v>4358</v>
      </c>
      <c r="E2708" s="115" t="s">
        <v>4359</v>
      </c>
    </row>
    <row r="2709" spans="1:5" x14ac:dyDescent="0.25">
      <c r="B2709" s="115" t="s">
        <v>1138</v>
      </c>
      <c r="D2709" s="115" t="s">
        <v>1139</v>
      </c>
      <c r="E2709" s="115" t="s">
        <v>4360</v>
      </c>
    </row>
    <row r="2710" spans="1:5" x14ac:dyDescent="0.25">
      <c r="B2710" s="115" t="s">
        <v>1138</v>
      </c>
      <c r="D2710" s="115" t="s">
        <v>4361</v>
      </c>
      <c r="E2710" s="115" t="s">
        <v>4362</v>
      </c>
    </row>
    <row r="2711" spans="1:5" x14ac:dyDescent="0.25">
      <c r="B2711" s="115" t="s">
        <v>4363</v>
      </c>
      <c r="D2711" s="115" t="s">
        <v>4364</v>
      </c>
      <c r="E2711" s="115" t="s">
        <v>1893</v>
      </c>
    </row>
    <row r="2712" spans="1:5" x14ac:dyDescent="0.25">
      <c r="B2712" s="115" t="s">
        <v>1434</v>
      </c>
      <c r="D2712" s="115" t="s">
        <v>1139</v>
      </c>
      <c r="E2712" s="115" t="s">
        <v>4365</v>
      </c>
    </row>
    <row r="2713" spans="1:5" x14ac:dyDescent="0.25">
      <c r="A2713" s="115">
        <v>3</v>
      </c>
      <c r="B2713" s="115" t="s">
        <v>1495</v>
      </c>
      <c r="C2713" s="115" t="s">
        <v>1137</v>
      </c>
      <c r="D2713" s="115" t="s">
        <v>4366</v>
      </c>
      <c r="E2713" s="115" t="s">
        <v>4367</v>
      </c>
    </row>
    <row r="2714" spans="1:5" x14ac:dyDescent="0.25">
      <c r="B2714" s="115" t="s">
        <v>1138</v>
      </c>
      <c r="D2714" s="115" t="s">
        <v>4368</v>
      </c>
      <c r="E2714" s="115" t="s">
        <v>4369</v>
      </c>
    </row>
    <row r="2715" spans="1:5" x14ac:dyDescent="0.25">
      <c r="A2715" s="115" t="s">
        <v>1137</v>
      </c>
      <c r="B2715" s="115" t="s">
        <v>4370</v>
      </c>
      <c r="D2715" s="115" t="s">
        <v>1139</v>
      </c>
      <c r="E2715" s="115" t="s">
        <v>4371</v>
      </c>
    </row>
    <row r="2716" spans="1:5" x14ac:dyDescent="0.25">
      <c r="B2716" s="115" t="s">
        <v>4372</v>
      </c>
      <c r="D2716" s="115" t="s">
        <v>4373</v>
      </c>
      <c r="E2716" s="115" t="s">
        <v>4374</v>
      </c>
    </row>
    <row r="2717" spans="1:5" x14ac:dyDescent="0.25">
      <c r="B2717" s="115" t="s">
        <v>4375</v>
      </c>
      <c r="D2717" s="115" t="s">
        <v>4376</v>
      </c>
      <c r="E2717" s="115" t="s">
        <v>4377</v>
      </c>
    </row>
    <row r="2718" spans="1:5" x14ac:dyDescent="0.25">
      <c r="A2718" s="115" t="s">
        <v>1137</v>
      </c>
      <c r="B2718" s="115" t="s">
        <v>4378</v>
      </c>
      <c r="D2718" s="115" t="s">
        <v>1139</v>
      </c>
      <c r="E2718" s="115" t="s">
        <v>4379</v>
      </c>
    </row>
    <row r="2719" spans="1:5" x14ac:dyDescent="0.25">
      <c r="B2719" s="115" t="s">
        <v>4380</v>
      </c>
      <c r="D2719" s="115" t="s">
        <v>4381</v>
      </c>
      <c r="E2719" s="115" t="s">
        <v>4382</v>
      </c>
    </row>
    <row r="2720" spans="1:5" x14ac:dyDescent="0.25">
      <c r="B2720" s="115" t="s">
        <v>4383</v>
      </c>
      <c r="D2720" s="115" t="s">
        <v>4384</v>
      </c>
      <c r="E2720" s="115" t="s">
        <v>4385</v>
      </c>
    </row>
    <row r="2721" spans="1:5" x14ac:dyDescent="0.25">
      <c r="A2721" s="115">
        <v>-3</v>
      </c>
      <c r="B2721" s="115" t="s">
        <v>4386</v>
      </c>
      <c r="D2721" s="115" t="s">
        <v>1139</v>
      </c>
      <c r="E2721" s="115" t="s">
        <v>4387</v>
      </c>
    </row>
    <row r="2722" spans="1:5" x14ac:dyDescent="0.25">
      <c r="B2722" s="115" t="s">
        <v>4388</v>
      </c>
      <c r="D2722" s="115" t="s">
        <v>3620</v>
      </c>
      <c r="E2722" s="115" t="s">
        <v>4389</v>
      </c>
    </row>
    <row r="2723" spans="1:5" x14ac:dyDescent="0.25">
      <c r="B2723" s="115" t="s">
        <v>1309</v>
      </c>
      <c r="D2723" s="115" t="s">
        <v>4390</v>
      </c>
      <c r="E2723" s="115" t="s">
        <v>4391</v>
      </c>
    </row>
    <row r="2724" spans="1:5" x14ac:dyDescent="0.25">
      <c r="B2724" s="115" t="s">
        <v>1138</v>
      </c>
      <c r="D2724" s="115" t="s">
        <v>1139</v>
      </c>
      <c r="E2724" s="115" t="s">
        <v>4392</v>
      </c>
    </row>
    <row r="2725" spans="1:5" x14ac:dyDescent="0.25">
      <c r="B2725" s="115" t="s">
        <v>1384</v>
      </c>
      <c r="D2725" s="115" t="s">
        <v>1139</v>
      </c>
      <c r="E2725" s="115" t="s">
        <v>4393</v>
      </c>
    </row>
    <row r="2726" spans="1:5" x14ac:dyDescent="0.25">
      <c r="A2726" s="115" t="s">
        <v>1137</v>
      </c>
      <c r="B2726" s="115" t="s">
        <v>4394</v>
      </c>
      <c r="D2726" s="115" t="s">
        <v>4395</v>
      </c>
      <c r="E2726" s="115" t="s">
        <v>4396</v>
      </c>
    </row>
    <row r="2727" spans="1:5" x14ac:dyDescent="0.25">
      <c r="B2727" s="115" t="s">
        <v>4397</v>
      </c>
      <c r="D2727" s="115" t="s">
        <v>1139</v>
      </c>
      <c r="E2727" s="115" t="s">
        <v>4398</v>
      </c>
    </row>
    <row r="2728" spans="1:5" x14ac:dyDescent="0.25">
      <c r="A2728" s="115">
        <v>2</v>
      </c>
      <c r="B2728" s="115" t="s">
        <v>4399</v>
      </c>
      <c r="C2728" s="115" t="s">
        <v>1137</v>
      </c>
      <c r="D2728" s="115" t="s">
        <v>4400</v>
      </c>
      <c r="E2728" s="115" t="s">
        <v>1140</v>
      </c>
    </row>
    <row r="2729" spans="1:5" x14ac:dyDescent="0.25">
      <c r="B2729" s="115" t="s">
        <v>1138</v>
      </c>
      <c r="C2729" s="115">
        <v>1</v>
      </c>
      <c r="D2729" s="115" t="s">
        <v>4401</v>
      </c>
      <c r="E2729" s="115" t="s">
        <v>4402</v>
      </c>
    </row>
    <row r="2730" spans="1:5" x14ac:dyDescent="0.25">
      <c r="B2730" s="115" t="s">
        <v>1206</v>
      </c>
      <c r="D2730" s="115" t="s">
        <v>4403</v>
      </c>
      <c r="E2730" s="115" t="s">
        <v>4404</v>
      </c>
    </row>
    <row r="2731" spans="1:5" x14ac:dyDescent="0.25">
      <c r="B2731" s="115" t="s">
        <v>1138</v>
      </c>
      <c r="D2731" s="115" t="s">
        <v>2512</v>
      </c>
      <c r="E2731" s="115" t="s">
        <v>4405</v>
      </c>
    </row>
    <row r="2732" spans="1:5" x14ac:dyDescent="0.25">
      <c r="A2732" s="115" t="s">
        <v>1137</v>
      </c>
      <c r="B2732" s="115" t="s">
        <v>4406</v>
      </c>
      <c r="D2732" s="115" t="s">
        <v>4407</v>
      </c>
      <c r="E2732" s="115" t="s">
        <v>4408</v>
      </c>
    </row>
    <row r="2733" spans="1:5" x14ac:dyDescent="0.25">
      <c r="B2733" s="115" t="s">
        <v>1138</v>
      </c>
      <c r="D2733" s="115" t="s">
        <v>4409</v>
      </c>
      <c r="E2733" s="115" t="s">
        <v>4410</v>
      </c>
    </row>
    <row r="2734" spans="1:5" x14ac:dyDescent="0.25">
      <c r="B2734" s="115" t="s">
        <v>1138</v>
      </c>
      <c r="D2734" s="115" t="s">
        <v>1139</v>
      </c>
      <c r="E2734" s="115" t="s">
        <v>4411</v>
      </c>
    </row>
    <row r="2735" spans="1:5" x14ac:dyDescent="0.25">
      <c r="B2735" s="115" t="s">
        <v>1138</v>
      </c>
      <c r="D2735" s="115" t="s">
        <v>4412</v>
      </c>
      <c r="E2735" s="115" t="s">
        <v>4413</v>
      </c>
    </row>
    <row r="2736" spans="1:5" x14ac:dyDescent="0.25">
      <c r="B2736" s="115" t="s">
        <v>1229</v>
      </c>
      <c r="D2736" s="115" t="s">
        <v>4414</v>
      </c>
      <c r="E2736" s="115" t="s">
        <v>4415</v>
      </c>
    </row>
    <row r="2737" spans="1:5" x14ac:dyDescent="0.25">
      <c r="B2737" s="115" t="s">
        <v>1138</v>
      </c>
      <c r="D2737" s="115" t="s">
        <v>4416</v>
      </c>
      <c r="E2737" s="115" t="s">
        <v>4417</v>
      </c>
    </row>
    <row r="2738" spans="1:5" x14ac:dyDescent="0.25">
      <c r="A2738" s="115">
        <v>2</v>
      </c>
      <c r="B2738" s="115" t="s">
        <v>1202</v>
      </c>
      <c r="D2738" s="115" t="s">
        <v>4418</v>
      </c>
      <c r="E2738" s="115" t="s">
        <v>4419</v>
      </c>
    </row>
    <row r="2739" spans="1:5" x14ac:dyDescent="0.25">
      <c r="B2739" s="115" t="s">
        <v>1138</v>
      </c>
      <c r="D2739" s="115" t="s">
        <v>4420</v>
      </c>
      <c r="E2739" s="115" t="s">
        <v>4421</v>
      </c>
    </row>
    <row r="2740" spans="1:5" x14ac:dyDescent="0.25">
      <c r="B2740" s="115" t="s">
        <v>1138</v>
      </c>
      <c r="D2740" s="115" t="s">
        <v>4422</v>
      </c>
      <c r="E2740" s="115" t="s">
        <v>4423</v>
      </c>
    </row>
    <row r="2741" spans="1:5" x14ac:dyDescent="0.25">
      <c r="A2741" s="115" t="s">
        <v>1137</v>
      </c>
      <c r="B2741" s="115" t="s">
        <v>4424</v>
      </c>
      <c r="D2741" s="115" t="s">
        <v>4425</v>
      </c>
      <c r="E2741" s="115" t="s">
        <v>4426</v>
      </c>
    </row>
    <row r="2742" spans="1:5" x14ac:dyDescent="0.25">
      <c r="B2742" s="115" t="s">
        <v>4427</v>
      </c>
      <c r="D2742" s="115" t="s">
        <v>1435</v>
      </c>
      <c r="E2742" s="115" t="s">
        <v>4428</v>
      </c>
    </row>
    <row r="2743" spans="1:5" x14ac:dyDescent="0.25">
      <c r="B2743" s="115" t="s">
        <v>1138</v>
      </c>
      <c r="D2743" s="115" t="s">
        <v>4429</v>
      </c>
      <c r="E2743" s="115" t="s">
        <v>4430</v>
      </c>
    </row>
    <row r="2744" spans="1:5" x14ac:dyDescent="0.25">
      <c r="B2744" s="115" t="s">
        <v>1138</v>
      </c>
      <c r="D2744" s="115" t="s">
        <v>4431</v>
      </c>
      <c r="E2744" s="115" t="s">
        <v>4432</v>
      </c>
    </row>
    <row r="2745" spans="1:5" x14ac:dyDescent="0.25">
      <c r="B2745" s="115" t="s">
        <v>4433</v>
      </c>
      <c r="D2745" s="115" t="s">
        <v>4434</v>
      </c>
      <c r="E2745" s="115" t="s">
        <v>1140</v>
      </c>
    </row>
    <row r="2746" spans="1:5" x14ac:dyDescent="0.25">
      <c r="B2746" s="115" t="s">
        <v>1138</v>
      </c>
      <c r="D2746" s="115" t="s">
        <v>4435</v>
      </c>
      <c r="E2746" s="115" t="s">
        <v>4436</v>
      </c>
    </row>
    <row r="2747" spans="1:5" x14ac:dyDescent="0.25">
      <c r="B2747" s="115" t="s">
        <v>1138</v>
      </c>
      <c r="D2747" s="115" t="s">
        <v>4437</v>
      </c>
      <c r="E2747" s="115" t="s">
        <v>4438</v>
      </c>
    </row>
    <row r="2748" spans="1:5" x14ac:dyDescent="0.25">
      <c r="B2748" s="115" t="s">
        <v>1138</v>
      </c>
      <c r="D2748" s="115" t="s">
        <v>4439</v>
      </c>
      <c r="E2748" s="115" t="s">
        <v>4440</v>
      </c>
    </row>
    <row r="2749" spans="1:5" x14ac:dyDescent="0.25">
      <c r="B2749" s="115" t="s">
        <v>1138</v>
      </c>
      <c r="D2749" s="115" t="s">
        <v>4441</v>
      </c>
      <c r="E2749" s="115" t="s">
        <v>4442</v>
      </c>
    </row>
    <row r="2750" spans="1:5" x14ac:dyDescent="0.25">
      <c r="A2750" s="115">
        <v>1</v>
      </c>
      <c r="B2750" s="115" t="s">
        <v>4443</v>
      </c>
      <c r="D2750" s="115" t="s">
        <v>1139</v>
      </c>
      <c r="E2750" s="115" t="s">
        <v>4444</v>
      </c>
    </row>
    <row r="2751" spans="1:5" x14ac:dyDescent="0.25">
      <c r="A2751" s="115">
        <v>-13</v>
      </c>
      <c r="B2751" s="115" t="s">
        <v>4445</v>
      </c>
      <c r="D2751" s="115" t="s">
        <v>4446</v>
      </c>
      <c r="E2751" s="115" t="s">
        <v>4447</v>
      </c>
    </row>
    <row r="2752" spans="1:5" x14ac:dyDescent="0.25">
      <c r="B2752" s="115" t="s">
        <v>1138</v>
      </c>
      <c r="D2752" s="115" t="s">
        <v>4448</v>
      </c>
      <c r="E2752" s="115" t="s">
        <v>1140</v>
      </c>
    </row>
    <row r="2753" spans="1:5" x14ac:dyDescent="0.25">
      <c r="B2753" s="115" t="s">
        <v>1138</v>
      </c>
      <c r="D2753" s="115" t="s">
        <v>4449</v>
      </c>
      <c r="E2753" s="115" t="s">
        <v>4450</v>
      </c>
    </row>
    <row r="2754" spans="1:5" x14ac:dyDescent="0.25">
      <c r="B2754" s="115" t="s">
        <v>4451</v>
      </c>
      <c r="D2754" s="115" t="s">
        <v>1318</v>
      </c>
      <c r="E2754" s="115" t="s">
        <v>4452</v>
      </c>
    </row>
    <row r="2755" spans="1:5" x14ac:dyDescent="0.25">
      <c r="B2755" s="115" t="s">
        <v>1150</v>
      </c>
      <c r="D2755" s="115" t="s">
        <v>1139</v>
      </c>
      <c r="E2755" s="115" t="s">
        <v>4453</v>
      </c>
    </row>
    <row r="2756" spans="1:5" x14ac:dyDescent="0.25">
      <c r="B2756" s="115" t="s">
        <v>1138</v>
      </c>
      <c r="D2756" s="115" t="s">
        <v>4454</v>
      </c>
      <c r="E2756" s="115" t="s">
        <v>4455</v>
      </c>
    </row>
    <row r="2757" spans="1:5" x14ac:dyDescent="0.25">
      <c r="B2757" s="115" t="s">
        <v>1138</v>
      </c>
      <c r="D2757" s="115" t="s">
        <v>4456</v>
      </c>
      <c r="E2757" s="115" t="s">
        <v>4457</v>
      </c>
    </row>
    <row r="2758" spans="1:5" x14ac:dyDescent="0.25">
      <c r="A2758" s="115">
        <v>-1</v>
      </c>
      <c r="B2758" s="115" t="s">
        <v>4458</v>
      </c>
      <c r="C2758" s="115">
        <v>-1</v>
      </c>
      <c r="D2758" s="115" t="s">
        <v>4459</v>
      </c>
      <c r="E2758" s="115" t="s">
        <v>4460</v>
      </c>
    </row>
    <row r="2759" spans="1:5" x14ac:dyDescent="0.25">
      <c r="B2759" s="115" t="s">
        <v>4461</v>
      </c>
      <c r="D2759" s="115" t="s">
        <v>4462</v>
      </c>
      <c r="E2759" s="115" t="s">
        <v>4463</v>
      </c>
    </row>
    <row r="2760" spans="1:5" x14ac:dyDescent="0.25">
      <c r="B2760" s="115" t="s">
        <v>4464</v>
      </c>
      <c r="D2760" s="115" t="s">
        <v>4465</v>
      </c>
      <c r="E2760" s="115" t="s">
        <v>4466</v>
      </c>
    </row>
    <row r="2761" spans="1:5" x14ac:dyDescent="0.25">
      <c r="B2761" s="115" t="s">
        <v>4467</v>
      </c>
      <c r="D2761" s="115" t="s">
        <v>4468</v>
      </c>
      <c r="E2761" s="115" t="s">
        <v>4469</v>
      </c>
    </row>
    <row r="2762" spans="1:5" x14ac:dyDescent="0.25">
      <c r="B2762" s="115" t="s">
        <v>1649</v>
      </c>
      <c r="D2762" s="115" t="s">
        <v>4470</v>
      </c>
      <c r="E2762" s="115" t="s">
        <v>4471</v>
      </c>
    </row>
    <row r="2763" spans="1:5" x14ac:dyDescent="0.25">
      <c r="A2763" s="115" t="s">
        <v>1137</v>
      </c>
      <c r="B2763" s="115" t="s">
        <v>4472</v>
      </c>
      <c r="D2763" s="115" t="s">
        <v>4473</v>
      </c>
      <c r="E2763" s="115" t="s">
        <v>4474</v>
      </c>
    </row>
    <row r="2764" spans="1:5" x14ac:dyDescent="0.25">
      <c r="B2764" s="115" t="s">
        <v>1138</v>
      </c>
      <c r="C2764" s="115">
        <v>-1</v>
      </c>
      <c r="D2764" s="115" t="s">
        <v>4475</v>
      </c>
      <c r="E2764" s="115" t="s">
        <v>4476</v>
      </c>
    </row>
    <row r="2765" spans="1:5" x14ac:dyDescent="0.25">
      <c r="B2765" s="115" t="s">
        <v>1305</v>
      </c>
      <c r="D2765" s="115" t="s">
        <v>4477</v>
      </c>
      <c r="E2765" s="115" t="s">
        <v>4478</v>
      </c>
    </row>
    <row r="2766" spans="1:5" x14ac:dyDescent="0.25">
      <c r="B2766" s="115" t="s">
        <v>4479</v>
      </c>
      <c r="D2766" s="115" t="s">
        <v>4480</v>
      </c>
      <c r="E2766" s="115" t="s">
        <v>4481</v>
      </c>
    </row>
    <row r="2767" spans="1:5" x14ac:dyDescent="0.25">
      <c r="B2767" s="115" t="s">
        <v>2764</v>
      </c>
      <c r="D2767" s="115" t="s">
        <v>4482</v>
      </c>
      <c r="E2767" s="115" t="s">
        <v>1140</v>
      </c>
    </row>
    <row r="2768" spans="1:5" x14ac:dyDescent="0.25">
      <c r="B2768" s="115" t="s">
        <v>1239</v>
      </c>
      <c r="D2768" s="115" t="s">
        <v>4483</v>
      </c>
      <c r="E2768" s="115" t="s">
        <v>1701</v>
      </c>
    </row>
    <row r="2769" spans="1:5" x14ac:dyDescent="0.25">
      <c r="B2769" s="115" t="s">
        <v>4484</v>
      </c>
      <c r="D2769" s="115" t="s">
        <v>4485</v>
      </c>
      <c r="E2769" s="115" t="s">
        <v>4486</v>
      </c>
    </row>
    <row r="2770" spans="1:5" x14ac:dyDescent="0.25">
      <c r="B2770" s="115" t="s">
        <v>4487</v>
      </c>
      <c r="D2770" s="115" t="s">
        <v>4488</v>
      </c>
      <c r="E2770" s="115" t="s">
        <v>4489</v>
      </c>
    </row>
    <row r="2771" spans="1:5" x14ac:dyDescent="0.25">
      <c r="B2771" s="115" t="s">
        <v>4490</v>
      </c>
      <c r="D2771" s="115" t="s">
        <v>4491</v>
      </c>
      <c r="E2771" s="115" t="s">
        <v>4492</v>
      </c>
    </row>
    <row r="2772" spans="1:5" x14ac:dyDescent="0.25">
      <c r="B2772" s="115" t="s">
        <v>1138</v>
      </c>
      <c r="D2772" s="115" t="s">
        <v>1139</v>
      </c>
      <c r="E2772" s="115" t="s">
        <v>4493</v>
      </c>
    </row>
    <row r="2773" spans="1:5" x14ac:dyDescent="0.25">
      <c r="B2773" s="115" t="s">
        <v>4494</v>
      </c>
      <c r="D2773" s="115" t="s">
        <v>4495</v>
      </c>
      <c r="E2773" s="115" t="s">
        <v>4496</v>
      </c>
    </row>
    <row r="2774" spans="1:5" x14ac:dyDescent="0.25">
      <c r="B2774" s="115" t="s">
        <v>1138</v>
      </c>
      <c r="D2774" s="115" t="s">
        <v>4497</v>
      </c>
      <c r="E2774" s="115" t="s">
        <v>1140</v>
      </c>
    </row>
    <row r="2775" spans="1:5" x14ac:dyDescent="0.25">
      <c r="B2775" s="115" t="s">
        <v>1138</v>
      </c>
      <c r="D2775" s="115" t="s">
        <v>4498</v>
      </c>
      <c r="E2775" s="115" t="s">
        <v>4499</v>
      </c>
    </row>
    <row r="2776" spans="1:5" x14ac:dyDescent="0.25">
      <c r="B2776" s="115" t="s">
        <v>4500</v>
      </c>
      <c r="D2776" s="115" t="s">
        <v>1847</v>
      </c>
      <c r="E2776" s="115" t="s">
        <v>1581</v>
      </c>
    </row>
    <row r="2777" spans="1:5" x14ac:dyDescent="0.25">
      <c r="B2777" s="115" t="s">
        <v>1138</v>
      </c>
      <c r="D2777" s="115" t="s">
        <v>3121</v>
      </c>
      <c r="E2777" s="115" t="s">
        <v>1758</v>
      </c>
    </row>
    <row r="2778" spans="1:5" x14ac:dyDescent="0.25">
      <c r="B2778" s="115" t="s">
        <v>1138</v>
      </c>
      <c r="D2778" s="115" t="s">
        <v>4501</v>
      </c>
      <c r="E2778" s="115" t="s">
        <v>4502</v>
      </c>
    </row>
    <row r="2779" spans="1:5" x14ac:dyDescent="0.25">
      <c r="B2779" s="115" t="s">
        <v>4503</v>
      </c>
      <c r="D2779" s="115" t="s">
        <v>4504</v>
      </c>
      <c r="E2779" s="115" t="s">
        <v>4505</v>
      </c>
    </row>
    <row r="2780" spans="1:5" x14ac:dyDescent="0.25">
      <c r="A2780" s="115">
        <v>-1</v>
      </c>
      <c r="B2780" s="115" t="s">
        <v>4506</v>
      </c>
      <c r="C2780" s="115">
        <v>-2</v>
      </c>
      <c r="D2780" s="115" t="s">
        <v>4507</v>
      </c>
      <c r="E2780" s="115" t="s">
        <v>2689</v>
      </c>
    </row>
    <row r="2781" spans="1:5" x14ac:dyDescent="0.25">
      <c r="A2781" s="115" t="s">
        <v>1137</v>
      </c>
      <c r="B2781" s="115" t="s">
        <v>4508</v>
      </c>
      <c r="D2781" s="115" t="s">
        <v>4509</v>
      </c>
      <c r="E2781" s="115" t="s">
        <v>4510</v>
      </c>
    </row>
    <row r="2782" spans="1:5" x14ac:dyDescent="0.25">
      <c r="A2782" s="115" t="s">
        <v>1137</v>
      </c>
      <c r="B2782" s="115" t="s">
        <v>4511</v>
      </c>
      <c r="D2782" s="115" t="s">
        <v>4512</v>
      </c>
      <c r="E2782" s="115" t="s">
        <v>4513</v>
      </c>
    </row>
    <row r="2783" spans="1:5" x14ac:dyDescent="0.25">
      <c r="A2783" s="115">
        <v>-2</v>
      </c>
      <c r="B2783" s="115" t="s">
        <v>1225</v>
      </c>
      <c r="C2783" s="115">
        <v>-1</v>
      </c>
      <c r="D2783" s="115" t="s">
        <v>4514</v>
      </c>
      <c r="E2783" s="115" t="s">
        <v>2689</v>
      </c>
    </row>
    <row r="2784" spans="1:5" x14ac:dyDescent="0.25">
      <c r="A2784" s="115" t="s">
        <v>1137</v>
      </c>
      <c r="B2784" s="115" t="s">
        <v>4515</v>
      </c>
      <c r="D2784" s="115" t="s">
        <v>4516</v>
      </c>
      <c r="E2784" s="115" t="s">
        <v>4517</v>
      </c>
    </row>
    <row r="2785" spans="1:5" x14ac:dyDescent="0.25">
      <c r="B2785" s="115" t="s">
        <v>4142</v>
      </c>
      <c r="D2785" s="115" t="s">
        <v>4518</v>
      </c>
      <c r="E2785" s="115" t="s">
        <v>4519</v>
      </c>
    </row>
    <row r="2786" spans="1:5" x14ac:dyDescent="0.25">
      <c r="B2786" s="115" t="s">
        <v>4520</v>
      </c>
      <c r="D2786" s="115" t="s">
        <v>4521</v>
      </c>
      <c r="E2786" s="115" t="s">
        <v>1140</v>
      </c>
    </row>
    <row r="2787" spans="1:5" x14ac:dyDescent="0.25">
      <c r="B2787" s="115" t="s">
        <v>4522</v>
      </c>
      <c r="D2787" s="115" t="s">
        <v>4523</v>
      </c>
      <c r="E2787" s="115" t="s">
        <v>4524</v>
      </c>
    </row>
    <row r="2788" spans="1:5" x14ac:dyDescent="0.25">
      <c r="A2788" s="115" t="s">
        <v>1137</v>
      </c>
      <c r="B2788" s="115" t="s">
        <v>4525</v>
      </c>
      <c r="D2788" s="115" t="s">
        <v>4526</v>
      </c>
      <c r="E2788" s="115" t="s">
        <v>4527</v>
      </c>
    </row>
    <row r="2789" spans="1:5" x14ac:dyDescent="0.25">
      <c r="A2789" s="115">
        <v>-2</v>
      </c>
      <c r="B2789" s="115" t="s">
        <v>3660</v>
      </c>
      <c r="C2789" s="115">
        <v>-1</v>
      </c>
      <c r="D2789" s="115" t="s">
        <v>4528</v>
      </c>
      <c r="E2789" s="115" t="s">
        <v>1140</v>
      </c>
    </row>
    <row r="2790" spans="1:5" x14ac:dyDescent="0.25">
      <c r="A2790" s="115" t="s">
        <v>1137</v>
      </c>
      <c r="B2790" s="115" t="s">
        <v>4529</v>
      </c>
      <c r="D2790" s="115" t="s">
        <v>4530</v>
      </c>
      <c r="E2790" s="115" t="s">
        <v>1140</v>
      </c>
    </row>
    <row r="2791" spans="1:5" x14ac:dyDescent="0.25">
      <c r="A2791" s="115">
        <v>-1</v>
      </c>
      <c r="B2791" s="115" t="s">
        <v>4531</v>
      </c>
      <c r="D2791" s="115" t="s">
        <v>4532</v>
      </c>
      <c r="E2791" s="115" t="s">
        <v>4533</v>
      </c>
    </row>
    <row r="2792" spans="1:5" x14ac:dyDescent="0.25">
      <c r="A2792" s="115">
        <v>-5</v>
      </c>
      <c r="B2792" s="115" t="s">
        <v>4534</v>
      </c>
      <c r="C2792" s="115">
        <v>-4</v>
      </c>
      <c r="D2792" s="115" t="s">
        <v>4535</v>
      </c>
      <c r="E2792" s="115" t="s">
        <v>1893</v>
      </c>
    </row>
    <row r="2793" spans="1:5" x14ac:dyDescent="0.25">
      <c r="A2793" s="115" t="s">
        <v>1137</v>
      </c>
      <c r="B2793" s="115" t="s">
        <v>4536</v>
      </c>
      <c r="D2793" s="115" t="s">
        <v>4537</v>
      </c>
      <c r="E2793" s="115" t="s">
        <v>4538</v>
      </c>
    </row>
    <row r="2794" spans="1:5" x14ac:dyDescent="0.25">
      <c r="B2794" s="115" t="s">
        <v>1138</v>
      </c>
      <c r="D2794" s="115" t="s">
        <v>1139</v>
      </c>
      <c r="E2794" s="115" t="s">
        <v>4539</v>
      </c>
    </row>
    <row r="2795" spans="1:5" x14ac:dyDescent="0.25">
      <c r="A2795" s="115">
        <v>-1</v>
      </c>
      <c r="B2795" s="115" t="s">
        <v>4540</v>
      </c>
      <c r="D2795" s="115" t="s">
        <v>4541</v>
      </c>
      <c r="E2795" s="115" t="s">
        <v>4542</v>
      </c>
    </row>
    <row r="2796" spans="1:5" x14ac:dyDescent="0.25">
      <c r="B2796" s="115" t="s">
        <v>1138</v>
      </c>
      <c r="D2796" s="115" t="s">
        <v>4543</v>
      </c>
      <c r="E2796" s="115" t="s">
        <v>1140</v>
      </c>
    </row>
    <row r="2797" spans="1:5" x14ac:dyDescent="0.25">
      <c r="B2797" s="115" t="s">
        <v>1138</v>
      </c>
      <c r="D2797" s="115" t="s">
        <v>4544</v>
      </c>
      <c r="E2797" s="115" t="s">
        <v>4545</v>
      </c>
    </row>
    <row r="2798" spans="1:5" x14ac:dyDescent="0.25">
      <c r="A2798" s="115">
        <v>2</v>
      </c>
      <c r="B2798" s="115" t="s">
        <v>4546</v>
      </c>
      <c r="D2798" s="115" t="s">
        <v>4547</v>
      </c>
      <c r="E2798" s="115" t="s">
        <v>4548</v>
      </c>
    </row>
    <row r="2799" spans="1:5" x14ac:dyDescent="0.25">
      <c r="B2799" s="115" t="s">
        <v>1138</v>
      </c>
      <c r="D2799" s="115" t="s">
        <v>4549</v>
      </c>
      <c r="E2799" s="115" t="s">
        <v>1893</v>
      </c>
    </row>
    <row r="2800" spans="1:5" x14ac:dyDescent="0.25">
      <c r="B2800" s="115" t="s">
        <v>1138</v>
      </c>
      <c r="D2800" s="115" t="s">
        <v>4550</v>
      </c>
      <c r="E2800" s="115" t="s">
        <v>4551</v>
      </c>
    </row>
    <row r="2801" spans="1:5" x14ac:dyDescent="0.25">
      <c r="B2801" s="115" t="s">
        <v>4552</v>
      </c>
      <c r="D2801" s="115" t="s">
        <v>4553</v>
      </c>
      <c r="E2801" s="115" t="s">
        <v>4554</v>
      </c>
    </row>
    <row r="2802" spans="1:5" x14ac:dyDescent="0.25">
      <c r="B2802" s="115" t="s">
        <v>4555</v>
      </c>
      <c r="D2802" s="115" t="s">
        <v>4556</v>
      </c>
      <c r="E2802" s="115" t="s">
        <v>2689</v>
      </c>
    </row>
    <row r="2803" spans="1:5" x14ac:dyDescent="0.25">
      <c r="B2803" s="115" t="s">
        <v>4557</v>
      </c>
      <c r="C2803" s="115" t="s">
        <v>1137</v>
      </c>
      <c r="D2803" s="115" t="s">
        <v>4558</v>
      </c>
      <c r="E2803" s="115" t="s">
        <v>4559</v>
      </c>
    </row>
    <row r="2804" spans="1:5" x14ac:dyDescent="0.25">
      <c r="A2804" s="115">
        <v>-3</v>
      </c>
      <c r="B2804" s="115" t="s">
        <v>4560</v>
      </c>
      <c r="D2804" s="115">
        <f>-930  -1278  -1106  -232</f>
        <v>-3546</v>
      </c>
      <c r="E2804" s="115" t="s">
        <v>4561</v>
      </c>
    </row>
    <row r="2805" spans="1:5" x14ac:dyDescent="0.25">
      <c r="A2805" s="115" t="s">
        <v>1137</v>
      </c>
      <c r="B2805" s="115" t="s">
        <v>4562</v>
      </c>
      <c r="D2805" s="115" t="s">
        <v>4563</v>
      </c>
      <c r="E2805" s="115" t="s">
        <v>2536</v>
      </c>
    </row>
    <row r="2806" spans="1:5" x14ac:dyDescent="0.25">
      <c r="A2806" s="115">
        <v>-1</v>
      </c>
      <c r="B2806" s="115" t="s">
        <v>4564</v>
      </c>
      <c r="D2806" s="115" t="s">
        <v>4565</v>
      </c>
      <c r="E2806" s="115" t="s">
        <v>4566</v>
      </c>
    </row>
    <row r="2807" spans="1:5" x14ac:dyDescent="0.25">
      <c r="A2807" s="115">
        <v>-1</v>
      </c>
      <c r="B2807" s="115" t="s">
        <v>1414</v>
      </c>
      <c r="D2807" s="115" t="s">
        <v>4567</v>
      </c>
      <c r="E2807" s="115" t="s">
        <v>4568</v>
      </c>
    </row>
    <row r="2808" spans="1:5" x14ac:dyDescent="0.25">
      <c r="B2808" s="115" t="s">
        <v>1340</v>
      </c>
      <c r="D2808" s="115" t="s">
        <v>4569</v>
      </c>
      <c r="E2808" s="115" t="s">
        <v>2536</v>
      </c>
    </row>
    <row r="2809" spans="1:5" x14ac:dyDescent="0.25">
      <c r="A2809" s="115" t="s">
        <v>1137</v>
      </c>
      <c r="B2809" s="115" t="s">
        <v>4570</v>
      </c>
      <c r="D2809" s="115" t="s">
        <v>4571</v>
      </c>
      <c r="E2809" s="115" t="s">
        <v>4572</v>
      </c>
    </row>
    <row r="2810" spans="1:5" x14ac:dyDescent="0.25">
      <c r="A2810" s="115">
        <v>1</v>
      </c>
      <c r="B2810" s="115" t="s">
        <v>4573</v>
      </c>
      <c r="D2810" s="115" t="s">
        <v>4574</v>
      </c>
      <c r="E2810" s="115" t="s">
        <v>4575</v>
      </c>
    </row>
    <row r="2811" spans="1:5" x14ac:dyDescent="0.25">
      <c r="B2811" s="115" t="s">
        <v>4576</v>
      </c>
      <c r="D2811" s="115" t="s">
        <v>1614</v>
      </c>
      <c r="E2811" s="115" t="s">
        <v>1140</v>
      </c>
    </row>
    <row r="2812" spans="1:5" x14ac:dyDescent="0.25">
      <c r="B2812" s="115" t="s">
        <v>4577</v>
      </c>
      <c r="D2812" s="115" t="s">
        <v>4578</v>
      </c>
      <c r="E2812" s="115" t="s">
        <v>1140</v>
      </c>
    </row>
    <row r="2813" spans="1:5" x14ac:dyDescent="0.25">
      <c r="A2813" s="115">
        <v>2</v>
      </c>
      <c r="B2813" s="115" t="s">
        <v>4579</v>
      </c>
      <c r="D2813" s="115" t="s">
        <v>4580</v>
      </c>
      <c r="E2813" s="115" t="s">
        <v>4581</v>
      </c>
    </row>
    <row r="2814" spans="1:5" x14ac:dyDescent="0.25">
      <c r="B2814" s="115" t="s">
        <v>4582</v>
      </c>
      <c r="D2814" s="115" t="s">
        <v>4583</v>
      </c>
      <c r="E2814" s="115" t="s">
        <v>2536</v>
      </c>
    </row>
    <row r="2815" spans="1:5" x14ac:dyDescent="0.25">
      <c r="A2815" s="115">
        <v>2</v>
      </c>
      <c r="B2815" s="115" t="s">
        <v>4584</v>
      </c>
      <c r="C2815" s="115" t="s">
        <v>1137</v>
      </c>
      <c r="D2815" s="115" t="s">
        <v>4585</v>
      </c>
      <c r="E2815" s="115" t="s">
        <v>4586</v>
      </c>
    </row>
    <row r="2816" spans="1:5" x14ac:dyDescent="0.25">
      <c r="B2816" s="115" t="s">
        <v>1138</v>
      </c>
      <c r="D2816" s="115" t="s">
        <v>1139</v>
      </c>
      <c r="E2816" s="115" t="s">
        <v>4587</v>
      </c>
    </row>
    <row r="2817" spans="1:5" x14ac:dyDescent="0.25">
      <c r="A2817" s="115" t="s">
        <v>1137</v>
      </c>
      <c r="B2817" s="115" t="s">
        <v>1438</v>
      </c>
      <c r="D2817" s="115" t="s">
        <v>1139</v>
      </c>
      <c r="E2817" s="115" t="s">
        <v>1140</v>
      </c>
    </row>
    <row r="2818" spans="1:5" x14ac:dyDescent="0.25">
      <c r="B2818" s="115" t="s">
        <v>1138</v>
      </c>
      <c r="D2818" s="115" t="s">
        <v>1139</v>
      </c>
      <c r="E2818" s="115" t="s">
        <v>1140</v>
      </c>
    </row>
    <row r="2819" spans="1:5" x14ac:dyDescent="0.25">
      <c r="B2819" s="115" t="s">
        <v>1138</v>
      </c>
      <c r="D2819" s="115" t="s">
        <v>1139</v>
      </c>
      <c r="E2819" s="115" t="s">
        <v>1140</v>
      </c>
    </row>
    <row r="2820" spans="1:5" x14ac:dyDescent="0.25">
      <c r="B2820" s="115" t="s">
        <v>1138</v>
      </c>
      <c r="D2820" s="115" t="s">
        <v>1139</v>
      </c>
      <c r="E2820" s="115" t="s">
        <v>1140</v>
      </c>
    </row>
    <row r="2821" spans="1:5" x14ac:dyDescent="0.25">
      <c r="B2821" s="115" t="s">
        <v>1138</v>
      </c>
      <c r="D2821" s="115" t="s">
        <v>1139</v>
      </c>
      <c r="E2821" s="115" t="s">
        <v>1140</v>
      </c>
    </row>
    <row r="2822" spans="1:5" x14ac:dyDescent="0.25">
      <c r="B2822" s="115" t="s">
        <v>1138</v>
      </c>
      <c r="D2822" s="115" t="s">
        <v>1139</v>
      </c>
      <c r="E2822" s="115" t="s">
        <v>1140</v>
      </c>
    </row>
    <row r="2823" spans="1:5" x14ac:dyDescent="0.25">
      <c r="B2823" s="115" t="s">
        <v>1138</v>
      </c>
      <c r="D2823" s="115" t="s">
        <v>1139</v>
      </c>
      <c r="E2823" s="115" t="s">
        <v>1140</v>
      </c>
    </row>
    <row r="2824" spans="1:5" x14ac:dyDescent="0.25">
      <c r="B2824" s="115" t="s">
        <v>1138</v>
      </c>
      <c r="D2824" s="115" t="s">
        <v>1139</v>
      </c>
      <c r="E2824" s="115" t="s">
        <v>1140</v>
      </c>
    </row>
    <row r="2825" spans="1:5" x14ac:dyDescent="0.25">
      <c r="B2825" s="115" t="s">
        <v>1138</v>
      </c>
      <c r="D2825" s="115" t="s">
        <v>1139</v>
      </c>
      <c r="E2825" s="115" t="s">
        <v>1140</v>
      </c>
    </row>
    <row r="2826" spans="1:5" x14ac:dyDescent="0.25">
      <c r="B2826" s="115" t="s">
        <v>1138</v>
      </c>
      <c r="D2826" s="115" t="s">
        <v>1139</v>
      </c>
      <c r="E2826" s="115" t="s">
        <v>1140</v>
      </c>
    </row>
    <row r="2827" spans="1:5" x14ac:dyDescent="0.25">
      <c r="B2827" s="115" t="s">
        <v>1138</v>
      </c>
      <c r="D2827" s="115" t="s">
        <v>1139</v>
      </c>
      <c r="E2827" s="115" t="s">
        <v>1140</v>
      </c>
    </row>
    <row r="2828" spans="1:5" x14ac:dyDescent="0.25">
      <c r="B2828" s="115" t="s">
        <v>1138</v>
      </c>
      <c r="D2828" s="115" t="s">
        <v>1139</v>
      </c>
      <c r="E2828" s="115" t="s">
        <v>1140</v>
      </c>
    </row>
    <row r="2829" spans="1:5" x14ac:dyDescent="0.25">
      <c r="B2829" s="115" t="s">
        <v>1138</v>
      </c>
      <c r="D2829" s="115" t="s">
        <v>1139</v>
      </c>
      <c r="E2829" s="115" t="s">
        <v>1140</v>
      </c>
    </row>
    <row r="2830" spans="1:5" x14ac:dyDescent="0.25">
      <c r="B2830" s="115" t="s">
        <v>1138</v>
      </c>
      <c r="D2830" s="115" t="s">
        <v>1139</v>
      </c>
      <c r="E2830" s="115" t="s">
        <v>1140</v>
      </c>
    </row>
    <row r="2831" spans="1:5" x14ac:dyDescent="0.25">
      <c r="B2831" s="115" t="s">
        <v>1138</v>
      </c>
      <c r="D2831" s="115" t="s">
        <v>1139</v>
      </c>
      <c r="E2831" s="115" t="s">
        <v>1140</v>
      </c>
    </row>
    <row r="2832" spans="1:5" x14ac:dyDescent="0.25">
      <c r="B2832" s="115" t="s">
        <v>1138</v>
      </c>
      <c r="D2832" s="115" t="s">
        <v>1139</v>
      </c>
      <c r="E2832" s="115" t="s">
        <v>1140</v>
      </c>
    </row>
    <row r="2833" spans="2:5" x14ac:dyDescent="0.25">
      <c r="B2833" s="115" t="s">
        <v>1138</v>
      </c>
      <c r="D2833" s="115" t="s">
        <v>1139</v>
      </c>
      <c r="E2833" s="115" t="s">
        <v>1140</v>
      </c>
    </row>
    <row r="2834" spans="2:5" x14ac:dyDescent="0.25">
      <c r="B2834" s="115" t="s">
        <v>1138</v>
      </c>
      <c r="D2834" s="115" t="s">
        <v>1139</v>
      </c>
      <c r="E2834" s="115" t="s">
        <v>1140</v>
      </c>
    </row>
    <row r="2835" spans="2:5" x14ac:dyDescent="0.25">
      <c r="B2835" s="115" t="s">
        <v>1138</v>
      </c>
      <c r="D2835" s="115" t="s">
        <v>1139</v>
      </c>
      <c r="E2835" s="115" t="s">
        <v>1140</v>
      </c>
    </row>
    <row r="2836" spans="2:5" x14ac:dyDescent="0.25">
      <c r="B2836" s="115" t="s">
        <v>1138</v>
      </c>
      <c r="D2836" s="115" t="s">
        <v>1139</v>
      </c>
      <c r="E2836" s="115" t="s">
        <v>1140</v>
      </c>
    </row>
    <row r="2837" spans="2:5" x14ac:dyDescent="0.25">
      <c r="B2837" s="115" t="s">
        <v>1138</v>
      </c>
      <c r="D2837" s="115" t="s">
        <v>1139</v>
      </c>
      <c r="E2837" s="115" t="s">
        <v>1140</v>
      </c>
    </row>
    <row r="2838" spans="2:5" x14ac:dyDescent="0.25">
      <c r="B2838" s="115" t="s">
        <v>1138</v>
      </c>
      <c r="D2838" s="115" t="s">
        <v>1139</v>
      </c>
      <c r="E2838" s="115" t="s">
        <v>1140</v>
      </c>
    </row>
    <row r="2839" spans="2:5" x14ac:dyDescent="0.25">
      <c r="B2839" s="115" t="s">
        <v>1138</v>
      </c>
      <c r="D2839" s="115" t="s">
        <v>1139</v>
      </c>
      <c r="E2839" s="115" t="s">
        <v>1140</v>
      </c>
    </row>
    <row r="2840" spans="2:5" x14ac:dyDescent="0.25">
      <c r="B2840" s="115" t="s">
        <v>1138</v>
      </c>
      <c r="D2840" s="115" t="s">
        <v>1139</v>
      </c>
      <c r="E2840" s="115" t="s">
        <v>1140</v>
      </c>
    </row>
    <row r="2841" spans="2:5" x14ac:dyDescent="0.25">
      <c r="B2841" s="115" t="s">
        <v>1138</v>
      </c>
      <c r="D2841" s="115" t="s">
        <v>1139</v>
      </c>
      <c r="E2841" s="115" t="s">
        <v>1140</v>
      </c>
    </row>
    <row r="2842" spans="2:5" x14ac:dyDescent="0.25">
      <c r="B2842" s="115" t="s">
        <v>1138</v>
      </c>
      <c r="D2842" s="115" t="s">
        <v>1139</v>
      </c>
      <c r="E2842" s="115" t="s">
        <v>1140</v>
      </c>
    </row>
    <row r="2843" spans="2:5" x14ac:dyDescent="0.25">
      <c r="B2843" s="115" t="s">
        <v>1138</v>
      </c>
      <c r="D2843" s="115" t="s">
        <v>1139</v>
      </c>
      <c r="E2843" s="115" t="s">
        <v>1140</v>
      </c>
    </row>
    <row r="2844" spans="2:5" x14ac:dyDescent="0.25">
      <c r="B2844" s="115" t="s">
        <v>1138</v>
      </c>
      <c r="D2844" s="115" t="s">
        <v>1139</v>
      </c>
      <c r="E2844" s="115" t="s">
        <v>1140</v>
      </c>
    </row>
    <row r="2845" spans="2:5" x14ac:dyDescent="0.25">
      <c r="B2845" s="115" t="s">
        <v>1138</v>
      </c>
      <c r="D2845" s="115" t="s">
        <v>1139</v>
      </c>
      <c r="E2845" s="115" t="s">
        <v>1140</v>
      </c>
    </row>
    <row r="2846" spans="2:5" x14ac:dyDescent="0.25">
      <c r="B2846" s="115" t="s">
        <v>1138</v>
      </c>
      <c r="D2846" s="115" t="s">
        <v>1139</v>
      </c>
      <c r="E2846" s="115" t="s">
        <v>1140</v>
      </c>
    </row>
    <row r="2847" spans="2:5" x14ac:dyDescent="0.25">
      <c r="B2847" s="115" t="s">
        <v>1138</v>
      </c>
      <c r="D2847" s="115" t="s">
        <v>1139</v>
      </c>
      <c r="E2847" s="115" t="s">
        <v>1140</v>
      </c>
    </row>
    <row r="2848" spans="2:5" x14ac:dyDescent="0.25">
      <c r="B2848" s="115" t="s">
        <v>1138</v>
      </c>
      <c r="D2848" s="115" t="s">
        <v>1139</v>
      </c>
      <c r="E2848" s="115" t="s">
        <v>1140</v>
      </c>
    </row>
    <row r="2849" spans="2:5" x14ac:dyDescent="0.25">
      <c r="B2849" s="115" t="s">
        <v>1138</v>
      </c>
      <c r="D2849" s="115" t="s">
        <v>1139</v>
      </c>
      <c r="E2849" s="115" t="s">
        <v>1140</v>
      </c>
    </row>
    <row r="2850" spans="2:5" x14ac:dyDescent="0.25">
      <c r="B2850" s="115" t="s">
        <v>1138</v>
      </c>
      <c r="D2850" s="115" t="s">
        <v>1139</v>
      </c>
      <c r="E2850" s="115" t="s">
        <v>1140</v>
      </c>
    </row>
    <row r="2851" spans="2:5" x14ac:dyDescent="0.25">
      <c r="B2851" s="115" t="s">
        <v>1138</v>
      </c>
      <c r="D2851" s="115" t="s">
        <v>1139</v>
      </c>
      <c r="E2851" s="115" t="s">
        <v>1140</v>
      </c>
    </row>
    <row r="2852" spans="2:5" x14ac:dyDescent="0.25">
      <c r="B2852" s="115" t="s">
        <v>1138</v>
      </c>
      <c r="D2852" s="115" t="s">
        <v>1139</v>
      </c>
      <c r="E2852" s="115" t="s">
        <v>1140</v>
      </c>
    </row>
    <row r="2853" spans="2:5" x14ac:dyDescent="0.25">
      <c r="B2853" s="115" t="s">
        <v>1138</v>
      </c>
      <c r="D2853" s="115" t="s">
        <v>1139</v>
      </c>
      <c r="E2853" s="115" t="s">
        <v>1140</v>
      </c>
    </row>
    <row r="2854" spans="2:5" x14ac:dyDescent="0.25">
      <c r="B2854" s="115" t="s">
        <v>1138</v>
      </c>
      <c r="D2854" s="115" t="s">
        <v>1139</v>
      </c>
      <c r="E2854" s="115" t="s">
        <v>1140</v>
      </c>
    </row>
    <row r="2855" spans="2:5" x14ac:dyDescent="0.25">
      <c r="B2855" s="115" t="s">
        <v>1138</v>
      </c>
      <c r="D2855" s="115" t="s">
        <v>1139</v>
      </c>
      <c r="E2855" s="115" t="s">
        <v>1140</v>
      </c>
    </row>
    <row r="2856" spans="2:5" x14ac:dyDescent="0.25">
      <c r="B2856" s="115" t="s">
        <v>1138</v>
      </c>
      <c r="D2856" s="115" t="s">
        <v>1139</v>
      </c>
      <c r="E2856" s="115" t="s">
        <v>1140</v>
      </c>
    </row>
    <row r="2857" spans="2:5" x14ac:dyDescent="0.25">
      <c r="B2857" s="115" t="s">
        <v>1138</v>
      </c>
      <c r="D2857" s="115" t="s">
        <v>1139</v>
      </c>
      <c r="E2857" s="115" t="s">
        <v>1140</v>
      </c>
    </row>
    <row r="2858" spans="2:5" x14ac:dyDescent="0.25">
      <c r="B2858" s="115" t="s">
        <v>1138</v>
      </c>
      <c r="D2858" s="115" t="s">
        <v>1139</v>
      </c>
      <c r="E2858" s="115" t="s">
        <v>1140</v>
      </c>
    </row>
    <row r="2859" spans="2:5" x14ac:dyDescent="0.25">
      <c r="B2859" s="115" t="s">
        <v>1138</v>
      </c>
      <c r="D2859" s="115" t="s">
        <v>1139</v>
      </c>
      <c r="E2859" s="115" t="s">
        <v>1140</v>
      </c>
    </row>
    <row r="2860" spans="2:5" x14ac:dyDescent="0.25">
      <c r="B2860" s="115" t="s">
        <v>1138</v>
      </c>
      <c r="D2860" s="115" t="s">
        <v>1139</v>
      </c>
      <c r="E2860" s="115" t="s">
        <v>1140</v>
      </c>
    </row>
    <row r="2861" spans="2:5" x14ac:dyDescent="0.25">
      <c r="B2861" s="115" t="s">
        <v>1138</v>
      </c>
      <c r="D2861" s="115" t="s">
        <v>1139</v>
      </c>
      <c r="E2861" s="115" t="s">
        <v>4588</v>
      </c>
    </row>
    <row r="2862" spans="2:5" x14ac:dyDescent="0.25">
      <c r="B2862" s="115" t="s">
        <v>1138</v>
      </c>
      <c r="D2862" s="115" t="s">
        <v>4589</v>
      </c>
      <c r="E2862" s="115" t="s">
        <v>4590</v>
      </c>
    </row>
    <row r="2863" spans="2:5" x14ac:dyDescent="0.25">
      <c r="B2863" s="115" t="s">
        <v>1138</v>
      </c>
      <c r="D2863" s="115" t="s">
        <v>1139</v>
      </c>
      <c r="E2863" s="115" t="s">
        <v>4591</v>
      </c>
    </row>
    <row r="2864" spans="2:5" x14ac:dyDescent="0.25">
      <c r="B2864" s="115" t="s">
        <v>1138</v>
      </c>
      <c r="D2864" s="115" t="s">
        <v>4592</v>
      </c>
      <c r="E2864" s="115" t="s">
        <v>4593</v>
      </c>
    </row>
    <row r="2865" spans="1:5" x14ac:dyDescent="0.25">
      <c r="B2865" s="115" t="s">
        <v>1298</v>
      </c>
      <c r="D2865" s="115" t="s">
        <v>2892</v>
      </c>
      <c r="E2865" s="115" t="s">
        <v>1818</v>
      </c>
    </row>
    <row r="2866" spans="1:5" x14ac:dyDescent="0.25">
      <c r="B2866" s="115" t="s">
        <v>1437</v>
      </c>
      <c r="D2866" s="115" t="s">
        <v>1139</v>
      </c>
      <c r="E2866" s="115" t="s">
        <v>4594</v>
      </c>
    </row>
    <row r="2867" spans="1:5" x14ac:dyDescent="0.25">
      <c r="B2867" s="115" t="s">
        <v>1212</v>
      </c>
      <c r="D2867" s="115" t="s">
        <v>1323</v>
      </c>
      <c r="E2867" s="115" t="s">
        <v>4595</v>
      </c>
    </row>
    <row r="2868" spans="1:5" x14ac:dyDescent="0.25">
      <c r="B2868" s="115" t="s">
        <v>1138</v>
      </c>
      <c r="D2868" s="115" t="s">
        <v>4596</v>
      </c>
      <c r="E2868" s="115" t="s">
        <v>4597</v>
      </c>
    </row>
    <row r="2869" spans="1:5" x14ac:dyDescent="0.25">
      <c r="B2869" s="115" t="s">
        <v>4598</v>
      </c>
      <c r="D2869" s="115" t="s">
        <v>1139</v>
      </c>
      <c r="E2869" s="115" t="s">
        <v>4599</v>
      </c>
    </row>
    <row r="2870" spans="1:5" x14ac:dyDescent="0.25">
      <c r="B2870" s="115" t="s">
        <v>4600</v>
      </c>
      <c r="D2870" s="115" t="s">
        <v>4601</v>
      </c>
      <c r="E2870" s="115" t="s">
        <v>4602</v>
      </c>
    </row>
    <row r="2871" spans="1:5" x14ac:dyDescent="0.25">
      <c r="B2871" s="115">
        <f>-63   -545</f>
        <v>-608</v>
      </c>
      <c r="D2871" s="115" t="s">
        <v>4603</v>
      </c>
      <c r="E2871" s="115" t="s">
        <v>4604</v>
      </c>
    </row>
    <row r="2872" spans="1:5" x14ac:dyDescent="0.25">
      <c r="B2872" s="115" t="s">
        <v>4605</v>
      </c>
      <c r="D2872" s="115" t="s">
        <v>1139</v>
      </c>
      <c r="E2872" s="115" t="s">
        <v>4606</v>
      </c>
    </row>
    <row r="2873" spans="1:5" x14ac:dyDescent="0.25">
      <c r="B2873" s="115" t="s">
        <v>4607</v>
      </c>
      <c r="C2873" s="115" t="s">
        <v>1137</v>
      </c>
      <c r="D2873" s="115" t="s">
        <v>4608</v>
      </c>
      <c r="E2873" s="115" t="s">
        <v>4609</v>
      </c>
    </row>
    <row r="2874" spans="1:5" x14ac:dyDescent="0.25">
      <c r="B2874" s="115" t="s">
        <v>4610</v>
      </c>
      <c r="D2874" s="115" t="s">
        <v>4611</v>
      </c>
      <c r="E2874" s="115" t="s">
        <v>4612</v>
      </c>
    </row>
    <row r="2875" spans="1:5" x14ac:dyDescent="0.25">
      <c r="B2875" s="115" t="s">
        <v>4613</v>
      </c>
      <c r="D2875" s="115" t="s">
        <v>1139</v>
      </c>
      <c r="E2875" s="115" t="s">
        <v>4614</v>
      </c>
    </row>
    <row r="2876" spans="1:5" x14ac:dyDescent="0.25">
      <c r="B2876" s="115" t="s">
        <v>4615</v>
      </c>
      <c r="D2876" s="115" t="s">
        <v>2383</v>
      </c>
      <c r="E2876" s="115" t="s">
        <v>4616</v>
      </c>
    </row>
    <row r="2877" spans="1:5" x14ac:dyDescent="0.25">
      <c r="B2877" s="115" t="s">
        <v>4617</v>
      </c>
      <c r="D2877" s="115" t="s">
        <v>4618</v>
      </c>
      <c r="E2877" s="115" t="s">
        <v>4619</v>
      </c>
    </row>
    <row r="2878" spans="1:5" x14ac:dyDescent="0.25">
      <c r="B2878" s="115" t="s">
        <v>1138</v>
      </c>
      <c r="D2878" s="115" t="s">
        <v>1139</v>
      </c>
      <c r="E2878" s="115" t="s">
        <v>4620</v>
      </c>
    </row>
    <row r="2879" spans="1:5" x14ac:dyDescent="0.25">
      <c r="A2879" s="115" t="s">
        <v>1137</v>
      </c>
      <c r="B2879" s="115" t="s">
        <v>1504</v>
      </c>
      <c r="D2879" s="115" t="s">
        <v>1139</v>
      </c>
      <c r="E2879" s="115" t="s">
        <v>4621</v>
      </c>
    </row>
    <row r="2880" spans="1:5" x14ac:dyDescent="0.25">
      <c r="B2880" s="115">
        <f>-14   -218</f>
        <v>-232</v>
      </c>
      <c r="D2880" s="115" t="s">
        <v>4622</v>
      </c>
      <c r="E2880" s="115" t="s">
        <v>4623</v>
      </c>
    </row>
    <row r="2881" spans="1:5" x14ac:dyDescent="0.25">
      <c r="B2881" s="115" t="s">
        <v>4624</v>
      </c>
      <c r="D2881" s="115" t="s">
        <v>1139</v>
      </c>
      <c r="E2881" s="115" t="s">
        <v>4625</v>
      </c>
    </row>
    <row r="2882" spans="1:5" x14ac:dyDescent="0.25">
      <c r="A2882" s="115">
        <v>6</v>
      </c>
      <c r="B2882" s="115" t="s">
        <v>4626</v>
      </c>
      <c r="D2882" s="115" t="s">
        <v>4627</v>
      </c>
      <c r="E2882" s="115" t="s">
        <v>1140</v>
      </c>
    </row>
    <row r="2883" spans="1:5" x14ac:dyDescent="0.25">
      <c r="B2883" s="115" t="s">
        <v>1138</v>
      </c>
      <c r="D2883" s="115" t="s">
        <v>4628</v>
      </c>
      <c r="E2883" s="115" t="s">
        <v>4629</v>
      </c>
    </row>
    <row r="2884" spans="1:5" x14ac:dyDescent="0.25">
      <c r="B2884" s="115" t="s">
        <v>1138</v>
      </c>
      <c r="D2884" s="115" t="s">
        <v>1139</v>
      </c>
      <c r="E2884" s="115" t="s">
        <v>1140</v>
      </c>
    </row>
    <row r="2885" spans="1:5" x14ac:dyDescent="0.25">
      <c r="B2885" s="115" t="s">
        <v>1138</v>
      </c>
      <c r="D2885" s="115" t="s">
        <v>1139</v>
      </c>
      <c r="E2885" s="115" t="s">
        <v>1140</v>
      </c>
    </row>
    <row r="2886" spans="1:5" x14ac:dyDescent="0.25">
      <c r="B2886" s="115" t="s">
        <v>1138</v>
      </c>
      <c r="D2886" s="115" t="s">
        <v>1139</v>
      </c>
      <c r="E2886" s="115" t="s">
        <v>1140</v>
      </c>
    </row>
    <row r="2887" spans="1:5" x14ac:dyDescent="0.25">
      <c r="B2887" s="115" t="s">
        <v>1138</v>
      </c>
      <c r="D2887" s="115" t="s">
        <v>1139</v>
      </c>
      <c r="E2887" s="115" t="s">
        <v>1140</v>
      </c>
    </row>
    <row r="2888" spans="1:5" x14ac:dyDescent="0.25">
      <c r="B2888" s="115" t="s">
        <v>1138</v>
      </c>
      <c r="D2888" s="115" t="s">
        <v>1139</v>
      </c>
      <c r="E2888" s="115" t="s">
        <v>1140</v>
      </c>
    </row>
    <row r="2889" spans="1:5" x14ac:dyDescent="0.25">
      <c r="B2889" s="115" t="s">
        <v>1138</v>
      </c>
      <c r="D2889" s="115" t="s">
        <v>1139</v>
      </c>
      <c r="E2889" s="115" t="s">
        <v>1140</v>
      </c>
    </row>
    <row r="2890" spans="1:5" x14ac:dyDescent="0.25">
      <c r="B2890" s="115" t="s">
        <v>1138</v>
      </c>
      <c r="D2890" s="115" t="s">
        <v>1139</v>
      </c>
      <c r="E2890" s="115" t="s">
        <v>1140</v>
      </c>
    </row>
    <row r="2891" spans="1:5" x14ac:dyDescent="0.25">
      <c r="B2891" s="115" t="s">
        <v>1138</v>
      </c>
      <c r="D2891" s="115" t="s">
        <v>1139</v>
      </c>
      <c r="E2891" s="115" t="s">
        <v>1140</v>
      </c>
    </row>
    <row r="2892" spans="1:5" x14ac:dyDescent="0.25">
      <c r="B2892" s="115" t="s">
        <v>1138</v>
      </c>
      <c r="D2892" s="115" t="s">
        <v>1139</v>
      </c>
      <c r="E2892" s="115" t="s">
        <v>1140</v>
      </c>
    </row>
    <row r="2893" spans="1:5" x14ac:dyDescent="0.25">
      <c r="B2893" s="115" t="s">
        <v>1138</v>
      </c>
      <c r="D2893" s="115" t="s">
        <v>1139</v>
      </c>
      <c r="E2893" s="115" t="s">
        <v>1140</v>
      </c>
    </row>
    <row r="2894" spans="1:5" x14ac:dyDescent="0.25">
      <c r="B2894" s="115" t="s">
        <v>1138</v>
      </c>
      <c r="D2894" s="115" t="s">
        <v>1139</v>
      </c>
      <c r="E2894" s="115" t="s">
        <v>1140</v>
      </c>
    </row>
    <row r="2895" spans="1:5" x14ac:dyDescent="0.25">
      <c r="B2895" s="115" t="s">
        <v>1138</v>
      </c>
      <c r="D2895" s="115" t="s">
        <v>1139</v>
      </c>
      <c r="E2895" s="115" t="s">
        <v>1140</v>
      </c>
    </row>
    <row r="2896" spans="1:5" x14ac:dyDescent="0.25">
      <c r="B2896" s="115" t="s">
        <v>1138</v>
      </c>
      <c r="D2896" s="115" t="s">
        <v>1139</v>
      </c>
      <c r="E2896" s="115" t="s">
        <v>1140</v>
      </c>
    </row>
    <row r="2897" spans="1:5" x14ac:dyDescent="0.25">
      <c r="B2897" s="115" t="s">
        <v>1138</v>
      </c>
      <c r="D2897" s="115" t="s">
        <v>1139</v>
      </c>
      <c r="E2897" s="115" t="s">
        <v>1140</v>
      </c>
    </row>
    <row r="2898" spans="1:5" x14ac:dyDescent="0.25">
      <c r="B2898" s="115" t="s">
        <v>1138</v>
      </c>
      <c r="D2898" s="115" t="s">
        <v>1139</v>
      </c>
      <c r="E2898" s="115" t="s">
        <v>1140</v>
      </c>
    </row>
    <row r="2899" spans="1:5" x14ac:dyDescent="0.25">
      <c r="B2899" s="115" t="s">
        <v>1138</v>
      </c>
      <c r="D2899" s="115" t="s">
        <v>1139</v>
      </c>
      <c r="E2899" s="115" t="s">
        <v>1140</v>
      </c>
    </row>
    <row r="2900" spans="1:5" x14ac:dyDescent="0.25">
      <c r="B2900" s="115" t="s">
        <v>1138</v>
      </c>
      <c r="D2900" s="115" t="s">
        <v>1139</v>
      </c>
      <c r="E2900" s="115" t="s">
        <v>1140</v>
      </c>
    </row>
    <row r="2901" spans="1:5" x14ac:dyDescent="0.25">
      <c r="B2901" s="115" t="s">
        <v>1138</v>
      </c>
      <c r="D2901" s="115" t="s">
        <v>1139</v>
      </c>
      <c r="E2901" s="115" t="s">
        <v>1140</v>
      </c>
    </row>
    <row r="2902" spans="1:5" x14ac:dyDescent="0.25">
      <c r="B2902" s="115" t="s">
        <v>1138</v>
      </c>
      <c r="D2902" s="115" t="s">
        <v>1139</v>
      </c>
      <c r="E2902" s="115" t="s">
        <v>1140</v>
      </c>
    </row>
    <row r="2903" spans="1:5" x14ac:dyDescent="0.25">
      <c r="B2903" s="115" t="s">
        <v>1138</v>
      </c>
      <c r="D2903" s="115" t="s">
        <v>1139</v>
      </c>
      <c r="E2903" s="115" t="s">
        <v>1140</v>
      </c>
    </row>
    <row r="2904" spans="1:5" x14ac:dyDescent="0.25">
      <c r="B2904" s="115" t="s">
        <v>1138</v>
      </c>
      <c r="D2904" s="115" t="s">
        <v>1139</v>
      </c>
      <c r="E2904" s="115" t="s">
        <v>1140</v>
      </c>
    </row>
    <row r="2905" spans="1:5" x14ac:dyDescent="0.25">
      <c r="B2905" s="115" t="s">
        <v>1138</v>
      </c>
      <c r="D2905" s="115" t="s">
        <v>1139</v>
      </c>
      <c r="E2905" s="115" t="s">
        <v>1140</v>
      </c>
    </row>
    <row r="2906" spans="1:5" x14ac:dyDescent="0.25">
      <c r="B2906" s="115" t="s">
        <v>1138</v>
      </c>
      <c r="D2906" s="115" t="s">
        <v>4630</v>
      </c>
      <c r="E2906" s="115" t="s">
        <v>4631</v>
      </c>
    </row>
    <row r="2907" spans="1:5" x14ac:dyDescent="0.25">
      <c r="B2907" s="115" t="s">
        <v>4632</v>
      </c>
      <c r="D2907" s="115" t="s">
        <v>4633</v>
      </c>
      <c r="E2907" s="115" t="s">
        <v>4634</v>
      </c>
    </row>
    <row r="2908" spans="1:5" x14ac:dyDescent="0.25">
      <c r="B2908" s="115" t="s">
        <v>1138</v>
      </c>
      <c r="D2908" s="115" t="s">
        <v>1139</v>
      </c>
      <c r="E2908" s="115" t="s">
        <v>4635</v>
      </c>
    </row>
    <row r="2909" spans="1:5" x14ac:dyDescent="0.25">
      <c r="B2909" s="115" t="s">
        <v>1597</v>
      </c>
      <c r="D2909" s="115" t="s">
        <v>4636</v>
      </c>
      <c r="E2909" s="115" t="s">
        <v>2320</v>
      </c>
    </row>
    <row r="2910" spans="1:5" x14ac:dyDescent="0.25">
      <c r="A2910" s="115">
        <v>4</v>
      </c>
      <c r="B2910" s="115" t="s">
        <v>4637</v>
      </c>
      <c r="D2910" s="115" t="s">
        <v>4638</v>
      </c>
      <c r="E2910" s="115" t="s">
        <v>1140</v>
      </c>
    </row>
    <row r="2911" spans="1:5" x14ac:dyDescent="0.25">
      <c r="B2911" s="115" t="s">
        <v>1200</v>
      </c>
      <c r="D2911" s="115" t="s">
        <v>1139</v>
      </c>
      <c r="E2911" s="115" t="s">
        <v>4639</v>
      </c>
    </row>
    <row r="2912" spans="1:5" x14ac:dyDescent="0.25">
      <c r="B2912" s="115" t="s">
        <v>4640</v>
      </c>
      <c r="D2912" s="115" t="s">
        <v>1139</v>
      </c>
      <c r="E2912" s="115" t="s">
        <v>4641</v>
      </c>
    </row>
    <row r="2913" spans="1:5" x14ac:dyDescent="0.25">
      <c r="B2913" s="115" t="s">
        <v>4642</v>
      </c>
      <c r="D2913" s="115" t="s">
        <v>4643</v>
      </c>
      <c r="E2913" s="115" t="s">
        <v>4644</v>
      </c>
    </row>
    <row r="2914" spans="1:5" x14ac:dyDescent="0.25">
      <c r="B2914" s="115" t="s">
        <v>1315</v>
      </c>
      <c r="D2914" s="115" t="s">
        <v>4645</v>
      </c>
      <c r="E2914" s="115" t="s">
        <v>4646</v>
      </c>
    </row>
    <row r="2915" spans="1:5" x14ac:dyDescent="0.25">
      <c r="A2915" s="115" t="s">
        <v>1137</v>
      </c>
      <c r="B2915" s="115" t="s">
        <v>4647</v>
      </c>
      <c r="C2915" s="115" t="s">
        <v>1137</v>
      </c>
      <c r="D2915" s="115" t="s">
        <v>4648</v>
      </c>
      <c r="E2915" s="115" t="s">
        <v>4649</v>
      </c>
    </row>
    <row r="2916" spans="1:5" x14ac:dyDescent="0.25">
      <c r="A2916" s="115">
        <v>5</v>
      </c>
      <c r="B2916" s="115" t="s">
        <v>4650</v>
      </c>
      <c r="D2916" s="115" t="s">
        <v>4651</v>
      </c>
      <c r="E2916" s="115" t="s">
        <v>4652</v>
      </c>
    </row>
    <row r="2917" spans="1:5" x14ac:dyDescent="0.25">
      <c r="B2917" s="115" t="s">
        <v>1458</v>
      </c>
      <c r="D2917" s="115" t="s">
        <v>4653</v>
      </c>
      <c r="E2917" s="115" t="s">
        <v>4654</v>
      </c>
    </row>
    <row r="2918" spans="1:5" x14ac:dyDescent="0.25">
      <c r="A2918" s="115" t="s">
        <v>1137</v>
      </c>
      <c r="B2918" s="115" t="s">
        <v>4655</v>
      </c>
      <c r="C2918" s="115" t="s">
        <v>1137</v>
      </c>
      <c r="D2918" s="115" t="s">
        <v>4656</v>
      </c>
      <c r="E2918" s="115" t="s">
        <v>4657</v>
      </c>
    </row>
    <row r="2919" spans="1:5" x14ac:dyDescent="0.25">
      <c r="A2919" s="115">
        <v>6</v>
      </c>
      <c r="B2919" s="115" t="s">
        <v>4658</v>
      </c>
      <c r="D2919" s="115" t="s">
        <v>4659</v>
      </c>
      <c r="E2919" s="115" t="s">
        <v>4660</v>
      </c>
    </row>
    <row r="2920" spans="1:5" x14ac:dyDescent="0.25">
      <c r="B2920" s="115" t="s">
        <v>4661</v>
      </c>
      <c r="D2920" s="115" t="s">
        <v>4662</v>
      </c>
      <c r="E2920" s="115" t="s">
        <v>4663</v>
      </c>
    </row>
    <row r="2921" spans="1:5" x14ac:dyDescent="0.25">
      <c r="B2921" s="115" t="s">
        <v>1450</v>
      </c>
      <c r="D2921" s="115" t="s">
        <v>4664</v>
      </c>
      <c r="E2921" s="115" t="s">
        <v>4665</v>
      </c>
    </row>
    <row r="2922" spans="1:5" x14ac:dyDescent="0.25">
      <c r="A2922" s="115">
        <v>5</v>
      </c>
      <c r="B2922" s="115" t="s">
        <v>4666</v>
      </c>
      <c r="D2922" s="115" t="s">
        <v>4667</v>
      </c>
      <c r="E2922" s="115" t="s">
        <v>4668</v>
      </c>
    </row>
    <row r="2923" spans="1:5" x14ac:dyDescent="0.25">
      <c r="B2923" s="115" t="s">
        <v>1138</v>
      </c>
      <c r="D2923" s="115" t="s">
        <v>4669</v>
      </c>
      <c r="E2923" s="115" t="s">
        <v>4670</v>
      </c>
    </row>
    <row r="2924" spans="1:5" x14ac:dyDescent="0.25">
      <c r="B2924" s="115" t="s">
        <v>1138</v>
      </c>
      <c r="D2924" s="115" t="s">
        <v>4671</v>
      </c>
      <c r="E2924" s="115" t="s">
        <v>4672</v>
      </c>
    </row>
    <row r="2925" spans="1:5" x14ac:dyDescent="0.25">
      <c r="A2925" s="115">
        <v>5</v>
      </c>
      <c r="B2925" s="115" t="s">
        <v>4673</v>
      </c>
      <c r="D2925" s="115" t="s">
        <v>4674</v>
      </c>
      <c r="E2925" s="115" t="s">
        <v>4675</v>
      </c>
    </row>
    <row r="2926" spans="1:5" x14ac:dyDescent="0.25">
      <c r="B2926" s="115" t="s">
        <v>4676</v>
      </c>
      <c r="D2926" s="115" t="s">
        <v>4677</v>
      </c>
      <c r="E2926" s="115" t="s">
        <v>4678</v>
      </c>
    </row>
    <row r="2927" spans="1:5" x14ac:dyDescent="0.25">
      <c r="A2927" s="115">
        <v>7</v>
      </c>
      <c r="B2927" s="115" t="s">
        <v>4679</v>
      </c>
      <c r="D2927" s="115" t="s">
        <v>4680</v>
      </c>
      <c r="E2927" s="115" t="s">
        <v>1140</v>
      </c>
    </row>
    <row r="2928" spans="1:5" x14ac:dyDescent="0.25">
      <c r="B2928" s="115" t="s">
        <v>4681</v>
      </c>
      <c r="D2928" s="115" t="s">
        <v>4682</v>
      </c>
      <c r="E2928" s="115" t="s">
        <v>4683</v>
      </c>
    </row>
    <row r="2929" spans="1:5" x14ac:dyDescent="0.25">
      <c r="B2929" s="115" t="s">
        <v>4684</v>
      </c>
      <c r="D2929" s="115" t="s">
        <v>4685</v>
      </c>
      <c r="E2929" s="115" t="s">
        <v>4686</v>
      </c>
    </row>
    <row r="2930" spans="1:5" x14ac:dyDescent="0.25">
      <c r="B2930" s="115" t="s">
        <v>1138</v>
      </c>
      <c r="D2930" s="115" t="s">
        <v>4687</v>
      </c>
      <c r="E2930" s="115" t="s">
        <v>1140</v>
      </c>
    </row>
    <row r="2931" spans="1:5" x14ac:dyDescent="0.25">
      <c r="B2931" s="115" t="s">
        <v>1138</v>
      </c>
      <c r="D2931" s="115" t="s">
        <v>4688</v>
      </c>
      <c r="E2931" s="115" t="s">
        <v>4689</v>
      </c>
    </row>
    <row r="2932" spans="1:5" x14ac:dyDescent="0.25">
      <c r="A2932" s="115">
        <v>1</v>
      </c>
      <c r="B2932" s="115" t="s">
        <v>4690</v>
      </c>
      <c r="D2932" s="115" t="s">
        <v>4691</v>
      </c>
      <c r="E2932" s="115" t="s">
        <v>4692</v>
      </c>
    </row>
    <row r="2933" spans="1:5" x14ac:dyDescent="0.25">
      <c r="B2933" s="115" t="s">
        <v>1316</v>
      </c>
      <c r="D2933" s="115" t="s">
        <v>1139</v>
      </c>
      <c r="E2933" s="115" t="s">
        <v>4693</v>
      </c>
    </row>
    <row r="2934" spans="1:5" x14ac:dyDescent="0.25">
      <c r="B2934" s="115" t="s">
        <v>1138</v>
      </c>
      <c r="D2934" s="115" t="s">
        <v>4694</v>
      </c>
      <c r="E2934" s="115" t="s">
        <v>4695</v>
      </c>
    </row>
    <row r="2935" spans="1:5" x14ac:dyDescent="0.25">
      <c r="B2935" s="115" t="s">
        <v>1138</v>
      </c>
      <c r="D2935" s="115" t="s">
        <v>4696</v>
      </c>
      <c r="E2935" s="115" t="s">
        <v>4697</v>
      </c>
    </row>
    <row r="2936" spans="1:5" x14ac:dyDescent="0.25">
      <c r="B2936" s="115" t="s">
        <v>4698</v>
      </c>
      <c r="D2936" s="115" t="s">
        <v>4699</v>
      </c>
      <c r="E2936" s="115" t="s">
        <v>4700</v>
      </c>
    </row>
    <row r="2937" spans="1:5" x14ac:dyDescent="0.25">
      <c r="B2937" s="115" t="s">
        <v>3490</v>
      </c>
      <c r="C2937" s="115">
        <v>-1</v>
      </c>
      <c r="D2937" s="115" t="s">
        <v>4701</v>
      </c>
      <c r="E2937" s="115" t="s">
        <v>4702</v>
      </c>
    </row>
    <row r="2938" spans="1:5" x14ac:dyDescent="0.25">
      <c r="A2938" s="115">
        <v>1</v>
      </c>
      <c r="B2938" s="115" t="s">
        <v>4703</v>
      </c>
      <c r="D2938" s="115" t="s">
        <v>4704</v>
      </c>
      <c r="E2938" s="115" t="s">
        <v>4705</v>
      </c>
    </row>
    <row r="2939" spans="1:5" x14ac:dyDescent="0.25">
      <c r="B2939" s="115" t="s">
        <v>4706</v>
      </c>
      <c r="D2939" s="115" t="s">
        <v>4707</v>
      </c>
      <c r="E2939" s="115" t="s">
        <v>4708</v>
      </c>
    </row>
    <row r="2940" spans="1:5" x14ac:dyDescent="0.25">
      <c r="B2940" s="115" t="s">
        <v>4709</v>
      </c>
      <c r="C2940" s="115">
        <v>-2</v>
      </c>
      <c r="D2940" s="115" t="s">
        <v>4710</v>
      </c>
      <c r="E2940" s="115" t="s">
        <v>4711</v>
      </c>
    </row>
    <row r="2941" spans="1:5" x14ac:dyDescent="0.25">
      <c r="A2941" s="115">
        <v>1</v>
      </c>
      <c r="B2941" s="115" t="s">
        <v>4712</v>
      </c>
      <c r="D2941" s="115" t="s">
        <v>4713</v>
      </c>
      <c r="E2941" s="115" t="s">
        <v>4714</v>
      </c>
    </row>
    <row r="2942" spans="1:5" x14ac:dyDescent="0.25">
      <c r="B2942" s="115" t="s">
        <v>1138</v>
      </c>
      <c r="D2942" s="115" t="s">
        <v>4715</v>
      </c>
      <c r="E2942" s="115" t="s">
        <v>4716</v>
      </c>
    </row>
    <row r="2943" spans="1:5" x14ac:dyDescent="0.25">
      <c r="B2943" s="115" t="s">
        <v>1312</v>
      </c>
      <c r="C2943" s="115">
        <v>-2</v>
      </c>
      <c r="D2943" s="115" t="s">
        <v>4717</v>
      </c>
      <c r="E2943" s="115" t="s">
        <v>4718</v>
      </c>
    </row>
    <row r="2944" spans="1:5" x14ac:dyDescent="0.25">
      <c r="B2944" s="115" t="s">
        <v>4719</v>
      </c>
      <c r="D2944" s="115" t="s">
        <v>4720</v>
      </c>
      <c r="E2944" s="115" t="s">
        <v>4721</v>
      </c>
    </row>
    <row r="2945" spans="1:5" x14ac:dyDescent="0.25">
      <c r="B2945" s="115" t="s">
        <v>4722</v>
      </c>
      <c r="D2945" s="115" t="s">
        <v>4723</v>
      </c>
      <c r="E2945" s="115" t="s">
        <v>1140</v>
      </c>
    </row>
    <row r="2946" spans="1:5" x14ac:dyDescent="0.25">
      <c r="B2946" s="115" t="s">
        <v>4724</v>
      </c>
      <c r="C2946" s="115">
        <v>-1</v>
      </c>
      <c r="D2946" s="115" t="s">
        <v>4725</v>
      </c>
      <c r="E2946" s="115" t="s">
        <v>2081</v>
      </c>
    </row>
    <row r="2947" spans="1:5" x14ac:dyDescent="0.25">
      <c r="B2947" s="115" t="s">
        <v>4726</v>
      </c>
      <c r="C2947" s="115" t="s">
        <v>1137</v>
      </c>
      <c r="D2947" s="115" t="s">
        <v>4727</v>
      </c>
      <c r="E2947" s="115" t="s">
        <v>4728</v>
      </c>
    </row>
    <row r="2948" spans="1:5" x14ac:dyDescent="0.25">
      <c r="B2948" s="115" t="s">
        <v>4729</v>
      </c>
      <c r="D2948" s="115" t="s">
        <v>4730</v>
      </c>
      <c r="E2948" s="115" t="s">
        <v>4731</v>
      </c>
    </row>
    <row r="2949" spans="1:5" x14ac:dyDescent="0.25">
      <c r="B2949" s="115" t="s">
        <v>4732</v>
      </c>
      <c r="C2949" s="115">
        <v>-2</v>
      </c>
      <c r="D2949" s="115" t="s">
        <v>4733</v>
      </c>
      <c r="E2949" s="115" t="s">
        <v>4734</v>
      </c>
    </row>
    <row r="2950" spans="1:5" x14ac:dyDescent="0.25">
      <c r="B2950" s="115" t="s">
        <v>1138</v>
      </c>
      <c r="D2950" s="115" t="s">
        <v>1139</v>
      </c>
      <c r="E2950" s="115" t="s">
        <v>4735</v>
      </c>
    </row>
    <row r="2951" spans="1:5" x14ac:dyDescent="0.25">
      <c r="A2951" s="115">
        <v>-6</v>
      </c>
      <c r="B2951" s="115" t="s">
        <v>4736</v>
      </c>
      <c r="D2951" s="115" t="s">
        <v>4737</v>
      </c>
      <c r="E2951" s="115" t="s">
        <v>4738</v>
      </c>
    </row>
    <row r="2952" spans="1:5" x14ac:dyDescent="0.25">
      <c r="B2952" s="115" t="s">
        <v>1138</v>
      </c>
      <c r="D2952" s="115" t="s">
        <v>1139</v>
      </c>
      <c r="E2952" s="115" t="s">
        <v>1140</v>
      </c>
    </row>
    <row r="2953" spans="1:5" x14ac:dyDescent="0.25">
      <c r="B2953" s="115" t="s">
        <v>1138</v>
      </c>
      <c r="D2953" s="115" t="s">
        <v>1139</v>
      </c>
      <c r="E2953" s="115" t="s">
        <v>1140</v>
      </c>
    </row>
    <row r="2954" spans="1:5" x14ac:dyDescent="0.25">
      <c r="B2954" s="115" t="s">
        <v>1138</v>
      </c>
      <c r="D2954" s="115" t="s">
        <v>1139</v>
      </c>
      <c r="E2954" s="115" t="s">
        <v>1140</v>
      </c>
    </row>
    <row r="2955" spans="1:5" x14ac:dyDescent="0.25">
      <c r="B2955" s="115" t="s">
        <v>1138</v>
      </c>
      <c r="D2955" s="115" t="s">
        <v>1139</v>
      </c>
      <c r="E2955" s="115" t="s">
        <v>1140</v>
      </c>
    </row>
    <row r="2956" spans="1:5" x14ac:dyDescent="0.25">
      <c r="B2956" s="115" t="s">
        <v>1138</v>
      </c>
      <c r="D2956" s="115" t="s">
        <v>1139</v>
      </c>
      <c r="E2956" s="115" t="s">
        <v>1140</v>
      </c>
    </row>
    <row r="2957" spans="1:5" x14ac:dyDescent="0.25">
      <c r="B2957" s="115" t="s">
        <v>1138</v>
      </c>
      <c r="D2957" s="115" t="s">
        <v>1139</v>
      </c>
      <c r="E2957" s="115" t="s">
        <v>1140</v>
      </c>
    </row>
    <row r="2958" spans="1:5" x14ac:dyDescent="0.25">
      <c r="B2958" s="115" t="s">
        <v>1138</v>
      </c>
      <c r="D2958" s="115" t="s">
        <v>1139</v>
      </c>
      <c r="E2958" s="115" t="s">
        <v>1140</v>
      </c>
    </row>
    <row r="2959" spans="1:5" x14ac:dyDescent="0.25">
      <c r="B2959" s="115" t="s">
        <v>1138</v>
      </c>
      <c r="D2959" s="115" t="s">
        <v>1139</v>
      </c>
      <c r="E2959" s="115" t="s">
        <v>1140</v>
      </c>
    </row>
    <row r="2960" spans="1:5" x14ac:dyDescent="0.25">
      <c r="B2960" s="115" t="s">
        <v>1138</v>
      </c>
      <c r="D2960" s="115" t="s">
        <v>1139</v>
      </c>
      <c r="E2960" s="115" t="s">
        <v>1140</v>
      </c>
    </row>
    <row r="2961" spans="2:5" x14ac:dyDescent="0.25">
      <c r="B2961" s="115" t="s">
        <v>1138</v>
      </c>
      <c r="D2961" s="160" t="s">
        <v>1139</v>
      </c>
      <c r="E2961" s="115" t="s">
        <v>1140</v>
      </c>
    </row>
    <row r="2962" spans="2:5" x14ac:dyDescent="0.25">
      <c r="B2962" s="115" t="s">
        <v>1138</v>
      </c>
      <c r="D2962" s="115" t="s">
        <v>1139</v>
      </c>
      <c r="E2962" s="115" t="s">
        <v>1140</v>
      </c>
    </row>
    <row r="2963" spans="2:5" x14ac:dyDescent="0.25">
      <c r="B2963" s="115" t="s">
        <v>1138</v>
      </c>
      <c r="D2963" s="115" t="s">
        <v>1139</v>
      </c>
      <c r="E2963" s="115" t="s">
        <v>1140</v>
      </c>
    </row>
    <row r="2964" spans="2:5" x14ac:dyDescent="0.25">
      <c r="B2964" s="115" t="s">
        <v>1138</v>
      </c>
      <c r="D2964" s="115" t="s">
        <v>1139</v>
      </c>
      <c r="E2964" s="115" t="s">
        <v>1140</v>
      </c>
    </row>
    <row r="2965" spans="2:5" x14ac:dyDescent="0.25">
      <c r="B2965" s="115" t="s">
        <v>1138</v>
      </c>
      <c r="D2965" s="115" t="s">
        <v>1139</v>
      </c>
      <c r="E2965" s="115" t="s">
        <v>1140</v>
      </c>
    </row>
    <row r="2966" spans="2:5" x14ac:dyDescent="0.25">
      <c r="B2966" s="115" t="s">
        <v>1138</v>
      </c>
      <c r="D2966" s="115" t="s">
        <v>1139</v>
      </c>
      <c r="E2966" s="115" t="s">
        <v>1140</v>
      </c>
    </row>
    <row r="2967" spans="2:5" x14ac:dyDescent="0.25">
      <c r="B2967" s="115" t="s">
        <v>1138</v>
      </c>
      <c r="D2967" s="115" t="s">
        <v>1139</v>
      </c>
      <c r="E2967" s="115" t="s">
        <v>1140</v>
      </c>
    </row>
    <row r="2968" spans="2:5" x14ac:dyDescent="0.25">
      <c r="B2968" s="115" t="s">
        <v>1138</v>
      </c>
      <c r="D2968" s="115" t="s">
        <v>1139</v>
      </c>
      <c r="E2968" s="115" t="s">
        <v>1140</v>
      </c>
    </row>
    <row r="2969" spans="2:5" x14ac:dyDescent="0.25">
      <c r="B2969" s="115" t="s">
        <v>1138</v>
      </c>
      <c r="D2969" s="115" t="s">
        <v>1139</v>
      </c>
      <c r="E2969" s="115" t="s">
        <v>1140</v>
      </c>
    </row>
    <row r="2970" spans="2:5" x14ac:dyDescent="0.25">
      <c r="B2970" s="115" t="s">
        <v>1138</v>
      </c>
      <c r="D2970" s="115" t="s">
        <v>1139</v>
      </c>
      <c r="E2970" s="115" t="s">
        <v>1140</v>
      </c>
    </row>
    <row r="2971" spans="2:5" x14ac:dyDescent="0.25">
      <c r="B2971" s="115" t="s">
        <v>1138</v>
      </c>
      <c r="D2971" s="115" t="s">
        <v>1139</v>
      </c>
      <c r="E2971" s="115" t="s">
        <v>1140</v>
      </c>
    </row>
    <row r="2972" spans="2:5" x14ac:dyDescent="0.25">
      <c r="B2972" s="115" t="s">
        <v>1138</v>
      </c>
      <c r="D2972" s="115" t="s">
        <v>1139</v>
      </c>
      <c r="E2972" s="115" t="s">
        <v>1140</v>
      </c>
    </row>
    <row r="2973" spans="2:5" x14ac:dyDescent="0.25">
      <c r="B2973" s="115" t="s">
        <v>1138</v>
      </c>
      <c r="D2973" s="115" t="s">
        <v>1139</v>
      </c>
      <c r="E2973" s="115" t="s">
        <v>1140</v>
      </c>
    </row>
    <row r="2974" spans="2:5" x14ac:dyDescent="0.25">
      <c r="B2974" s="115" t="s">
        <v>1138</v>
      </c>
      <c r="D2974" s="115" t="s">
        <v>1139</v>
      </c>
      <c r="E2974" s="115" t="s">
        <v>1140</v>
      </c>
    </row>
    <row r="2975" spans="2:5" x14ac:dyDescent="0.25">
      <c r="B2975" s="115" t="s">
        <v>1138</v>
      </c>
      <c r="D2975" s="115" t="s">
        <v>1139</v>
      </c>
      <c r="E2975" s="115" t="s">
        <v>1140</v>
      </c>
    </row>
    <row r="2976" spans="2:5" x14ac:dyDescent="0.25">
      <c r="B2976" s="115" t="s">
        <v>1138</v>
      </c>
      <c r="D2976" s="115" t="s">
        <v>1139</v>
      </c>
      <c r="E2976" s="115" t="s">
        <v>1140</v>
      </c>
    </row>
    <row r="2977" spans="2:5" x14ac:dyDescent="0.25">
      <c r="B2977" s="115" t="s">
        <v>1138</v>
      </c>
      <c r="D2977" s="115" t="s">
        <v>1139</v>
      </c>
      <c r="E2977" s="115" t="s">
        <v>1140</v>
      </c>
    </row>
    <row r="2978" spans="2:5" x14ac:dyDescent="0.25">
      <c r="B2978" s="115" t="s">
        <v>1138</v>
      </c>
      <c r="D2978" s="115" t="s">
        <v>1139</v>
      </c>
      <c r="E2978" s="115" t="s">
        <v>1140</v>
      </c>
    </row>
    <row r="2979" spans="2:5" x14ac:dyDescent="0.25">
      <c r="B2979" s="115" t="s">
        <v>1138</v>
      </c>
      <c r="D2979" s="115" t="s">
        <v>1139</v>
      </c>
      <c r="E2979" s="115" t="s">
        <v>1140</v>
      </c>
    </row>
    <row r="2980" spans="2:5" x14ac:dyDescent="0.25">
      <c r="B2980" s="115" t="s">
        <v>1138</v>
      </c>
      <c r="D2980" s="115" t="s">
        <v>1139</v>
      </c>
      <c r="E2980" s="115" t="s">
        <v>1140</v>
      </c>
    </row>
    <row r="2981" spans="2:5" x14ac:dyDescent="0.25">
      <c r="B2981" s="115" t="s">
        <v>1138</v>
      </c>
      <c r="D2981" s="115" t="s">
        <v>1139</v>
      </c>
      <c r="E2981" s="115" t="s">
        <v>1140</v>
      </c>
    </row>
    <row r="2982" spans="2:5" x14ac:dyDescent="0.25">
      <c r="B2982" s="115" t="s">
        <v>1138</v>
      </c>
      <c r="D2982" s="115" t="s">
        <v>1139</v>
      </c>
      <c r="E2982" s="115" t="s">
        <v>1140</v>
      </c>
    </row>
    <row r="2983" spans="2:5" x14ac:dyDescent="0.25">
      <c r="B2983" s="115" t="s">
        <v>1138</v>
      </c>
      <c r="D2983" s="115" t="s">
        <v>1139</v>
      </c>
      <c r="E2983" s="115" t="s">
        <v>1140</v>
      </c>
    </row>
    <row r="2984" spans="2:5" x14ac:dyDescent="0.25">
      <c r="B2984" s="115" t="s">
        <v>1138</v>
      </c>
      <c r="D2984" s="115" t="s">
        <v>1139</v>
      </c>
      <c r="E2984" s="115" t="s">
        <v>1140</v>
      </c>
    </row>
    <row r="2985" spans="2:5" x14ac:dyDescent="0.25">
      <c r="B2985" s="115" t="s">
        <v>1138</v>
      </c>
      <c r="D2985" s="115" t="s">
        <v>1139</v>
      </c>
      <c r="E2985" s="115" t="s">
        <v>1140</v>
      </c>
    </row>
    <row r="2986" spans="2:5" x14ac:dyDescent="0.25">
      <c r="B2986" s="115" t="s">
        <v>1138</v>
      </c>
      <c r="D2986" s="115" t="s">
        <v>1139</v>
      </c>
      <c r="E2986" s="115" t="s">
        <v>1140</v>
      </c>
    </row>
    <row r="2987" spans="2:5" x14ac:dyDescent="0.25">
      <c r="B2987" s="115" t="s">
        <v>1138</v>
      </c>
      <c r="D2987" s="115" t="s">
        <v>1139</v>
      </c>
      <c r="E2987" s="115" t="s">
        <v>1140</v>
      </c>
    </row>
    <row r="2988" spans="2:5" x14ac:dyDescent="0.25">
      <c r="B2988" s="115" t="s">
        <v>1138</v>
      </c>
      <c r="D2988" s="115" t="s">
        <v>1139</v>
      </c>
      <c r="E2988" s="115" t="s">
        <v>1140</v>
      </c>
    </row>
    <row r="2989" spans="2:5" x14ac:dyDescent="0.25">
      <c r="B2989" s="115" t="s">
        <v>1138</v>
      </c>
      <c r="D2989" s="115" t="s">
        <v>1139</v>
      </c>
      <c r="E2989" s="115" t="s">
        <v>1140</v>
      </c>
    </row>
    <row r="2990" spans="2:5" x14ac:dyDescent="0.25">
      <c r="B2990" s="115" t="s">
        <v>1138</v>
      </c>
      <c r="D2990" s="115" t="s">
        <v>1139</v>
      </c>
      <c r="E2990" s="115" t="s">
        <v>1140</v>
      </c>
    </row>
    <row r="2991" spans="2:5" x14ac:dyDescent="0.25">
      <c r="B2991" s="115" t="s">
        <v>1138</v>
      </c>
      <c r="D2991" s="115" t="s">
        <v>1139</v>
      </c>
      <c r="E2991" s="115" t="s">
        <v>1140</v>
      </c>
    </row>
    <row r="2992" spans="2:5" x14ac:dyDescent="0.25">
      <c r="B2992" s="115" t="s">
        <v>1138</v>
      </c>
      <c r="D2992" s="115" t="s">
        <v>1139</v>
      </c>
      <c r="E2992" s="115" t="s">
        <v>1140</v>
      </c>
    </row>
    <row r="2993" spans="2:5" x14ac:dyDescent="0.25">
      <c r="B2993" s="115" t="s">
        <v>1138</v>
      </c>
      <c r="D2993" s="115" t="s">
        <v>1139</v>
      </c>
      <c r="E2993" s="115" t="s">
        <v>1140</v>
      </c>
    </row>
    <row r="2994" spans="2:5" x14ac:dyDescent="0.25">
      <c r="B2994" s="115" t="s">
        <v>1138</v>
      </c>
      <c r="D2994" s="115" t="s">
        <v>1139</v>
      </c>
      <c r="E2994" s="115" t="s">
        <v>1140</v>
      </c>
    </row>
    <row r="2995" spans="2:5" x14ac:dyDescent="0.25">
      <c r="B2995" s="115" t="s">
        <v>1138</v>
      </c>
      <c r="D2995" s="115" t="s">
        <v>1139</v>
      </c>
      <c r="E2995" s="115" t="s">
        <v>1140</v>
      </c>
    </row>
    <row r="2996" spans="2:5" x14ac:dyDescent="0.25">
      <c r="B2996" s="115" t="s">
        <v>1138</v>
      </c>
      <c r="D2996" s="115" t="s">
        <v>1139</v>
      </c>
      <c r="E2996" s="115" t="s">
        <v>1140</v>
      </c>
    </row>
    <row r="2997" spans="2:5" x14ac:dyDescent="0.25">
      <c r="B2997" s="115" t="s">
        <v>1138</v>
      </c>
      <c r="D2997" s="115" t="s">
        <v>1139</v>
      </c>
      <c r="E2997" s="115" t="s">
        <v>1140</v>
      </c>
    </row>
    <row r="2998" spans="2:5" x14ac:dyDescent="0.25">
      <c r="B2998" s="115" t="s">
        <v>1138</v>
      </c>
      <c r="D2998" s="115" t="s">
        <v>1139</v>
      </c>
      <c r="E2998" s="115" t="s">
        <v>1140</v>
      </c>
    </row>
    <row r="2999" spans="2:5" x14ac:dyDescent="0.25">
      <c r="B2999" s="115" t="s">
        <v>1138</v>
      </c>
      <c r="D2999" s="115" t="s">
        <v>1139</v>
      </c>
      <c r="E2999" s="115" t="s">
        <v>1140</v>
      </c>
    </row>
    <row r="3000" spans="2:5" x14ac:dyDescent="0.25">
      <c r="B3000" s="115" t="s">
        <v>1138</v>
      </c>
      <c r="D3000" s="115" t="s">
        <v>1139</v>
      </c>
      <c r="E3000" s="115" t="s">
        <v>1140</v>
      </c>
    </row>
    <row r="3001" spans="2:5" x14ac:dyDescent="0.25">
      <c r="B3001" s="115" t="s">
        <v>1138</v>
      </c>
      <c r="D3001" s="115" t="s">
        <v>1139</v>
      </c>
      <c r="E3001" s="115" t="s">
        <v>1140</v>
      </c>
    </row>
    <row r="3002" spans="2:5" x14ac:dyDescent="0.25">
      <c r="B3002" s="115" t="s">
        <v>1138</v>
      </c>
      <c r="D3002" s="115" t="s">
        <v>1139</v>
      </c>
      <c r="E3002" s="115" t="s">
        <v>1140</v>
      </c>
    </row>
    <row r="3003" spans="2:5" x14ac:dyDescent="0.25">
      <c r="B3003" s="115" t="s">
        <v>1138</v>
      </c>
      <c r="D3003" s="115" t="s">
        <v>1139</v>
      </c>
      <c r="E3003" s="115" t="s">
        <v>1140</v>
      </c>
    </row>
    <row r="3004" spans="2:5" x14ac:dyDescent="0.25">
      <c r="B3004" s="115" t="s">
        <v>1138</v>
      </c>
      <c r="D3004" s="115" t="s">
        <v>1139</v>
      </c>
      <c r="E3004" s="115" t="s">
        <v>1140</v>
      </c>
    </row>
    <row r="3005" spans="2:5" x14ac:dyDescent="0.25">
      <c r="B3005" s="115" t="s">
        <v>1138</v>
      </c>
      <c r="D3005" s="115" t="s">
        <v>1139</v>
      </c>
      <c r="E3005" s="115" t="s">
        <v>1140</v>
      </c>
    </row>
    <row r="3006" spans="2:5" x14ac:dyDescent="0.25">
      <c r="B3006" s="115" t="s">
        <v>1138</v>
      </c>
      <c r="D3006" s="115" t="s">
        <v>1139</v>
      </c>
      <c r="E3006" s="115" t="s">
        <v>1140</v>
      </c>
    </row>
    <row r="3007" spans="2:5" x14ac:dyDescent="0.25">
      <c r="B3007" s="115" t="s">
        <v>1138</v>
      </c>
      <c r="D3007" s="115" t="s">
        <v>1139</v>
      </c>
      <c r="E3007" s="115" t="s">
        <v>1140</v>
      </c>
    </row>
    <row r="3008" spans="2:5" x14ac:dyDescent="0.25">
      <c r="B3008" s="115" t="s">
        <v>1138</v>
      </c>
      <c r="D3008" s="115" t="s">
        <v>1139</v>
      </c>
      <c r="E3008" s="115" t="s">
        <v>1140</v>
      </c>
    </row>
    <row r="3009" spans="2:5" x14ac:dyDescent="0.25">
      <c r="B3009" s="115" t="s">
        <v>1138</v>
      </c>
      <c r="D3009" s="115" t="s">
        <v>1139</v>
      </c>
      <c r="E3009" s="115" t="s">
        <v>1140</v>
      </c>
    </row>
    <row r="3010" spans="2:5" x14ac:dyDescent="0.25">
      <c r="B3010" s="115" t="s">
        <v>1138</v>
      </c>
      <c r="D3010" s="115" t="s">
        <v>1139</v>
      </c>
      <c r="E3010" s="115" t="s">
        <v>1140</v>
      </c>
    </row>
    <row r="3011" spans="2:5" x14ac:dyDescent="0.25">
      <c r="B3011" s="115" t="s">
        <v>1138</v>
      </c>
      <c r="D3011" s="115" t="s">
        <v>1139</v>
      </c>
      <c r="E3011" s="115" t="s">
        <v>1140</v>
      </c>
    </row>
    <row r="3012" spans="2:5" x14ac:dyDescent="0.25">
      <c r="B3012" s="115" t="s">
        <v>1138</v>
      </c>
      <c r="D3012" s="115" t="s">
        <v>1139</v>
      </c>
      <c r="E3012" s="115" t="s">
        <v>1140</v>
      </c>
    </row>
    <row r="3013" spans="2:5" x14ac:dyDescent="0.25">
      <c r="B3013" s="115" t="s">
        <v>1138</v>
      </c>
      <c r="D3013" s="115" t="s">
        <v>1139</v>
      </c>
      <c r="E3013" s="115" t="s">
        <v>1140</v>
      </c>
    </row>
    <row r="3014" spans="2:5" x14ac:dyDescent="0.25">
      <c r="B3014" s="115" t="s">
        <v>1138</v>
      </c>
      <c r="D3014" s="115" t="s">
        <v>1139</v>
      </c>
      <c r="E3014" s="115" t="s">
        <v>1140</v>
      </c>
    </row>
    <row r="3015" spans="2:5" x14ac:dyDescent="0.25">
      <c r="B3015" s="115" t="s">
        <v>1138</v>
      </c>
      <c r="D3015" s="115" t="s">
        <v>1139</v>
      </c>
      <c r="E3015" s="115" t="s">
        <v>1140</v>
      </c>
    </row>
    <row r="3016" spans="2:5" x14ac:dyDescent="0.25">
      <c r="B3016" s="115" t="s">
        <v>1138</v>
      </c>
      <c r="D3016" s="115" t="s">
        <v>1139</v>
      </c>
      <c r="E3016" s="115" t="s">
        <v>1140</v>
      </c>
    </row>
    <row r="3017" spans="2:5" x14ac:dyDescent="0.25">
      <c r="B3017" s="115" t="s">
        <v>1138</v>
      </c>
      <c r="D3017" s="115" t="s">
        <v>1139</v>
      </c>
      <c r="E3017" s="115" t="s">
        <v>1140</v>
      </c>
    </row>
    <row r="3018" spans="2:5" x14ac:dyDescent="0.25">
      <c r="B3018" s="115" t="s">
        <v>1138</v>
      </c>
      <c r="D3018" s="115" t="s">
        <v>1139</v>
      </c>
      <c r="E3018" s="115" t="s">
        <v>1140</v>
      </c>
    </row>
    <row r="3019" spans="2:5" x14ac:dyDescent="0.25">
      <c r="B3019" s="115" t="s">
        <v>1138</v>
      </c>
      <c r="D3019" s="115" t="s">
        <v>1139</v>
      </c>
      <c r="E3019" s="115" t="s">
        <v>1140</v>
      </c>
    </row>
    <row r="3020" spans="2:5" x14ac:dyDescent="0.25">
      <c r="B3020" s="115" t="s">
        <v>1138</v>
      </c>
      <c r="D3020" s="115" t="s">
        <v>1139</v>
      </c>
      <c r="E3020" s="115" t="s">
        <v>1140</v>
      </c>
    </row>
    <row r="3021" spans="2:5" x14ac:dyDescent="0.25">
      <c r="B3021" s="115" t="s">
        <v>1138</v>
      </c>
      <c r="D3021" s="115" t="s">
        <v>1139</v>
      </c>
      <c r="E3021" s="115" t="s">
        <v>1140</v>
      </c>
    </row>
    <row r="3022" spans="2:5" x14ac:dyDescent="0.25">
      <c r="B3022" s="115" t="s">
        <v>1138</v>
      </c>
      <c r="D3022" s="115" t="s">
        <v>1139</v>
      </c>
      <c r="E3022" s="115" t="s">
        <v>1140</v>
      </c>
    </row>
    <row r="3023" spans="2:5" x14ac:dyDescent="0.25">
      <c r="B3023" s="115" t="s">
        <v>1138</v>
      </c>
      <c r="D3023" s="115" t="s">
        <v>1139</v>
      </c>
      <c r="E3023" s="115" t="s">
        <v>1140</v>
      </c>
    </row>
    <row r="3024" spans="2:5" x14ac:dyDescent="0.25">
      <c r="B3024" s="115" t="s">
        <v>1138</v>
      </c>
      <c r="D3024" s="115" t="s">
        <v>1139</v>
      </c>
      <c r="E3024" s="115" t="s">
        <v>1140</v>
      </c>
    </row>
    <row r="3025" spans="2:5" x14ac:dyDescent="0.25">
      <c r="B3025" s="115" t="s">
        <v>1138</v>
      </c>
      <c r="D3025" s="115" t="s">
        <v>1139</v>
      </c>
      <c r="E3025" s="115" t="s">
        <v>1140</v>
      </c>
    </row>
    <row r="3026" spans="2:5" x14ac:dyDescent="0.25">
      <c r="B3026" s="115" t="s">
        <v>1138</v>
      </c>
      <c r="D3026" s="115" t="s">
        <v>1139</v>
      </c>
      <c r="E3026" s="115" t="s">
        <v>1140</v>
      </c>
    </row>
    <row r="3027" spans="2:5" x14ac:dyDescent="0.25">
      <c r="B3027" s="115" t="s">
        <v>1138</v>
      </c>
      <c r="D3027" s="115" t="s">
        <v>1139</v>
      </c>
      <c r="E3027" s="115" t="s">
        <v>1140</v>
      </c>
    </row>
    <row r="3028" spans="2:5" x14ac:dyDescent="0.25">
      <c r="B3028" s="115" t="s">
        <v>1138</v>
      </c>
      <c r="D3028" s="115" t="s">
        <v>1139</v>
      </c>
      <c r="E3028" s="115" t="s">
        <v>1140</v>
      </c>
    </row>
    <row r="3029" spans="2:5" x14ac:dyDescent="0.25">
      <c r="B3029" s="115" t="s">
        <v>1138</v>
      </c>
      <c r="D3029" s="115" t="s">
        <v>1139</v>
      </c>
      <c r="E3029" s="115" t="s">
        <v>1140</v>
      </c>
    </row>
    <row r="3030" spans="2:5" x14ac:dyDescent="0.25">
      <c r="B3030" s="115" t="s">
        <v>1138</v>
      </c>
      <c r="D3030" s="115" t="s">
        <v>1139</v>
      </c>
      <c r="E3030" s="115" t="s">
        <v>1140</v>
      </c>
    </row>
    <row r="3031" spans="2:5" x14ac:dyDescent="0.25">
      <c r="B3031" s="115" t="s">
        <v>1138</v>
      </c>
      <c r="D3031" s="115" t="s">
        <v>1139</v>
      </c>
      <c r="E3031" s="115" t="s">
        <v>1140</v>
      </c>
    </row>
    <row r="3032" spans="2:5" x14ac:dyDescent="0.25">
      <c r="B3032" s="115" t="s">
        <v>1138</v>
      </c>
      <c r="D3032" s="115" t="s">
        <v>1139</v>
      </c>
      <c r="E3032" s="115" t="s">
        <v>1140</v>
      </c>
    </row>
    <row r="3033" spans="2:5" x14ac:dyDescent="0.25">
      <c r="B3033" s="115" t="s">
        <v>1138</v>
      </c>
      <c r="D3033" s="115" t="s">
        <v>1139</v>
      </c>
      <c r="E3033" s="115" t="s">
        <v>1140</v>
      </c>
    </row>
    <row r="3034" spans="2:5" x14ac:dyDescent="0.25">
      <c r="B3034" s="115" t="s">
        <v>1138</v>
      </c>
      <c r="D3034" s="115" t="s">
        <v>1139</v>
      </c>
      <c r="E3034" s="115" t="s">
        <v>1140</v>
      </c>
    </row>
    <row r="3035" spans="2:5" x14ac:dyDescent="0.25">
      <c r="B3035" s="115" t="s">
        <v>1138</v>
      </c>
      <c r="D3035" s="115" t="s">
        <v>1139</v>
      </c>
      <c r="E3035" s="115" t="s">
        <v>1140</v>
      </c>
    </row>
    <row r="3036" spans="2:5" x14ac:dyDescent="0.25">
      <c r="B3036" s="115" t="s">
        <v>1138</v>
      </c>
      <c r="D3036" s="115" t="s">
        <v>1139</v>
      </c>
      <c r="E3036" s="115" t="s">
        <v>1140</v>
      </c>
    </row>
    <row r="3037" spans="2:5" x14ac:dyDescent="0.25">
      <c r="B3037" s="115" t="s">
        <v>1138</v>
      </c>
      <c r="D3037" s="115" t="s">
        <v>1139</v>
      </c>
      <c r="E3037" s="115" t="s">
        <v>1140</v>
      </c>
    </row>
    <row r="3038" spans="2:5" x14ac:dyDescent="0.25">
      <c r="B3038" s="115" t="s">
        <v>1138</v>
      </c>
      <c r="D3038" s="115" t="s">
        <v>1139</v>
      </c>
      <c r="E3038" s="115" t="s">
        <v>1140</v>
      </c>
    </row>
    <row r="3039" spans="2:5" x14ac:dyDescent="0.25">
      <c r="B3039" s="115" t="s">
        <v>1138</v>
      </c>
      <c r="D3039" s="115" t="s">
        <v>1139</v>
      </c>
      <c r="E3039" s="115" t="s">
        <v>1140</v>
      </c>
    </row>
    <row r="3040" spans="2:5" x14ac:dyDescent="0.25">
      <c r="B3040" s="115" t="s">
        <v>1138</v>
      </c>
      <c r="D3040" s="115" t="s">
        <v>1139</v>
      </c>
      <c r="E3040" s="115" t="s">
        <v>1140</v>
      </c>
    </row>
    <row r="3041" spans="2:5" x14ac:dyDescent="0.25">
      <c r="B3041" s="115" t="s">
        <v>1138</v>
      </c>
      <c r="D3041" s="115" t="s">
        <v>1139</v>
      </c>
      <c r="E3041" s="115" t="s">
        <v>1140</v>
      </c>
    </row>
    <row r="3042" spans="2:5" x14ac:dyDescent="0.25">
      <c r="B3042" s="115" t="s">
        <v>1138</v>
      </c>
      <c r="D3042" s="115" t="s">
        <v>1139</v>
      </c>
      <c r="E3042" s="115" t="s">
        <v>1140</v>
      </c>
    </row>
    <row r="3043" spans="2:5" x14ac:dyDescent="0.25">
      <c r="B3043" s="115" t="s">
        <v>1138</v>
      </c>
      <c r="D3043" s="115" t="s">
        <v>1139</v>
      </c>
      <c r="E3043" s="115" t="s">
        <v>1140</v>
      </c>
    </row>
    <row r="3044" spans="2:5" x14ac:dyDescent="0.25">
      <c r="B3044" s="115" t="s">
        <v>1138</v>
      </c>
      <c r="D3044" s="115" t="s">
        <v>1139</v>
      </c>
      <c r="E3044" s="115" t="s">
        <v>1140</v>
      </c>
    </row>
    <row r="3045" spans="2:5" x14ac:dyDescent="0.25">
      <c r="B3045" s="115" t="s">
        <v>1138</v>
      </c>
      <c r="D3045" s="115" t="s">
        <v>1139</v>
      </c>
      <c r="E3045" s="115" t="s">
        <v>1140</v>
      </c>
    </row>
    <row r="3046" spans="2:5" x14ac:dyDescent="0.25">
      <c r="B3046" s="115" t="s">
        <v>1138</v>
      </c>
      <c r="D3046" s="115" t="s">
        <v>1139</v>
      </c>
      <c r="E3046" s="115" t="s">
        <v>1140</v>
      </c>
    </row>
    <row r="3047" spans="2:5" x14ac:dyDescent="0.25">
      <c r="B3047" s="115" t="s">
        <v>1138</v>
      </c>
      <c r="D3047" s="115" t="s">
        <v>1139</v>
      </c>
      <c r="E3047" s="115" t="s">
        <v>1140</v>
      </c>
    </row>
    <row r="3048" spans="2:5" x14ac:dyDescent="0.25">
      <c r="B3048" s="115" t="s">
        <v>1138</v>
      </c>
      <c r="D3048" s="115" t="s">
        <v>1139</v>
      </c>
      <c r="E3048" s="115" t="s">
        <v>1140</v>
      </c>
    </row>
    <row r="3049" spans="2:5" x14ac:dyDescent="0.25">
      <c r="B3049" s="115" t="s">
        <v>1138</v>
      </c>
      <c r="D3049" s="115" t="s">
        <v>1139</v>
      </c>
      <c r="E3049" s="115" t="s">
        <v>1140</v>
      </c>
    </row>
    <row r="3050" spans="2:5" x14ac:dyDescent="0.25">
      <c r="B3050" s="115" t="s">
        <v>1138</v>
      </c>
      <c r="D3050" s="115" t="s">
        <v>1139</v>
      </c>
      <c r="E3050" s="115" t="s">
        <v>1140</v>
      </c>
    </row>
    <row r="3051" spans="2:5" x14ac:dyDescent="0.25">
      <c r="B3051" s="115" t="s">
        <v>1138</v>
      </c>
      <c r="D3051" s="115" t="s">
        <v>1139</v>
      </c>
      <c r="E3051" s="115" t="s">
        <v>1140</v>
      </c>
    </row>
    <row r="3052" spans="2:5" x14ac:dyDescent="0.25">
      <c r="B3052" s="115" t="s">
        <v>1138</v>
      </c>
      <c r="D3052" s="115" t="s">
        <v>1139</v>
      </c>
      <c r="E3052" s="115" t="s">
        <v>1140</v>
      </c>
    </row>
    <row r="3053" spans="2:5" x14ac:dyDescent="0.25">
      <c r="B3053" s="115" t="s">
        <v>1138</v>
      </c>
      <c r="D3053" s="115" t="s">
        <v>1139</v>
      </c>
      <c r="E3053" s="115" t="s">
        <v>1140</v>
      </c>
    </row>
    <row r="3054" spans="2:5" x14ac:dyDescent="0.25">
      <c r="B3054" s="115" t="s">
        <v>1138</v>
      </c>
      <c r="D3054" s="115" t="s">
        <v>1139</v>
      </c>
      <c r="E3054" s="115" t="s">
        <v>1140</v>
      </c>
    </row>
    <row r="3055" spans="2:5" x14ac:dyDescent="0.25">
      <c r="B3055" s="115" t="s">
        <v>1138</v>
      </c>
      <c r="D3055" s="115" t="s">
        <v>1139</v>
      </c>
      <c r="E3055" s="115" t="s">
        <v>1140</v>
      </c>
    </row>
    <row r="3056" spans="2:5" x14ac:dyDescent="0.25">
      <c r="B3056" s="115" t="s">
        <v>1138</v>
      </c>
      <c r="D3056" s="115" t="s">
        <v>1139</v>
      </c>
      <c r="E3056" s="115" t="s">
        <v>1140</v>
      </c>
    </row>
    <row r="3057" spans="1:5" x14ac:dyDescent="0.25">
      <c r="B3057" s="115" t="s">
        <v>1138</v>
      </c>
      <c r="D3057" s="115" t="s">
        <v>1139</v>
      </c>
      <c r="E3057" s="115" t="s">
        <v>1140</v>
      </c>
    </row>
    <row r="3058" spans="1:5" x14ac:dyDescent="0.25">
      <c r="B3058" s="115" t="s">
        <v>1138</v>
      </c>
      <c r="D3058" s="115" t="s">
        <v>1139</v>
      </c>
      <c r="E3058" s="115" t="s">
        <v>1140</v>
      </c>
    </row>
    <row r="3059" spans="1:5" x14ac:dyDescent="0.25">
      <c r="B3059" s="115" t="s">
        <v>1138</v>
      </c>
      <c r="D3059" s="115" t="s">
        <v>1139</v>
      </c>
      <c r="E3059" s="115" t="s">
        <v>1140</v>
      </c>
    </row>
    <row r="3060" spans="1:5" x14ac:dyDescent="0.25">
      <c r="B3060" s="115" t="s">
        <v>1138</v>
      </c>
      <c r="D3060" s="115" t="s">
        <v>1139</v>
      </c>
      <c r="E3060" s="115" t="s">
        <v>1140</v>
      </c>
    </row>
    <row r="3061" spans="1:5" x14ac:dyDescent="0.25">
      <c r="B3061" s="115" t="s">
        <v>1138</v>
      </c>
      <c r="D3061" s="115" t="s">
        <v>1139</v>
      </c>
      <c r="E3061" s="115" t="s">
        <v>1140</v>
      </c>
    </row>
    <row r="3062" spans="1:5" x14ac:dyDescent="0.25">
      <c r="B3062" s="115" t="s">
        <v>1138</v>
      </c>
      <c r="D3062" s="115" t="s">
        <v>1139</v>
      </c>
      <c r="E3062" s="115" t="s">
        <v>1140</v>
      </c>
    </row>
    <row r="3063" spans="1:5" x14ac:dyDescent="0.25">
      <c r="B3063" s="115" t="s">
        <v>1138</v>
      </c>
      <c r="D3063" s="115" t="s">
        <v>1139</v>
      </c>
      <c r="E3063" s="115" t="s">
        <v>1140</v>
      </c>
    </row>
    <row r="3064" spans="1:5" x14ac:dyDescent="0.25">
      <c r="B3064" s="115" t="s">
        <v>1138</v>
      </c>
      <c r="D3064" s="115" t="s">
        <v>1139</v>
      </c>
      <c r="E3064" s="115" t="s">
        <v>1140</v>
      </c>
    </row>
    <row r="3065" spans="1:5" x14ac:dyDescent="0.25">
      <c r="B3065" s="115" t="s">
        <v>1138</v>
      </c>
      <c r="D3065" s="115" t="s">
        <v>1139</v>
      </c>
      <c r="E3065" s="115" t="s">
        <v>1140</v>
      </c>
    </row>
    <row r="3066" spans="1:5" x14ac:dyDescent="0.25">
      <c r="B3066" s="115" t="s">
        <v>1138</v>
      </c>
      <c r="D3066" s="115" t="s">
        <v>1139</v>
      </c>
      <c r="E3066" s="115" t="s">
        <v>4739</v>
      </c>
    </row>
    <row r="3067" spans="1:5" x14ac:dyDescent="0.25">
      <c r="A3067" s="115" t="s">
        <v>1137</v>
      </c>
      <c r="B3067" s="115" t="s">
        <v>4740</v>
      </c>
      <c r="D3067" s="115" t="s">
        <v>4741</v>
      </c>
      <c r="E3067" s="115" t="s">
        <v>4742</v>
      </c>
    </row>
    <row r="3068" spans="1:5" x14ac:dyDescent="0.25">
      <c r="B3068" s="115">
        <f>-69    -66</f>
        <v>-135</v>
      </c>
      <c r="D3068" s="115" t="s">
        <v>1139</v>
      </c>
      <c r="E3068" s="115" t="s">
        <v>1140</v>
      </c>
    </row>
    <row r="3069" spans="1:5" x14ac:dyDescent="0.25">
      <c r="B3069" s="115" t="s">
        <v>4743</v>
      </c>
      <c r="D3069" s="115" t="s">
        <v>4744</v>
      </c>
      <c r="E3069" s="115" t="s">
        <v>4745</v>
      </c>
    </row>
    <row r="3070" spans="1:5" x14ac:dyDescent="0.25">
      <c r="B3070" s="115" t="s">
        <v>1138</v>
      </c>
      <c r="D3070" s="115" t="s">
        <v>4746</v>
      </c>
      <c r="E3070" s="115" t="s">
        <v>4747</v>
      </c>
    </row>
    <row r="3071" spans="1:5" x14ac:dyDescent="0.25">
      <c r="B3071" s="115" t="s">
        <v>1138</v>
      </c>
      <c r="D3071" s="115" t="s">
        <v>4748</v>
      </c>
      <c r="E3071" s="115" t="s">
        <v>1140</v>
      </c>
    </row>
    <row r="3072" spans="1:5" x14ac:dyDescent="0.25">
      <c r="B3072" s="115" t="s">
        <v>4749</v>
      </c>
      <c r="D3072" s="115" t="s">
        <v>4750</v>
      </c>
      <c r="E3072" s="115" t="s">
        <v>4751</v>
      </c>
    </row>
    <row r="3073" spans="1:5" x14ac:dyDescent="0.25">
      <c r="A3073" s="115" t="s">
        <v>1137</v>
      </c>
      <c r="B3073" s="115" t="s">
        <v>4752</v>
      </c>
      <c r="D3073" s="115" t="s">
        <v>4753</v>
      </c>
      <c r="E3073" s="115" t="s">
        <v>4754</v>
      </c>
    </row>
    <row r="3074" spans="1:5" x14ac:dyDescent="0.25">
      <c r="B3074" s="115" t="s">
        <v>4755</v>
      </c>
      <c r="D3074" s="115" t="s">
        <v>4756</v>
      </c>
      <c r="E3074" s="115" t="s">
        <v>4757</v>
      </c>
    </row>
    <row r="3075" spans="1:5" x14ac:dyDescent="0.25">
      <c r="A3075" s="115">
        <v>1</v>
      </c>
      <c r="B3075" s="115" t="s">
        <v>4758</v>
      </c>
      <c r="D3075" s="115" t="s">
        <v>4759</v>
      </c>
      <c r="E3075" s="115" t="s">
        <v>4760</v>
      </c>
    </row>
    <row r="3076" spans="1:5" x14ac:dyDescent="0.25">
      <c r="A3076" s="115" t="s">
        <v>1137</v>
      </c>
      <c r="B3076" s="115" t="s">
        <v>4761</v>
      </c>
      <c r="D3076" s="115" t="s">
        <v>4762</v>
      </c>
      <c r="E3076" s="115" t="s">
        <v>4763</v>
      </c>
    </row>
    <row r="3077" spans="1:5" x14ac:dyDescent="0.25">
      <c r="B3077" s="115" t="s">
        <v>4764</v>
      </c>
      <c r="D3077" s="115" t="s">
        <v>4765</v>
      </c>
      <c r="E3077" s="115" t="s">
        <v>4766</v>
      </c>
    </row>
    <row r="3078" spans="1:5" x14ac:dyDescent="0.25">
      <c r="B3078" s="115" t="s">
        <v>4767</v>
      </c>
      <c r="D3078" s="115" t="s">
        <v>4768</v>
      </c>
      <c r="E3078" s="115" t="s">
        <v>4769</v>
      </c>
    </row>
    <row r="3079" spans="1:5" x14ac:dyDescent="0.25">
      <c r="B3079" s="115" t="s">
        <v>1605</v>
      </c>
      <c r="D3079" s="115" t="s">
        <v>4770</v>
      </c>
      <c r="E3079" s="115" t="s">
        <v>4771</v>
      </c>
    </row>
    <row r="3080" spans="1:5" x14ac:dyDescent="0.25">
      <c r="B3080" s="115" t="s">
        <v>4772</v>
      </c>
      <c r="D3080" s="115" t="s">
        <v>4773</v>
      </c>
      <c r="E3080" s="115" t="s">
        <v>4774</v>
      </c>
    </row>
    <row r="3081" spans="1:5" x14ac:dyDescent="0.25">
      <c r="B3081" s="115" t="s">
        <v>4775</v>
      </c>
      <c r="D3081" s="115" t="s">
        <v>4776</v>
      </c>
      <c r="E3081" s="115" t="s">
        <v>4777</v>
      </c>
    </row>
    <row r="3082" spans="1:5" x14ac:dyDescent="0.25">
      <c r="A3082" s="115" t="s">
        <v>1137</v>
      </c>
      <c r="B3082" s="115" t="s">
        <v>4778</v>
      </c>
      <c r="D3082" s="115" t="s">
        <v>4779</v>
      </c>
      <c r="E3082" s="115" t="s">
        <v>4780</v>
      </c>
    </row>
    <row r="3083" spans="1:5" x14ac:dyDescent="0.25">
      <c r="B3083" s="115" t="s">
        <v>1678</v>
      </c>
      <c r="D3083" s="115" t="s">
        <v>1139</v>
      </c>
      <c r="E3083" s="115" t="s">
        <v>4781</v>
      </c>
    </row>
    <row r="3084" spans="1:5" x14ac:dyDescent="0.25">
      <c r="B3084" s="115" t="s">
        <v>4782</v>
      </c>
      <c r="D3084" s="115" t="s">
        <v>4783</v>
      </c>
      <c r="E3084" s="115" t="s">
        <v>4784</v>
      </c>
    </row>
    <row r="3085" spans="1:5" x14ac:dyDescent="0.25">
      <c r="A3085" s="115">
        <v>-1</v>
      </c>
      <c r="B3085" s="115" t="s">
        <v>4785</v>
      </c>
      <c r="C3085" s="115" t="s">
        <v>1137</v>
      </c>
      <c r="D3085" s="115" t="s">
        <v>4786</v>
      </c>
      <c r="E3085" s="115" t="s">
        <v>4787</v>
      </c>
    </row>
    <row r="3086" spans="1:5" x14ac:dyDescent="0.25">
      <c r="B3086" s="115" t="s">
        <v>4788</v>
      </c>
      <c r="D3086" s="115" t="s">
        <v>4789</v>
      </c>
      <c r="E3086" s="115" t="s">
        <v>4790</v>
      </c>
    </row>
    <row r="3087" spans="1:5" x14ac:dyDescent="0.25">
      <c r="A3087" s="115">
        <v>2</v>
      </c>
      <c r="B3087" s="115" t="s">
        <v>4791</v>
      </c>
      <c r="D3087" s="115" t="s">
        <v>4792</v>
      </c>
      <c r="E3087" s="115" t="s">
        <v>4793</v>
      </c>
    </row>
    <row r="3088" spans="1:5" x14ac:dyDescent="0.25">
      <c r="B3088" s="115" t="s">
        <v>1138</v>
      </c>
      <c r="D3088" s="115" t="s">
        <v>4794</v>
      </c>
      <c r="E3088" s="115" t="s">
        <v>4795</v>
      </c>
    </row>
    <row r="3089" spans="1:5" x14ac:dyDescent="0.25">
      <c r="B3089" s="115" t="s">
        <v>1138</v>
      </c>
      <c r="D3089" s="115" t="s">
        <v>4796</v>
      </c>
      <c r="E3089" s="115" t="s">
        <v>2081</v>
      </c>
    </row>
    <row r="3090" spans="1:5" x14ac:dyDescent="0.25">
      <c r="B3090" s="115" t="s">
        <v>4797</v>
      </c>
      <c r="C3090" s="115" t="s">
        <v>1137</v>
      </c>
      <c r="D3090" s="115" t="s">
        <v>4798</v>
      </c>
      <c r="E3090" s="115" t="s">
        <v>4799</v>
      </c>
    </row>
    <row r="3091" spans="1:5" x14ac:dyDescent="0.25">
      <c r="B3091" s="115" t="s">
        <v>1138</v>
      </c>
      <c r="D3091" s="115" t="s">
        <v>4800</v>
      </c>
      <c r="E3091" s="115" t="s">
        <v>1140</v>
      </c>
    </row>
    <row r="3092" spans="1:5" x14ac:dyDescent="0.25">
      <c r="B3092" s="115" t="s">
        <v>1138</v>
      </c>
      <c r="D3092" s="115" t="s">
        <v>4801</v>
      </c>
      <c r="E3092" s="115" t="s">
        <v>4802</v>
      </c>
    </row>
    <row r="3093" spans="1:5" x14ac:dyDescent="0.25">
      <c r="A3093" s="115">
        <v>-1</v>
      </c>
      <c r="B3093" s="115" t="s">
        <v>4803</v>
      </c>
      <c r="D3093" s="115" t="s">
        <v>1682</v>
      </c>
      <c r="E3093" s="115" t="s">
        <v>4804</v>
      </c>
    </row>
    <row r="3094" spans="1:5" x14ac:dyDescent="0.25">
      <c r="A3094" s="115">
        <v>1</v>
      </c>
      <c r="B3094" s="115" t="s">
        <v>1572</v>
      </c>
      <c r="D3094" s="115" t="s">
        <v>1139</v>
      </c>
      <c r="E3094" s="115" t="s">
        <v>4805</v>
      </c>
    </row>
    <row r="3095" spans="1:5" x14ac:dyDescent="0.25">
      <c r="B3095" s="115" t="s">
        <v>1138</v>
      </c>
      <c r="D3095" s="115" t="s">
        <v>4806</v>
      </c>
      <c r="E3095" s="115" t="s">
        <v>4807</v>
      </c>
    </row>
    <row r="3096" spans="1:5" x14ac:dyDescent="0.25">
      <c r="B3096" s="115" t="s">
        <v>1138</v>
      </c>
      <c r="C3096" s="115">
        <v>1</v>
      </c>
      <c r="D3096" s="115" t="s">
        <v>4808</v>
      </c>
      <c r="E3096" s="115" t="s">
        <v>4809</v>
      </c>
    </row>
    <row r="3097" spans="1:5" x14ac:dyDescent="0.25">
      <c r="A3097" s="115">
        <v>1</v>
      </c>
      <c r="B3097" s="115" t="s">
        <v>4810</v>
      </c>
      <c r="D3097" s="115" t="s">
        <v>4811</v>
      </c>
      <c r="E3097" s="115" t="s">
        <v>4812</v>
      </c>
    </row>
    <row r="3098" spans="1:5" x14ac:dyDescent="0.25">
      <c r="B3098" s="115" t="s">
        <v>4813</v>
      </c>
      <c r="C3098" s="115" t="s">
        <v>1137</v>
      </c>
      <c r="D3098" s="115" t="s">
        <v>4814</v>
      </c>
      <c r="E3098" s="115" t="s">
        <v>4815</v>
      </c>
    </row>
    <row r="3099" spans="1:5" x14ac:dyDescent="0.25">
      <c r="A3099" s="115">
        <v>-2</v>
      </c>
      <c r="B3099" s="115" t="s">
        <v>4816</v>
      </c>
      <c r="D3099" s="115" t="s">
        <v>4817</v>
      </c>
      <c r="E3099" s="115" t="s">
        <v>4818</v>
      </c>
    </row>
    <row r="3100" spans="1:5" x14ac:dyDescent="0.25">
      <c r="A3100" s="115" t="s">
        <v>1137</v>
      </c>
      <c r="B3100" s="115" t="s">
        <v>4819</v>
      </c>
      <c r="D3100" s="115" t="s">
        <v>4820</v>
      </c>
      <c r="E3100" s="115" t="s">
        <v>4821</v>
      </c>
    </row>
    <row r="3101" spans="1:5" x14ac:dyDescent="0.25">
      <c r="B3101" s="115" t="s">
        <v>4427</v>
      </c>
      <c r="D3101" s="115" t="s">
        <v>4822</v>
      </c>
      <c r="E3101" s="115" t="s">
        <v>4823</v>
      </c>
    </row>
    <row r="3102" spans="1:5" x14ac:dyDescent="0.25">
      <c r="A3102" s="115">
        <v>-1</v>
      </c>
      <c r="B3102" s="115" t="s">
        <v>4824</v>
      </c>
      <c r="D3102" s="115" t="s">
        <v>4825</v>
      </c>
      <c r="E3102" s="115" t="s">
        <v>4826</v>
      </c>
    </row>
    <row r="3103" spans="1:5" x14ac:dyDescent="0.25">
      <c r="B3103" s="115" t="s">
        <v>1138</v>
      </c>
      <c r="D3103" s="115" t="s">
        <v>4827</v>
      </c>
      <c r="E3103" s="115" t="s">
        <v>4828</v>
      </c>
    </row>
    <row r="3104" spans="1:5" x14ac:dyDescent="0.25">
      <c r="B3104" s="115" t="s">
        <v>1480</v>
      </c>
      <c r="D3104" s="115" t="s">
        <v>4829</v>
      </c>
      <c r="E3104" s="115" t="s">
        <v>4830</v>
      </c>
    </row>
    <row r="3105" spans="1:5" x14ac:dyDescent="0.25">
      <c r="A3105" s="115">
        <v>-3</v>
      </c>
      <c r="B3105" s="115" t="s">
        <v>4831</v>
      </c>
      <c r="D3105" s="115" t="s">
        <v>4832</v>
      </c>
      <c r="E3105" s="115" t="s">
        <v>4833</v>
      </c>
    </row>
    <row r="3106" spans="1:5" x14ac:dyDescent="0.25">
      <c r="B3106" s="115" t="s">
        <v>4834</v>
      </c>
      <c r="D3106" s="115" t="s">
        <v>4835</v>
      </c>
      <c r="E3106" s="115" t="s">
        <v>1140</v>
      </c>
    </row>
    <row r="3107" spans="1:5" x14ac:dyDescent="0.25">
      <c r="B3107" s="115" t="s">
        <v>3745</v>
      </c>
      <c r="D3107" s="115" t="s">
        <v>4836</v>
      </c>
      <c r="E3107" s="115" t="s">
        <v>1140</v>
      </c>
    </row>
    <row r="3108" spans="1:5" x14ac:dyDescent="0.25">
      <c r="B3108" s="115" t="s">
        <v>4837</v>
      </c>
      <c r="D3108" s="115" t="s">
        <v>4838</v>
      </c>
      <c r="E3108" s="115" t="s">
        <v>4839</v>
      </c>
    </row>
    <row r="3109" spans="1:5" x14ac:dyDescent="0.25">
      <c r="B3109" s="115" t="s">
        <v>4840</v>
      </c>
      <c r="D3109" s="115" t="s">
        <v>4841</v>
      </c>
      <c r="E3109" s="115" t="s">
        <v>4842</v>
      </c>
    </row>
    <row r="3110" spans="1:5" x14ac:dyDescent="0.25">
      <c r="B3110" s="115" t="s">
        <v>4843</v>
      </c>
      <c r="C3110" s="115" t="s">
        <v>1137</v>
      </c>
      <c r="D3110" s="115" t="s">
        <v>4844</v>
      </c>
      <c r="E3110" s="115" t="s">
        <v>4845</v>
      </c>
    </row>
    <row r="3111" spans="1:5" x14ac:dyDescent="0.25">
      <c r="B3111" s="115" t="s">
        <v>1138</v>
      </c>
      <c r="D3111" s="115" t="s">
        <v>1139</v>
      </c>
      <c r="E3111" s="115" t="s">
        <v>4846</v>
      </c>
    </row>
    <row r="3112" spans="1:5" x14ac:dyDescent="0.25">
      <c r="A3112" s="115" t="s">
        <v>1137</v>
      </c>
      <c r="B3112" s="115" t="s">
        <v>4847</v>
      </c>
      <c r="C3112" s="115" t="s">
        <v>1137</v>
      </c>
      <c r="D3112" s="115" t="s">
        <v>4848</v>
      </c>
      <c r="E3112" s="115" t="s">
        <v>4849</v>
      </c>
    </row>
    <row r="3113" spans="1:5" x14ac:dyDescent="0.25">
      <c r="B3113" s="115" t="s">
        <v>1138</v>
      </c>
      <c r="D3113" s="115" t="s">
        <v>4850</v>
      </c>
      <c r="E3113" s="115" t="s">
        <v>1140</v>
      </c>
    </row>
    <row r="3114" spans="1:5" x14ac:dyDescent="0.25">
      <c r="B3114" s="115" t="s">
        <v>1138</v>
      </c>
      <c r="D3114" s="115" t="s">
        <v>1139</v>
      </c>
      <c r="E3114" s="115" t="s">
        <v>1140</v>
      </c>
    </row>
    <row r="3115" spans="1:5" x14ac:dyDescent="0.25">
      <c r="B3115" s="115" t="s">
        <v>1138</v>
      </c>
      <c r="D3115" s="115" t="s">
        <v>1139</v>
      </c>
      <c r="E3115" s="115" t="s">
        <v>1140</v>
      </c>
    </row>
    <row r="3116" spans="1:5" x14ac:dyDescent="0.25">
      <c r="B3116" s="115" t="s">
        <v>1138</v>
      </c>
      <c r="D3116" s="115" t="s">
        <v>1139</v>
      </c>
      <c r="E3116" s="115" t="s">
        <v>1140</v>
      </c>
    </row>
    <row r="3117" spans="1:5" x14ac:dyDescent="0.25">
      <c r="B3117" s="115" t="s">
        <v>1138</v>
      </c>
      <c r="D3117" s="115" t="s">
        <v>1139</v>
      </c>
      <c r="E3117" s="115" t="s">
        <v>1140</v>
      </c>
    </row>
    <row r="3118" spans="1:5" x14ac:dyDescent="0.25">
      <c r="B3118" s="115" t="s">
        <v>1138</v>
      </c>
      <c r="D3118" s="115" t="s">
        <v>1139</v>
      </c>
      <c r="E3118" s="115" t="s">
        <v>1140</v>
      </c>
    </row>
    <row r="3119" spans="1:5" x14ac:dyDescent="0.25">
      <c r="B3119" s="115" t="s">
        <v>1138</v>
      </c>
      <c r="D3119" s="115" t="s">
        <v>1139</v>
      </c>
      <c r="E3119" s="115" t="s">
        <v>1140</v>
      </c>
    </row>
    <row r="3120" spans="1:5" x14ac:dyDescent="0.25">
      <c r="B3120" s="115" t="s">
        <v>1138</v>
      </c>
      <c r="D3120" s="115" t="s">
        <v>1139</v>
      </c>
      <c r="E3120" s="115" t="s">
        <v>1140</v>
      </c>
    </row>
    <row r="3121" spans="2:5" x14ac:dyDescent="0.25">
      <c r="B3121" s="115" t="s">
        <v>1138</v>
      </c>
      <c r="D3121" s="115" t="s">
        <v>1139</v>
      </c>
      <c r="E3121" s="115" t="s">
        <v>1140</v>
      </c>
    </row>
    <row r="3122" spans="2:5" x14ac:dyDescent="0.25">
      <c r="B3122" s="115" t="s">
        <v>1138</v>
      </c>
      <c r="D3122" s="115" t="s">
        <v>1139</v>
      </c>
      <c r="E3122" s="115" t="s">
        <v>1140</v>
      </c>
    </row>
    <row r="3123" spans="2:5" x14ac:dyDescent="0.25">
      <c r="B3123" s="115" t="s">
        <v>1138</v>
      </c>
      <c r="D3123" s="115" t="s">
        <v>1139</v>
      </c>
      <c r="E3123" s="115" t="s">
        <v>1140</v>
      </c>
    </row>
    <row r="3124" spans="2:5" x14ac:dyDescent="0.25">
      <c r="B3124" s="115" t="s">
        <v>1138</v>
      </c>
      <c r="D3124" s="115" t="s">
        <v>1139</v>
      </c>
      <c r="E3124" s="115" t="s">
        <v>1140</v>
      </c>
    </row>
    <row r="3125" spans="2:5" x14ac:dyDescent="0.25">
      <c r="B3125" s="115" t="s">
        <v>1138</v>
      </c>
      <c r="D3125" s="115" t="s">
        <v>1139</v>
      </c>
      <c r="E3125" s="115" t="s">
        <v>1140</v>
      </c>
    </row>
    <row r="3126" spans="2:5" x14ac:dyDescent="0.25">
      <c r="B3126" s="115" t="s">
        <v>1138</v>
      </c>
      <c r="D3126" s="115" t="s">
        <v>1139</v>
      </c>
      <c r="E3126" s="115" t="s">
        <v>1140</v>
      </c>
    </row>
    <row r="3127" spans="2:5" x14ac:dyDescent="0.25">
      <c r="B3127" s="115" t="s">
        <v>1138</v>
      </c>
      <c r="D3127" s="115" t="s">
        <v>1139</v>
      </c>
      <c r="E3127" s="115" t="s">
        <v>1140</v>
      </c>
    </row>
    <row r="3128" spans="2:5" x14ac:dyDescent="0.25">
      <c r="B3128" s="115" t="s">
        <v>1138</v>
      </c>
      <c r="D3128" s="115" t="s">
        <v>1139</v>
      </c>
      <c r="E3128" s="115" t="s">
        <v>1140</v>
      </c>
    </row>
    <row r="3129" spans="2:5" x14ac:dyDescent="0.25">
      <c r="B3129" s="115" t="s">
        <v>1138</v>
      </c>
      <c r="D3129" s="115" t="s">
        <v>1139</v>
      </c>
      <c r="E3129" s="115" t="s">
        <v>1140</v>
      </c>
    </row>
    <row r="3130" spans="2:5" x14ac:dyDescent="0.25">
      <c r="B3130" s="115" t="s">
        <v>1138</v>
      </c>
      <c r="D3130" s="115" t="s">
        <v>1139</v>
      </c>
      <c r="E3130" s="115" t="s">
        <v>1140</v>
      </c>
    </row>
    <row r="3131" spans="2:5" x14ac:dyDescent="0.25">
      <c r="B3131" s="115" t="s">
        <v>1138</v>
      </c>
      <c r="D3131" s="115" t="s">
        <v>1139</v>
      </c>
      <c r="E3131" s="115" t="s">
        <v>1140</v>
      </c>
    </row>
    <row r="3132" spans="2:5" x14ac:dyDescent="0.25">
      <c r="B3132" s="115" t="s">
        <v>1138</v>
      </c>
      <c r="D3132" s="115" t="s">
        <v>1139</v>
      </c>
      <c r="E3132" s="115" t="s">
        <v>1140</v>
      </c>
    </row>
    <row r="3133" spans="2:5" x14ac:dyDescent="0.25">
      <c r="B3133" s="115" t="s">
        <v>1138</v>
      </c>
      <c r="D3133" s="115" t="s">
        <v>1139</v>
      </c>
      <c r="E3133" s="115" t="s">
        <v>1140</v>
      </c>
    </row>
    <row r="3134" spans="2:5" x14ac:dyDescent="0.25">
      <c r="B3134" s="115" t="s">
        <v>1138</v>
      </c>
      <c r="D3134" s="115" t="s">
        <v>1139</v>
      </c>
      <c r="E3134" s="115" t="s">
        <v>1140</v>
      </c>
    </row>
    <row r="3135" spans="2:5" x14ac:dyDescent="0.25">
      <c r="B3135" s="115" t="s">
        <v>1138</v>
      </c>
      <c r="D3135" s="115" t="s">
        <v>1139</v>
      </c>
      <c r="E3135" s="115" t="s">
        <v>1140</v>
      </c>
    </row>
    <row r="3136" spans="2:5" x14ac:dyDescent="0.25">
      <c r="B3136" s="115" t="s">
        <v>1138</v>
      </c>
      <c r="D3136" s="115" t="s">
        <v>1139</v>
      </c>
      <c r="E3136" s="115" t="s">
        <v>1140</v>
      </c>
    </row>
    <row r="3137" spans="2:5" x14ac:dyDescent="0.25">
      <c r="B3137" s="115" t="s">
        <v>1138</v>
      </c>
      <c r="D3137" s="115" t="s">
        <v>1139</v>
      </c>
      <c r="E3137" s="115" t="s">
        <v>1140</v>
      </c>
    </row>
    <row r="3138" spans="2:5" x14ac:dyDescent="0.25">
      <c r="B3138" s="115" t="s">
        <v>1138</v>
      </c>
      <c r="D3138" s="115" t="s">
        <v>1139</v>
      </c>
      <c r="E3138" s="115" t="s">
        <v>1140</v>
      </c>
    </row>
    <row r="3139" spans="2:5" x14ac:dyDescent="0.25">
      <c r="B3139" s="115" t="s">
        <v>1138</v>
      </c>
      <c r="D3139" s="115" t="s">
        <v>1139</v>
      </c>
      <c r="E3139" s="115" t="s">
        <v>1140</v>
      </c>
    </row>
    <row r="3140" spans="2:5" x14ac:dyDescent="0.25">
      <c r="B3140" s="115" t="s">
        <v>1138</v>
      </c>
      <c r="D3140" s="115" t="s">
        <v>1139</v>
      </c>
      <c r="E3140" s="115" t="s">
        <v>1140</v>
      </c>
    </row>
    <row r="3141" spans="2:5" x14ac:dyDescent="0.25">
      <c r="B3141" s="115" t="s">
        <v>1138</v>
      </c>
      <c r="D3141" s="115" t="s">
        <v>1139</v>
      </c>
      <c r="E3141" s="115" t="s">
        <v>1140</v>
      </c>
    </row>
    <row r="3142" spans="2:5" x14ac:dyDescent="0.25">
      <c r="B3142" s="115" t="s">
        <v>1138</v>
      </c>
      <c r="D3142" s="115" t="s">
        <v>1139</v>
      </c>
      <c r="E3142" s="115" t="s">
        <v>1140</v>
      </c>
    </row>
    <row r="3143" spans="2:5" x14ac:dyDescent="0.25">
      <c r="B3143" s="115" t="s">
        <v>1138</v>
      </c>
      <c r="D3143" s="115" t="s">
        <v>1139</v>
      </c>
      <c r="E3143" s="115" t="s">
        <v>1140</v>
      </c>
    </row>
    <row r="3144" spans="2:5" x14ac:dyDescent="0.25">
      <c r="B3144" s="115" t="s">
        <v>1138</v>
      </c>
      <c r="D3144" s="115" t="s">
        <v>1139</v>
      </c>
      <c r="E3144" s="115" t="s">
        <v>1140</v>
      </c>
    </row>
    <row r="3145" spans="2:5" x14ac:dyDescent="0.25">
      <c r="B3145" s="115" t="s">
        <v>1138</v>
      </c>
      <c r="D3145" s="115" t="s">
        <v>1139</v>
      </c>
      <c r="E3145" s="115" t="s">
        <v>1140</v>
      </c>
    </row>
    <row r="3146" spans="2:5" x14ac:dyDescent="0.25">
      <c r="B3146" s="115" t="s">
        <v>1138</v>
      </c>
      <c r="D3146" s="115" t="s">
        <v>1139</v>
      </c>
      <c r="E3146" s="115" t="s">
        <v>1140</v>
      </c>
    </row>
    <row r="3147" spans="2:5" x14ac:dyDescent="0.25">
      <c r="B3147" s="115" t="s">
        <v>1138</v>
      </c>
      <c r="D3147" s="115" t="s">
        <v>1139</v>
      </c>
      <c r="E3147" s="115" t="s">
        <v>1140</v>
      </c>
    </row>
    <row r="3148" spans="2:5" x14ac:dyDescent="0.25">
      <c r="B3148" s="115" t="s">
        <v>1138</v>
      </c>
      <c r="D3148" s="115" t="s">
        <v>1139</v>
      </c>
      <c r="E3148" s="115" t="s">
        <v>1140</v>
      </c>
    </row>
    <row r="3149" spans="2:5" x14ac:dyDescent="0.25">
      <c r="B3149" s="115" t="s">
        <v>1138</v>
      </c>
      <c r="D3149" s="115" t="s">
        <v>1139</v>
      </c>
      <c r="E3149" s="115" t="s">
        <v>1140</v>
      </c>
    </row>
    <row r="3150" spans="2:5" x14ac:dyDescent="0.25">
      <c r="B3150" s="115" t="s">
        <v>1138</v>
      </c>
      <c r="D3150" s="115" t="s">
        <v>1139</v>
      </c>
      <c r="E3150" s="115" t="s">
        <v>1140</v>
      </c>
    </row>
    <row r="3151" spans="2:5" x14ac:dyDescent="0.25">
      <c r="B3151" s="115" t="s">
        <v>1138</v>
      </c>
      <c r="D3151" s="115" t="s">
        <v>1139</v>
      </c>
      <c r="E3151" s="115" t="s">
        <v>1140</v>
      </c>
    </row>
    <row r="3152" spans="2:5" x14ac:dyDescent="0.25">
      <c r="B3152" s="115" t="s">
        <v>1138</v>
      </c>
      <c r="D3152" s="115" t="s">
        <v>1139</v>
      </c>
      <c r="E3152" s="115" t="s">
        <v>1140</v>
      </c>
    </row>
    <row r="3153" spans="2:5" x14ac:dyDescent="0.25">
      <c r="B3153" s="115" t="s">
        <v>1138</v>
      </c>
      <c r="D3153" s="115" t="s">
        <v>1139</v>
      </c>
      <c r="E3153" s="115" t="s">
        <v>1140</v>
      </c>
    </row>
    <row r="3154" spans="2:5" x14ac:dyDescent="0.25">
      <c r="B3154" s="115" t="s">
        <v>1138</v>
      </c>
      <c r="D3154" s="115" t="s">
        <v>1139</v>
      </c>
      <c r="E3154" s="115" t="s">
        <v>1140</v>
      </c>
    </row>
    <row r="3155" spans="2:5" x14ac:dyDescent="0.25">
      <c r="B3155" s="115" t="s">
        <v>1138</v>
      </c>
      <c r="D3155" s="115" t="s">
        <v>1139</v>
      </c>
      <c r="E3155" s="115" t="s">
        <v>1140</v>
      </c>
    </row>
    <row r="3156" spans="2:5" x14ac:dyDescent="0.25">
      <c r="B3156" s="115" t="s">
        <v>1138</v>
      </c>
      <c r="D3156" s="115" t="s">
        <v>1139</v>
      </c>
      <c r="E3156" s="115" t="s">
        <v>1140</v>
      </c>
    </row>
    <row r="3157" spans="2:5" x14ac:dyDescent="0.25">
      <c r="B3157" s="115" t="s">
        <v>1138</v>
      </c>
      <c r="D3157" s="115" t="s">
        <v>1139</v>
      </c>
      <c r="E3157" s="115" t="s">
        <v>1140</v>
      </c>
    </row>
    <row r="3158" spans="2:5" x14ac:dyDescent="0.25">
      <c r="B3158" s="115" t="s">
        <v>1138</v>
      </c>
      <c r="D3158" s="115" t="s">
        <v>1139</v>
      </c>
      <c r="E3158" s="115" t="s">
        <v>1140</v>
      </c>
    </row>
    <row r="3159" spans="2:5" x14ac:dyDescent="0.25">
      <c r="B3159" s="115" t="s">
        <v>1138</v>
      </c>
      <c r="D3159" s="115" t="s">
        <v>1139</v>
      </c>
      <c r="E3159" s="115" t="s">
        <v>1140</v>
      </c>
    </row>
    <row r="3160" spans="2:5" x14ac:dyDescent="0.25">
      <c r="B3160" s="115" t="s">
        <v>1138</v>
      </c>
      <c r="D3160" s="115" t="s">
        <v>1139</v>
      </c>
      <c r="E3160" s="115" t="s">
        <v>1140</v>
      </c>
    </row>
    <row r="3161" spans="2:5" x14ac:dyDescent="0.25">
      <c r="B3161" s="115" t="s">
        <v>1138</v>
      </c>
      <c r="D3161" s="115" t="s">
        <v>1139</v>
      </c>
      <c r="E3161" s="115" t="s">
        <v>1140</v>
      </c>
    </row>
    <row r="3162" spans="2:5" x14ac:dyDescent="0.25">
      <c r="B3162" s="115" t="s">
        <v>1138</v>
      </c>
      <c r="D3162" s="115" t="s">
        <v>1139</v>
      </c>
      <c r="E3162" s="115" t="s">
        <v>1140</v>
      </c>
    </row>
    <row r="3163" spans="2:5" x14ac:dyDescent="0.25">
      <c r="B3163" s="115" t="s">
        <v>1138</v>
      </c>
      <c r="D3163" s="115" t="s">
        <v>1139</v>
      </c>
      <c r="E3163" s="115" t="s">
        <v>1140</v>
      </c>
    </row>
    <row r="3164" spans="2:5" x14ac:dyDescent="0.25">
      <c r="B3164" s="115" t="s">
        <v>1138</v>
      </c>
      <c r="D3164" s="115" t="s">
        <v>1139</v>
      </c>
      <c r="E3164" s="115" t="s">
        <v>1140</v>
      </c>
    </row>
    <row r="3165" spans="2:5" x14ac:dyDescent="0.25">
      <c r="B3165" s="115" t="s">
        <v>1138</v>
      </c>
      <c r="D3165" s="115" t="s">
        <v>1139</v>
      </c>
      <c r="E3165" s="115" t="s">
        <v>1140</v>
      </c>
    </row>
    <row r="3166" spans="2:5" x14ac:dyDescent="0.25">
      <c r="B3166" s="115" t="s">
        <v>1138</v>
      </c>
      <c r="D3166" s="115" t="s">
        <v>1139</v>
      </c>
      <c r="E3166" s="115" t="s">
        <v>1140</v>
      </c>
    </row>
    <row r="3167" spans="2:5" x14ac:dyDescent="0.25">
      <c r="B3167" s="115" t="s">
        <v>1138</v>
      </c>
      <c r="D3167" s="115" t="s">
        <v>1139</v>
      </c>
      <c r="E3167" s="115" t="s">
        <v>1140</v>
      </c>
    </row>
    <row r="3168" spans="2:5" x14ac:dyDescent="0.25">
      <c r="B3168" s="115" t="s">
        <v>1138</v>
      </c>
      <c r="D3168" s="115" t="s">
        <v>1139</v>
      </c>
      <c r="E3168" s="115" t="s">
        <v>1140</v>
      </c>
    </row>
    <row r="3169" spans="2:5" x14ac:dyDescent="0.25">
      <c r="B3169" s="115" t="s">
        <v>1138</v>
      </c>
      <c r="D3169" s="115" t="s">
        <v>1139</v>
      </c>
      <c r="E3169" s="115" t="s">
        <v>1140</v>
      </c>
    </row>
    <row r="3170" spans="2:5" x14ac:dyDescent="0.25">
      <c r="B3170" s="115" t="s">
        <v>1138</v>
      </c>
      <c r="D3170" s="115" t="s">
        <v>1139</v>
      </c>
      <c r="E3170" s="115" t="s">
        <v>1140</v>
      </c>
    </row>
    <row r="3171" spans="2:5" x14ac:dyDescent="0.25">
      <c r="B3171" s="115" t="s">
        <v>1138</v>
      </c>
      <c r="D3171" s="115" t="s">
        <v>1139</v>
      </c>
      <c r="E3171" s="115" t="s">
        <v>1140</v>
      </c>
    </row>
    <row r="3172" spans="2:5" x14ac:dyDescent="0.25">
      <c r="B3172" s="115" t="s">
        <v>1138</v>
      </c>
      <c r="D3172" s="115" t="s">
        <v>1139</v>
      </c>
      <c r="E3172" s="115" t="s">
        <v>1140</v>
      </c>
    </row>
    <row r="3173" spans="2:5" x14ac:dyDescent="0.25">
      <c r="B3173" s="115" t="s">
        <v>1138</v>
      </c>
      <c r="D3173" s="115" t="s">
        <v>1139</v>
      </c>
      <c r="E3173" s="115" t="s">
        <v>1140</v>
      </c>
    </row>
    <row r="3174" spans="2:5" x14ac:dyDescent="0.25">
      <c r="B3174" s="115" t="s">
        <v>1138</v>
      </c>
      <c r="D3174" s="115" t="s">
        <v>1139</v>
      </c>
      <c r="E3174" s="115" t="s">
        <v>1140</v>
      </c>
    </row>
    <row r="3175" spans="2:5" x14ac:dyDescent="0.25">
      <c r="B3175" s="115" t="s">
        <v>1138</v>
      </c>
      <c r="D3175" s="115" t="s">
        <v>1139</v>
      </c>
      <c r="E3175" s="115" t="s">
        <v>1140</v>
      </c>
    </row>
    <row r="3176" spans="2:5" x14ac:dyDescent="0.25">
      <c r="B3176" s="115" t="s">
        <v>1138</v>
      </c>
      <c r="D3176" s="115" t="s">
        <v>1139</v>
      </c>
      <c r="E3176" s="115" t="s">
        <v>1140</v>
      </c>
    </row>
    <row r="3177" spans="2:5" x14ac:dyDescent="0.25">
      <c r="B3177" s="115" t="s">
        <v>1138</v>
      </c>
      <c r="D3177" s="115" t="s">
        <v>1139</v>
      </c>
      <c r="E3177" s="115" t="s">
        <v>1140</v>
      </c>
    </row>
    <row r="3178" spans="2:5" x14ac:dyDescent="0.25">
      <c r="B3178" s="115" t="s">
        <v>1138</v>
      </c>
      <c r="D3178" s="115" t="s">
        <v>1139</v>
      </c>
      <c r="E3178" s="115" t="s">
        <v>1140</v>
      </c>
    </row>
    <row r="3179" spans="2:5" x14ac:dyDescent="0.25">
      <c r="B3179" s="115" t="s">
        <v>1138</v>
      </c>
      <c r="D3179" s="115" t="s">
        <v>1139</v>
      </c>
      <c r="E3179" s="115" t="s">
        <v>1140</v>
      </c>
    </row>
    <row r="3180" spans="2:5" x14ac:dyDescent="0.25">
      <c r="B3180" s="115" t="s">
        <v>1138</v>
      </c>
      <c r="D3180" s="115" t="s">
        <v>1139</v>
      </c>
      <c r="E3180" s="115" t="s">
        <v>1140</v>
      </c>
    </row>
    <row r="3181" spans="2:5" x14ac:dyDescent="0.25">
      <c r="B3181" s="115" t="s">
        <v>1138</v>
      </c>
      <c r="D3181" s="115" t="s">
        <v>1139</v>
      </c>
      <c r="E3181" s="115" t="s">
        <v>1140</v>
      </c>
    </row>
    <row r="3182" spans="2:5" x14ac:dyDescent="0.25">
      <c r="B3182" s="115" t="s">
        <v>1138</v>
      </c>
      <c r="D3182" s="115" t="s">
        <v>1139</v>
      </c>
      <c r="E3182" s="115" t="s">
        <v>1140</v>
      </c>
    </row>
    <row r="3183" spans="2:5" x14ac:dyDescent="0.25">
      <c r="B3183" s="115" t="s">
        <v>1138</v>
      </c>
      <c r="D3183" s="115" t="s">
        <v>1139</v>
      </c>
      <c r="E3183" s="115" t="s">
        <v>1140</v>
      </c>
    </row>
    <row r="3184" spans="2:5" x14ac:dyDescent="0.25">
      <c r="B3184" s="115" t="s">
        <v>1138</v>
      </c>
      <c r="D3184" s="115" t="s">
        <v>1139</v>
      </c>
      <c r="E3184" s="115" t="s">
        <v>1140</v>
      </c>
    </row>
    <row r="3185" spans="2:5" x14ac:dyDescent="0.25">
      <c r="B3185" s="115" t="s">
        <v>1138</v>
      </c>
      <c r="D3185" s="115" t="s">
        <v>1139</v>
      </c>
      <c r="E3185" s="115" t="s">
        <v>1140</v>
      </c>
    </row>
    <row r="3186" spans="2:5" x14ac:dyDescent="0.25">
      <c r="B3186" s="115" t="s">
        <v>1138</v>
      </c>
      <c r="D3186" s="115" t="s">
        <v>1139</v>
      </c>
      <c r="E3186" s="115" t="s">
        <v>1140</v>
      </c>
    </row>
    <row r="3187" spans="2:5" x14ac:dyDescent="0.25">
      <c r="B3187" s="115" t="s">
        <v>1138</v>
      </c>
      <c r="D3187" s="115" t="s">
        <v>1139</v>
      </c>
      <c r="E3187" s="115" t="s">
        <v>1140</v>
      </c>
    </row>
    <row r="3188" spans="2:5" x14ac:dyDescent="0.25">
      <c r="B3188" s="115" t="s">
        <v>1138</v>
      </c>
      <c r="D3188" s="115" t="s">
        <v>1139</v>
      </c>
      <c r="E3188" s="115" t="s">
        <v>1140</v>
      </c>
    </row>
    <row r="3189" spans="2:5" x14ac:dyDescent="0.25">
      <c r="B3189" s="115" t="s">
        <v>1138</v>
      </c>
      <c r="D3189" s="115" t="s">
        <v>1139</v>
      </c>
      <c r="E3189" s="115" t="s">
        <v>1140</v>
      </c>
    </row>
    <row r="3190" spans="2:5" x14ac:dyDescent="0.25">
      <c r="B3190" s="115" t="s">
        <v>1138</v>
      </c>
      <c r="D3190" s="115" t="s">
        <v>1139</v>
      </c>
      <c r="E3190" s="115" t="s">
        <v>1140</v>
      </c>
    </row>
    <row r="3191" spans="2:5" x14ac:dyDescent="0.25">
      <c r="B3191" s="115" t="s">
        <v>1138</v>
      </c>
      <c r="D3191" s="115" t="s">
        <v>1139</v>
      </c>
      <c r="E3191" s="115" t="s">
        <v>1140</v>
      </c>
    </row>
    <row r="3192" spans="2:5" x14ac:dyDescent="0.25">
      <c r="B3192" s="115" t="s">
        <v>1138</v>
      </c>
      <c r="D3192" s="115" t="s">
        <v>1139</v>
      </c>
      <c r="E3192" s="115" t="s">
        <v>1140</v>
      </c>
    </row>
    <row r="3193" spans="2:5" x14ac:dyDescent="0.25">
      <c r="B3193" s="115" t="s">
        <v>1138</v>
      </c>
      <c r="D3193" s="115" t="s">
        <v>1139</v>
      </c>
      <c r="E3193" s="115" t="s">
        <v>1140</v>
      </c>
    </row>
    <row r="3194" spans="2:5" x14ac:dyDescent="0.25">
      <c r="B3194" s="115" t="s">
        <v>1138</v>
      </c>
      <c r="D3194" s="115" t="s">
        <v>1139</v>
      </c>
      <c r="E3194" s="115" t="s">
        <v>1140</v>
      </c>
    </row>
    <row r="3195" spans="2:5" x14ac:dyDescent="0.25">
      <c r="B3195" s="115" t="s">
        <v>1138</v>
      </c>
      <c r="D3195" s="115" t="s">
        <v>1139</v>
      </c>
      <c r="E3195" s="115" t="s">
        <v>1140</v>
      </c>
    </row>
    <row r="3196" spans="2:5" x14ac:dyDescent="0.25">
      <c r="B3196" s="115" t="s">
        <v>1138</v>
      </c>
      <c r="D3196" s="115" t="s">
        <v>1139</v>
      </c>
      <c r="E3196" s="115" t="s">
        <v>1140</v>
      </c>
    </row>
    <row r="3197" spans="2:5" x14ac:dyDescent="0.25">
      <c r="B3197" s="115" t="s">
        <v>1138</v>
      </c>
      <c r="D3197" s="115" t="s">
        <v>1139</v>
      </c>
      <c r="E3197" s="115" t="s">
        <v>1140</v>
      </c>
    </row>
    <row r="3198" spans="2:5" x14ac:dyDescent="0.25">
      <c r="B3198" s="115" t="s">
        <v>1138</v>
      </c>
      <c r="D3198" s="115" t="s">
        <v>1139</v>
      </c>
      <c r="E3198" s="115" t="s">
        <v>1140</v>
      </c>
    </row>
    <row r="3199" spans="2:5" x14ac:dyDescent="0.25">
      <c r="B3199" s="115" t="s">
        <v>1138</v>
      </c>
      <c r="D3199" s="115" t="s">
        <v>1139</v>
      </c>
      <c r="E3199" s="115" t="s">
        <v>1140</v>
      </c>
    </row>
    <row r="3200" spans="2:5" x14ac:dyDescent="0.25">
      <c r="B3200" s="115" t="s">
        <v>1138</v>
      </c>
      <c r="D3200" s="115" t="s">
        <v>1139</v>
      </c>
      <c r="E3200" s="115" t="s">
        <v>1140</v>
      </c>
    </row>
    <row r="3201" spans="2:5" x14ac:dyDescent="0.25">
      <c r="B3201" s="115" t="s">
        <v>1138</v>
      </c>
      <c r="D3201" s="115" t="s">
        <v>1139</v>
      </c>
      <c r="E3201" s="115" t="s">
        <v>1140</v>
      </c>
    </row>
    <row r="3202" spans="2:5" x14ac:dyDescent="0.25">
      <c r="B3202" s="115" t="s">
        <v>1138</v>
      </c>
      <c r="D3202" s="115" t="s">
        <v>1139</v>
      </c>
      <c r="E3202" s="115" t="s">
        <v>1140</v>
      </c>
    </row>
    <row r="3203" spans="2:5" x14ac:dyDescent="0.25">
      <c r="B3203" s="115" t="s">
        <v>1138</v>
      </c>
      <c r="D3203" s="115" t="s">
        <v>1139</v>
      </c>
      <c r="E3203" s="115" t="s">
        <v>1140</v>
      </c>
    </row>
    <row r="3204" spans="2:5" x14ac:dyDescent="0.25">
      <c r="B3204" s="115" t="s">
        <v>1138</v>
      </c>
      <c r="D3204" s="115" t="s">
        <v>1139</v>
      </c>
      <c r="E3204" s="115" t="s">
        <v>1140</v>
      </c>
    </row>
    <row r="3205" spans="2:5" x14ac:dyDescent="0.25">
      <c r="B3205" s="115" t="s">
        <v>1138</v>
      </c>
      <c r="D3205" s="115" t="s">
        <v>1139</v>
      </c>
      <c r="E3205" s="115" t="s">
        <v>1140</v>
      </c>
    </row>
    <row r="3206" spans="2:5" x14ac:dyDescent="0.25">
      <c r="B3206" s="115" t="s">
        <v>1138</v>
      </c>
      <c r="D3206" s="115" t="s">
        <v>1139</v>
      </c>
      <c r="E3206" s="115" t="s">
        <v>1140</v>
      </c>
    </row>
    <row r="3207" spans="2:5" x14ac:dyDescent="0.25">
      <c r="B3207" s="115" t="s">
        <v>1138</v>
      </c>
      <c r="D3207" s="115" t="s">
        <v>1139</v>
      </c>
      <c r="E3207" s="115" t="s">
        <v>1140</v>
      </c>
    </row>
    <row r="3208" spans="2:5" x14ac:dyDescent="0.25">
      <c r="B3208" s="115" t="s">
        <v>1138</v>
      </c>
      <c r="D3208" s="115" t="s">
        <v>1139</v>
      </c>
      <c r="E3208" s="115" t="s">
        <v>1140</v>
      </c>
    </row>
    <row r="3209" spans="2:5" x14ac:dyDescent="0.25">
      <c r="B3209" s="115" t="s">
        <v>1138</v>
      </c>
      <c r="D3209" s="115" t="s">
        <v>1139</v>
      </c>
      <c r="E3209" s="115" t="s">
        <v>1140</v>
      </c>
    </row>
    <row r="3210" spans="2:5" x14ac:dyDescent="0.25">
      <c r="B3210" s="115" t="s">
        <v>1138</v>
      </c>
      <c r="D3210" s="115" t="s">
        <v>1139</v>
      </c>
      <c r="E3210" s="115" t="s">
        <v>1140</v>
      </c>
    </row>
    <row r="3211" spans="2:5" x14ac:dyDescent="0.25">
      <c r="B3211" s="115" t="s">
        <v>1138</v>
      </c>
      <c r="D3211" s="115" t="s">
        <v>1139</v>
      </c>
      <c r="E3211" s="115" t="s">
        <v>1140</v>
      </c>
    </row>
    <row r="3212" spans="2:5" x14ac:dyDescent="0.25">
      <c r="B3212" s="115" t="s">
        <v>1138</v>
      </c>
      <c r="D3212" s="115" t="s">
        <v>1139</v>
      </c>
      <c r="E3212" s="115" t="s">
        <v>1140</v>
      </c>
    </row>
    <row r="3213" spans="2:5" x14ac:dyDescent="0.25">
      <c r="B3213" s="115" t="s">
        <v>1138</v>
      </c>
      <c r="D3213" s="115" t="s">
        <v>1139</v>
      </c>
      <c r="E3213" s="115" t="s">
        <v>1140</v>
      </c>
    </row>
    <row r="3214" spans="2:5" x14ac:dyDescent="0.25">
      <c r="B3214" s="115" t="s">
        <v>1138</v>
      </c>
      <c r="D3214" s="115" t="s">
        <v>1139</v>
      </c>
      <c r="E3214" s="115" t="s">
        <v>1140</v>
      </c>
    </row>
    <row r="3215" spans="2:5" x14ac:dyDescent="0.25">
      <c r="B3215" s="115" t="s">
        <v>1138</v>
      </c>
      <c r="D3215" s="115" t="s">
        <v>1139</v>
      </c>
      <c r="E3215" s="115" t="s">
        <v>1140</v>
      </c>
    </row>
    <row r="3216" spans="2:5" x14ac:dyDescent="0.25">
      <c r="B3216" s="115" t="s">
        <v>1138</v>
      </c>
      <c r="D3216" s="115" t="s">
        <v>1139</v>
      </c>
      <c r="E3216" s="115" t="s">
        <v>1140</v>
      </c>
    </row>
    <row r="3217" spans="2:5" x14ac:dyDescent="0.25">
      <c r="B3217" s="115" t="s">
        <v>1138</v>
      </c>
      <c r="D3217" s="115" t="s">
        <v>1139</v>
      </c>
      <c r="E3217" s="115" t="s">
        <v>1140</v>
      </c>
    </row>
    <row r="3218" spans="2:5" x14ac:dyDescent="0.25">
      <c r="B3218" s="115" t="s">
        <v>1138</v>
      </c>
      <c r="D3218" s="115" t="s">
        <v>1139</v>
      </c>
      <c r="E3218" s="115" t="s">
        <v>1140</v>
      </c>
    </row>
    <row r="3219" spans="2:5" x14ac:dyDescent="0.25">
      <c r="B3219" s="115" t="s">
        <v>1138</v>
      </c>
      <c r="D3219" s="115" t="s">
        <v>1139</v>
      </c>
      <c r="E3219" s="115" t="s">
        <v>1140</v>
      </c>
    </row>
    <row r="3220" spans="2:5" x14ac:dyDescent="0.25">
      <c r="B3220" s="115" t="s">
        <v>1138</v>
      </c>
      <c r="D3220" s="115" t="s">
        <v>1139</v>
      </c>
      <c r="E3220" s="115" t="s">
        <v>1140</v>
      </c>
    </row>
    <row r="3221" spans="2:5" x14ac:dyDescent="0.25">
      <c r="B3221" s="115" t="s">
        <v>1138</v>
      </c>
      <c r="D3221" s="115" t="s">
        <v>1139</v>
      </c>
      <c r="E3221" s="115" t="s">
        <v>1140</v>
      </c>
    </row>
    <row r="3222" spans="2:5" x14ac:dyDescent="0.25">
      <c r="B3222" s="115" t="s">
        <v>1138</v>
      </c>
      <c r="D3222" s="115" t="s">
        <v>1139</v>
      </c>
      <c r="E3222" s="115" t="s">
        <v>1140</v>
      </c>
    </row>
    <row r="3223" spans="2:5" x14ac:dyDescent="0.25">
      <c r="B3223" s="115" t="s">
        <v>1138</v>
      </c>
      <c r="D3223" s="115" t="s">
        <v>1139</v>
      </c>
      <c r="E3223" s="115" t="s">
        <v>1140</v>
      </c>
    </row>
    <row r="3224" spans="2:5" x14ac:dyDescent="0.25">
      <c r="B3224" s="115" t="s">
        <v>1138</v>
      </c>
      <c r="D3224" s="115" t="s">
        <v>1139</v>
      </c>
      <c r="E3224" s="115" t="s">
        <v>1140</v>
      </c>
    </row>
    <row r="3225" spans="2:5" x14ac:dyDescent="0.25">
      <c r="B3225" s="115" t="s">
        <v>1138</v>
      </c>
      <c r="D3225" s="115" t="s">
        <v>1139</v>
      </c>
      <c r="E3225" s="115" t="s">
        <v>1140</v>
      </c>
    </row>
    <row r="3226" spans="2:5" x14ac:dyDescent="0.25">
      <c r="B3226" s="115" t="s">
        <v>1138</v>
      </c>
      <c r="D3226" s="115" t="s">
        <v>1139</v>
      </c>
      <c r="E3226" s="115" t="s">
        <v>1140</v>
      </c>
    </row>
    <row r="3227" spans="2:5" x14ac:dyDescent="0.25">
      <c r="B3227" s="115" t="s">
        <v>1138</v>
      </c>
      <c r="D3227" s="115" t="s">
        <v>1139</v>
      </c>
      <c r="E3227" s="115" t="s">
        <v>1140</v>
      </c>
    </row>
    <row r="3228" spans="2:5" x14ac:dyDescent="0.25">
      <c r="B3228" s="115" t="s">
        <v>1138</v>
      </c>
      <c r="D3228" s="115" t="s">
        <v>1139</v>
      </c>
      <c r="E3228" s="115" t="s">
        <v>1140</v>
      </c>
    </row>
    <row r="3229" spans="2:5" x14ac:dyDescent="0.25">
      <c r="B3229" s="115" t="s">
        <v>1138</v>
      </c>
      <c r="D3229" s="115" t="s">
        <v>1139</v>
      </c>
      <c r="E3229" s="115" t="s">
        <v>1140</v>
      </c>
    </row>
    <row r="3230" spans="2:5" x14ac:dyDescent="0.25">
      <c r="B3230" s="115" t="s">
        <v>1138</v>
      </c>
      <c r="D3230" s="115" t="s">
        <v>1139</v>
      </c>
      <c r="E3230" s="115" t="s">
        <v>1140</v>
      </c>
    </row>
    <row r="3231" spans="2:5" x14ac:dyDescent="0.25">
      <c r="B3231" s="115" t="s">
        <v>1138</v>
      </c>
      <c r="D3231" s="115" t="s">
        <v>1139</v>
      </c>
      <c r="E3231" s="115" t="s">
        <v>1140</v>
      </c>
    </row>
    <row r="3232" spans="2:5" x14ac:dyDescent="0.25">
      <c r="B3232" s="115" t="s">
        <v>1138</v>
      </c>
      <c r="D3232" s="115" t="s">
        <v>1139</v>
      </c>
      <c r="E3232" s="115" t="s">
        <v>1140</v>
      </c>
    </row>
    <row r="3233" spans="2:5" x14ac:dyDescent="0.25">
      <c r="B3233" s="115" t="s">
        <v>1138</v>
      </c>
      <c r="D3233" s="115" t="s">
        <v>1139</v>
      </c>
      <c r="E3233" s="115" t="s">
        <v>1140</v>
      </c>
    </row>
    <row r="3234" spans="2:5" x14ac:dyDescent="0.25">
      <c r="B3234" s="115" t="s">
        <v>1138</v>
      </c>
      <c r="D3234" s="115" t="s">
        <v>1139</v>
      </c>
      <c r="E3234" s="115" t="s">
        <v>1140</v>
      </c>
    </row>
    <row r="3235" spans="2:5" x14ac:dyDescent="0.25">
      <c r="B3235" s="115" t="s">
        <v>1138</v>
      </c>
      <c r="D3235" s="115" t="s">
        <v>1139</v>
      </c>
      <c r="E3235" s="115" t="s">
        <v>1140</v>
      </c>
    </row>
    <row r="3236" spans="2:5" x14ac:dyDescent="0.25">
      <c r="B3236" s="115" t="s">
        <v>1138</v>
      </c>
      <c r="D3236" s="115" t="s">
        <v>1139</v>
      </c>
      <c r="E3236" s="115" t="s">
        <v>1140</v>
      </c>
    </row>
    <row r="3237" spans="2:5" x14ac:dyDescent="0.25">
      <c r="B3237" s="115" t="s">
        <v>1138</v>
      </c>
      <c r="D3237" s="115" t="s">
        <v>1139</v>
      </c>
      <c r="E3237" s="115" t="s">
        <v>1140</v>
      </c>
    </row>
    <row r="3238" spans="2:5" x14ac:dyDescent="0.25">
      <c r="B3238" s="115" t="s">
        <v>1138</v>
      </c>
      <c r="D3238" s="115" t="s">
        <v>1139</v>
      </c>
      <c r="E3238" s="115" t="s">
        <v>1140</v>
      </c>
    </row>
    <row r="3239" spans="2:5" x14ac:dyDescent="0.25">
      <c r="B3239" s="115" t="s">
        <v>1138</v>
      </c>
      <c r="D3239" s="115" t="s">
        <v>1139</v>
      </c>
      <c r="E3239" s="115" t="s">
        <v>1140</v>
      </c>
    </row>
    <row r="3240" spans="2:5" x14ac:dyDescent="0.25">
      <c r="B3240" s="115" t="s">
        <v>1138</v>
      </c>
      <c r="D3240" s="115" t="s">
        <v>1139</v>
      </c>
      <c r="E3240" s="115" t="s">
        <v>1140</v>
      </c>
    </row>
    <row r="3241" spans="2:5" x14ac:dyDescent="0.25">
      <c r="B3241" s="115" t="s">
        <v>1138</v>
      </c>
      <c r="D3241" s="115" t="s">
        <v>1139</v>
      </c>
      <c r="E3241" s="115" t="s">
        <v>1140</v>
      </c>
    </row>
    <row r="3242" spans="2:5" x14ac:dyDescent="0.25">
      <c r="B3242" s="115" t="s">
        <v>1138</v>
      </c>
      <c r="D3242" s="115" t="s">
        <v>1139</v>
      </c>
      <c r="E3242" s="115" t="s">
        <v>1140</v>
      </c>
    </row>
    <row r="3243" spans="2:5" x14ac:dyDescent="0.25">
      <c r="B3243" s="115" t="s">
        <v>1138</v>
      </c>
      <c r="D3243" s="115" t="s">
        <v>1139</v>
      </c>
      <c r="E3243" s="115" t="s">
        <v>1140</v>
      </c>
    </row>
    <row r="3244" spans="2:5" x14ac:dyDescent="0.25">
      <c r="B3244" s="115" t="s">
        <v>1138</v>
      </c>
      <c r="D3244" s="115" t="s">
        <v>1139</v>
      </c>
      <c r="E3244" s="115" t="s">
        <v>1140</v>
      </c>
    </row>
    <row r="3245" spans="2:5" x14ac:dyDescent="0.25">
      <c r="B3245" s="115" t="s">
        <v>1138</v>
      </c>
      <c r="D3245" s="115" t="s">
        <v>1139</v>
      </c>
      <c r="E3245" s="115" t="s">
        <v>1140</v>
      </c>
    </row>
    <row r="3246" spans="2:5" x14ac:dyDescent="0.25">
      <c r="B3246" s="115" t="s">
        <v>1138</v>
      </c>
      <c r="D3246" s="115" t="s">
        <v>1139</v>
      </c>
      <c r="E3246" s="115" t="s">
        <v>1140</v>
      </c>
    </row>
    <row r="3247" spans="2:5" x14ac:dyDescent="0.25">
      <c r="B3247" s="115" t="s">
        <v>1138</v>
      </c>
      <c r="D3247" s="115" t="s">
        <v>1139</v>
      </c>
      <c r="E3247" s="115" t="s">
        <v>1140</v>
      </c>
    </row>
    <row r="3248" spans="2:5" x14ac:dyDescent="0.25">
      <c r="B3248" s="115" t="s">
        <v>1138</v>
      </c>
      <c r="D3248" s="115" t="s">
        <v>1139</v>
      </c>
      <c r="E3248" s="115" t="s">
        <v>1140</v>
      </c>
    </row>
    <row r="3249" spans="2:5" x14ac:dyDescent="0.25">
      <c r="B3249" s="115" t="s">
        <v>1138</v>
      </c>
      <c r="D3249" s="115" t="s">
        <v>1139</v>
      </c>
      <c r="E3249" s="115" t="s">
        <v>1140</v>
      </c>
    </row>
    <row r="3250" spans="2:5" x14ac:dyDescent="0.25">
      <c r="B3250" s="115" t="s">
        <v>1138</v>
      </c>
      <c r="D3250" s="115" t="s">
        <v>1139</v>
      </c>
      <c r="E3250" s="115" t="s">
        <v>1140</v>
      </c>
    </row>
    <row r="3251" spans="2:5" x14ac:dyDescent="0.25">
      <c r="B3251" s="115" t="s">
        <v>1138</v>
      </c>
      <c r="D3251" s="115" t="s">
        <v>1139</v>
      </c>
      <c r="E3251" s="115" t="s">
        <v>1140</v>
      </c>
    </row>
    <row r="3252" spans="2:5" x14ac:dyDescent="0.25">
      <c r="B3252" s="115" t="s">
        <v>1138</v>
      </c>
      <c r="D3252" s="115" t="s">
        <v>1139</v>
      </c>
      <c r="E3252" s="115" t="s">
        <v>1140</v>
      </c>
    </row>
    <row r="3253" spans="2:5" x14ac:dyDescent="0.25">
      <c r="B3253" s="115" t="s">
        <v>1138</v>
      </c>
      <c r="D3253" s="115" t="s">
        <v>1139</v>
      </c>
      <c r="E3253" s="115" t="s">
        <v>1140</v>
      </c>
    </row>
    <row r="3254" spans="2:5" x14ac:dyDescent="0.25">
      <c r="B3254" s="115" t="s">
        <v>1138</v>
      </c>
      <c r="D3254" s="115" t="s">
        <v>1139</v>
      </c>
      <c r="E3254" s="115" t="s">
        <v>1140</v>
      </c>
    </row>
    <row r="3255" spans="2:5" x14ac:dyDescent="0.25">
      <c r="B3255" s="115" t="s">
        <v>1138</v>
      </c>
      <c r="D3255" s="115" t="s">
        <v>1139</v>
      </c>
      <c r="E3255" s="115" t="s">
        <v>1140</v>
      </c>
    </row>
    <row r="3256" spans="2:5" x14ac:dyDescent="0.25">
      <c r="B3256" s="115" t="s">
        <v>1138</v>
      </c>
      <c r="D3256" s="115" t="s">
        <v>1139</v>
      </c>
      <c r="E3256" s="115" t="s">
        <v>1140</v>
      </c>
    </row>
    <row r="3257" spans="2:5" x14ac:dyDescent="0.25">
      <c r="B3257" s="115" t="s">
        <v>1138</v>
      </c>
      <c r="D3257" s="115" t="s">
        <v>1139</v>
      </c>
      <c r="E3257" s="115" t="s">
        <v>1140</v>
      </c>
    </row>
    <row r="3258" spans="2:5" x14ac:dyDescent="0.25">
      <c r="B3258" s="115" t="s">
        <v>1138</v>
      </c>
      <c r="D3258" s="115" t="s">
        <v>1139</v>
      </c>
      <c r="E3258" s="115" t="s">
        <v>1140</v>
      </c>
    </row>
    <row r="3259" spans="2:5" x14ac:dyDescent="0.25">
      <c r="B3259" s="115" t="s">
        <v>1138</v>
      </c>
      <c r="D3259" s="115" t="s">
        <v>1139</v>
      </c>
      <c r="E3259" s="115" t="s">
        <v>1140</v>
      </c>
    </row>
    <row r="3260" spans="2:5" x14ac:dyDescent="0.25">
      <c r="B3260" s="115" t="s">
        <v>1138</v>
      </c>
      <c r="D3260" s="115" t="s">
        <v>1139</v>
      </c>
      <c r="E3260" s="115" t="s">
        <v>1140</v>
      </c>
    </row>
    <row r="3261" spans="2:5" x14ac:dyDescent="0.25">
      <c r="B3261" s="115" t="s">
        <v>1138</v>
      </c>
      <c r="D3261" s="115" t="s">
        <v>1139</v>
      </c>
      <c r="E3261" s="115" t="s">
        <v>1140</v>
      </c>
    </row>
    <row r="3262" spans="2:5" x14ac:dyDescent="0.25">
      <c r="B3262" s="115" t="s">
        <v>1138</v>
      </c>
      <c r="D3262" s="115" t="s">
        <v>1139</v>
      </c>
      <c r="E3262" s="115" t="s">
        <v>1140</v>
      </c>
    </row>
    <row r="3263" spans="2:5" x14ac:dyDescent="0.25">
      <c r="B3263" s="115" t="s">
        <v>1138</v>
      </c>
      <c r="D3263" s="115" t="s">
        <v>1139</v>
      </c>
      <c r="E3263" s="115" t="s">
        <v>1140</v>
      </c>
    </row>
    <row r="3264" spans="2:5" x14ac:dyDescent="0.25">
      <c r="B3264" s="115" t="s">
        <v>1138</v>
      </c>
      <c r="D3264" s="115" t="s">
        <v>1139</v>
      </c>
      <c r="E3264" s="115" t="s">
        <v>1140</v>
      </c>
    </row>
    <row r="3265" spans="2:5" x14ac:dyDescent="0.25">
      <c r="B3265" s="115" t="s">
        <v>1138</v>
      </c>
      <c r="D3265" s="115" t="s">
        <v>1139</v>
      </c>
      <c r="E3265" s="115" t="s">
        <v>1140</v>
      </c>
    </row>
    <row r="3266" spans="2:5" x14ac:dyDescent="0.25">
      <c r="B3266" s="115" t="s">
        <v>1138</v>
      </c>
      <c r="D3266" s="115" t="s">
        <v>1139</v>
      </c>
      <c r="E3266" s="115" t="s">
        <v>1140</v>
      </c>
    </row>
    <row r="3267" spans="2:5" x14ac:dyDescent="0.25">
      <c r="B3267" s="115" t="s">
        <v>1138</v>
      </c>
      <c r="D3267" s="115" t="s">
        <v>1139</v>
      </c>
      <c r="E3267" s="115" t="s">
        <v>1140</v>
      </c>
    </row>
    <row r="3268" spans="2:5" x14ac:dyDescent="0.25">
      <c r="B3268" s="115" t="s">
        <v>1138</v>
      </c>
      <c r="D3268" s="115" t="s">
        <v>1139</v>
      </c>
      <c r="E3268" s="115" t="s">
        <v>1140</v>
      </c>
    </row>
    <row r="3269" spans="2:5" x14ac:dyDescent="0.25">
      <c r="B3269" s="115" t="s">
        <v>1138</v>
      </c>
      <c r="D3269" s="115" t="s">
        <v>1139</v>
      </c>
      <c r="E3269" s="115" t="s">
        <v>1140</v>
      </c>
    </row>
    <row r="3270" spans="2:5" x14ac:dyDescent="0.25">
      <c r="B3270" s="115" t="s">
        <v>1138</v>
      </c>
      <c r="D3270" s="115" t="s">
        <v>1139</v>
      </c>
      <c r="E3270" s="115" t="s">
        <v>1140</v>
      </c>
    </row>
    <row r="3271" spans="2:5" x14ac:dyDescent="0.25">
      <c r="B3271" s="115" t="s">
        <v>1138</v>
      </c>
      <c r="D3271" s="115" t="s">
        <v>1139</v>
      </c>
      <c r="E3271" s="115" t="s">
        <v>1140</v>
      </c>
    </row>
    <row r="3272" spans="2:5" x14ac:dyDescent="0.25">
      <c r="B3272" s="115" t="s">
        <v>1138</v>
      </c>
      <c r="D3272" s="115" t="s">
        <v>1139</v>
      </c>
      <c r="E3272" s="115" t="s">
        <v>1140</v>
      </c>
    </row>
    <row r="3273" spans="2:5" x14ac:dyDescent="0.25">
      <c r="B3273" s="115" t="s">
        <v>1138</v>
      </c>
      <c r="D3273" s="115" t="s">
        <v>1139</v>
      </c>
      <c r="E3273" s="115" t="s">
        <v>1140</v>
      </c>
    </row>
    <row r="3274" spans="2:5" x14ac:dyDescent="0.25">
      <c r="B3274" s="115" t="s">
        <v>1138</v>
      </c>
      <c r="D3274" s="115" t="s">
        <v>1139</v>
      </c>
      <c r="E3274" s="115" t="s">
        <v>1140</v>
      </c>
    </row>
    <row r="3275" spans="2:5" x14ac:dyDescent="0.25">
      <c r="B3275" s="115" t="s">
        <v>1138</v>
      </c>
      <c r="D3275" s="115" t="s">
        <v>1139</v>
      </c>
      <c r="E3275" s="115" t="s">
        <v>1140</v>
      </c>
    </row>
    <row r="3276" spans="2:5" x14ac:dyDescent="0.25">
      <c r="B3276" s="115" t="s">
        <v>1138</v>
      </c>
      <c r="D3276" s="115" t="s">
        <v>1139</v>
      </c>
      <c r="E3276" s="115" t="s">
        <v>1140</v>
      </c>
    </row>
    <row r="3277" spans="2:5" x14ac:dyDescent="0.25">
      <c r="B3277" s="115" t="s">
        <v>1138</v>
      </c>
      <c r="D3277" s="115" t="s">
        <v>1139</v>
      </c>
      <c r="E3277" s="115" t="s">
        <v>1140</v>
      </c>
    </row>
    <row r="3278" spans="2:5" x14ac:dyDescent="0.25">
      <c r="B3278" s="115" t="s">
        <v>1138</v>
      </c>
      <c r="D3278" s="115" t="s">
        <v>1139</v>
      </c>
      <c r="E3278" s="115" t="s">
        <v>1140</v>
      </c>
    </row>
    <row r="3279" spans="2:5" x14ac:dyDescent="0.25">
      <c r="B3279" s="115" t="s">
        <v>1138</v>
      </c>
      <c r="D3279" s="115" t="s">
        <v>1139</v>
      </c>
      <c r="E3279" s="115" t="s">
        <v>1140</v>
      </c>
    </row>
    <row r="3280" spans="2:5" x14ac:dyDescent="0.25">
      <c r="B3280" s="115" t="s">
        <v>1138</v>
      </c>
      <c r="D3280" s="115" t="s">
        <v>1139</v>
      </c>
      <c r="E3280" s="115" t="s">
        <v>1140</v>
      </c>
    </row>
    <row r="3281" spans="2:5" x14ac:dyDescent="0.25">
      <c r="B3281" s="115" t="s">
        <v>1138</v>
      </c>
      <c r="D3281" s="115" t="s">
        <v>1139</v>
      </c>
      <c r="E3281" s="115" t="s">
        <v>1140</v>
      </c>
    </row>
    <row r="3282" spans="2:5" x14ac:dyDescent="0.25">
      <c r="B3282" s="115" t="s">
        <v>1138</v>
      </c>
      <c r="D3282" s="115" t="s">
        <v>1139</v>
      </c>
      <c r="E3282" s="115" t="s">
        <v>1140</v>
      </c>
    </row>
    <row r="3283" spans="2:5" x14ac:dyDescent="0.25">
      <c r="B3283" s="115" t="s">
        <v>1138</v>
      </c>
      <c r="D3283" s="115" t="s">
        <v>1139</v>
      </c>
      <c r="E3283" s="115" t="s">
        <v>1140</v>
      </c>
    </row>
    <row r="3284" spans="2:5" x14ac:dyDescent="0.25">
      <c r="B3284" s="115" t="s">
        <v>1138</v>
      </c>
      <c r="D3284" s="115" t="s">
        <v>1139</v>
      </c>
      <c r="E3284" s="115" t="s">
        <v>1140</v>
      </c>
    </row>
    <row r="3285" spans="2:5" x14ac:dyDescent="0.25">
      <c r="B3285" s="115" t="s">
        <v>1138</v>
      </c>
      <c r="D3285" s="115" t="s">
        <v>1139</v>
      </c>
      <c r="E3285" s="115" t="s">
        <v>1140</v>
      </c>
    </row>
    <row r="3286" spans="2:5" x14ac:dyDescent="0.25">
      <c r="B3286" s="115" t="s">
        <v>1138</v>
      </c>
      <c r="D3286" s="115" t="s">
        <v>1139</v>
      </c>
      <c r="E3286" s="115" t="s">
        <v>1140</v>
      </c>
    </row>
    <row r="3287" spans="2:5" x14ac:dyDescent="0.25">
      <c r="B3287" s="115" t="s">
        <v>1138</v>
      </c>
      <c r="D3287" s="115" t="s">
        <v>1139</v>
      </c>
      <c r="E3287" s="115" t="s">
        <v>1140</v>
      </c>
    </row>
    <row r="3288" spans="2:5" x14ac:dyDescent="0.25">
      <c r="B3288" s="115" t="s">
        <v>1138</v>
      </c>
      <c r="D3288" s="115" t="s">
        <v>1139</v>
      </c>
      <c r="E3288" s="115" t="s">
        <v>1140</v>
      </c>
    </row>
    <row r="3289" spans="2:5" x14ac:dyDescent="0.25">
      <c r="B3289" s="115" t="s">
        <v>1138</v>
      </c>
      <c r="D3289" s="115" t="s">
        <v>1139</v>
      </c>
      <c r="E3289" s="115" t="s">
        <v>1140</v>
      </c>
    </row>
    <row r="3290" spans="2:5" x14ac:dyDescent="0.25">
      <c r="B3290" s="115" t="s">
        <v>1138</v>
      </c>
      <c r="D3290" s="115" t="s">
        <v>1139</v>
      </c>
      <c r="E3290" s="115" t="s">
        <v>1140</v>
      </c>
    </row>
    <row r="3291" spans="2:5" x14ac:dyDescent="0.25">
      <c r="B3291" s="115" t="s">
        <v>1138</v>
      </c>
      <c r="D3291" s="115" t="s">
        <v>1139</v>
      </c>
      <c r="E3291" s="115" t="s">
        <v>1140</v>
      </c>
    </row>
    <row r="3292" spans="2:5" x14ac:dyDescent="0.25">
      <c r="B3292" s="115" t="s">
        <v>1138</v>
      </c>
      <c r="D3292" s="115" t="s">
        <v>1139</v>
      </c>
      <c r="E3292" s="115" t="s">
        <v>1140</v>
      </c>
    </row>
    <row r="3293" spans="2:5" x14ac:dyDescent="0.25">
      <c r="B3293" s="115" t="s">
        <v>1138</v>
      </c>
      <c r="D3293" s="115" t="s">
        <v>1139</v>
      </c>
      <c r="E3293" s="115" t="s">
        <v>1140</v>
      </c>
    </row>
    <row r="3294" spans="2:5" x14ac:dyDescent="0.25">
      <c r="B3294" s="115" t="s">
        <v>1138</v>
      </c>
      <c r="D3294" s="115" t="s">
        <v>1139</v>
      </c>
      <c r="E3294" s="115" t="s">
        <v>1140</v>
      </c>
    </row>
    <row r="3295" spans="2:5" x14ac:dyDescent="0.25">
      <c r="B3295" s="115" t="s">
        <v>1138</v>
      </c>
      <c r="D3295" s="115" t="s">
        <v>1139</v>
      </c>
      <c r="E3295" s="115" t="s">
        <v>1140</v>
      </c>
    </row>
    <row r="3296" spans="2:5" x14ac:dyDescent="0.25">
      <c r="B3296" s="115" t="s">
        <v>1138</v>
      </c>
      <c r="D3296" s="115" t="s">
        <v>1139</v>
      </c>
      <c r="E3296" s="115" t="s">
        <v>1140</v>
      </c>
    </row>
    <row r="3297" spans="2:5" x14ac:dyDescent="0.25">
      <c r="B3297" s="115" t="s">
        <v>1138</v>
      </c>
      <c r="D3297" s="115" t="s">
        <v>1139</v>
      </c>
      <c r="E3297" s="115" t="s">
        <v>1140</v>
      </c>
    </row>
    <row r="3298" spans="2:5" x14ac:dyDescent="0.25">
      <c r="B3298" s="115" t="s">
        <v>1138</v>
      </c>
      <c r="D3298" s="115" t="s">
        <v>1139</v>
      </c>
      <c r="E3298" s="115" t="s">
        <v>1140</v>
      </c>
    </row>
    <row r="3299" spans="2:5" x14ac:dyDescent="0.25">
      <c r="B3299" s="115" t="s">
        <v>1138</v>
      </c>
      <c r="D3299" s="115" t="s">
        <v>1139</v>
      </c>
      <c r="E3299" s="115" t="s">
        <v>1140</v>
      </c>
    </row>
    <row r="3300" spans="2:5" x14ac:dyDescent="0.25">
      <c r="B3300" s="115" t="s">
        <v>1138</v>
      </c>
      <c r="D3300" s="115" t="s">
        <v>1139</v>
      </c>
      <c r="E3300" s="115" t="s">
        <v>1140</v>
      </c>
    </row>
    <row r="3301" spans="2:5" x14ac:dyDescent="0.25">
      <c r="B3301" s="115" t="s">
        <v>1138</v>
      </c>
      <c r="D3301" s="115" t="s">
        <v>1139</v>
      </c>
      <c r="E3301" s="115" t="s">
        <v>1140</v>
      </c>
    </row>
    <row r="3302" spans="2:5" x14ac:dyDescent="0.25">
      <c r="B3302" s="115" t="s">
        <v>1138</v>
      </c>
      <c r="D3302" s="115" t="s">
        <v>1139</v>
      </c>
      <c r="E3302" s="115" t="s">
        <v>1140</v>
      </c>
    </row>
    <row r="3303" spans="2:5" x14ac:dyDescent="0.25">
      <c r="B3303" s="115" t="s">
        <v>1138</v>
      </c>
      <c r="D3303" s="115" t="s">
        <v>1139</v>
      </c>
      <c r="E3303" s="115" t="s">
        <v>1140</v>
      </c>
    </row>
    <row r="3304" spans="2:5" x14ac:dyDescent="0.25">
      <c r="B3304" s="115" t="s">
        <v>1138</v>
      </c>
      <c r="D3304" s="115" t="s">
        <v>1139</v>
      </c>
      <c r="E3304" s="115" t="s">
        <v>1140</v>
      </c>
    </row>
    <row r="3305" spans="2:5" x14ac:dyDescent="0.25">
      <c r="B3305" s="115" t="s">
        <v>1138</v>
      </c>
      <c r="D3305" s="115" t="s">
        <v>1139</v>
      </c>
      <c r="E3305" s="115" t="s">
        <v>1140</v>
      </c>
    </row>
    <row r="3306" spans="2:5" x14ac:dyDescent="0.25">
      <c r="B3306" s="115" t="s">
        <v>1138</v>
      </c>
      <c r="D3306" s="115" t="s">
        <v>1139</v>
      </c>
      <c r="E3306" s="115" t="s">
        <v>1140</v>
      </c>
    </row>
    <row r="3307" spans="2:5" x14ac:dyDescent="0.25">
      <c r="B3307" s="115" t="s">
        <v>1138</v>
      </c>
      <c r="D3307" s="115" t="s">
        <v>1139</v>
      </c>
      <c r="E3307" s="115" t="s">
        <v>1140</v>
      </c>
    </row>
    <row r="3308" spans="2:5" x14ac:dyDescent="0.25">
      <c r="B3308" s="115" t="s">
        <v>1138</v>
      </c>
      <c r="D3308" s="115" t="s">
        <v>1139</v>
      </c>
      <c r="E3308" s="115" t="s">
        <v>1140</v>
      </c>
    </row>
    <row r="3309" spans="2:5" x14ac:dyDescent="0.25">
      <c r="B3309" s="115" t="s">
        <v>1138</v>
      </c>
      <c r="D3309" s="115" t="s">
        <v>1139</v>
      </c>
      <c r="E3309" s="115" t="s">
        <v>1140</v>
      </c>
    </row>
    <row r="3310" spans="2:5" x14ac:dyDescent="0.25">
      <c r="B3310" s="115" t="s">
        <v>1138</v>
      </c>
      <c r="D3310" s="115" t="s">
        <v>1139</v>
      </c>
      <c r="E3310" s="115" t="s">
        <v>1140</v>
      </c>
    </row>
    <row r="3311" spans="2:5" x14ac:dyDescent="0.25">
      <c r="B3311" s="115" t="s">
        <v>1138</v>
      </c>
      <c r="D3311" s="115" t="s">
        <v>1139</v>
      </c>
      <c r="E3311" s="115" t="s">
        <v>1140</v>
      </c>
    </row>
    <row r="3312" spans="2:5" x14ac:dyDescent="0.25">
      <c r="B3312" s="115" t="s">
        <v>1138</v>
      </c>
      <c r="D3312" s="115" t="s">
        <v>1139</v>
      </c>
      <c r="E3312" s="115" t="s">
        <v>1140</v>
      </c>
    </row>
    <row r="3313" spans="2:5" x14ac:dyDescent="0.25">
      <c r="B3313" s="115" t="s">
        <v>1138</v>
      </c>
      <c r="D3313" s="115" t="s">
        <v>1139</v>
      </c>
      <c r="E3313" s="115" t="s">
        <v>1140</v>
      </c>
    </row>
    <row r="3314" spans="2:5" x14ac:dyDescent="0.25">
      <c r="B3314" s="115" t="s">
        <v>1138</v>
      </c>
      <c r="D3314" s="115" t="s">
        <v>1139</v>
      </c>
      <c r="E3314" s="115" t="s">
        <v>1140</v>
      </c>
    </row>
    <row r="3315" spans="2:5" x14ac:dyDescent="0.25">
      <c r="B3315" s="115" t="s">
        <v>1138</v>
      </c>
      <c r="D3315" s="115" t="s">
        <v>1139</v>
      </c>
      <c r="E3315" s="115" t="s">
        <v>1140</v>
      </c>
    </row>
    <row r="3316" spans="2:5" x14ac:dyDescent="0.25">
      <c r="B3316" s="115" t="s">
        <v>1138</v>
      </c>
      <c r="D3316" s="115" t="s">
        <v>1139</v>
      </c>
      <c r="E3316" s="115" t="s">
        <v>1140</v>
      </c>
    </row>
    <row r="3317" spans="2:5" x14ac:dyDescent="0.25">
      <c r="B3317" s="115" t="s">
        <v>1138</v>
      </c>
      <c r="D3317" s="115" t="s">
        <v>1139</v>
      </c>
      <c r="E3317" s="115" t="s">
        <v>1140</v>
      </c>
    </row>
    <row r="3318" spans="2:5" x14ac:dyDescent="0.25">
      <c r="B3318" s="115" t="s">
        <v>1138</v>
      </c>
      <c r="D3318" s="115" t="s">
        <v>1139</v>
      </c>
      <c r="E3318" s="115" t="s">
        <v>1140</v>
      </c>
    </row>
    <row r="3319" spans="2:5" x14ac:dyDescent="0.25">
      <c r="B3319" s="115" t="s">
        <v>1138</v>
      </c>
      <c r="D3319" s="115" t="s">
        <v>1139</v>
      </c>
      <c r="E3319" s="115" t="s">
        <v>1140</v>
      </c>
    </row>
    <row r="3320" spans="2:5" x14ac:dyDescent="0.25">
      <c r="B3320" s="115" t="s">
        <v>1138</v>
      </c>
      <c r="D3320" s="115" t="s">
        <v>1139</v>
      </c>
      <c r="E3320" s="115" t="s">
        <v>1140</v>
      </c>
    </row>
    <row r="3321" spans="2:5" x14ac:dyDescent="0.25">
      <c r="B3321" s="115" t="s">
        <v>1138</v>
      </c>
      <c r="D3321" s="115" t="s">
        <v>1139</v>
      </c>
      <c r="E3321" s="115" t="s">
        <v>1140</v>
      </c>
    </row>
    <row r="3322" spans="2:5" x14ac:dyDescent="0.25">
      <c r="B3322" s="115" t="s">
        <v>1138</v>
      </c>
      <c r="D3322" s="115" t="s">
        <v>1139</v>
      </c>
      <c r="E3322" s="115" t="s">
        <v>1140</v>
      </c>
    </row>
    <row r="3323" spans="2:5" x14ac:dyDescent="0.25">
      <c r="B3323" s="115" t="s">
        <v>1138</v>
      </c>
      <c r="D3323" s="115" t="s">
        <v>1139</v>
      </c>
      <c r="E3323" s="115" t="s">
        <v>1140</v>
      </c>
    </row>
    <row r="3324" spans="2:5" x14ac:dyDescent="0.25">
      <c r="B3324" s="115" t="s">
        <v>1138</v>
      </c>
      <c r="D3324" s="115" t="s">
        <v>1139</v>
      </c>
      <c r="E3324" s="115" t="s">
        <v>1140</v>
      </c>
    </row>
    <row r="3325" spans="2:5" x14ac:dyDescent="0.25">
      <c r="B3325" s="115" t="s">
        <v>1138</v>
      </c>
      <c r="D3325" s="115" t="s">
        <v>1139</v>
      </c>
      <c r="E3325" s="115" t="s">
        <v>1140</v>
      </c>
    </row>
    <row r="3326" spans="2:5" x14ac:dyDescent="0.25">
      <c r="B3326" s="115" t="s">
        <v>1138</v>
      </c>
      <c r="D3326" s="115" t="s">
        <v>1139</v>
      </c>
      <c r="E3326" s="115" t="s">
        <v>1140</v>
      </c>
    </row>
    <row r="3327" spans="2:5" x14ac:dyDescent="0.25">
      <c r="B3327" s="115" t="s">
        <v>1138</v>
      </c>
      <c r="D3327" s="115" t="s">
        <v>1139</v>
      </c>
      <c r="E3327" s="115" t="s">
        <v>1140</v>
      </c>
    </row>
    <row r="3328" spans="2:5" x14ac:dyDescent="0.25">
      <c r="B3328" s="115" t="s">
        <v>1138</v>
      </c>
      <c r="D3328" s="115" t="s">
        <v>1139</v>
      </c>
      <c r="E3328" s="115" t="s">
        <v>1140</v>
      </c>
    </row>
    <row r="3329" spans="2:5" x14ac:dyDescent="0.25">
      <c r="B3329" s="115" t="s">
        <v>1138</v>
      </c>
      <c r="D3329" s="115" t="s">
        <v>1139</v>
      </c>
      <c r="E3329" s="115" t="s">
        <v>1140</v>
      </c>
    </row>
    <row r="3330" spans="2:5" x14ac:dyDescent="0.25">
      <c r="B3330" s="115" t="s">
        <v>1138</v>
      </c>
      <c r="D3330" s="115" t="s">
        <v>1139</v>
      </c>
      <c r="E3330" s="115" t="s">
        <v>1140</v>
      </c>
    </row>
    <row r="3331" spans="2:5" x14ac:dyDescent="0.25">
      <c r="B3331" s="115" t="s">
        <v>1138</v>
      </c>
      <c r="D3331" s="115" t="s">
        <v>1139</v>
      </c>
      <c r="E3331" s="115" t="s">
        <v>1140</v>
      </c>
    </row>
    <row r="3332" spans="2:5" x14ac:dyDescent="0.25">
      <c r="B3332" s="115" t="s">
        <v>1138</v>
      </c>
      <c r="D3332" s="115" t="s">
        <v>1139</v>
      </c>
      <c r="E3332" s="115" t="s">
        <v>1140</v>
      </c>
    </row>
    <row r="3333" spans="2:5" x14ac:dyDescent="0.25">
      <c r="B3333" s="115" t="s">
        <v>1138</v>
      </c>
      <c r="D3333" s="115" t="s">
        <v>1139</v>
      </c>
      <c r="E3333" s="115" t="s">
        <v>1140</v>
      </c>
    </row>
    <row r="3334" spans="2:5" x14ac:dyDescent="0.25">
      <c r="B3334" s="115" t="s">
        <v>1138</v>
      </c>
      <c r="D3334" s="115" t="s">
        <v>1139</v>
      </c>
      <c r="E3334" s="115" t="s">
        <v>1140</v>
      </c>
    </row>
    <row r="3335" spans="2:5" x14ac:dyDescent="0.25">
      <c r="B3335" s="115" t="s">
        <v>1138</v>
      </c>
      <c r="D3335" s="115" t="s">
        <v>1139</v>
      </c>
      <c r="E3335" s="115" t="s">
        <v>1140</v>
      </c>
    </row>
    <row r="3336" spans="2:5" x14ac:dyDescent="0.25">
      <c r="B3336" s="115" t="s">
        <v>1138</v>
      </c>
      <c r="D3336" s="115" t="s">
        <v>1139</v>
      </c>
      <c r="E3336" s="115" t="s">
        <v>1140</v>
      </c>
    </row>
    <row r="3337" spans="2:5" x14ac:dyDescent="0.25">
      <c r="B3337" s="115" t="s">
        <v>1138</v>
      </c>
      <c r="D3337" s="115" t="s">
        <v>1139</v>
      </c>
      <c r="E3337" s="115" t="s">
        <v>1140</v>
      </c>
    </row>
    <row r="3338" spans="2:5" x14ac:dyDescent="0.25">
      <c r="B3338" s="115" t="s">
        <v>1138</v>
      </c>
      <c r="D3338" s="115" t="s">
        <v>1139</v>
      </c>
      <c r="E3338" s="115" t="s">
        <v>1140</v>
      </c>
    </row>
    <row r="3339" spans="2:5" x14ac:dyDescent="0.25">
      <c r="B3339" s="115" t="s">
        <v>1138</v>
      </c>
      <c r="D3339" s="115" t="s">
        <v>1139</v>
      </c>
      <c r="E3339" s="115" t="s">
        <v>1140</v>
      </c>
    </row>
    <row r="3340" spans="2:5" x14ac:dyDescent="0.25">
      <c r="B3340" s="115" t="s">
        <v>1138</v>
      </c>
      <c r="D3340" s="115" t="s">
        <v>1139</v>
      </c>
      <c r="E3340" s="115" t="s">
        <v>1140</v>
      </c>
    </row>
    <row r="3341" spans="2:5" x14ac:dyDescent="0.25">
      <c r="B3341" s="115" t="s">
        <v>1138</v>
      </c>
      <c r="D3341" s="115" t="s">
        <v>1139</v>
      </c>
      <c r="E3341" s="115" t="s">
        <v>1140</v>
      </c>
    </row>
    <row r="3342" spans="2:5" x14ac:dyDescent="0.25">
      <c r="B3342" s="115" t="s">
        <v>1138</v>
      </c>
      <c r="D3342" s="115" t="s">
        <v>1139</v>
      </c>
      <c r="E3342" s="115" t="s">
        <v>1140</v>
      </c>
    </row>
    <row r="3343" spans="2:5" x14ac:dyDescent="0.25">
      <c r="B3343" s="115" t="s">
        <v>1138</v>
      </c>
      <c r="D3343" s="115" t="s">
        <v>1139</v>
      </c>
      <c r="E3343" s="115" t="s">
        <v>1140</v>
      </c>
    </row>
    <row r="3344" spans="2:5" x14ac:dyDescent="0.25">
      <c r="B3344" s="115" t="s">
        <v>1138</v>
      </c>
      <c r="D3344" s="115" t="s">
        <v>1139</v>
      </c>
      <c r="E3344" s="115" t="s">
        <v>1140</v>
      </c>
    </row>
    <row r="3345" spans="2:5" x14ac:dyDescent="0.25">
      <c r="B3345" s="115" t="s">
        <v>1138</v>
      </c>
      <c r="D3345" s="115" t="s">
        <v>1139</v>
      </c>
      <c r="E3345" s="115" t="s">
        <v>1140</v>
      </c>
    </row>
    <row r="3346" spans="2:5" x14ac:dyDescent="0.25">
      <c r="B3346" s="115" t="s">
        <v>1138</v>
      </c>
      <c r="D3346" s="115" t="s">
        <v>1139</v>
      </c>
      <c r="E3346" s="115" t="s">
        <v>1140</v>
      </c>
    </row>
    <row r="3347" spans="2:5" x14ac:dyDescent="0.25">
      <c r="B3347" s="115" t="s">
        <v>1138</v>
      </c>
      <c r="D3347" s="115" t="s">
        <v>1139</v>
      </c>
      <c r="E3347" s="115" t="s">
        <v>1140</v>
      </c>
    </row>
    <row r="3348" spans="2:5" x14ac:dyDescent="0.25">
      <c r="B3348" s="115" t="s">
        <v>1138</v>
      </c>
      <c r="D3348" s="115" t="s">
        <v>1139</v>
      </c>
      <c r="E3348" s="115" t="s">
        <v>1140</v>
      </c>
    </row>
    <row r="3349" spans="2:5" x14ac:dyDescent="0.25">
      <c r="B3349" s="115" t="s">
        <v>1138</v>
      </c>
      <c r="D3349" s="115" t="s">
        <v>1139</v>
      </c>
      <c r="E3349" s="115" t="s">
        <v>1140</v>
      </c>
    </row>
    <row r="3350" spans="2:5" x14ac:dyDescent="0.25">
      <c r="B3350" s="115" t="s">
        <v>1138</v>
      </c>
      <c r="D3350" s="115" t="s">
        <v>1139</v>
      </c>
      <c r="E3350" s="115" t="s">
        <v>1140</v>
      </c>
    </row>
    <row r="3351" spans="2:5" x14ac:dyDescent="0.25">
      <c r="B3351" s="115" t="s">
        <v>1138</v>
      </c>
      <c r="D3351" s="115" t="s">
        <v>1139</v>
      </c>
      <c r="E3351" s="115" t="s">
        <v>1140</v>
      </c>
    </row>
    <row r="3352" spans="2:5" x14ac:dyDescent="0.25">
      <c r="B3352" s="115" t="s">
        <v>1138</v>
      </c>
      <c r="D3352" s="115" t="s">
        <v>1139</v>
      </c>
      <c r="E3352" s="115" t="s">
        <v>1140</v>
      </c>
    </row>
    <row r="3353" spans="2:5" x14ac:dyDescent="0.25">
      <c r="B3353" s="115" t="s">
        <v>1138</v>
      </c>
      <c r="D3353" s="115" t="s">
        <v>1139</v>
      </c>
      <c r="E3353" s="115" t="s">
        <v>1140</v>
      </c>
    </row>
    <row r="3354" spans="2:5" x14ac:dyDescent="0.25">
      <c r="B3354" s="115" t="s">
        <v>1138</v>
      </c>
      <c r="D3354" s="115" t="s">
        <v>1139</v>
      </c>
      <c r="E3354" s="115" t="s">
        <v>1140</v>
      </c>
    </row>
    <row r="3355" spans="2:5" x14ac:dyDescent="0.25">
      <c r="B3355" s="115" t="s">
        <v>1138</v>
      </c>
      <c r="D3355" s="115" t="s">
        <v>1139</v>
      </c>
      <c r="E3355" s="115" t="s">
        <v>1140</v>
      </c>
    </row>
    <row r="3356" spans="2:5" x14ac:dyDescent="0.25">
      <c r="B3356" s="115" t="s">
        <v>1138</v>
      </c>
      <c r="D3356" s="115" t="s">
        <v>1139</v>
      </c>
      <c r="E3356" s="115" t="s">
        <v>1140</v>
      </c>
    </row>
    <row r="3357" spans="2:5" x14ac:dyDescent="0.25">
      <c r="B3357" s="115" t="s">
        <v>1138</v>
      </c>
      <c r="D3357" s="115" t="s">
        <v>1139</v>
      </c>
      <c r="E3357" s="115" t="s">
        <v>1140</v>
      </c>
    </row>
    <row r="3358" spans="2:5" x14ac:dyDescent="0.25">
      <c r="B3358" s="115" t="s">
        <v>1138</v>
      </c>
      <c r="D3358" s="115" t="s">
        <v>1139</v>
      </c>
      <c r="E3358" s="115" t="s">
        <v>1140</v>
      </c>
    </row>
    <row r="3359" spans="2:5" x14ac:dyDescent="0.25">
      <c r="B3359" s="115" t="s">
        <v>1138</v>
      </c>
      <c r="D3359" s="115" t="s">
        <v>1139</v>
      </c>
      <c r="E3359" s="115" t="s">
        <v>1140</v>
      </c>
    </row>
    <row r="3360" spans="2:5" x14ac:dyDescent="0.25">
      <c r="B3360" s="115" t="s">
        <v>1138</v>
      </c>
      <c r="D3360" s="115" t="s">
        <v>1139</v>
      </c>
      <c r="E3360" s="115" t="s">
        <v>1140</v>
      </c>
    </row>
    <row r="3361" spans="2:5" x14ac:dyDescent="0.25">
      <c r="B3361" s="115" t="s">
        <v>1138</v>
      </c>
      <c r="D3361" s="115" t="s">
        <v>1139</v>
      </c>
      <c r="E3361" s="115" t="s">
        <v>1140</v>
      </c>
    </row>
    <row r="3362" spans="2:5" x14ac:dyDescent="0.25">
      <c r="B3362" s="115" t="s">
        <v>1138</v>
      </c>
      <c r="D3362" s="115" t="s">
        <v>1139</v>
      </c>
      <c r="E3362" s="115" t="s">
        <v>1140</v>
      </c>
    </row>
    <row r="3363" spans="2:5" x14ac:dyDescent="0.25">
      <c r="B3363" s="115" t="s">
        <v>1138</v>
      </c>
      <c r="D3363" s="115" t="s">
        <v>1139</v>
      </c>
      <c r="E3363" s="115" t="s">
        <v>1140</v>
      </c>
    </row>
    <row r="3364" spans="2:5" x14ac:dyDescent="0.25">
      <c r="B3364" s="115" t="s">
        <v>1138</v>
      </c>
      <c r="D3364" s="115" t="s">
        <v>1139</v>
      </c>
      <c r="E3364" s="115" t="s">
        <v>1140</v>
      </c>
    </row>
    <row r="3365" spans="2:5" x14ac:dyDescent="0.25">
      <c r="B3365" s="115" t="s">
        <v>1138</v>
      </c>
      <c r="D3365" s="115" t="s">
        <v>1139</v>
      </c>
      <c r="E3365" s="115" t="s">
        <v>1140</v>
      </c>
    </row>
    <row r="3366" spans="2:5" x14ac:dyDescent="0.25">
      <c r="B3366" s="115" t="s">
        <v>1138</v>
      </c>
      <c r="D3366" s="115" t="s">
        <v>1139</v>
      </c>
      <c r="E3366" s="115" t="s">
        <v>1140</v>
      </c>
    </row>
    <row r="3367" spans="2:5" x14ac:dyDescent="0.25">
      <c r="B3367" s="115" t="s">
        <v>1138</v>
      </c>
      <c r="D3367" s="115" t="s">
        <v>1139</v>
      </c>
      <c r="E3367" s="115" t="s">
        <v>1140</v>
      </c>
    </row>
    <row r="3368" spans="2:5" x14ac:dyDescent="0.25">
      <c r="B3368" s="115" t="s">
        <v>1138</v>
      </c>
      <c r="D3368" s="115" t="s">
        <v>1139</v>
      </c>
      <c r="E3368" s="115" t="s">
        <v>1140</v>
      </c>
    </row>
    <row r="3369" spans="2:5" x14ac:dyDescent="0.25">
      <c r="B3369" s="115" t="s">
        <v>1138</v>
      </c>
      <c r="D3369" s="115" t="s">
        <v>1139</v>
      </c>
      <c r="E3369" s="115" t="s">
        <v>1140</v>
      </c>
    </row>
    <row r="3370" spans="2:5" x14ac:dyDescent="0.25">
      <c r="B3370" s="115" t="s">
        <v>1138</v>
      </c>
      <c r="D3370" s="115" t="s">
        <v>1139</v>
      </c>
      <c r="E3370" s="115" t="s">
        <v>1140</v>
      </c>
    </row>
    <row r="3371" spans="2:5" x14ac:dyDescent="0.25">
      <c r="B3371" s="115" t="s">
        <v>1138</v>
      </c>
      <c r="D3371" s="115" t="s">
        <v>1139</v>
      </c>
      <c r="E3371" s="115" t="s">
        <v>1140</v>
      </c>
    </row>
    <row r="3372" spans="2:5" x14ac:dyDescent="0.25">
      <c r="B3372" s="115" t="s">
        <v>1138</v>
      </c>
      <c r="D3372" s="115" t="s">
        <v>1139</v>
      </c>
      <c r="E3372" s="115" t="s">
        <v>1140</v>
      </c>
    </row>
    <row r="3373" spans="2:5" x14ac:dyDescent="0.25">
      <c r="B3373" s="115" t="s">
        <v>1138</v>
      </c>
      <c r="D3373" s="115" t="s">
        <v>1139</v>
      </c>
      <c r="E3373" s="115" t="s">
        <v>1140</v>
      </c>
    </row>
    <row r="3374" spans="2:5" x14ac:dyDescent="0.25">
      <c r="B3374" s="115" t="s">
        <v>1138</v>
      </c>
      <c r="D3374" s="115" t="s">
        <v>1139</v>
      </c>
      <c r="E3374" s="115" t="s">
        <v>1140</v>
      </c>
    </row>
    <row r="3375" spans="2:5" x14ac:dyDescent="0.25">
      <c r="B3375" s="115" t="s">
        <v>1138</v>
      </c>
      <c r="D3375" s="115" t="s">
        <v>1139</v>
      </c>
      <c r="E3375" s="115" t="s">
        <v>1140</v>
      </c>
    </row>
    <row r="3376" spans="2:5" x14ac:dyDescent="0.25">
      <c r="B3376" s="115" t="s">
        <v>1138</v>
      </c>
      <c r="D3376" s="115" t="s">
        <v>1139</v>
      </c>
      <c r="E3376" s="115" t="s">
        <v>1140</v>
      </c>
    </row>
    <row r="3377" spans="2:5" x14ac:dyDescent="0.25">
      <c r="B3377" s="115" t="s">
        <v>1138</v>
      </c>
      <c r="D3377" s="115" t="s">
        <v>1139</v>
      </c>
      <c r="E3377" s="115" t="s">
        <v>1140</v>
      </c>
    </row>
    <row r="3378" spans="2:5" x14ac:dyDescent="0.25">
      <c r="B3378" s="115" t="s">
        <v>1138</v>
      </c>
      <c r="D3378" s="115" t="s">
        <v>1139</v>
      </c>
      <c r="E3378" s="115" t="s">
        <v>1140</v>
      </c>
    </row>
    <row r="3379" spans="2:5" x14ac:dyDescent="0.25">
      <c r="B3379" s="115" t="s">
        <v>1138</v>
      </c>
      <c r="D3379" s="115" t="s">
        <v>1139</v>
      </c>
      <c r="E3379" s="115" t="s">
        <v>1140</v>
      </c>
    </row>
    <row r="3380" spans="2:5" x14ac:dyDescent="0.25">
      <c r="B3380" s="115" t="s">
        <v>1138</v>
      </c>
      <c r="D3380" s="115" t="s">
        <v>1139</v>
      </c>
      <c r="E3380" s="115" t="s">
        <v>1140</v>
      </c>
    </row>
    <row r="3381" spans="2:5" x14ac:dyDescent="0.25">
      <c r="B3381" s="115" t="s">
        <v>1138</v>
      </c>
      <c r="D3381" s="115" t="s">
        <v>1139</v>
      </c>
      <c r="E3381" s="115" t="s">
        <v>1140</v>
      </c>
    </row>
    <row r="3382" spans="2:5" x14ac:dyDescent="0.25">
      <c r="B3382" s="115" t="s">
        <v>1138</v>
      </c>
      <c r="D3382" s="115" t="s">
        <v>1139</v>
      </c>
      <c r="E3382" s="115" t="s">
        <v>1140</v>
      </c>
    </row>
    <row r="3383" spans="2:5" x14ac:dyDescent="0.25">
      <c r="B3383" s="115" t="s">
        <v>1138</v>
      </c>
      <c r="D3383" s="115" t="s">
        <v>1139</v>
      </c>
      <c r="E3383" s="115" t="s">
        <v>1140</v>
      </c>
    </row>
    <row r="3384" spans="2:5" x14ac:dyDescent="0.25">
      <c r="B3384" s="115" t="s">
        <v>1138</v>
      </c>
      <c r="D3384" s="115" t="s">
        <v>1139</v>
      </c>
      <c r="E3384" s="115" t="s">
        <v>1140</v>
      </c>
    </row>
    <row r="3385" spans="2:5" x14ac:dyDescent="0.25">
      <c r="B3385" s="115" t="s">
        <v>1138</v>
      </c>
      <c r="D3385" s="115" t="s">
        <v>1139</v>
      </c>
      <c r="E3385" s="115" t="s">
        <v>1140</v>
      </c>
    </row>
    <row r="3386" spans="2:5" x14ac:dyDescent="0.25">
      <c r="B3386" s="115" t="s">
        <v>1138</v>
      </c>
      <c r="D3386" s="115" t="s">
        <v>1139</v>
      </c>
      <c r="E3386" s="115" t="s">
        <v>1140</v>
      </c>
    </row>
    <row r="3387" spans="2:5" x14ac:dyDescent="0.25">
      <c r="B3387" s="115" t="s">
        <v>1138</v>
      </c>
      <c r="D3387" s="115" t="s">
        <v>1139</v>
      </c>
      <c r="E3387" s="115" t="s">
        <v>1140</v>
      </c>
    </row>
    <row r="3388" spans="2:5" x14ac:dyDescent="0.25">
      <c r="B3388" s="115" t="s">
        <v>1138</v>
      </c>
      <c r="D3388" s="115" t="s">
        <v>1139</v>
      </c>
      <c r="E3388" s="115" t="s">
        <v>1140</v>
      </c>
    </row>
    <row r="3389" spans="2:5" x14ac:dyDescent="0.25">
      <c r="B3389" s="115" t="s">
        <v>1138</v>
      </c>
      <c r="D3389" s="115" t="s">
        <v>1139</v>
      </c>
      <c r="E3389" s="115" t="s">
        <v>1140</v>
      </c>
    </row>
    <row r="3390" spans="2:5" x14ac:dyDescent="0.25">
      <c r="B3390" s="115" t="s">
        <v>1138</v>
      </c>
      <c r="D3390" s="115" t="s">
        <v>1139</v>
      </c>
      <c r="E3390" s="115" t="s">
        <v>1140</v>
      </c>
    </row>
    <row r="3391" spans="2:5" x14ac:dyDescent="0.25">
      <c r="B3391" s="115" t="s">
        <v>1138</v>
      </c>
      <c r="D3391" s="115" t="s">
        <v>1139</v>
      </c>
      <c r="E3391" s="115" t="s">
        <v>1140</v>
      </c>
    </row>
    <row r="3392" spans="2:5" x14ac:dyDescent="0.25">
      <c r="B3392" s="115" t="s">
        <v>1138</v>
      </c>
      <c r="D3392" s="115" t="s">
        <v>1139</v>
      </c>
      <c r="E3392" s="115" t="s">
        <v>1140</v>
      </c>
    </row>
    <row r="3393" spans="2:5" x14ac:dyDescent="0.25">
      <c r="B3393" s="115" t="s">
        <v>1138</v>
      </c>
      <c r="D3393" s="115" t="s">
        <v>1139</v>
      </c>
      <c r="E3393" s="115" t="s">
        <v>1140</v>
      </c>
    </row>
    <row r="3394" spans="2:5" x14ac:dyDescent="0.25">
      <c r="B3394" s="115" t="s">
        <v>1138</v>
      </c>
      <c r="D3394" s="115" t="s">
        <v>1139</v>
      </c>
      <c r="E3394" s="115" t="s">
        <v>1140</v>
      </c>
    </row>
    <row r="3395" spans="2:5" x14ac:dyDescent="0.25">
      <c r="B3395" s="115" t="s">
        <v>1138</v>
      </c>
      <c r="D3395" s="115" t="s">
        <v>1139</v>
      </c>
      <c r="E3395" s="115" t="s">
        <v>1140</v>
      </c>
    </row>
    <row r="3396" spans="2:5" x14ac:dyDescent="0.25">
      <c r="B3396" s="115" t="s">
        <v>1138</v>
      </c>
      <c r="D3396" s="115" t="s">
        <v>1139</v>
      </c>
      <c r="E3396" s="115" t="s">
        <v>1140</v>
      </c>
    </row>
    <row r="3397" spans="2:5" x14ac:dyDescent="0.25">
      <c r="B3397" s="115" t="s">
        <v>1138</v>
      </c>
      <c r="D3397" s="115" t="s">
        <v>1139</v>
      </c>
      <c r="E3397" s="115" t="s">
        <v>1140</v>
      </c>
    </row>
    <row r="3398" spans="2:5" x14ac:dyDescent="0.25">
      <c r="B3398" s="115" t="s">
        <v>1138</v>
      </c>
      <c r="D3398" s="115" t="s">
        <v>1139</v>
      </c>
      <c r="E3398" s="115" t="s">
        <v>1140</v>
      </c>
    </row>
    <row r="3399" spans="2:5" x14ac:dyDescent="0.25">
      <c r="B3399" s="115" t="s">
        <v>1138</v>
      </c>
      <c r="D3399" s="115" t="s">
        <v>1139</v>
      </c>
      <c r="E3399" s="115" t="s">
        <v>1140</v>
      </c>
    </row>
    <row r="3400" spans="2:5" x14ac:dyDescent="0.25">
      <c r="B3400" s="115" t="s">
        <v>1138</v>
      </c>
      <c r="D3400" s="115" t="s">
        <v>1139</v>
      </c>
      <c r="E3400" s="115" t="s">
        <v>1140</v>
      </c>
    </row>
    <row r="3401" spans="2:5" x14ac:dyDescent="0.25">
      <c r="B3401" s="115" t="s">
        <v>1138</v>
      </c>
      <c r="D3401" s="115" t="s">
        <v>1139</v>
      </c>
      <c r="E3401" s="115" t="s">
        <v>1140</v>
      </c>
    </row>
    <row r="3402" spans="2:5" x14ac:dyDescent="0.25">
      <c r="B3402" s="115" t="s">
        <v>1138</v>
      </c>
      <c r="D3402" s="115" t="s">
        <v>1139</v>
      </c>
      <c r="E3402" s="115" t="s">
        <v>1140</v>
      </c>
    </row>
    <row r="3403" spans="2:5" x14ac:dyDescent="0.25">
      <c r="B3403" s="115" t="s">
        <v>1138</v>
      </c>
      <c r="D3403" s="115" t="s">
        <v>1139</v>
      </c>
      <c r="E3403" s="115" t="s">
        <v>1140</v>
      </c>
    </row>
    <row r="3404" spans="2:5" x14ac:dyDescent="0.25">
      <c r="B3404" s="115" t="s">
        <v>1138</v>
      </c>
      <c r="D3404" s="115" t="s">
        <v>1139</v>
      </c>
      <c r="E3404" s="115" t="s">
        <v>1140</v>
      </c>
    </row>
    <row r="3405" spans="2:5" x14ac:dyDescent="0.25">
      <c r="B3405" s="115" t="s">
        <v>1138</v>
      </c>
      <c r="D3405" s="115" t="s">
        <v>1139</v>
      </c>
      <c r="E3405" s="115" t="s">
        <v>1140</v>
      </c>
    </row>
    <row r="3406" spans="2:5" x14ac:dyDescent="0.25">
      <c r="B3406" s="115" t="s">
        <v>1138</v>
      </c>
      <c r="D3406" s="115" t="s">
        <v>1139</v>
      </c>
      <c r="E3406" s="115" t="s">
        <v>1140</v>
      </c>
    </row>
    <row r="3407" spans="2:5" x14ac:dyDescent="0.25">
      <c r="B3407" s="115" t="s">
        <v>1138</v>
      </c>
      <c r="D3407" s="115" t="s">
        <v>1139</v>
      </c>
      <c r="E3407" s="115" t="s">
        <v>1140</v>
      </c>
    </row>
    <row r="3408" spans="2:5" x14ac:dyDescent="0.25">
      <c r="B3408" s="115" t="s">
        <v>1138</v>
      </c>
      <c r="D3408" s="115" t="s">
        <v>1139</v>
      </c>
      <c r="E3408" s="115" t="s">
        <v>1140</v>
      </c>
    </row>
    <row r="3409" spans="2:5" x14ac:dyDescent="0.25">
      <c r="B3409" s="115" t="s">
        <v>1138</v>
      </c>
      <c r="D3409" s="115" t="s">
        <v>1139</v>
      </c>
      <c r="E3409" s="115" t="s">
        <v>1140</v>
      </c>
    </row>
    <row r="3410" spans="2:5" x14ac:dyDescent="0.25">
      <c r="B3410" s="115" t="s">
        <v>1138</v>
      </c>
      <c r="D3410" s="115" t="s">
        <v>1139</v>
      </c>
      <c r="E3410" s="115" t="s">
        <v>1140</v>
      </c>
    </row>
    <row r="3411" spans="2:5" x14ac:dyDescent="0.25">
      <c r="B3411" s="115" t="s">
        <v>1138</v>
      </c>
      <c r="D3411" s="115" t="s">
        <v>1139</v>
      </c>
      <c r="E3411" s="115" t="s">
        <v>1140</v>
      </c>
    </row>
    <row r="3412" spans="2:5" x14ac:dyDescent="0.25">
      <c r="B3412" s="115" t="s">
        <v>1138</v>
      </c>
      <c r="D3412" s="115" t="s">
        <v>1139</v>
      </c>
      <c r="E3412" s="115" t="s">
        <v>1140</v>
      </c>
    </row>
    <row r="3413" spans="2:5" x14ac:dyDescent="0.25">
      <c r="B3413" s="115" t="s">
        <v>1138</v>
      </c>
      <c r="D3413" s="115" t="s">
        <v>1139</v>
      </c>
      <c r="E3413" s="115" t="s">
        <v>1140</v>
      </c>
    </row>
    <row r="3414" spans="2:5" x14ac:dyDescent="0.25">
      <c r="B3414" s="115" t="s">
        <v>1138</v>
      </c>
      <c r="D3414" s="115" t="s">
        <v>1139</v>
      </c>
      <c r="E3414" s="115" t="s">
        <v>1140</v>
      </c>
    </row>
    <row r="3415" spans="2:5" x14ac:dyDescent="0.25">
      <c r="B3415" s="115" t="s">
        <v>1138</v>
      </c>
      <c r="D3415" s="115" t="s">
        <v>1139</v>
      </c>
      <c r="E3415" s="115" t="s">
        <v>1140</v>
      </c>
    </row>
    <row r="3416" spans="2:5" x14ac:dyDescent="0.25">
      <c r="B3416" s="115" t="s">
        <v>1138</v>
      </c>
      <c r="D3416" s="115" t="s">
        <v>1139</v>
      </c>
      <c r="E3416" s="115" t="s">
        <v>1140</v>
      </c>
    </row>
    <row r="3417" spans="2:5" x14ac:dyDescent="0.25">
      <c r="B3417" s="115" t="s">
        <v>1138</v>
      </c>
      <c r="D3417" s="115" t="s">
        <v>1139</v>
      </c>
      <c r="E3417" s="115" t="s">
        <v>1140</v>
      </c>
    </row>
    <row r="3418" spans="2:5" x14ac:dyDescent="0.25">
      <c r="B3418" s="115" t="s">
        <v>1138</v>
      </c>
      <c r="D3418" s="115" t="s">
        <v>1139</v>
      </c>
      <c r="E3418" s="115" t="s">
        <v>1140</v>
      </c>
    </row>
    <row r="3419" spans="2:5" x14ac:dyDescent="0.25">
      <c r="B3419" s="115" t="s">
        <v>1138</v>
      </c>
      <c r="D3419" s="115" t="s">
        <v>1139</v>
      </c>
      <c r="E3419" s="115" t="s">
        <v>1140</v>
      </c>
    </row>
    <row r="3420" spans="2:5" x14ac:dyDescent="0.25">
      <c r="B3420" s="115" t="s">
        <v>1138</v>
      </c>
      <c r="D3420" s="115" t="s">
        <v>1139</v>
      </c>
      <c r="E3420" s="115" t="s">
        <v>1140</v>
      </c>
    </row>
    <row r="3421" spans="2:5" x14ac:dyDescent="0.25">
      <c r="B3421" s="115" t="s">
        <v>1138</v>
      </c>
      <c r="D3421" s="115" t="s">
        <v>1139</v>
      </c>
      <c r="E3421" s="115" t="s">
        <v>1140</v>
      </c>
    </row>
    <row r="3422" spans="2:5" x14ac:dyDescent="0.25">
      <c r="B3422" s="115" t="s">
        <v>1138</v>
      </c>
      <c r="D3422" s="115" t="s">
        <v>1139</v>
      </c>
      <c r="E3422" s="115" t="s">
        <v>1140</v>
      </c>
    </row>
    <row r="3423" spans="2:5" x14ac:dyDescent="0.25">
      <c r="B3423" s="115" t="s">
        <v>1138</v>
      </c>
      <c r="D3423" s="115" t="s">
        <v>1139</v>
      </c>
      <c r="E3423" s="115" t="s">
        <v>1140</v>
      </c>
    </row>
    <row r="3424" spans="2:5" x14ac:dyDescent="0.25">
      <c r="B3424" s="115" t="s">
        <v>1138</v>
      </c>
      <c r="D3424" s="115" t="s">
        <v>1139</v>
      </c>
      <c r="E3424" s="115" t="s">
        <v>1140</v>
      </c>
    </row>
    <row r="3425" spans="2:5" x14ac:dyDescent="0.25">
      <c r="B3425" s="115" t="s">
        <v>1138</v>
      </c>
      <c r="D3425" s="115" t="s">
        <v>1139</v>
      </c>
      <c r="E3425" s="115" t="s">
        <v>1140</v>
      </c>
    </row>
    <row r="3426" spans="2:5" x14ac:dyDescent="0.25">
      <c r="B3426" s="115" t="s">
        <v>1138</v>
      </c>
      <c r="D3426" s="115" t="s">
        <v>1139</v>
      </c>
      <c r="E3426" s="115" t="s">
        <v>1140</v>
      </c>
    </row>
    <row r="3427" spans="2:5" x14ac:dyDescent="0.25">
      <c r="B3427" s="115" t="s">
        <v>1138</v>
      </c>
      <c r="D3427" s="115" t="s">
        <v>1139</v>
      </c>
      <c r="E3427" s="115" t="s">
        <v>1140</v>
      </c>
    </row>
    <row r="3428" spans="2:5" x14ac:dyDescent="0.25">
      <c r="B3428" s="115" t="s">
        <v>1138</v>
      </c>
      <c r="D3428" s="115" t="s">
        <v>1139</v>
      </c>
      <c r="E3428" s="115" t="s">
        <v>1140</v>
      </c>
    </row>
    <row r="3429" spans="2:5" x14ac:dyDescent="0.25">
      <c r="B3429" s="115" t="s">
        <v>1138</v>
      </c>
      <c r="D3429" s="115" t="s">
        <v>1139</v>
      </c>
      <c r="E3429" s="115" t="s">
        <v>1140</v>
      </c>
    </row>
    <row r="3430" spans="2:5" x14ac:dyDescent="0.25">
      <c r="B3430" s="115" t="s">
        <v>1138</v>
      </c>
      <c r="D3430" s="115" t="s">
        <v>1139</v>
      </c>
      <c r="E3430" s="115" t="s">
        <v>1140</v>
      </c>
    </row>
    <row r="3431" spans="2:5" x14ac:dyDescent="0.25">
      <c r="B3431" s="115" t="s">
        <v>1138</v>
      </c>
      <c r="D3431" s="115" t="s">
        <v>1139</v>
      </c>
      <c r="E3431" s="115" t="s">
        <v>1140</v>
      </c>
    </row>
    <row r="3432" spans="2:5" x14ac:dyDescent="0.25">
      <c r="B3432" s="115" t="s">
        <v>1138</v>
      </c>
      <c r="D3432" s="115" t="s">
        <v>1139</v>
      </c>
      <c r="E3432" s="115" t="s">
        <v>1140</v>
      </c>
    </row>
    <row r="3433" spans="2:5" x14ac:dyDescent="0.25">
      <c r="B3433" s="115" t="s">
        <v>1138</v>
      </c>
      <c r="D3433" s="115" t="s">
        <v>1139</v>
      </c>
      <c r="E3433" s="115" t="s">
        <v>1140</v>
      </c>
    </row>
    <row r="3434" spans="2:5" x14ac:dyDescent="0.25">
      <c r="B3434" s="115" t="s">
        <v>1138</v>
      </c>
      <c r="D3434" s="115" t="s">
        <v>1139</v>
      </c>
      <c r="E3434" s="115" t="s">
        <v>1140</v>
      </c>
    </row>
    <row r="3435" spans="2:5" x14ac:dyDescent="0.25">
      <c r="B3435" s="115" t="s">
        <v>1138</v>
      </c>
      <c r="D3435" s="115" t="s">
        <v>1139</v>
      </c>
      <c r="E3435" s="115" t="s">
        <v>1140</v>
      </c>
    </row>
    <row r="3436" spans="2:5" x14ac:dyDescent="0.25">
      <c r="B3436" s="115" t="s">
        <v>1138</v>
      </c>
      <c r="D3436" s="115" t="s">
        <v>1139</v>
      </c>
      <c r="E3436" s="115" t="s">
        <v>1140</v>
      </c>
    </row>
    <row r="3437" spans="2:5" x14ac:dyDescent="0.25">
      <c r="B3437" s="115" t="s">
        <v>1138</v>
      </c>
      <c r="D3437" s="115" t="s">
        <v>1139</v>
      </c>
      <c r="E3437" s="115" t="s">
        <v>1140</v>
      </c>
    </row>
    <row r="3438" spans="2:5" x14ac:dyDescent="0.25">
      <c r="B3438" s="115" t="s">
        <v>1138</v>
      </c>
      <c r="D3438" s="115" t="s">
        <v>1139</v>
      </c>
      <c r="E3438" s="115" t="s">
        <v>1140</v>
      </c>
    </row>
    <row r="3439" spans="2:5" x14ac:dyDescent="0.25">
      <c r="B3439" s="115" t="s">
        <v>1138</v>
      </c>
      <c r="D3439" s="115" t="s">
        <v>1139</v>
      </c>
      <c r="E3439" s="115" t="s">
        <v>1140</v>
      </c>
    </row>
    <row r="3440" spans="2:5" x14ac:dyDescent="0.25">
      <c r="B3440" s="115" t="s">
        <v>1138</v>
      </c>
      <c r="D3440" s="115" t="s">
        <v>1139</v>
      </c>
      <c r="E3440" s="115" t="s">
        <v>1140</v>
      </c>
    </row>
    <row r="3441" spans="2:5" x14ac:dyDescent="0.25">
      <c r="B3441" s="115" t="s">
        <v>1138</v>
      </c>
      <c r="D3441" s="115" t="s">
        <v>1139</v>
      </c>
      <c r="E3441" s="115" t="s">
        <v>1140</v>
      </c>
    </row>
    <row r="3442" spans="2:5" x14ac:dyDescent="0.25">
      <c r="B3442" s="115" t="s">
        <v>1138</v>
      </c>
      <c r="D3442" s="115" t="s">
        <v>1139</v>
      </c>
      <c r="E3442" s="115" t="s">
        <v>1140</v>
      </c>
    </row>
    <row r="3443" spans="2:5" x14ac:dyDescent="0.25">
      <c r="B3443" s="115" t="s">
        <v>1138</v>
      </c>
      <c r="D3443" s="115" t="s">
        <v>1139</v>
      </c>
      <c r="E3443" s="115" t="s">
        <v>1140</v>
      </c>
    </row>
    <row r="3444" spans="2:5" x14ac:dyDescent="0.25">
      <c r="B3444" s="115" t="s">
        <v>1138</v>
      </c>
      <c r="D3444" s="115" t="s">
        <v>1139</v>
      </c>
      <c r="E3444" s="115" t="s">
        <v>1140</v>
      </c>
    </row>
    <row r="3445" spans="2:5" x14ac:dyDescent="0.25">
      <c r="B3445" s="115" t="s">
        <v>1138</v>
      </c>
      <c r="D3445" s="115" t="s">
        <v>1139</v>
      </c>
      <c r="E3445" s="115" t="s">
        <v>1140</v>
      </c>
    </row>
    <row r="3446" spans="2:5" x14ac:dyDescent="0.25">
      <c r="B3446" s="115" t="s">
        <v>1138</v>
      </c>
      <c r="D3446" s="115" t="s">
        <v>1139</v>
      </c>
      <c r="E3446" s="115" t="s">
        <v>1140</v>
      </c>
    </row>
    <row r="3447" spans="2:5" x14ac:dyDescent="0.25">
      <c r="B3447" s="115" t="s">
        <v>1138</v>
      </c>
      <c r="D3447" s="115" t="s">
        <v>1139</v>
      </c>
      <c r="E3447" s="115" t="s">
        <v>1140</v>
      </c>
    </row>
    <row r="3448" spans="2:5" x14ac:dyDescent="0.25">
      <c r="B3448" s="115" t="s">
        <v>1138</v>
      </c>
      <c r="D3448" s="115" t="s">
        <v>1139</v>
      </c>
      <c r="E3448" s="115" t="s">
        <v>1140</v>
      </c>
    </row>
    <row r="3449" spans="2:5" x14ac:dyDescent="0.25">
      <c r="B3449" s="115" t="s">
        <v>1138</v>
      </c>
      <c r="D3449" s="115" t="s">
        <v>1139</v>
      </c>
      <c r="E3449" s="115" t="s">
        <v>1140</v>
      </c>
    </row>
    <row r="3450" spans="2:5" x14ac:dyDescent="0.25">
      <c r="B3450" s="115" t="s">
        <v>1138</v>
      </c>
      <c r="D3450" s="115" t="s">
        <v>1139</v>
      </c>
      <c r="E3450" s="115" t="s">
        <v>1140</v>
      </c>
    </row>
    <row r="3451" spans="2:5" x14ac:dyDescent="0.25">
      <c r="B3451" s="115" t="s">
        <v>1138</v>
      </c>
      <c r="D3451" s="115" t="s">
        <v>1139</v>
      </c>
      <c r="E3451" s="115" t="s">
        <v>1140</v>
      </c>
    </row>
    <row r="3452" spans="2:5" x14ac:dyDescent="0.25">
      <c r="B3452" s="115" t="s">
        <v>1138</v>
      </c>
      <c r="D3452" s="115" t="s">
        <v>1139</v>
      </c>
      <c r="E3452" s="115" t="s">
        <v>1140</v>
      </c>
    </row>
    <row r="3453" spans="2:5" x14ac:dyDescent="0.25">
      <c r="B3453" s="115" t="s">
        <v>1138</v>
      </c>
      <c r="D3453" s="115" t="s">
        <v>1139</v>
      </c>
      <c r="E3453" s="115" t="s">
        <v>1140</v>
      </c>
    </row>
    <row r="3454" spans="2:5" x14ac:dyDescent="0.25">
      <c r="B3454" s="115" t="s">
        <v>1138</v>
      </c>
      <c r="D3454" s="115" t="s">
        <v>1139</v>
      </c>
      <c r="E3454" s="115" t="s">
        <v>1140</v>
      </c>
    </row>
    <row r="3455" spans="2:5" x14ac:dyDescent="0.25">
      <c r="B3455" s="115" t="s">
        <v>1138</v>
      </c>
      <c r="D3455" s="115" t="s">
        <v>1139</v>
      </c>
      <c r="E3455" s="115" t="s">
        <v>1140</v>
      </c>
    </row>
    <row r="3456" spans="2:5" x14ac:dyDescent="0.25">
      <c r="B3456" s="115" t="s">
        <v>1138</v>
      </c>
      <c r="D3456" s="115" t="s">
        <v>1139</v>
      </c>
      <c r="E3456" s="115" t="s">
        <v>1140</v>
      </c>
    </row>
    <row r="3457" spans="2:5" x14ac:dyDescent="0.25">
      <c r="B3457" s="115" t="s">
        <v>1138</v>
      </c>
      <c r="D3457" s="115" t="s">
        <v>1139</v>
      </c>
      <c r="E3457" s="115" t="s">
        <v>1140</v>
      </c>
    </row>
    <row r="3458" spans="2:5" x14ac:dyDescent="0.25">
      <c r="B3458" s="115" t="s">
        <v>1138</v>
      </c>
      <c r="D3458" s="115" t="s">
        <v>1139</v>
      </c>
      <c r="E3458" s="115" t="s">
        <v>1140</v>
      </c>
    </row>
    <row r="3459" spans="2:5" x14ac:dyDescent="0.25">
      <c r="B3459" s="115" t="s">
        <v>1138</v>
      </c>
      <c r="D3459" s="115" t="s">
        <v>1139</v>
      </c>
      <c r="E3459" s="115" t="s">
        <v>1140</v>
      </c>
    </row>
    <row r="3460" spans="2:5" x14ac:dyDescent="0.25">
      <c r="B3460" s="115" t="s">
        <v>1138</v>
      </c>
      <c r="D3460" s="115" t="s">
        <v>1139</v>
      </c>
      <c r="E3460" s="115" t="s">
        <v>1140</v>
      </c>
    </row>
    <row r="3461" spans="2:5" x14ac:dyDescent="0.25">
      <c r="B3461" s="115" t="s">
        <v>1138</v>
      </c>
      <c r="D3461" s="115" t="s">
        <v>1139</v>
      </c>
      <c r="E3461" s="115" t="s">
        <v>1140</v>
      </c>
    </row>
    <row r="3462" spans="2:5" x14ac:dyDescent="0.25">
      <c r="B3462" s="115" t="s">
        <v>1138</v>
      </c>
      <c r="D3462" s="115" t="s">
        <v>1139</v>
      </c>
      <c r="E3462" s="115" t="s">
        <v>1140</v>
      </c>
    </row>
    <row r="3463" spans="2:5" x14ac:dyDescent="0.25">
      <c r="B3463" s="115" t="s">
        <v>1138</v>
      </c>
      <c r="D3463" s="115" t="s">
        <v>1139</v>
      </c>
      <c r="E3463" s="115" t="s">
        <v>1140</v>
      </c>
    </row>
    <row r="3464" spans="2:5" x14ac:dyDescent="0.25">
      <c r="B3464" s="115" t="s">
        <v>1138</v>
      </c>
      <c r="D3464" s="115" t="s">
        <v>1139</v>
      </c>
      <c r="E3464" s="115" t="s">
        <v>1140</v>
      </c>
    </row>
    <row r="3465" spans="2:5" x14ac:dyDescent="0.25">
      <c r="B3465" s="115" t="s">
        <v>1138</v>
      </c>
      <c r="D3465" s="115" t="s">
        <v>1139</v>
      </c>
      <c r="E3465" s="115" t="s">
        <v>1140</v>
      </c>
    </row>
    <row r="3466" spans="2:5" x14ac:dyDescent="0.25">
      <c r="B3466" s="115" t="s">
        <v>1138</v>
      </c>
      <c r="D3466" s="115" t="s">
        <v>1139</v>
      </c>
      <c r="E3466" s="115" t="s">
        <v>1140</v>
      </c>
    </row>
    <row r="3467" spans="2:5" x14ac:dyDescent="0.25">
      <c r="B3467" s="115" t="s">
        <v>1138</v>
      </c>
      <c r="D3467" s="115" t="s">
        <v>1139</v>
      </c>
      <c r="E3467" s="115" t="s">
        <v>1140</v>
      </c>
    </row>
    <row r="3468" spans="2:5" x14ac:dyDescent="0.25">
      <c r="B3468" s="115" t="s">
        <v>1138</v>
      </c>
      <c r="D3468" s="115" t="s">
        <v>1139</v>
      </c>
      <c r="E3468" s="115" t="s">
        <v>1140</v>
      </c>
    </row>
    <row r="3469" spans="2:5" x14ac:dyDescent="0.25">
      <c r="B3469" s="115" t="s">
        <v>1138</v>
      </c>
      <c r="D3469" s="115" t="s">
        <v>1139</v>
      </c>
      <c r="E3469" s="115" t="s">
        <v>1140</v>
      </c>
    </row>
    <row r="3470" spans="2:5" x14ac:dyDescent="0.25">
      <c r="B3470" s="115" t="s">
        <v>1138</v>
      </c>
      <c r="D3470" s="115" t="s">
        <v>1139</v>
      </c>
      <c r="E3470" s="115" t="s">
        <v>1140</v>
      </c>
    </row>
    <row r="3471" spans="2:5" x14ac:dyDescent="0.25">
      <c r="B3471" s="115" t="s">
        <v>1138</v>
      </c>
      <c r="D3471" s="115" t="s">
        <v>1139</v>
      </c>
      <c r="E3471" s="115" t="s">
        <v>1140</v>
      </c>
    </row>
    <row r="3472" spans="2:5" x14ac:dyDescent="0.25">
      <c r="B3472" s="115" t="s">
        <v>1138</v>
      </c>
      <c r="D3472" s="115" t="s">
        <v>1139</v>
      </c>
      <c r="E3472" s="115" t="s">
        <v>1140</v>
      </c>
    </row>
    <row r="3473" spans="1:5" x14ac:dyDescent="0.25">
      <c r="B3473" s="115" t="s">
        <v>1138</v>
      </c>
      <c r="D3473" s="115" t="s">
        <v>1139</v>
      </c>
      <c r="E3473" s="115" t="s">
        <v>1140</v>
      </c>
    </row>
    <row r="3474" spans="1:5" x14ac:dyDescent="0.25">
      <c r="B3474" s="115" t="s">
        <v>1138</v>
      </c>
      <c r="D3474" s="115" t="s">
        <v>1139</v>
      </c>
      <c r="E3474" s="115" t="s">
        <v>1140</v>
      </c>
    </row>
    <row r="3475" spans="1:5" x14ac:dyDescent="0.25">
      <c r="B3475" s="115" t="s">
        <v>1138</v>
      </c>
      <c r="D3475" s="115" t="s">
        <v>1139</v>
      </c>
      <c r="E3475" s="115" t="s">
        <v>1140</v>
      </c>
    </row>
    <row r="3476" spans="1:5" x14ac:dyDescent="0.25">
      <c r="B3476" s="115" t="s">
        <v>1138</v>
      </c>
      <c r="D3476" s="115" t="s">
        <v>2171</v>
      </c>
      <c r="E3476" s="115" t="s">
        <v>4851</v>
      </c>
    </row>
    <row r="3477" spans="1:5" x14ac:dyDescent="0.25">
      <c r="B3477" s="115" t="s">
        <v>2240</v>
      </c>
      <c r="D3477" s="115" t="s">
        <v>1532</v>
      </c>
      <c r="E3477" s="115" t="s">
        <v>4852</v>
      </c>
    </row>
    <row r="3478" spans="1:5" x14ac:dyDescent="0.25">
      <c r="B3478" s="115" t="s">
        <v>1138</v>
      </c>
      <c r="D3478" s="115" t="s">
        <v>1139</v>
      </c>
      <c r="E3478" s="115" t="s">
        <v>4853</v>
      </c>
    </row>
    <row r="3479" spans="1:5" x14ac:dyDescent="0.25">
      <c r="B3479" s="115" t="s">
        <v>4854</v>
      </c>
      <c r="D3479" s="115" t="s">
        <v>4855</v>
      </c>
      <c r="E3479" s="115" t="s">
        <v>4856</v>
      </c>
    </row>
    <row r="3480" spans="1:5" x14ac:dyDescent="0.25">
      <c r="B3480" s="115" t="s">
        <v>1633</v>
      </c>
      <c r="D3480" s="115" t="s">
        <v>4857</v>
      </c>
      <c r="E3480" s="115" t="s">
        <v>1140</v>
      </c>
    </row>
    <row r="3481" spans="1:5" x14ac:dyDescent="0.25">
      <c r="B3481" s="115" t="s">
        <v>1464</v>
      </c>
      <c r="D3481" s="115" t="s">
        <v>1139</v>
      </c>
      <c r="E3481" s="115" t="s">
        <v>4858</v>
      </c>
    </row>
    <row r="3482" spans="1:5" x14ac:dyDescent="0.25">
      <c r="B3482" s="115" t="s">
        <v>4859</v>
      </c>
      <c r="D3482" s="115" t="s">
        <v>1139</v>
      </c>
      <c r="E3482" s="115" t="s">
        <v>4860</v>
      </c>
    </row>
    <row r="3483" spans="1:5" x14ac:dyDescent="0.25">
      <c r="B3483" s="115" t="s">
        <v>4861</v>
      </c>
      <c r="D3483" s="115" t="s">
        <v>4862</v>
      </c>
      <c r="E3483" s="115" t="s">
        <v>4863</v>
      </c>
    </row>
    <row r="3484" spans="1:5" x14ac:dyDescent="0.25">
      <c r="B3484" s="115" t="s">
        <v>1440</v>
      </c>
      <c r="D3484" s="115" t="s">
        <v>1829</v>
      </c>
      <c r="E3484" s="115" t="s">
        <v>4864</v>
      </c>
    </row>
    <row r="3485" spans="1:5" x14ac:dyDescent="0.25">
      <c r="B3485" s="115" t="s">
        <v>4865</v>
      </c>
      <c r="D3485" s="115" t="s">
        <v>4866</v>
      </c>
      <c r="E3485" s="115" t="s">
        <v>4867</v>
      </c>
    </row>
    <row r="3486" spans="1:5" x14ac:dyDescent="0.25">
      <c r="A3486" s="115" t="s">
        <v>1137</v>
      </c>
      <c r="B3486" s="115" t="s">
        <v>4868</v>
      </c>
      <c r="D3486" s="115" t="s">
        <v>4869</v>
      </c>
      <c r="E3486" s="115" t="s">
        <v>4870</v>
      </c>
    </row>
    <row r="3487" spans="1:5" x14ac:dyDescent="0.25">
      <c r="B3487" s="115" t="s">
        <v>1216</v>
      </c>
      <c r="D3487" s="115" t="s">
        <v>4123</v>
      </c>
      <c r="E3487" s="115" t="s">
        <v>4871</v>
      </c>
    </row>
    <row r="3488" spans="1:5" x14ac:dyDescent="0.25">
      <c r="A3488" s="115" t="s">
        <v>1137</v>
      </c>
      <c r="B3488" s="115" t="s">
        <v>4872</v>
      </c>
      <c r="D3488" s="115" t="s">
        <v>4873</v>
      </c>
      <c r="E3488" s="115" t="s">
        <v>4874</v>
      </c>
    </row>
    <row r="3489" spans="1:5" x14ac:dyDescent="0.25">
      <c r="A3489" s="115" t="s">
        <v>1137</v>
      </c>
      <c r="B3489" s="115" t="s">
        <v>4875</v>
      </c>
      <c r="D3489" s="115" t="s">
        <v>4876</v>
      </c>
      <c r="E3489" s="115" t="s">
        <v>4877</v>
      </c>
    </row>
    <row r="3490" spans="1:5" x14ac:dyDescent="0.25">
      <c r="B3490" s="115" t="s">
        <v>1252</v>
      </c>
      <c r="D3490" s="115" t="s">
        <v>1892</v>
      </c>
      <c r="E3490" s="115" t="s">
        <v>4878</v>
      </c>
    </row>
    <row r="3491" spans="1:5" x14ac:dyDescent="0.25">
      <c r="A3491" s="115">
        <v>-1</v>
      </c>
      <c r="B3491" s="115" t="s">
        <v>1301</v>
      </c>
      <c r="D3491" s="115" t="s">
        <v>4879</v>
      </c>
      <c r="E3491" s="115" t="s">
        <v>4880</v>
      </c>
    </row>
    <row r="3492" spans="1:5" x14ac:dyDescent="0.25">
      <c r="A3492" s="115" t="s">
        <v>1137</v>
      </c>
      <c r="B3492" s="115" t="s">
        <v>4881</v>
      </c>
      <c r="D3492" s="115" t="s">
        <v>4882</v>
      </c>
      <c r="E3492" s="115" t="s">
        <v>4883</v>
      </c>
    </row>
    <row r="3493" spans="1:5" x14ac:dyDescent="0.25">
      <c r="B3493" s="115" t="s">
        <v>1138</v>
      </c>
      <c r="D3493" s="115" t="s">
        <v>4884</v>
      </c>
      <c r="E3493" s="115" t="s">
        <v>4885</v>
      </c>
    </row>
    <row r="3494" spans="1:5" x14ac:dyDescent="0.25">
      <c r="B3494" s="115" t="s">
        <v>1138</v>
      </c>
      <c r="D3494" s="115" t="s">
        <v>4886</v>
      </c>
      <c r="E3494" s="115" t="s">
        <v>4887</v>
      </c>
    </row>
    <row r="3495" spans="1:5" x14ac:dyDescent="0.25">
      <c r="B3495" s="115">
        <f>-55    -43</f>
        <v>-98</v>
      </c>
      <c r="D3495" s="115" t="s">
        <v>3875</v>
      </c>
      <c r="E3495" s="115" t="s">
        <v>4888</v>
      </c>
    </row>
    <row r="3496" spans="1:5" x14ac:dyDescent="0.25">
      <c r="B3496" s="115" t="s">
        <v>4889</v>
      </c>
      <c r="D3496" s="115" t="s">
        <v>3769</v>
      </c>
      <c r="E3496" s="115" t="s">
        <v>4890</v>
      </c>
    </row>
    <row r="3497" spans="1:5" x14ac:dyDescent="0.25">
      <c r="A3497" s="115" t="s">
        <v>1137</v>
      </c>
      <c r="B3497" s="115" t="s">
        <v>4891</v>
      </c>
      <c r="D3497" s="115" t="s">
        <v>4892</v>
      </c>
      <c r="E3497" s="115" t="s">
        <v>1140</v>
      </c>
    </row>
    <row r="3498" spans="1:5" x14ac:dyDescent="0.25">
      <c r="B3498" s="115" t="s">
        <v>1534</v>
      </c>
      <c r="D3498" s="115" t="s">
        <v>4893</v>
      </c>
      <c r="E3498" s="115" t="s">
        <v>4894</v>
      </c>
    </row>
    <row r="3499" spans="1:5" x14ac:dyDescent="0.25">
      <c r="B3499" s="115" t="s">
        <v>1522</v>
      </c>
      <c r="D3499" s="115" t="s">
        <v>4895</v>
      </c>
      <c r="E3499" s="115" t="s">
        <v>4896</v>
      </c>
    </row>
    <row r="3500" spans="1:5" x14ac:dyDescent="0.25">
      <c r="B3500" s="115" t="s">
        <v>1138</v>
      </c>
      <c r="D3500" s="115" t="s">
        <v>1139</v>
      </c>
      <c r="E3500" s="115" t="s">
        <v>1140</v>
      </c>
    </row>
    <row r="3501" spans="1:5" x14ac:dyDescent="0.25">
      <c r="B3501" s="115" t="s">
        <v>1138</v>
      </c>
      <c r="D3501" s="115" t="s">
        <v>1139</v>
      </c>
      <c r="E3501" s="115" t="s">
        <v>1140</v>
      </c>
    </row>
    <row r="3502" spans="1:5" x14ac:dyDescent="0.25">
      <c r="B3502" s="115" t="s">
        <v>1138</v>
      </c>
      <c r="D3502" s="115" t="s">
        <v>1139</v>
      </c>
      <c r="E3502" s="115" t="s">
        <v>1140</v>
      </c>
    </row>
    <row r="3503" spans="1:5" x14ac:dyDescent="0.25">
      <c r="B3503" s="115" t="s">
        <v>1138</v>
      </c>
      <c r="D3503" s="115" t="s">
        <v>1139</v>
      </c>
      <c r="E3503" s="115" t="s">
        <v>1140</v>
      </c>
    </row>
    <row r="3504" spans="1:5" x14ac:dyDescent="0.25">
      <c r="B3504" s="115" t="s">
        <v>1138</v>
      </c>
      <c r="D3504" s="115" t="s">
        <v>1139</v>
      </c>
      <c r="E3504" s="115" t="s">
        <v>1140</v>
      </c>
    </row>
    <row r="3505" spans="2:5" x14ac:dyDescent="0.25">
      <c r="B3505" s="115" t="s">
        <v>1138</v>
      </c>
      <c r="D3505" s="115" t="s">
        <v>1139</v>
      </c>
      <c r="E3505" s="115" t="s">
        <v>1140</v>
      </c>
    </row>
    <row r="3506" spans="2:5" x14ac:dyDescent="0.25">
      <c r="B3506" s="115" t="s">
        <v>1138</v>
      </c>
      <c r="D3506" s="115" t="s">
        <v>1139</v>
      </c>
      <c r="E3506" s="115" t="s">
        <v>1140</v>
      </c>
    </row>
    <row r="3507" spans="2:5" x14ac:dyDescent="0.25">
      <c r="B3507" s="115" t="s">
        <v>1138</v>
      </c>
      <c r="D3507" s="115" t="s">
        <v>1139</v>
      </c>
      <c r="E3507" s="115" t="s">
        <v>1140</v>
      </c>
    </row>
    <row r="3508" spans="2:5" x14ac:dyDescent="0.25">
      <c r="B3508" s="115" t="s">
        <v>1138</v>
      </c>
      <c r="D3508" s="115" t="s">
        <v>1139</v>
      </c>
      <c r="E3508" s="115" t="s">
        <v>1140</v>
      </c>
    </row>
    <row r="3509" spans="2:5" x14ac:dyDescent="0.25">
      <c r="B3509" s="115" t="s">
        <v>1138</v>
      </c>
      <c r="D3509" s="115" t="s">
        <v>1139</v>
      </c>
      <c r="E3509" s="115" t="s">
        <v>1140</v>
      </c>
    </row>
    <row r="3510" spans="2:5" x14ac:dyDescent="0.25">
      <c r="B3510" s="115" t="s">
        <v>1138</v>
      </c>
      <c r="D3510" s="115" t="s">
        <v>1139</v>
      </c>
      <c r="E3510" s="115" t="s">
        <v>1140</v>
      </c>
    </row>
    <row r="3511" spans="2:5" x14ac:dyDescent="0.25">
      <c r="B3511" s="115" t="s">
        <v>1138</v>
      </c>
      <c r="D3511" s="115" t="s">
        <v>1139</v>
      </c>
      <c r="E3511" s="115" t="s">
        <v>1140</v>
      </c>
    </row>
    <row r="3512" spans="2:5" x14ac:dyDescent="0.25">
      <c r="B3512" s="115" t="s">
        <v>1138</v>
      </c>
      <c r="D3512" s="115" t="s">
        <v>1139</v>
      </c>
      <c r="E3512" s="115" t="s">
        <v>1140</v>
      </c>
    </row>
    <row r="3513" spans="2:5" x14ac:dyDescent="0.25">
      <c r="B3513" s="115" t="s">
        <v>1138</v>
      </c>
      <c r="D3513" s="115" t="s">
        <v>1139</v>
      </c>
      <c r="E3513" s="115" t="s">
        <v>1140</v>
      </c>
    </row>
    <row r="3514" spans="2:5" x14ac:dyDescent="0.25">
      <c r="B3514" s="115" t="s">
        <v>1138</v>
      </c>
      <c r="D3514" s="115" t="s">
        <v>1139</v>
      </c>
      <c r="E3514" s="115" t="s">
        <v>1140</v>
      </c>
    </row>
    <row r="3515" spans="2:5" x14ac:dyDescent="0.25">
      <c r="B3515" s="115" t="s">
        <v>1138</v>
      </c>
      <c r="D3515" s="115" t="s">
        <v>1139</v>
      </c>
      <c r="E3515" s="115" t="s">
        <v>1140</v>
      </c>
    </row>
    <row r="3516" spans="2:5" x14ac:dyDescent="0.25">
      <c r="B3516" s="115" t="s">
        <v>1138</v>
      </c>
      <c r="D3516" s="115" t="s">
        <v>1139</v>
      </c>
      <c r="E3516" s="115" t="s">
        <v>1140</v>
      </c>
    </row>
    <row r="3517" spans="2:5" x14ac:dyDescent="0.25">
      <c r="B3517" s="115" t="s">
        <v>1138</v>
      </c>
      <c r="D3517" s="115" t="s">
        <v>1139</v>
      </c>
      <c r="E3517" s="115" t="s">
        <v>1140</v>
      </c>
    </row>
    <row r="3518" spans="2:5" x14ac:dyDescent="0.25">
      <c r="B3518" s="115" t="s">
        <v>1138</v>
      </c>
      <c r="D3518" s="115" t="s">
        <v>1139</v>
      </c>
      <c r="E3518" s="115" t="s">
        <v>1140</v>
      </c>
    </row>
    <row r="3519" spans="2:5" x14ac:dyDescent="0.25">
      <c r="B3519" s="115" t="s">
        <v>1138</v>
      </c>
      <c r="D3519" s="115" t="s">
        <v>1139</v>
      </c>
      <c r="E3519" s="115" t="s">
        <v>1140</v>
      </c>
    </row>
    <row r="3520" spans="2:5" x14ac:dyDescent="0.25">
      <c r="B3520" s="115" t="s">
        <v>1138</v>
      </c>
      <c r="D3520" s="115" t="s">
        <v>1139</v>
      </c>
      <c r="E3520" s="115" t="s">
        <v>1140</v>
      </c>
    </row>
    <row r="3521" spans="2:5" x14ac:dyDescent="0.25">
      <c r="B3521" s="115" t="s">
        <v>1138</v>
      </c>
      <c r="D3521" s="115" t="s">
        <v>1139</v>
      </c>
      <c r="E3521" s="115" t="s">
        <v>1140</v>
      </c>
    </row>
    <row r="3522" spans="2:5" x14ac:dyDescent="0.25">
      <c r="B3522" s="115" t="s">
        <v>1138</v>
      </c>
      <c r="D3522" s="115" t="s">
        <v>1139</v>
      </c>
      <c r="E3522" s="115" t="s">
        <v>1140</v>
      </c>
    </row>
    <row r="3523" spans="2:5" x14ac:dyDescent="0.25">
      <c r="B3523" s="115" t="s">
        <v>1138</v>
      </c>
      <c r="D3523" s="115" t="s">
        <v>1139</v>
      </c>
      <c r="E3523" s="115" t="s">
        <v>1140</v>
      </c>
    </row>
    <row r="3524" spans="2:5" x14ac:dyDescent="0.25">
      <c r="B3524" s="115" t="s">
        <v>1138</v>
      </c>
      <c r="D3524" s="115" t="s">
        <v>1139</v>
      </c>
      <c r="E3524" s="115" t="s">
        <v>1140</v>
      </c>
    </row>
    <row r="3525" spans="2:5" x14ac:dyDescent="0.25">
      <c r="B3525" s="115" t="s">
        <v>1138</v>
      </c>
      <c r="D3525" s="115" t="s">
        <v>1139</v>
      </c>
      <c r="E3525" s="115" t="s">
        <v>1140</v>
      </c>
    </row>
    <row r="3526" spans="2:5" x14ac:dyDescent="0.25">
      <c r="B3526" s="115" t="s">
        <v>1138</v>
      </c>
      <c r="D3526" s="115" t="s">
        <v>1139</v>
      </c>
      <c r="E3526" s="115" t="s">
        <v>1140</v>
      </c>
    </row>
    <row r="3527" spans="2:5" x14ac:dyDescent="0.25">
      <c r="B3527" s="115" t="s">
        <v>1138</v>
      </c>
      <c r="D3527" s="115" t="s">
        <v>1139</v>
      </c>
      <c r="E3527" s="115" t="s">
        <v>1140</v>
      </c>
    </row>
    <row r="3528" spans="2:5" x14ac:dyDescent="0.25">
      <c r="B3528" s="115" t="s">
        <v>1138</v>
      </c>
      <c r="D3528" s="115" t="s">
        <v>1139</v>
      </c>
      <c r="E3528" s="115" t="s">
        <v>1140</v>
      </c>
    </row>
    <row r="3529" spans="2:5" x14ac:dyDescent="0.25">
      <c r="B3529" s="115" t="s">
        <v>1138</v>
      </c>
      <c r="D3529" s="115" t="s">
        <v>1139</v>
      </c>
      <c r="E3529" s="115" t="s">
        <v>1140</v>
      </c>
    </row>
    <row r="3530" spans="2:5" x14ac:dyDescent="0.25">
      <c r="B3530" s="115" t="s">
        <v>1138</v>
      </c>
      <c r="D3530" s="115" t="s">
        <v>1139</v>
      </c>
      <c r="E3530" s="115" t="s">
        <v>1140</v>
      </c>
    </row>
    <row r="3531" spans="2:5" x14ac:dyDescent="0.25">
      <c r="B3531" s="115" t="s">
        <v>1138</v>
      </c>
      <c r="D3531" s="115" t="s">
        <v>1139</v>
      </c>
      <c r="E3531" s="115" t="s">
        <v>1140</v>
      </c>
    </row>
    <row r="3532" spans="2:5" x14ac:dyDescent="0.25">
      <c r="B3532" s="115" t="s">
        <v>1138</v>
      </c>
      <c r="D3532" s="115" t="s">
        <v>1139</v>
      </c>
      <c r="E3532" s="115" t="s">
        <v>1140</v>
      </c>
    </row>
    <row r="3533" spans="2:5" x14ac:dyDescent="0.25">
      <c r="B3533" s="115" t="s">
        <v>1138</v>
      </c>
      <c r="D3533" s="115" t="s">
        <v>1139</v>
      </c>
      <c r="E3533" s="115" t="s">
        <v>1140</v>
      </c>
    </row>
    <row r="3534" spans="2:5" x14ac:dyDescent="0.25">
      <c r="B3534" s="115" t="s">
        <v>1138</v>
      </c>
      <c r="D3534" s="115" t="s">
        <v>1139</v>
      </c>
      <c r="E3534" s="115" t="s">
        <v>1140</v>
      </c>
    </row>
    <row r="3535" spans="2:5" x14ac:dyDescent="0.25">
      <c r="B3535" s="115" t="s">
        <v>1138</v>
      </c>
      <c r="D3535" s="115" t="s">
        <v>1139</v>
      </c>
      <c r="E3535" s="115" t="s">
        <v>1140</v>
      </c>
    </row>
    <row r="3536" spans="2:5" x14ac:dyDescent="0.25">
      <c r="B3536" s="115" t="s">
        <v>1138</v>
      </c>
      <c r="D3536" s="115" t="s">
        <v>1139</v>
      </c>
      <c r="E3536" s="115" t="s">
        <v>1140</v>
      </c>
    </row>
    <row r="3537" spans="2:5" x14ac:dyDescent="0.25">
      <c r="B3537" s="115" t="s">
        <v>1138</v>
      </c>
      <c r="D3537" s="115" t="s">
        <v>1139</v>
      </c>
      <c r="E3537" s="115" t="s">
        <v>1140</v>
      </c>
    </row>
    <row r="3538" spans="2:5" x14ac:dyDescent="0.25">
      <c r="B3538" s="115" t="s">
        <v>1138</v>
      </c>
      <c r="D3538" s="115" t="s">
        <v>1139</v>
      </c>
      <c r="E3538" s="115" t="s">
        <v>1140</v>
      </c>
    </row>
    <row r="3539" spans="2:5" x14ac:dyDescent="0.25">
      <c r="B3539" s="115" t="s">
        <v>1138</v>
      </c>
      <c r="D3539" s="115" t="s">
        <v>1139</v>
      </c>
      <c r="E3539" s="115" t="s">
        <v>1140</v>
      </c>
    </row>
    <row r="3540" spans="2:5" x14ac:dyDescent="0.25">
      <c r="B3540" s="115" t="s">
        <v>1138</v>
      </c>
      <c r="D3540" s="115" t="s">
        <v>1139</v>
      </c>
      <c r="E3540" s="115" t="s">
        <v>1140</v>
      </c>
    </row>
    <row r="3541" spans="2:5" x14ac:dyDescent="0.25">
      <c r="B3541" s="115" t="s">
        <v>1138</v>
      </c>
      <c r="D3541" s="115" t="s">
        <v>1139</v>
      </c>
      <c r="E3541" s="115" t="s">
        <v>1140</v>
      </c>
    </row>
    <row r="3542" spans="2:5" x14ac:dyDescent="0.25">
      <c r="B3542" s="115" t="s">
        <v>1138</v>
      </c>
      <c r="D3542" s="115" t="s">
        <v>1139</v>
      </c>
      <c r="E3542" s="115" t="s">
        <v>1140</v>
      </c>
    </row>
    <row r="3543" spans="2:5" x14ac:dyDescent="0.25">
      <c r="B3543" s="115" t="s">
        <v>1138</v>
      </c>
      <c r="D3543" s="115" t="s">
        <v>1139</v>
      </c>
      <c r="E3543" s="115" t="s">
        <v>1140</v>
      </c>
    </row>
    <row r="3544" spans="2:5" x14ac:dyDescent="0.25">
      <c r="B3544" s="115" t="s">
        <v>1138</v>
      </c>
      <c r="D3544" s="115" t="s">
        <v>1139</v>
      </c>
      <c r="E3544" s="115" t="s">
        <v>1140</v>
      </c>
    </row>
    <row r="3545" spans="2:5" x14ac:dyDescent="0.25">
      <c r="B3545" s="115" t="s">
        <v>1138</v>
      </c>
      <c r="D3545" s="115" t="s">
        <v>1139</v>
      </c>
      <c r="E3545" s="115" t="s">
        <v>1140</v>
      </c>
    </row>
    <row r="3546" spans="2:5" x14ac:dyDescent="0.25">
      <c r="B3546" s="115" t="s">
        <v>1138</v>
      </c>
      <c r="D3546" s="115" t="s">
        <v>1139</v>
      </c>
      <c r="E3546" s="115" t="s">
        <v>1140</v>
      </c>
    </row>
    <row r="3547" spans="2:5" x14ac:dyDescent="0.25">
      <c r="B3547" s="115" t="s">
        <v>1138</v>
      </c>
      <c r="D3547" s="115" t="s">
        <v>1139</v>
      </c>
      <c r="E3547" s="115" t="s">
        <v>1140</v>
      </c>
    </row>
    <row r="3548" spans="2:5" x14ac:dyDescent="0.25">
      <c r="B3548" s="115" t="s">
        <v>1138</v>
      </c>
      <c r="D3548" s="115" t="s">
        <v>1139</v>
      </c>
      <c r="E3548" s="115" t="s">
        <v>1140</v>
      </c>
    </row>
    <row r="3549" spans="2:5" x14ac:dyDescent="0.25">
      <c r="B3549" s="115" t="s">
        <v>1138</v>
      </c>
      <c r="D3549" s="115" t="s">
        <v>1139</v>
      </c>
      <c r="E3549" s="115" t="s">
        <v>1140</v>
      </c>
    </row>
    <row r="3550" spans="2:5" x14ac:dyDescent="0.25">
      <c r="B3550" s="115" t="s">
        <v>1138</v>
      </c>
      <c r="D3550" s="115" t="s">
        <v>1139</v>
      </c>
      <c r="E3550" s="115" t="s">
        <v>1140</v>
      </c>
    </row>
    <row r="3551" spans="2:5" x14ac:dyDescent="0.25">
      <c r="B3551" s="115" t="s">
        <v>1138</v>
      </c>
      <c r="D3551" s="115" t="s">
        <v>1139</v>
      </c>
      <c r="E3551" s="115" t="s">
        <v>1140</v>
      </c>
    </row>
    <row r="3552" spans="2:5" x14ac:dyDescent="0.25">
      <c r="B3552" s="115" t="s">
        <v>1138</v>
      </c>
      <c r="D3552" s="115" t="s">
        <v>1139</v>
      </c>
      <c r="E3552" s="115" t="s">
        <v>1140</v>
      </c>
    </row>
    <row r="3553" spans="2:5" x14ac:dyDescent="0.25">
      <c r="B3553" s="115" t="s">
        <v>1138</v>
      </c>
      <c r="D3553" s="115" t="s">
        <v>1139</v>
      </c>
      <c r="E3553" s="115" t="s">
        <v>1140</v>
      </c>
    </row>
    <row r="3554" spans="2:5" x14ac:dyDescent="0.25">
      <c r="B3554" s="115" t="s">
        <v>1138</v>
      </c>
      <c r="D3554" s="115" t="s">
        <v>1139</v>
      </c>
      <c r="E3554" s="115" t="s">
        <v>1140</v>
      </c>
    </row>
    <row r="3555" spans="2:5" x14ac:dyDescent="0.25">
      <c r="B3555" s="115" t="s">
        <v>1138</v>
      </c>
      <c r="D3555" s="115" t="s">
        <v>1139</v>
      </c>
      <c r="E3555" s="115" t="s">
        <v>1140</v>
      </c>
    </row>
    <row r="3556" spans="2:5" x14ac:dyDescent="0.25">
      <c r="B3556" s="115" t="s">
        <v>1138</v>
      </c>
      <c r="D3556" s="115" t="s">
        <v>1139</v>
      </c>
      <c r="E3556" s="115" t="s">
        <v>1140</v>
      </c>
    </row>
    <row r="3557" spans="2:5" x14ac:dyDescent="0.25">
      <c r="B3557" s="115" t="s">
        <v>1138</v>
      </c>
      <c r="D3557" s="115" t="s">
        <v>1139</v>
      </c>
      <c r="E3557" s="115" t="s">
        <v>1140</v>
      </c>
    </row>
    <row r="3558" spans="2:5" x14ac:dyDescent="0.25">
      <c r="B3558" s="115" t="s">
        <v>1138</v>
      </c>
      <c r="D3558" s="115" t="s">
        <v>1139</v>
      </c>
      <c r="E3558" s="115" t="s">
        <v>1140</v>
      </c>
    </row>
    <row r="3559" spans="2:5" x14ac:dyDescent="0.25">
      <c r="B3559" s="115" t="s">
        <v>1138</v>
      </c>
      <c r="D3559" s="115" t="s">
        <v>1139</v>
      </c>
      <c r="E3559" s="115" t="s">
        <v>1140</v>
      </c>
    </row>
    <row r="3560" spans="2:5" x14ac:dyDescent="0.25">
      <c r="B3560" s="115" t="s">
        <v>1138</v>
      </c>
      <c r="D3560" s="115" t="s">
        <v>1139</v>
      </c>
      <c r="E3560" s="115" t="s">
        <v>1140</v>
      </c>
    </row>
    <row r="3561" spans="2:5" x14ac:dyDescent="0.25">
      <c r="B3561" s="115" t="s">
        <v>1138</v>
      </c>
      <c r="D3561" s="115" t="s">
        <v>1139</v>
      </c>
      <c r="E3561" s="115" t="s">
        <v>1140</v>
      </c>
    </row>
    <row r="3562" spans="2:5" x14ac:dyDescent="0.25">
      <c r="B3562" s="115" t="s">
        <v>1138</v>
      </c>
      <c r="D3562" s="115" t="s">
        <v>1139</v>
      </c>
      <c r="E3562" s="115" t="s">
        <v>1140</v>
      </c>
    </row>
    <row r="3563" spans="2:5" x14ac:dyDescent="0.25">
      <c r="B3563" s="115" t="s">
        <v>1138</v>
      </c>
      <c r="D3563" s="115" t="s">
        <v>1139</v>
      </c>
      <c r="E3563" s="115" t="s">
        <v>1140</v>
      </c>
    </row>
    <row r="3564" spans="2:5" x14ac:dyDescent="0.25">
      <c r="B3564" s="115" t="s">
        <v>1138</v>
      </c>
      <c r="D3564" s="115" t="s">
        <v>1139</v>
      </c>
      <c r="E3564" s="115" t="s">
        <v>1140</v>
      </c>
    </row>
    <row r="3565" spans="2:5" x14ac:dyDescent="0.25">
      <c r="B3565" s="115" t="s">
        <v>1138</v>
      </c>
      <c r="D3565" s="115" t="s">
        <v>1139</v>
      </c>
      <c r="E3565" s="115" t="s">
        <v>1140</v>
      </c>
    </row>
    <row r="3566" spans="2:5" x14ac:dyDescent="0.25">
      <c r="B3566" s="115" t="s">
        <v>1138</v>
      </c>
      <c r="D3566" s="115" t="s">
        <v>1139</v>
      </c>
      <c r="E3566" s="115" t="s">
        <v>1140</v>
      </c>
    </row>
    <row r="3567" spans="2:5" x14ac:dyDescent="0.25">
      <c r="B3567" s="115" t="s">
        <v>1138</v>
      </c>
      <c r="D3567" s="115" t="s">
        <v>1139</v>
      </c>
      <c r="E3567" s="115" t="s">
        <v>1140</v>
      </c>
    </row>
    <row r="3568" spans="2:5" x14ac:dyDescent="0.25">
      <c r="B3568" s="115" t="s">
        <v>1138</v>
      </c>
      <c r="D3568" s="115" t="s">
        <v>1139</v>
      </c>
      <c r="E3568" s="115" t="s">
        <v>1140</v>
      </c>
    </row>
    <row r="3569" spans="2:5" x14ac:dyDescent="0.25">
      <c r="B3569" s="115" t="s">
        <v>1138</v>
      </c>
      <c r="D3569" s="115" t="s">
        <v>1139</v>
      </c>
      <c r="E3569" s="115" t="s">
        <v>1140</v>
      </c>
    </row>
    <row r="3570" spans="2:5" x14ac:dyDescent="0.25">
      <c r="B3570" s="115" t="s">
        <v>1138</v>
      </c>
      <c r="D3570" s="115" t="s">
        <v>1139</v>
      </c>
      <c r="E3570" s="115" t="s">
        <v>1140</v>
      </c>
    </row>
    <row r="3571" spans="2:5" x14ac:dyDescent="0.25">
      <c r="B3571" s="115" t="s">
        <v>1138</v>
      </c>
      <c r="D3571" s="115" t="s">
        <v>1139</v>
      </c>
      <c r="E3571" s="115" t="s">
        <v>1140</v>
      </c>
    </row>
    <row r="3572" spans="2:5" x14ac:dyDescent="0.25">
      <c r="B3572" s="115" t="s">
        <v>1138</v>
      </c>
      <c r="D3572" s="115" t="s">
        <v>1139</v>
      </c>
      <c r="E3572" s="115" t="s">
        <v>1140</v>
      </c>
    </row>
    <row r="3573" spans="2:5" x14ac:dyDescent="0.25">
      <c r="B3573" s="115" t="s">
        <v>1138</v>
      </c>
      <c r="D3573" s="115" t="s">
        <v>1139</v>
      </c>
      <c r="E3573" s="115" t="s">
        <v>1140</v>
      </c>
    </row>
    <row r="3574" spans="2:5" x14ac:dyDescent="0.25">
      <c r="B3574" s="115" t="s">
        <v>1138</v>
      </c>
      <c r="D3574" s="115" t="s">
        <v>1139</v>
      </c>
      <c r="E3574" s="115" t="s">
        <v>1140</v>
      </c>
    </row>
    <row r="3575" spans="2:5" x14ac:dyDescent="0.25">
      <c r="B3575" s="115" t="s">
        <v>1138</v>
      </c>
      <c r="D3575" s="115" t="s">
        <v>1139</v>
      </c>
      <c r="E3575" s="115" t="s">
        <v>1140</v>
      </c>
    </row>
    <row r="3576" spans="2:5" x14ac:dyDescent="0.25">
      <c r="B3576" s="115" t="s">
        <v>1138</v>
      </c>
      <c r="D3576" s="115" t="s">
        <v>1139</v>
      </c>
      <c r="E3576" s="115" t="s">
        <v>1140</v>
      </c>
    </row>
    <row r="3577" spans="2:5" x14ac:dyDescent="0.25">
      <c r="B3577" s="115" t="s">
        <v>1138</v>
      </c>
      <c r="D3577" s="115" t="s">
        <v>1139</v>
      </c>
      <c r="E3577" s="115" t="s">
        <v>1140</v>
      </c>
    </row>
    <row r="3578" spans="2:5" x14ac:dyDescent="0.25">
      <c r="B3578" s="115" t="s">
        <v>1138</v>
      </c>
      <c r="D3578" s="115" t="s">
        <v>1139</v>
      </c>
      <c r="E3578" s="115" t="s">
        <v>1140</v>
      </c>
    </row>
    <row r="3579" spans="2:5" x14ac:dyDescent="0.25">
      <c r="B3579" s="115" t="s">
        <v>1138</v>
      </c>
      <c r="D3579" s="115" t="s">
        <v>1139</v>
      </c>
      <c r="E3579" s="115" t="s">
        <v>1140</v>
      </c>
    </row>
    <row r="3580" spans="2:5" x14ac:dyDescent="0.25">
      <c r="B3580" s="115" t="s">
        <v>1138</v>
      </c>
      <c r="D3580" s="115" t="s">
        <v>1139</v>
      </c>
      <c r="E3580" s="115" t="s">
        <v>1140</v>
      </c>
    </row>
    <row r="3581" spans="2:5" x14ac:dyDescent="0.25">
      <c r="B3581" s="115" t="s">
        <v>1138</v>
      </c>
      <c r="D3581" s="115" t="s">
        <v>1139</v>
      </c>
      <c r="E3581" s="115" t="s">
        <v>1140</v>
      </c>
    </row>
    <row r="3582" spans="2:5" x14ac:dyDescent="0.25">
      <c r="B3582" s="115" t="s">
        <v>1138</v>
      </c>
      <c r="D3582" s="115" t="s">
        <v>1139</v>
      </c>
      <c r="E3582" s="115" t="s">
        <v>1140</v>
      </c>
    </row>
    <row r="3583" spans="2:5" x14ac:dyDescent="0.25">
      <c r="B3583" s="115" t="s">
        <v>1138</v>
      </c>
      <c r="D3583" s="115" t="s">
        <v>1139</v>
      </c>
      <c r="E3583" s="115" t="s">
        <v>1140</v>
      </c>
    </row>
    <row r="3584" spans="2:5" x14ac:dyDescent="0.25">
      <c r="B3584" s="115" t="s">
        <v>1138</v>
      </c>
      <c r="D3584" s="115" t="s">
        <v>1139</v>
      </c>
      <c r="E3584" s="115" t="s">
        <v>1140</v>
      </c>
    </row>
    <row r="3585" spans="2:5" x14ac:dyDescent="0.25">
      <c r="B3585" s="115" t="s">
        <v>1138</v>
      </c>
      <c r="D3585" s="115" t="s">
        <v>1139</v>
      </c>
      <c r="E3585" s="115" t="s">
        <v>1140</v>
      </c>
    </row>
    <row r="3586" spans="2:5" x14ac:dyDescent="0.25">
      <c r="B3586" s="115" t="s">
        <v>1138</v>
      </c>
      <c r="D3586" s="115" t="s">
        <v>1139</v>
      </c>
      <c r="E3586" s="115" t="s">
        <v>1140</v>
      </c>
    </row>
    <row r="3587" spans="2:5" x14ac:dyDescent="0.25">
      <c r="B3587" s="115" t="s">
        <v>1138</v>
      </c>
      <c r="D3587" s="115" t="s">
        <v>1139</v>
      </c>
      <c r="E3587" s="115" t="s">
        <v>1140</v>
      </c>
    </row>
    <row r="3588" spans="2:5" x14ac:dyDescent="0.25">
      <c r="B3588" s="115" t="s">
        <v>1138</v>
      </c>
      <c r="D3588" s="115" t="s">
        <v>1139</v>
      </c>
      <c r="E3588" s="115" t="s">
        <v>1140</v>
      </c>
    </row>
    <row r="3589" spans="2:5" x14ac:dyDescent="0.25">
      <c r="B3589" s="115" t="s">
        <v>1138</v>
      </c>
      <c r="D3589" s="115" t="s">
        <v>1139</v>
      </c>
      <c r="E3589" s="115" t="s">
        <v>1140</v>
      </c>
    </row>
    <row r="3590" spans="2:5" x14ac:dyDescent="0.25">
      <c r="B3590" s="115" t="s">
        <v>1138</v>
      </c>
      <c r="D3590" s="115" t="s">
        <v>1139</v>
      </c>
      <c r="E3590" s="115" t="s">
        <v>1140</v>
      </c>
    </row>
    <row r="3591" spans="2:5" x14ac:dyDescent="0.25">
      <c r="B3591" s="115" t="s">
        <v>1138</v>
      </c>
      <c r="D3591" s="115" t="s">
        <v>1139</v>
      </c>
      <c r="E3591" s="115" t="s">
        <v>1140</v>
      </c>
    </row>
    <row r="3592" spans="2:5" x14ac:dyDescent="0.25">
      <c r="B3592" s="115" t="s">
        <v>1138</v>
      </c>
      <c r="D3592" s="115" t="s">
        <v>1139</v>
      </c>
      <c r="E3592" s="115" t="s">
        <v>1140</v>
      </c>
    </row>
    <row r="3593" spans="2:5" x14ac:dyDescent="0.25">
      <c r="B3593" s="115" t="s">
        <v>1138</v>
      </c>
      <c r="D3593" s="115" t="s">
        <v>1139</v>
      </c>
      <c r="E3593" s="115" t="s">
        <v>1140</v>
      </c>
    </row>
    <row r="3594" spans="2:5" x14ac:dyDescent="0.25">
      <c r="B3594" s="115" t="s">
        <v>1138</v>
      </c>
      <c r="D3594" s="115" t="s">
        <v>1139</v>
      </c>
      <c r="E3594" s="115" t="s">
        <v>1140</v>
      </c>
    </row>
    <row r="3595" spans="2:5" x14ac:dyDescent="0.25">
      <c r="B3595" s="115" t="s">
        <v>1138</v>
      </c>
      <c r="D3595" s="115" t="s">
        <v>1139</v>
      </c>
      <c r="E3595" s="115" t="s">
        <v>1140</v>
      </c>
    </row>
    <row r="3596" spans="2:5" x14ac:dyDescent="0.25">
      <c r="B3596" s="115" t="s">
        <v>1138</v>
      </c>
      <c r="D3596" s="115" t="s">
        <v>1139</v>
      </c>
      <c r="E3596" s="115" t="s">
        <v>1140</v>
      </c>
    </row>
    <row r="3597" spans="2:5" x14ac:dyDescent="0.25">
      <c r="B3597" s="115" t="s">
        <v>1138</v>
      </c>
      <c r="D3597" s="115" t="s">
        <v>1139</v>
      </c>
      <c r="E3597" s="115" t="s">
        <v>1140</v>
      </c>
    </row>
    <row r="3598" spans="2:5" x14ac:dyDescent="0.25">
      <c r="B3598" s="115" t="s">
        <v>1138</v>
      </c>
      <c r="D3598" s="115" t="s">
        <v>1139</v>
      </c>
      <c r="E3598" s="115" t="s">
        <v>1140</v>
      </c>
    </row>
    <row r="3599" spans="2:5" x14ac:dyDescent="0.25">
      <c r="B3599" s="115" t="s">
        <v>1138</v>
      </c>
      <c r="D3599" s="115" t="s">
        <v>1139</v>
      </c>
      <c r="E3599" s="115" t="s">
        <v>1140</v>
      </c>
    </row>
    <row r="3600" spans="2:5" x14ac:dyDescent="0.25">
      <c r="B3600" s="115" t="s">
        <v>1138</v>
      </c>
      <c r="D3600" s="115" t="s">
        <v>1139</v>
      </c>
      <c r="E3600" s="115" t="s">
        <v>1140</v>
      </c>
    </row>
    <row r="3601" spans="1:5" x14ac:dyDescent="0.25">
      <c r="B3601" s="115" t="s">
        <v>1138</v>
      </c>
      <c r="D3601" s="115" t="s">
        <v>1139</v>
      </c>
      <c r="E3601" s="115" t="s">
        <v>1140</v>
      </c>
    </row>
    <row r="3602" spans="1:5" x14ac:dyDescent="0.25">
      <c r="B3602" s="115" t="s">
        <v>1138</v>
      </c>
      <c r="D3602" s="115" t="s">
        <v>4897</v>
      </c>
      <c r="E3602" s="115" t="s">
        <v>4898</v>
      </c>
    </row>
    <row r="3603" spans="1:5" x14ac:dyDescent="0.25">
      <c r="B3603" s="115" t="s">
        <v>4899</v>
      </c>
      <c r="D3603" s="115" t="s">
        <v>4900</v>
      </c>
      <c r="E3603" s="115" t="s">
        <v>4901</v>
      </c>
    </row>
    <row r="3604" spans="1:5" x14ac:dyDescent="0.25">
      <c r="B3604" s="115" t="s">
        <v>1138</v>
      </c>
      <c r="D3604" s="115" t="s">
        <v>1139</v>
      </c>
      <c r="E3604" s="115" t="s">
        <v>4902</v>
      </c>
    </row>
    <row r="3605" spans="1:5" x14ac:dyDescent="0.25">
      <c r="B3605" s="115" t="s">
        <v>4903</v>
      </c>
      <c r="C3605" s="115" t="s">
        <v>1137</v>
      </c>
      <c r="D3605" s="115" t="s">
        <v>4904</v>
      </c>
      <c r="E3605" s="115" t="s">
        <v>4905</v>
      </c>
    </row>
    <row r="3606" spans="1:5" x14ac:dyDescent="0.25">
      <c r="B3606" s="115" t="s">
        <v>1386</v>
      </c>
      <c r="D3606" s="115" t="s">
        <v>4906</v>
      </c>
      <c r="E3606" s="115" t="s">
        <v>1140</v>
      </c>
    </row>
    <row r="3607" spans="1:5" x14ac:dyDescent="0.25">
      <c r="B3607" s="115" t="s">
        <v>4907</v>
      </c>
      <c r="D3607" s="115" t="s">
        <v>1139</v>
      </c>
      <c r="E3607" s="115" t="s">
        <v>4908</v>
      </c>
    </row>
    <row r="3608" spans="1:5" x14ac:dyDescent="0.25">
      <c r="B3608" s="115" t="s">
        <v>4909</v>
      </c>
      <c r="D3608" s="115" t="s">
        <v>1139</v>
      </c>
      <c r="E3608" s="115" t="s">
        <v>4910</v>
      </c>
    </row>
    <row r="3609" spans="1:5" x14ac:dyDescent="0.25">
      <c r="B3609" s="115" t="s">
        <v>1506</v>
      </c>
      <c r="D3609" s="115" t="s">
        <v>4911</v>
      </c>
      <c r="E3609" s="115" t="s">
        <v>4912</v>
      </c>
    </row>
    <row r="3610" spans="1:5" x14ac:dyDescent="0.25">
      <c r="B3610" s="115" t="s">
        <v>1477</v>
      </c>
      <c r="D3610" s="115" t="s">
        <v>4913</v>
      </c>
      <c r="E3610" s="115" t="s">
        <v>4914</v>
      </c>
    </row>
    <row r="3611" spans="1:5" x14ac:dyDescent="0.25">
      <c r="A3611" s="115" t="s">
        <v>1137</v>
      </c>
      <c r="B3611" s="115" t="s">
        <v>4915</v>
      </c>
      <c r="D3611" s="115" t="s">
        <v>4916</v>
      </c>
      <c r="E3611" s="115" t="s">
        <v>4917</v>
      </c>
    </row>
    <row r="3612" spans="1:5" x14ac:dyDescent="0.25">
      <c r="A3612" s="115" t="s">
        <v>1137</v>
      </c>
      <c r="B3612" s="115" t="s">
        <v>4918</v>
      </c>
      <c r="D3612" s="115" t="s">
        <v>4919</v>
      </c>
      <c r="E3612" s="115" t="s">
        <v>4920</v>
      </c>
    </row>
    <row r="3613" spans="1:5" x14ac:dyDescent="0.25">
      <c r="B3613" s="115" t="s">
        <v>1241</v>
      </c>
      <c r="D3613" s="115" t="s">
        <v>4921</v>
      </c>
      <c r="E3613" s="115" t="s">
        <v>4922</v>
      </c>
    </row>
    <row r="3614" spans="1:5" x14ac:dyDescent="0.25">
      <c r="A3614" s="115">
        <v>-1</v>
      </c>
      <c r="B3614" s="115" t="s">
        <v>4923</v>
      </c>
      <c r="D3614" s="115">
        <f>-374   -275   -162   -35</f>
        <v>-846</v>
      </c>
      <c r="E3614" s="115" t="s">
        <v>4924</v>
      </c>
    </row>
    <row r="3615" spans="1:5" x14ac:dyDescent="0.25">
      <c r="A3615" s="115" t="s">
        <v>1137</v>
      </c>
      <c r="B3615" s="115" t="s">
        <v>4925</v>
      </c>
      <c r="D3615" s="115" t="s">
        <v>4926</v>
      </c>
      <c r="E3615" s="115" t="s">
        <v>4927</v>
      </c>
    </row>
    <row r="3616" spans="1:5" x14ac:dyDescent="0.25">
      <c r="B3616" s="115" t="s">
        <v>4928</v>
      </c>
      <c r="D3616" s="115" t="s">
        <v>4929</v>
      </c>
      <c r="E3616" s="115" t="s">
        <v>4930</v>
      </c>
    </row>
    <row r="3617" spans="1:5" x14ac:dyDescent="0.25">
      <c r="A3617" s="115" t="s">
        <v>1137</v>
      </c>
      <c r="B3617" s="115" t="s">
        <v>3716</v>
      </c>
      <c r="D3617" s="115" t="s">
        <v>4931</v>
      </c>
      <c r="E3617" s="115" t="s">
        <v>4932</v>
      </c>
    </row>
    <row r="3618" spans="1:5" x14ac:dyDescent="0.25">
      <c r="A3618" s="115" t="s">
        <v>1137</v>
      </c>
      <c r="B3618" s="115" t="s">
        <v>4933</v>
      </c>
      <c r="D3618" s="115" t="s">
        <v>4934</v>
      </c>
      <c r="E3618" s="115" t="s">
        <v>4935</v>
      </c>
    </row>
    <row r="3619" spans="1:5" x14ac:dyDescent="0.25">
      <c r="B3619" s="115" t="s">
        <v>1138</v>
      </c>
      <c r="D3619" s="115" t="s">
        <v>3507</v>
      </c>
      <c r="E3619" s="115" t="s">
        <v>4936</v>
      </c>
    </row>
    <row r="3620" spans="1:5" x14ac:dyDescent="0.25">
      <c r="B3620" s="115" t="s">
        <v>1138</v>
      </c>
      <c r="D3620" s="115" t="s">
        <v>4937</v>
      </c>
      <c r="E3620" s="115" t="s">
        <v>4938</v>
      </c>
    </row>
    <row r="3621" spans="1:5" x14ac:dyDescent="0.25">
      <c r="A3621" s="115" t="s">
        <v>1137</v>
      </c>
      <c r="B3621" s="115" t="s">
        <v>4939</v>
      </c>
      <c r="D3621" s="115" t="s">
        <v>4940</v>
      </c>
      <c r="E3621" s="115" t="s">
        <v>4941</v>
      </c>
    </row>
    <row r="3622" spans="1:5" x14ac:dyDescent="0.25">
      <c r="B3622" s="115" t="s">
        <v>1144</v>
      </c>
      <c r="D3622" s="115" t="s">
        <v>4942</v>
      </c>
      <c r="E3622" s="115" t="s">
        <v>4943</v>
      </c>
    </row>
    <row r="3623" spans="1:5" x14ac:dyDescent="0.25">
      <c r="B3623" s="115" t="s">
        <v>4944</v>
      </c>
      <c r="D3623" s="115" t="s">
        <v>4945</v>
      </c>
      <c r="E3623" s="115" t="s">
        <v>1140</v>
      </c>
    </row>
    <row r="3624" spans="1:5" x14ac:dyDescent="0.25">
      <c r="B3624" s="115" t="s">
        <v>4946</v>
      </c>
      <c r="D3624" s="115" t="s">
        <v>4947</v>
      </c>
      <c r="E3624" s="115" t="s">
        <v>4948</v>
      </c>
    </row>
    <row r="3625" spans="1:5" x14ac:dyDescent="0.25">
      <c r="B3625" s="115" t="s">
        <v>4949</v>
      </c>
      <c r="D3625" s="115" t="s">
        <v>4950</v>
      </c>
      <c r="E3625" s="115" t="s">
        <v>4951</v>
      </c>
    </row>
    <row r="3626" spans="1:5" x14ac:dyDescent="0.25">
      <c r="B3626" s="115" t="s">
        <v>1138</v>
      </c>
      <c r="D3626" s="115" t="s">
        <v>1139</v>
      </c>
      <c r="E3626" s="115" t="s">
        <v>1140</v>
      </c>
    </row>
    <row r="3627" spans="1:5" x14ac:dyDescent="0.25">
      <c r="B3627" s="115" t="s">
        <v>1138</v>
      </c>
      <c r="D3627" s="115" t="s">
        <v>3274</v>
      </c>
      <c r="E3627" s="115" t="s">
        <v>1140</v>
      </c>
    </row>
    <row r="3628" spans="1:5" x14ac:dyDescent="0.25">
      <c r="A3628" s="115">
        <v>-15</v>
      </c>
      <c r="B3628" s="115" t="s">
        <v>4952</v>
      </c>
      <c r="D3628" s="115" t="s">
        <v>4953</v>
      </c>
      <c r="E3628" s="115" t="s">
        <v>4954</v>
      </c>
    </row>
    <row r="3629" spans="1:5" x14ac:dyDescent="0.25">
      <c r="B3629" s="115" t="s">
        <v>1138</v>
      </c>
      <c r="D3629" s="115" t="s">
        <v>4955</v>
      </c>
      <c r="E3629" s="115" t="s">
        <v>1140</v>
      </c>
    </row>
    <row r="3630" spans="1:5" x14ac:dyDescent="0.25">
      <c r="B3630" s="115" t="s">
        <v>1138</v>
      </c>
      <c r="D3630" s="115" t="s">
        <v>4956</v>
      </c>
      <c r="E3630" s="115" t="s">
        <v>4957</v>
      </c>
    </row>
    <row r="3631" spans="1:5" x14ac:dyDescent="0.25">
      <c r="A3631" s="115">
        <v>-7</v>
      </c>
      <c r="B3631" s="115" t="s">
        <v>4958</v>
      </c>
      <c r="D3631" s="115" t="s">
        <v>4959</v>
      </c>
      <c r="E3631" s="115" t="s">
        <v>4960</v>
      </c>
    </row>
    <row r="3632" spans="1:5" x14ac:dyDescent="0.25">
      <c r="B3632" s="115" t="s">
        <v>1138</v>
      </c>
      <c r="D3632" s="115" t="s">
        <v>3377</v>
      </c>
      <c r="E3632" s="115" t="s">
        <v>1701</v>
      </c>
    </row>
    <row r="3633" spans="1:5" x14ac:dyDescent="0.25">
      <c r="B3633" s="115" t="s">
        <v>1138</v>
      </c>
      <c r="D3633" s="115" t="s">
        <v>4961</v>
      </c>
      <c r="E3633" s="115" t="s">
        <v>4962</v>
      </c>
    </row>
    <row r="3634" spans="1:5" x14ac:dyDescent="0.25">
      <c r="B3634" s="115" t="s">
        <v>1209</v>
      </c>
      <c r="D3634" s="115" t="s">
        <v>4963</v>
      </c>
      <c r="E3634" s="115" t="s">
        <v>4964</v>
      </c>
    </row>
    <row r="3635" spans="1:5" x14ac:dyDescent="0.25">
      <c r="B3635" s="115" t="s">
        <v>4965</v>
      </c>
      <c r="D3635" s="115" t="s">
        <v>4966</v>
      </c>
      <c r="E3635" s="115" t="s">
        <v>1140</v>
      </c>
    </row>
    <row r="3636" spans="1:5" x14ac:dyDescent="0.25">
      <c r="B3636" s="115" t="s">
        <v>4967</v>
      </c>
      <c r="D3636" s="115" t="s">
        <v>4968</v>
      </c>
      <c r="E3636" s="115" t="s">
        <v>4969</v>
      </c>
    </row>
    <row r="3637" spans="1:5" x14ac:dyDescent="0.25">
      <c r="A3637" s="115" t="s">
        <v>1137</v>
      </c>
      <c r="B3637" s="115" t="s">
        <v>4970</v>
      </c>
      <c r="D3637" s="115" t="s">
        <v>4971</v>
      </c>
      <c r="E3637" s="115" t="s">
        <v>4972</v>
      </c>
    </row>
    <row r="3638" spans="1:5" x14ac:dyDescent="0.25">
      <c r="B3638" s="115" t="s">
        <v>1520</v>
      </c>
      <c r="D3638" s="115" t="s">
        <v>4973</v>
      </c>
      <c r="E3638" s="115" t="s">
        <v>1701</v>
      </c>
    </row>
    <row r="3639" spans="1:5" x14ac:dyDescent="0.25">
      <c r="B3639" s="115" t="s">
        <v>4974</v>
      </c>
      <c r="D3639" s="115" t="s">
        <v>4975</v>
      </c>
      <c r="E3639" s="115" t="s">
        <v>4976</v>
      </c>
    </row>
    <row r="3640" spans="1:5" x14ac:dyDescent="0.25">
      <c r="B3640" s="115" t="s">
        <v>4977</v>
      </c>
      <c r="D3640" s="115" t="s">
        <v>4978</v>
      </c>
      <c r="E3640" s="115" t="s">
        <v>4979</v>
      </c>
    </row>
    <row r="3641" spans="1:5" x14ac:dyDescent="0.25">
      <c r="B3641" s="115" t="s">
        <v>1552</v>
      </c>
      <c r="D3641" s="115" t="s">
        <v>4980</v>
      </c>
      <c r="E3641" s="115" t="s">
        <v>2259</v>
      </c>
    </row>
    <row r="3642" spans="1:5" x14ac:dyDescent="0.25">
      <c r="B3642" s="115" t="s">
        <v>4981</v>
      </c>
      <c r="D3642" s="115" t="s">
        <v>4982</v>
      </c>
      <c r="E3642" s="115" t="s">
        <v>4983</v>
      </c>
    </row>
    <row r="3643" spans="1:5" x14ac:dyDescent="0.25">
      <c r="A3643" s="115" t="s">
        <v>1137</v>
      </c>
      <c r="B3643" s="115" t="s">
        <v>4984</v>
      </c>
      <c r="D3643" s="115" t="s">
        <v>4985</v>
      </c>
      <c r="E3643" s="115" t="s">
        <v>4986</v>
      </c>
    </row>
    <row r="3644" spans="1:5" x14ac:dyDescent="0.25">
      <c r="B3644" s="115" t="s">
        <v>1574</v>
      </c>
      <c r="D3644" s="115" t="s">
        <v>4987</v>
      </c>
      <c r="E3644" s="115" t="s">
        <v>1140</v>
      </c>
    </row>
    <row r="3645" spans="1:5" x14ac:dyDescent="0.25">
      <c r="B3645" s="115" t="s">
        <v>4988</v>
      </c>
      <c r="D3645" s="115" t="s">
        <v>4989</v>
      </c>
      <c r="E3645" s="115" t="s">
        <v>1140</v>
      </c>
    </row>
    <row r="3646" spans="1:5" x14ac:dyDescent="0.25">
      <c r="A3646" s="115">
        <v>-1</v>
      </c>
      <c r="B3646" s="115" t="s">
        <v>4990</v>
      </c>
      <c r="D3646" s="115" t="s">
        <v>4991</v>
      </c>
      <c r="E3646" s="115" t="s">
        <v>4992</v>
      </c>
    </row>
    <row r="3647" spans="1:5" x14ac:dyDescent="0.25">
      <c r="B3647" s="115" t="s">
        <v>1477</v>
      </c>
      <c r="D3647" s="115" t="s">
        <v>4993</v>
      </c>
      <c r="E3647" s="115" t="s">
        <v>2689</v>
      </c>
    </row>
    <row r="3648" spans="1:5" x14ac:dyDescent="0.25">
      <c r="B3648" s="115" t="s">
        <v>4994</v>
      </c>
      <c r="D3648" s="115" t="s">
        <v>4995</v>
      </c>
      <c r="E3648" s="115" t="s">
        <v>4996</v>
      </c>
    </row>
    <row r="3649" spans="2:5" x14ac:dyDescent="0.25">
      <c r="B3649" s="115" t="s">
        <v>1138</v>
      </c>
      <c r="D3649" s="115" t="s">
        <v>1139</v>
      </c>
      <c r="E3649" s="115" t="s">
        <v>4997</v>
      </c>
    </row>
    <row r="3650" spans="2:5" x14ac:dyDescent="0.25">
      <c r="B3650" s="115" t="s">
        <v>4998</v>
      </c>
      <c r="D3650" s="115" t="s">
        <v>4999</v>
      </c>
      <c r="E3650" s="115" t="s">
        <v>5000</v>
      </c>
    </row>
    <row r="3651" spans="2:5" x14ac:dyDescent="0.25">
      <c r="B3651" s="115" t="s">
        <v>1138</v>
      </c>
      <c r="D3651" s="115" t="s">
        <v>5001</v>
      </c>
      <c r="E3651" s="115" t="s">
        <v>1140</v>
      </c>
    </row>
    <row r="3652" spans="2:5" x14ac:dyDescent="0.25">
      <c r="B3652" s="115" t="s">
        <v>1138</v>
      </c>
      <c r="D3652" s="115" t="s">
        <v>1139</v>
      </c>
      <c r="E3652" s="115" t="s">
        <v>1140</v>
      </c>
    </row>
    <row r="3653" spans="2:5" x14ac:dyDescent="0.25">
      <c r="B3653" s="115" t="s">
        <v>5002</v>
      </c>
      <c r="D3653" s="115" t="s">
        <v>5003</v>
      </c>
      <c r="E3653" s="115" t="s">
        <v>2259</v>
      </c>
    </row>
    <row r="3654" spans="2:5" x14ac:dyDescent="0.25">
      <c r="B3654" s="115" t="s">
        <v>1138</v>
      </c>
      <c r="D3654" s="115" t="s">
        <v>1139</v>
      </c>
      <c r="E3654" s="115" t="s">
        <v>1140</v>
      </c>
    </row>
    <row r="3655" spans="2:5" x14ac:dyDescent="0.25">
      <c r="B3655" s="115" t="s">
        <v>1138</v>
      </c>
      <c r="D3655" s="115" t="s">
        <v>1139</v>
      </c>
      <c r="E3655" s="115" t="s">
        <v>1140</v>
      </c>
    </row>
    <row r="3656" spans="2:5" x14ac:dyDescent="0.25">
      <c r="B3656" s="115" t="s">
        <v>1138</v>
      </c>
      <c r="D3656" s="115" t="s">
        <v>1139</v>
      </c>
      <c r="E3656" s="115" t="s">
        <v>1140</v>
      </c>
    </row>
    <row r="3657" spans="2:5" x14ac:dyDescent="0.25">
      <c r="B3657" s="115" t="s">
        <v>1138</v>
      </c>
      <c r="D3657" s="115" t="s">
        <v>1139</v>
      </c>
      <c r="E3657" s="115" t="s">
        <v>1140</v>
      </c>
    </row>
    <row r="3658" spans="2:5" x14ac:dyDescent="0.25">
      <c r="B3658" s="115" t="s">
        <v>1138</v>
      </c>
      <c r="D3658" s="115" t="s">
        <v>1139</v>
      </c>
      <c r="E3658" s="115" t="s">
        <v>1140</v>
      </c>
    </row>
    <row r="3659" spans="2:5" x14ac:dyDescent="0.25">
      <c r="B3659" s="115" t="s">
        <v>1138</v>
      </c>
      <c r="D3659" s="115" t="s">
        <v>1139</v>
      </c>
      <c r="E3659" s="115" t="s">
        <v>1140</v>
      </c>
    </row>
    <row r="3660" spans="2:5" x14ac:dyDescent="0.25">
      <c r="B3660" s="115" t="s">
        <v>1138</v>
      </c>
      <c r="D3660" s="115" t="s">
        <v>1139</v>
      </c>
      <c r="E3660" s="115" t="s">
        <v>1140</v>
      </c>
    </row>
    <row r="3661" spans="2:5" x14ac:dyDescent="0.25">
      <c r="B3661" s="115" t="s">
        <v>1138</v>
      </c>
      <c r="D3661" s="115" t="s">
        <v>1139</v>
      </c>
      <c r="E3661" s="115" t="s">
        <v>1140</v>
      </c>
    </row>
    <row r="3662" spans="2:5" x14ac:dyDescent="0.25">
      <c r="B3662" s="115" t="s">
        <v>1138</v>
      </c>
      <c r="D3662" s="115" t="s">
        <v>1139</v>
      </c>
      <c r="E3662" s="115" t="s">
        <v>1140</v>
      </c>
    </row>
    <row r="3663" spans="2:5" x14ac:dyDescent="0.25">
      <c r="B3663" s="115" t="s">
        <v>1138</v>
      </c>
      <c r="D3663" s="115" t="s">
        <v>1139</v>
      </c>
      <c r="E3663" s="115" t="s">
        <v>1140</v>
      </c>
    </row>
    <row r="3664" spans="2:5" x14ac:dyDescent="0.25">
      <c r="B3664" s="115" t="s">
        <v>1138</v>
      </c>
      <c r="D3664" s="115" t="s">
        <v>1139</v>
      </c>
      <c r="E3664" s="115" t="s">
        <v>1140</v>
      </c>
    </row>
    <row r="3665" spans="2:5" x14ac:dyDescent="0.25">
      <c r="B3665" s="115" t="s">
        <v>1138</v>
      </c>
      <c r="D3665" s="115" t="s">
        <v>1139</v>
      </c>
      <c r="E3665" s="115" t="s">
        <v>1140</v>
      </c>
    </row>
    <row r="3666" spans="2:5" x14ac:dyDescent="0.25">
      <c r="B3666" s="115" t="s">
        <v>1138</v>
      </c>
      <c r="D3666" s="115" t="s">
        <v>1139</v>
      </c>
      <c r="E3666" s="115" t="s">
        <v>1140</v>
      </c>
    </row>
    <row r="3667" spans="2:5" x14ac:dyDescent="0.25">
      <c r="B3667" s="115" t="s">
        <v>1138</v>
      </c>
      <c r="D3667" s="115" t="s">
        <v>1139</v>
      </c>
      <c r="E3667" s="115" t="s">
        <v>1140</v>
      </c>
    </row>
    <row r="3668" spans="2:5" x14ac:dyDescent="0.25">
      <c r="B3668" s="115" t="s">
        <v>1138</v>
      </c>
      <c r="D3668" s="115" t="s">
        <v>1139</v>
      </c>
      <c r="E3668" s="115" t="s">
        <v>1140</v>
      </c>
    </row>
    <row r="3669" spans="2:5" x14ac:dyDescent="0.25">
      <c r="B3669" s="115" t="s">
        <v>1138</v>
      </c>
      <c r="D3669" s="115" t="s">
        <v>1139</v>
      </c>
      <c r="E3669" s="115" t="s">
        <v>1140</v>
      </c>
    </row>
    <row r="3670" spans="2:5" x14ac:dyDescent="0.25">
      <c r="B3670" s="115" t="s">
        <v>1138</v>
      </c>
      <c r="D3670" s="115" t="s">
        <v>1139</v>
      </c>
      <c r="E3670" s="115" t="s">
        <v>1140</v>
      </c>
    </row>
    <row r="3671" spans="2:5" x14ac:dyDescent="0.25">
      <c r="B3671" s="115" t="s">
        <v>1138</v>
      </c>
      <c r="D3671" s="115" t="s">
        <v>1139</v>
      </c>
      <c r="E3671" s="115" t="s">
        <v>1140</v>
      </c>
    </row>
    <row r="3672" spans="2:5" x14ac:dyDescent="0.25">
      <c r="B3672" s="115" t="s">
        <v>1138</v>
      </c>
      <c r="D3672" s="115" t="s">
        <v>1139</v>
      </c>
      <c r="E3672" s="115" t="s">
        <v>1140</v>
      </c>
    </row>
    <row r="3673" spans="2:5" x14ac:dyDescent="0.25">
      <c r="B3673" s="115" t="s">
        <v>1138</v>
      </c>
      <c r="D3673" s="115" t="s">
        <v>1139</v>
      </c>
      <c r="E3673" s="115" t="s">
        <v>1140</v>
      </c>
    </row>
    <row r="3674" spans="2:5" x14ac:dyDescent="0.25">
      <c r="B3674" s="115" t="s">
        <v>1138</v>
      </c>
      <c r="D3674" s="115" t="s">
        <v>1139</v>
      </c>
      <c r="E3674" s="115" t="s">
        <v>1140</v>
      </c>
    </row>
    <row r="3675" spans="2:5" x14ac:dyDescent="0.25">
      <c r="B3675" s="115" t="s">
        <v>1138</v>
      </c>
      <c r="D3675" s="115" t="s">
        <v>1139</v>
      </c>
      <c r="E3675" s="115" t="s">
        <v>1140</v>
      </c>
    </row>
    <row r="3676" spans="2:5" x14ac:dyDescent="0.25">
      <c r="B3676" s="115" t="s">
        <v>1138</v>
      </c>
      <c r="D3676" s="115" t="s">
        <v>1139</v>
      </c>
      <c r="E3676" s="115" t="s">
        <v>1140</v>
      </c>
    </row>
    <row r="3677" spans="2:5" x14ac:dyDescent="0.25">
      <c r="B3677" s="115" t="s">
        <v>1138</v>
      </c>
      <c r="D3677" s="115" t="s">
        <v>1139</v>
      </c>
      <c r="E3677" s="115" t="s">
        <v>1140</v>
      </c>
    </row>
    <row r="3678" spans="2:5" x14ac:dyDescent="0.25">
      <c r="B3678" s="115" t="s">
        <v>1138</v>
      </c>
      <c r="D3678" s="115" t="s">
        <v>1139</v>
      </c>
      <c r="E3678" s="115" t="s">
        <v>1140</v>
      </c>
    </row>
    <row r="3679" spans="2:5" x14ac:dyDescent="0.25">
      <c r="B3679" s="115" t="s">
        <v>1138</v>
      </c>
      <c r="D3679" s="115" t="s">
        <v>5004</v>
      </c>
      <c r="E3679" s="115" t="s">
        <v>5005</v>
      </c>
    </row>
    <row r="3680" spans="2:5" x14ac:dyDescent="0.25">
      <c r="B3680" s="115" t="s">
        <v>5006</v>
      </c>
      <c r="D3680" s="115" t="s">
        <v>5007</v>
      </c>
      <c r="E3680" s="115" t="s">
        <v>5008</v>
      </c>
    </row>
    <row r="3681" spans="1:5" x14ac:dyDescent="0.25">
      <c r="B3681" s="115" t="s">
        <v>1138</v>
      </c>
      <c r="D3681" s="115" t="s">
        <v>5009</v>
      </c>
      <c r="E3681" s="115" t="s">
        <v>5010</v>
      </c>
    </row>
    <row r="3682" spans="1:5" x14ac:dyDescent="0.25">
      <c r="A3682" s="115">
        <v>3</v>
      </c>
      <c r="B3682" s="115" t="s">
        <v>5011</v>
      </c>
      <c r="D3682" s="115" t="s">
        <v>5012</v>
      </c>
      <c r="E3682" s="115" t="s">
        <v>5013</v>
      </c>
    </row>
    <row r="3683" spans="1:5" x14ac:dyDescent="0.25">
      <c r="B3683" s="115" t="s">
        <v>1138</v>
      </c>
      <c r="D3683" s="115" t="s">
        <v>5014</v>
      </c>
      <c r="E3683" s="115" t="s">
        <v>5015</v>
      </c>
    </row>
    <row r="3684" spans="1:5" x14ac:dyDescent="0.25">
      <c r="B3684" s="115" t="s">
        <v>1138</v>
      </c>
      <c r="D3684" s="115" t="s">
        <v>1139</v>
      </c>
      <c r="E3684" s="115" t="s">
        <v>5016</v>
      </c>
    </row>
    <row r="3685" spans="1:5" x14ac:dyDescent="0.25">
      <c r="B3685" s="115" t="s">
        <v>1138</v>
      </c>
      <c r="D3685" s="115" t="s">
        <v>5017</v>
      </c>
      <c r="E3685" s="115" t="s">
        <v>5018</v>
      </c>
    </row>
    <row r="3686" spans="1:5" x14ac:dyDescent="0.25">
      <c r="A3686" s="115">
        <v>-2</v>
      </c>
      <c r="B3686" s="115" t="s">
        <v>5019</v>
      </c>
      <c r="D3686" s="115" t="s">
        <v>5020</v>
      </c>
      <c r="E3686" s="115" t="s">
        <v>5021</v>
      </c>
    </row>
    <row r="3687" spans="1:5" x14ac:dyDescent="0.25">
      <c r="B3687" s="115" t="s">
        <v>1138</v>
      </c>
      <c r="D3687" s="115" t="s">
        <v>5022</v>
      </c>
      <c r="E3687" s="115" t="s">
        <v>5023</v>
      </c>
    </row>
    <row r="3688" spans="1:5" x14ac:dyDescent="0.25">
      <c r="B3688" s="115" t="s">
        <v>5024</v>
      </c>
      <c r="D3688" s="115">
        <f>-99  -1245   -351    -9</f>
        <v>-1704</v>
      </c>
      <c r="E3688" s="115" t="s">
        <v>5025</v>
      </c>
    </row>
    <row r="3689" spans="1:5" x14ac:dyDescent="0.25">
      <c r="B3689" s="115" t="s">
        <v>1138</v>
      </c>
      <c r="D3689" s="115" t="s">
        <v>5026</v>
      </c>
      <c r="E3689" s="115" t="s">
        <v>5027</v>
      </c>
    </row>
    <row r="3690" spans="1:5" x14ac:dyDescent="0.25">
      <c r="B3690" s="115" t="s">
        <v>1138</v>
      </c>
      <c r="D3690" s="115" t="s">
        <v>5028</v>
      </c>
      <c r="E3690" s="115" t="s">
        <v>5029</v>
      </c>
    </row>
    <row r="3691" spans="1:5" x14ac:dyDescent="0.25">
      <c r="B3691" s="115" t="s">
        <v>5030</v>
      </c>
      <c r="D3691" s="115" t="s">
        <v>5031</v>
      </c>
      <c r="E3691" s="115" t="s">
        <v>5032</v>
      </c>
    </row>
    <row r="3692" spans="1:5" x14ac:dyDescent="0.25">
      <c r="B3692" s="115" t="s">
        <v>2772</v>
      </c>
      <c r="D3692" s="115" t="s">
        <v>5033</v>
      </c>
      <c r="E3692" s="115" t="s">
        <v>5034</v>
      </c>
    </row>
    <row r="3693" spans="1:5" x14ac:dyDescent="0.25">
      <c r="B3693" s="115" t="s">
        <v>1138</v>
      </c>
      <c r="D3693" s="115" t="s">
        <v>5035</v>
      </c>
      <c r="E3693" s="115" t="s">
        <v>5036</v>
      </c>
    </row>
    <row r="3694" spans="1:5" x14ac:dyDescent="0.25">
      <c r="B3694" s="115" t="s">
        <v>1138</v>
      </c>
      <c r="D3694" s="115" t="s">
        <v>5037</v>
      </c>
      <c r="E3694" s="115" t="s">
        <v>5038</v>
      </c>
    </row>
    <row r="3695" spans="1:5" x14ac:dyDescent="0.25">
      <c r="B3695" s="115" t="s">
        <v>5039</v>
      </c>
      <c r="D3695" s="115" t="s">
        <v>5040</v>
      </c>
      <c r="E3695" s="115" t="s">
        <v>1858</v>
      </c>
    </row>
    <row r="3696" spans="1:5" x14ac:dyDescent="0.25">
      <c r="B3696" s="115" t="s">
        <v>1138</v>
      </c>
      <c r="D3696" s="115" t="s">
        <v>5041</v>
      </c>
      <c r="E3696" s="115" t="s">
        <v>5042</v>
      </c>
    </row>
    <row r="3697" spans="1:5" x14ac:dyDescent="0.25">
      <c r="B3697" s="115" t="s">
        <v>1138</v>
      </c>
      <c r="D3697" s="115" t="s">
        <v>5043</v>
      </c>
      <c r="E3697" s="115" t="s">
        <v>5044</v>
      </c>
    </row>
    <row r="3698" spans="1:5" x14ac:dyDescent="0.25">
      <c r="B3698" s="115" t="s">
        <v>1138</v>
      </c>
      <c r="D3698" s="115" t="s">
        <v>5045</v>
      </c>
      <c r="E3698" s="115" t="s">
        <v>5046</v>
      </c>
    </row>
    <row r="3699" spans="1:5" x14ac:dyDescent="0.25">
      <c r="B3699" s="115" t="s">
        <v>1138</v>
      </c>
      <c r="D3699" s="115" t="s">
        <v>5047</v>
      </c>
      <c r="E3699" s="115" t="s">
        <v>5048</v>
      </c>
    </row>
    <row r="3700" spans="1:5" x14ac:dyDescent="0.25">
      <c r="A3700" s="115">
        <v>-1</v>
      </c>
      <c r="B3700" s="115" t="s">
        <v>5049</v>
      </c>
      <c r="D3700" s="115" t="s">
        <v>1139</v>
      </c>
      <c r="E3700" s="115" t="s">
        <v>5050</v>
      </c>
    </row>
    <row r="3701" spans="1:5" x14ac:dyDescent="0.25">
      <c r="A3701" s="115">
        <v>-2</v>
      </c>
      <c r="B3701" s="115" t="s">
        <v>5051</v>
      </c>
      <c r="C3701" s="115" t="s">
        <v>1137</v>
      </c>
      <c r="D3701" s="115" t="s">
        <v>5052</v>
      </c>
      <c r="E3701" s="115" t="s">
        <v>5053</v>
      </c>
    </row>
    <row r="3702" spans="1:5" x14ac:dyDescent="0.25">
      <c r="A3702" s="115">
        <v>1</v>
      </c>
      <c r="B3702" s="115" t="s">
        <v>1218</v>
      </c>
      <c r="D3702" s="115" t="s">
        <v>1139</v>
      </c>
      <c r="E3702" s="115" t="s">
        <v>5054</v>
      </c>
    </row>
    <row r="3703" spans="1:5" x14ac:dyDescent="0.25">
      <c r="B3703" s="115" t="s">
        <v>1138</v>
      </c>
      <c r="D3703" s="115" t="s">
        <v>1139</v>
      </c>
      <c r="E3703" s="115" t="s">
        <v>1140</v>
      </c>
    </row>
    <row r="3704" spans="1:5" x14ac:dyDescent="0.25">
      <c r="B3704" s="115" t="s">
        <v>1138</v>
      </c>
      <c r="D3704" s="115" t="s">
        <v>5055</v>
      </c>
      <c r="E3704" s="115" t="s">
        <v>5056</v>
      </c>
    </row>
    <row r="3705" spans="1:5" x14ac:dyDescent="0.25">
      <c r="B3705" s="115" t="s">
        <v>5057</v>
      </c>
      <c r="D3705" s="115" t="s">
        <v>5058</v>
      </c>
      <c r="E3705" s="115" t="s">
        <v>5059</v>
      </c>
    </row>
    <row r="3706" spans="1:5" x14ac:dyDescent="0.25">
      <c r="B3706" s="115" t="s">
        <v>1138</v>
      </c>
      <c r="D3706" s="115" t="s">
        <v>5060</v>
      </c>
      <c r="E3706" s="115" t="s">
        <v>1140</v>
      </c>
    </row>
    <row r="3707" spans="1:5" x14ac:dyDescent="0.25">
      <c r="B3707" s="115" t="s">
        <v>1138</v>
      </c>
      <c r="D3707" s="115" t="s">
        <v>5061</v>
      </c>
      <c r="E3707" s="115" t="s">
        <v>5062</v>
      </c>
    </row>
    <row r="3708" spans="1:5" x14ac:dyDescent="0.25">
      <c r="B3708" s="115" t="s">
        <v>5063</v>
      </c>
      <c r="D3708" s="115" t="s">
        <v>5064</v>
      </c>
      <c r="E3708" s="115" t="s">
        <v>5065</v>
      </c>
    </row>
    <row r="3709" spans="1:5" x14ac:dyDescent="0.25">
      <c r="B3709" s="115" t="s">
        <v>5066</v>
      </c>
      <c r="D3709" s="115" t="s">
        <v>1139</v>
      </c>
      <c r="E3709" s="115" t="s">
        <v>5067</v>
      </c>
    </row>
    <row r="3710" spans="1:5" x14ac:dyDescent="0.25">
      <c r="B3710" s="115" t="s">
        <v>1138</v>
      </c>
      <c r="D3710" s="115" t="s">
        <v>5068</v>
      </c>
      <c r="E3710" s="115" t="s">
        <v>5069</v>
      </c>
    </row>
    <row r="3711" spans="1:5" x14ac:dyDescent="0.25">
      <c r="B3711" s="115" t="s">
        <v>1138</v>
      </c>
      <c r="D3711" s="115" t="s">
        <v>5070</v>
      </c>
      <c r="E3711" s="115" t="s">
        <v>5071</v>
      </c>
    </row>
    <row r="3712" spans="1:5" x14ac:dyDescent="0.25">
      <c r="A3712" s="115" t="s">
        <v>1137</v>
      </c>
      <c r="B3712" s="115" t="s">
        <v>5072</v>
      </c>
      <c r="D3712" s="115" t="s">
        <v>5073</v>
      </c>
      <c r="E3712" s="115" t="s">
        <v>5074</v>
      </c>
    </row>
    <row r="3713" spans="1:5" x14ac:dyDescent="0.25">
      <c r="B3713" s="115" t="s">
        <v>2532</v>
      </c>
      <c r="D3713" s="115">
        <f>-761   -215  -6557 -3103</f>
        <v>-10636</v>
      </c>
      <c r="E3713" s="115" t="s">
        <v>5075</v>
      </c>
    </row>
    <row r="3714" spans="1:5" x14ac:dyDescent="0.25">
      <c r="A3714" s="115">
        <v>7</v>
      </c>
      <c r="B3714" s="115" t="s">
        <v>5076</v>
      </c>
      <c r="C3714" s="115">
        <v>1</v>
      </c>
      <c r="D3714" s="115" t="s">
        <v>5077</v>
      </c>
      <c r="E3714" s="115" t="s">
        <v>5078</v>
      </c>
    </row>
    <row r="3715" spans="1:5" x14ac:dyDescent="0.25">
      <c r="A3715" s="115">
        <v>1</v>
      </c>
      <c r="B3715" s="115" t="s">
        <v>5079</v>
      </c>
      <c r="D3715" s="115" t="s">
        <v>5080</v>
      </c>
      <c r="E3715" s="115" t="s">
        <v>5081</v>
      </c>
    </row>
    <row r="3716" spans="1:5" x14ac:dyDescent="0.25">
      <c r="B3716" s="115" t="s">
        <v>5082</v>
      </c>
      <c r="D3716" s="115" t="s">
        <v>5083</v>
      </c>
      <c r="E3716" s="115" t="s">
        <v>5084</v>
      </c>
    </row>
    <row r="3717" spans="1:5" x14ac:dyDescent="0.25">
      <c r="B3717" s="115">
        <f>-39   -497</f>
        <v>-536</v>
      </c>
      <c r="D3717" s="115" t="s">
        <v>5085</v>
      </c>
      <c r="E3717" s="115" t="s">
        <v>5086</v>
      </c>
    </row>
    <row r="3718" spans="1:5" x14ac:dyDescent="0.25">
      <c r="B3718" s="115" t="s">
        <v>1138</v>
      </c>
      <c r="D3718" s="115" t="s">
        <v>5087</v>
      </c>
      <c r="E3718" s="115" t="s">
        <v>5088</v>
      </c>
    </row>
    <row r="3719" spans="1:5" x14ac:dyDescent="0.25">
      <c r="B3719" s="115" t="s">
        <v>5089</v>
      </c>
      <c r="C3719" s="115" t="s">
        <v>1137</v>
      </c>
      <c r="D3719" s="115" t="s">
        <v>5090</v>
      </c>
      <c r="E3719" s="115" t="s">
        <v>5091</v>
      </c>
    </row>
    <row r="3720" spans="1:5" x14ac:dyDescent="0.25">
      <c r="B3720" s="115">
        <f>-56   -460</f>
        <v>-516</v>
      </c>
      <c r="D3720" s="115" t="s">
        <v>5092</v>
      </c>
      <c r="E3720" s="115" t="s">
        <v>5093</v>
      </c>
    </row>
    <row r="3721" spans="1:5" x14ac:dyDescent="0.25">
      <c r="B3721" s="115" t="s">
        <v>2801</v>
      </c>
      <c r="D3721" s="115" t="s">
        <v>5094</v>
      </c>
      <c r="E3721" s="115" t="s">
        <v>1140</v>
      </c>
    </row>
    <row r="3722" spans="1:5" x14ac:dyDescent="0.25">
      <c r="B3722" s="115" t="s">
        <v>5095</v>
      </c>
      <c r="C3722" s="115" t="s">
        <v>1137</v>
      </c>
      <c r="D3722" s="115" t="s">
        <v>5096</v>
      </c>
      <c r="E3722" s="115" t="s">
        <v>2536</v>
      </c>
    </row>
    <row r="3723" spans="1:5" x14ac:dyDescent="0.25">
      <c r="B3723" s="115" t="s">
        <v>5097</v>
      </c>
      <c r="C3723" s="115" t="s">
        <v>1137</v>
      </c>
      <c r="D3723" s="115" t="s">
        <v>5098</v>
      </c>
      <c r="E3723" s="115" t="s">
        <v>5099</v>
      </c>
    </row>
    <row r="3724" spans="1:5" x14ac:dyDescent="0.25">
      <c r="B3724" s="115" t="s">
        <v>5100</v>
      </c>
      <c r="D3724" s="115" t="s">
        <v>5101</v>
      </c>
      <c r="E3724" s="115" t="s">
        <v>5102</v>
      </c>
    </row>
    <row r="3725" spans="1:5" x14ac:dyDescent="0.25">
      <c r="B3725" s="115" t="s">
        <v>5103</v>
      </c>
      <c r="C3725" s="115" t="s">
        <v>1137</v>
      </c>
      <c r="D3725" s="115" t="s">
        <v>5104</v>
      </c>
      <c r="E3725" s="115" t="s">
        <v>5105</v>
      </c>
    </row>
    <row r="3726" spans="1:5" x14ac:dyDescent="0.25">
      <c r="B3726" s="115" t="s">
        <v>1138</v>
      </c>
      <c r="D3726" s="115" t="s">
        <v>1139</v>
      </c>
      <c r="E3726" s="115" t="s">
        <v>5106</v>
      </c>
    </row>
    <row r="3727" spans="1:5" x14ac:dyDescent="0.25">
      <c r="B3727" s="115" t="s">
        <v>5107</v>
      </c>
      <c r="D3727" s="115" t="s">
        <v>5108</v>
      </c>
      <c r="E3727" s="115" t="s">
        <v>5109</v>
      </c>
    </row>
    <row r="3728" spans="1:5" x14ac:dyDescent="0.25">
      <c r="B3728" s="115" t="s">
        <v>1138</v>
      </c>
      <c r="D3728" s="115" t="s">
        <v>5110</v>
      </c>
      <c r="E3728" s="115" t="s">
        <v>1858</v>
      </c>
    </row>
    <row r="3729" spans="1:5" x14ac:dyDescent="0.25">
      <c r="B3729" s="115" t="s">
        <v>1138</v>
      </c>
      <c r="D3729" s="115" t="s">
        <v>1139</v>
      </c>
      <c r="E3729" s="115" t="s">
        <v>1140</v>
      </c>
    </row>
    <row r="3730" spans="1:5" x14ac:dyDescent="0.25">
      <c r="B3730" s="115" t="s">
        <v>5111</v>
      </c>
      <c r="D3730" s="115" t="s">
        <v>1139</v>
      </c>
      <c r="E3730" s="115" t="s">
        <v>5112</v>
      </c>
    </row>
    <row r="3731" spans="1:5" x14ac:dyDescent="0.25">
      <c r="A3731" s="115">
        <v>-5</v>
      </c>
      <c r="B3731" s="115" t="s">
        <v>5113</v>
      </c>
      <c r="C3731" s="115" t="s">
        <v>1137</v>
      </c>
      <c r="D3731" s="115" t="s">
        <v>5114</v>
      </c>
      <c r="E3731" s="115" t="s">
        <v>5115</v>
      </c>
    </row>
    <row r="3732" spans="1:5" x14ac:dyDescent="0.25">
      <c r="B3732" s="115" t="s">
        <v>1138</v>
      </c>
      <c r="D3732" s="115" t="s">
        <v>5116</v>
      </c>
      <c r="E3732" s="115" t="s">
        <v>1140</v>
      </c>
    </row>
    <row r="3733" spans="1:5" x14ac:dyDescent="0.25">
      <c r="B3733" s="115" t="s">
        <v>1138</v>
      </c>
      <c r="D3733" s="115" t="s">
        <v>5117</v>
      </c>
      <c r="E3733" s="115" t="s">
        <v>5118</v>
      </c>
    </row>
    <row r="3734" spans="1:5" x14ac:dyDescent="0.25">
      <c r="A3734" s="115" t="s">
        <v>1137</v>
      </c>
      <c r="B3734" s="115" t="s">
        <v>5119</v>
      </c>
      <c r="D3734" s="115" t="s">
        <v>2420</v>
      </c>
      <c r="E3734" s="115" t="s">
        <v>5120</v>
      </c>
    </row>
    <row r="3735" spans="1:5" x14ac:dyDescent="0.25">
      <c r="B3735" s="115" t="s">
        <v>1138</v>
      </c>
      <c r="D3735" s="115" t="s">
        <v>3875</v>
      </c>
      <c r="E3735" s="115" t="s">
        <v>1701</v>
      </c>
    </row>
    <row r="3736" spans="1:5" x14ac:dyDescent="0.25">
      <c r="B3736" s="115" t="s">
        <v>1138</v>
      </c>
      <c r="D3736" s="115" t="s">
        <v>5121</v>
      </c>
      <c r="E3736" s="115" t="s">
        <v>1430</v>
      </c>
    </row>
    <row r="3737" spans="1:5" x14ac:dyDescent="0.25">
      <c r="B3737" s="115" t="s">
        <v>5122</v>
      </c>
      <c r="D3737" s="115" t="s">
        <v>5123</v>
      </c>
      <c r="E3737" s="115" t="s">
        <v>5124</v>
      </c>
    </row>
    <row r="3738" spans="1:5" x14ac:dyDescent="0.25">
      <c r="B3738" s="115" t="s">
        <v>5125</v>
      </c>
      <c r="D3738" s="115" t="s">
        <v>5126</v>
      </c>
      <c r="E3738" s="115" t="s">
        <v>1858</v>
      </c>
    </row>
    <row r="3739" spans="1:5" x14ac:dyDescent="0.25">
      <c r="B3739" s="115" t="s">
        <v>5127</v>
      </c>
      <c r="D3739" s="115" t="s">
        <v>5128</v>
      </c>
      <c r="E3739" s="115" t="s">
        <v>5129</v>
      </c>
    </row>
    <row r="3740" spans="1:5" x14ac:dyDescent="0.25">
      <c r="A3740" s="115">
        <v>-1</v>
      </c>
      <c r="B3740" s="115" t="s">
        <v>5130</v>
      </c>
      <c r="D3740" s="115" t="s">
        <v>5131</v>
      </c>
      <c r="E3740" s="115" t="s">
        <v>5132</v>
      </c>
    </row>
    <row r="3741" spans="1:5" x14ac:dyDescent="0.25">
      <c r="A3741" s="115" t="s">
        <v>1137</v>
      </c>
      <c r="B3741" s="115" t="s">
        <v>1228</v>
      </c>
      <c r="D3741" s="115" t="s">
        <v>5133</v>
      </c>
      <c r="E3741" s="115" t="s">
        <v>2081</v>
      </c>
    </row>
    <row r="3742" spans="1:5" x14ac:dyDescent="0.25">
      <c r="A3742" s="115">
        <v>1</v>
      </c>
      <c r="B3742" s="115" t="s">
        <v>5134</v>
      </c>
      <c r="D3742" s="115" t="s">
        <v>5135</v>
      </c>
      <c r="E3742" s="115" t="s">
        <v>5136</v>
      </c>
    </row>
    <row r="3743" spans="1:5" x14ac:dyDescent="0.25">
      <c r="A3743" s="115">
        <v>7</v>
      </c>
      <c r="B3743" s="115" t="s">
        <v>1431</v>
      </c>
      <c r="D3743" s="115" t="s">
        <v>5137</v>
      </c>
      <c r="E3743" s="115" t="s">
        <v>5138</v>
      </c>
    </row>
    <row r="3744" spans="1:5" x14ac:dyDescent="0.25">
      <c r="B3744" s="115" t="s">
        <v>5139</v>
      </c>
      <c r="D3744" s="115" t="s">
        <v>5140</v>
      </c>
      <c r="E3744" s="115" t="s">
        <v>1701</v>
      </c>
    </row>
    <row r="3745" spans="1:5" x14ac:dyDescent="0.25">
      <c r="A3745" s="115">
        <v>-7</v>
      </c>
      <c r="B3745" s="115" t="s">
        <v>5141</v>
      </c>
      <c r="D3745" s="115" t="s">
        <v>5142</v>
      </c>
      <c r="E3745" s="115" t="s">
        <v>5143</v>
      </c>
    </row>
    <row r="3746" spans="1:5" x14ac:dyDescent="0.25">
      <c r="A3746" s="115" t="s">
        <v>1137</v>
      </c>
      <c r="B3746" s="115" t="s">
        <v>5144</v>
      </c>
      <c r="D3746" s="115" t="s">
        <v>5145</v>
      </c>
      <c r="E3746" s="115" t="s">
        <v>5146</v>
      </c>
    </row>
    <row r="3747" spans="1:5" x14ac:dyDescent="0.25">
      <c r="B3747" s="115" t="s">
        <v>5147</v>
      </c>
      <c r="D3747" s="115" t="s">
        <v>1404</v>
      </c>
      <c r="E3747" s="115" t="s">
        <v>1140</v>
      </c>
    </row>
    <row r="3748" spans="1:5" x14ac:dyDescent="0.25">
      <c r="A3748" s="115">
        <v>1</v>
      </c>
      <c r="B3748" s="115" t="s">
        <v>5148</v>
      </c>
      <c r="D3748" s="115" t="s">
        <v>5149</v>
      </c>
      <c r="E3748" s="115" t="s">
        <v>1140</v>
      </c>
    </row>
    <row r="3749" spans="1:5" x14ac:dyDescent="0.25">
      <c r="A3749" s="115">
        <v>-3</v>
      </c>
      <c r="B3749" s="115" t="s">
        <v>5150</v>
      </c>
      <c r="C3749" s="115" t="s">
        <v>1137</v>
      </c>
      <c r="D3749" s="115" t="s">
        <v>5151</v>
      </c>
      <c r="E3749" s="115" t="s">
        <v>5152</v>
      </c>
    </row>
    <row r="3750" spans="1:5" x14ac:dyDescent="0.25">
      <c r="A3750" s="115" t="s">
        <v>1137</v>
      </c>
      <c r="B3750" s="115" t="s">
        <v>5153</v>
      </c>
      <c r="D3750" s="115" t="s">
        <v>5154</v>
      </c>
      <c r="E3750" s="115" t="s">
        <v>1758</v>
      </c>
    </row>
    <row r="3751" spans="1:5" x14ac:dyDescent="0.25">
      <c r="A3751" s="115">
        <v>1</v>
      </c>
      <c r="B3751" s="115" t="s">
        <v>5155</v>
      </c>
      <c r="D3751" s="115" t="s">
        <v>5156</v>
      </c>
      <c r="E3751" s="115" t="s">
        <v>5157</v>
      </c>
    </row>
    <row r="3752" spans="1:5" x14ac:dyDescent="0.25">
      <c r="B3752" s="115" t="s">
        <v>1138</v>
      </c>
      <c r="D3752" s="115" t="s">
        <v>1139</v>
      </c>
      <c r="E3752" s="115" t="s">
        <v>5158</v>
      </c>
    </row>
    <row r="3753" spans="1:5" x14ac:dyDescent="0.25">
      <c r="A3753" s="115" t="s">
        <v>1137</v>
      </c>
      <c r="B3753" s="115" t="s">
        <v>5159</v>
      </c>
      <c r="D3753" s="115" t="s">
        <v>5160</v>
      </c>
      <c r="E3753" s="115" t="s">
        <v>5161</v>
      </c>
    </row>
    <row r="3754" spans="1:5" x14ac:dyDescent="0.25">
      <c r="B3754" s="115" t="s">
        <v>1138</v>
      </c>
      <c r="D3754" s="115" t="s">
        <v>5162</v>
      </c>
      <c r="E3754" s="115" t="s">
        <v>1140</v>
      </c>
    </row>
    <row r="3755" spans="1:5" x14ac:dyDescent="0.25">
      <c r="B3755" s="115" t="s">
        <v>1138</v>
      </c>
      <c r="D3755" s="115" t="s">
        <v>1139</v>
      </c>
      <c r="E3755" s="115" t="s">
        <v>1140</v>
      </c>
    </row>
    <row r="3756" spans="1:5" x14ac:dyDescent="0.25">
      <c r="A3756" s="115">
        <v>1</v>
      </c>
      <c r="B3756" s="115" t="s">
        <v>5163</v>
      </c>
      <c r="D3756" s="115" t="s">
        <v>5164</v>
      </c>
      <c r="E3756" s="115" t="s">
        <v>5165</v>
      </c>
    </row>
    <row r="3757" spans="1:5" x14ac:dyDescent="0.25">
      <c r="A3757" s="115">
        <v>-2</v>
      </c>
      <c r="B3757" s="115" t="s">
        <v>5166</v>
      </c>
      <c r="D3757" s="115" t="s">
        <v>5167</v>
      </c>
      <c r="E3757" s="115" t="s">
        <v>5168</v>
      </c>
    </row>
    <row r="3758" spans="1:5" x14ac:dyDescent="0.25">
      <c r="B3758" s="115" t="s">
        <v>1138</v>
      </c>
      <c r="D3758" s="115" t="s">
        <v>5169</v>
      </c>
      <c r="E3758" s="115" t="s">
        <v>1140</v>
      </c>
    </row>
    <row r="3759" spans="1:5" x14ac:dyDescent="0.25">
      <c r="B3759" s="115" t="s">
        <v>1138</v>
      </c>
      <c r="D3759" s="115" t="s">
        <v>5170</v>
      </c>
      <c r="E3759" s="115" t="s">
        <v>5171</v>
      </c>
    </row>
    <row r="3760" spans="1:5" x14ac:dyDescent="0.25">
      <c r="A3760" s="115" t="s">
        <v>1137</v>
      </c>
      <c r="B3760" s="115" t="s">
        <v>5172</v>
      </c>
      <c r="D3760" s="115" t="s">
        <v>5173</v>
      </c>
      <c r="E3760" s="115" t="s">
        <v>5174</v>
      </c>
    </row>
    <row r="3761" spans="1:5" x14ac:dyDescent="0.25">
      <c r="B3761" s="115" t="s">
        <v>1138</v>
      </c>
      <c r="D3761" s="115" t="s">
        <v>1139</v>
      </c>
      <c r="E3761" s="115" t="s">
        <v>2689</v>
      </c>
    </row>
    <row r="3762" spans="1:5" x14ac:dyDescent="0.25">
      <c r="B3762" s="115" t="s">
        <v>1138</v>
      </c>
      <c r="D3762" s="115" t="s">
        <v>5175</v>
      </c>
      <c r="E3762" s="115" t="s">
        <v>5176</v>
      </c>
    </row>
    <row r="3763" spans="1:5" x14ac:dyDescent="0.25">
      <c r="B3763" s="115" t="s">
        <v>1542</v>
      </c>
      <c r="D3763" s="115" t="s">
        <v>5177</v>
      </c>
      <c r="E3763" s="115" t="s">
        <v>5178</v>
      </c>
    </row>
    <row r="3764" spans="1:5" x14ac:dyDescent="0.25">
      <c r="A3764" s="115" t="s">
        <v>1137</v>
      </c>
      <c r="B3764" s="115" t="s">
        <v>5179</v>
      </c>
      <c r="D3764" s="115" t="s">
        <v>5180</v>
      </c>
      <c r="E3764" s="115" t="s">
        <v>1140</v>
      </c>
    </row>
    <row r="3765" spans="1:5" x14ac:dyDescent="0.25">
      <c r="B3765" s="115" t="s">
        <v>5181</v>
      </c>
      <c r="D3765" s="115" t="s">
        <v>5182</v>
      </c>
      <c r="E3765" s="115" t="s">
        <v>5183</v>
      </c>
    </row>
    <row r="3766" spans="1:5" x14ac:dyDescent="0.25">
      <c r="A3766" s="115" t="s">
        <v>1137</v>
      </c>
      <c r="B3766" s="115" t="s">
        <v>5184</v>
      </c>
      <c r="D3766" s="115" t="s">
        <v>5185</v>
      </c>
      <c r="E3766" s="115" t="s">
        <v>5186</v>
      </c>
    </row>
    <row r="3767" spans="1:5" x14ac:dyDescent="0.25">
      <c r="A3767" s="115" t="s">
        <v>1137</v>
      </c>
      <c r="B3767" s="115" t="s">
        <v>1164</v>
      </c>
      <c r="D3767" s="115" t="s">
        <v>5187</v>
      </c>
      <c r="E3767" s="115" t="s">
        <v>2689</v>
      </c>
    </row>
    <row r="3768" spans="1:5" x14ac:dyDescent="0.25">
      <c r="B3768" s="115" t="s">
        <v>5188</v>
      </c>
      <c r="D3768" s="115" t="s">
        <v>5189</v>
      </c>
      <c r="E3768" s="115" t="s">
        <v>5190</v>
      </c>
    </row>
    <row r="3769" spans="1:5" x14ac:dyDescent="0.25">
      <c r="A3769" s="115" t="s">
        <v>1137</v>
      </c>
      <c r="B3769" s="115" t="s">
        <v>1466</v>
      </c>
      <c r="D3769" s="115" t="s">
        <v>5191</v>
      </c>
      <c r="E3769" s="115" t="s">
        <v>5192</v>
      </c>
    </row>
    <row r="3770" spans="1:5" x14ac:dyDescent="0.25">
      <c r="B3770" s="115" t="s">
        <v>5193</v>
      </c>
      <c r="D3770" s="115" t="s">
        <v>5194</v>
      </c>
      <c r="E3770" s="115" t="s">
        <v>2689</v>
      </c>
    </row>
    <row r="3771" spans="1:5" x14ac:dyDescent="0.25">
      <c r="B3771" s="115" t="s">
        <v>5195</v>
      </c>
      <c r="D3771" s="115" t="s">
        <v>5196</v>
      </c>
      <c r="E3771" s="115" t="s">
        <v>5197</v>
      </c>
    </row>
    <row r="3772" spans="1:5" x14ac:dyDescent="0.25">
      <c r="A3772" s="115">
        <v>1</v>
      </c>
      <c r="B3772" s="115" t="s">
        <v>5198</v>
      </c>
      <c r="D3772" s="115" t="s">
        <v>5199</v>
      </c>
      <c r="E3772" s="115" t="s">
        <v>5200</v>
      </c>
    </row>
    <row r="3773" spans="1:5" x14ac:dyDescent="0.25">
      <c r="A3773" s="115" t="s">
        <v>1137</v>
      </c>
      <c r="B3773" s="115" t="s">
        <v>1328</v>
      </c>
      <c r="C3773" s="115" t="s">
        <v>1137</v>
      </c>
      <c r="D3773" s="115" t="s">
        <v>5201</v>
      </c>
      <c r="E3773" s="115" t="s">
        <v>1140</v>
      </c>
    </row>
    <row r="3774" spans="1:5" x14ac:dyDescent="0.25">
      <c r="A3774" s="115">
        <v>-17</v>
      </c>
      <c r="B3774" s="115" t="s">
        <v>5202</v>
      </c>
      <c r="D3774" s="115" t="s">
        <v>5203</v>
      </c>
      <c r="E3774" s="115" t="s">
        <v>1140</v>
      </c>
    </row>
    <row r="3775" spans="1:5" x14ac:dyDescent="0.25">
      <c r="A3775" s="115">
        <v>-3</v>
      </c>
      <c r="B3775" s="115" t="s">
        <v>5204</v>
      </c>
      <c r="C3775" s="115" t="s">
        <v>1137</v>
      </c>
      <c r="D3775" s="115" t="s">
        <v>5205</v>
      </c>
      <c r="E3775" s="115" t="s">
        <v>5206</v>
      </c>
    </row>
    <row r="3776" spans="1:5" x14ac:dyDescent="0.25">
      <c r="A3776" s="115" t="s">
        <v>1137</v>
      </c>
      <c r="B3776" s="115" t="s">
        <v>1327</v>
      </c>
      <c r="D3776" s="115" t="s">
        <v>5207</v>
      </c>
      <c r="E3776" s="115" t="s">
        <v>2081</v>
      </c>
    </row>
    <row r="3777" spans="1:5" x14ac:dyDescent="0.25">
      <c r="B3777" s="115" t="s">
        <v>5208</v>
      </c>
      <c r="C3777" s="115" t="s">
        <v>1137</v>
      </c>
      <c r="D3777" s="115" t="s">
        <v>5209</v>
      </c>
      <c r="E3777" s="115" t="s">
        <v>5210</v>
      </c>
    </row>
    <row r="3778" spans="1:5" x14ac:dyDescent="0.25">
      <c r="B3778" s="115" t="s">
        <v>1138</v>
      </c>
      <c r="D3778" s="115" t="s">
        <v>1139</v>
      </c>
      <c r="E3778" s="115" t="s">
        <v>5211</v>
      </c>
    </row>
    <row r="3779" spans="1:5" x14ac:dyDescent="0.25">
      <c r="A3779" s="115">
        <v>1</v>
      </c>
      <c r="B3779" s="115" t="s">
        <v>5212</v>
      </c>
      <c r="D3779" s="115" t="s">
        <v>5213</v>
      </c>
      <c r="E3779" s="115" t="s">
        <v>5214</v>
      </c>
    </row>
    <row r="3780" spans="1:5" x14ac:dyDescent="0.25">
      <c r="B3780" s="115" t="s">
        <v>1138</v>
      </c>
      <c r="D3780" s="115" t="s">
        <v>5215</v>
      </c>
      <c r="E3780" s="115" t="s">
        <v>1140</v>
      </c>
    </row>
    <row r="3781" spans="1:5" x14ac:dyDescent="0.25">
      <c r="B3781" s="115" t="s">
        <v>1138</v>
      </c>
      <c r="D3781" s="115" t="s">
        <v>1139</v>
      </c>
      <c r="E3781" s="115" t="s">
        <v>1140</v>
      </c>
    </row>
    <row r="3782" spans="1:5" x14ac:dyDescent="0.25">
      <c r="A3782" s="115">
        <v>1</v>
      </c>
      <c r="B3782" s="115" t="s">
        <v>1442</v>
      </c>
      <c r="D3782" s="115" t="s">
        <v>5216</v>
      </c>
      <c r="E3782" s="115" t="s">
        <v>5217</v>
      </c>
    </row>
    <row r="3783" spans="1:5" x14ac:dyDescent="0.25">
      <c r="A3783" s="115">
        <v>31</v>
      </c>
      <c r="B3783" s="115" t="s">
        <v>5218</v>
      </c>
      <c r="C3783" s="115" t="s">
        <v>1137</v>
      </c>
      <c r="D3783" s="115" t="s">
        <v>5219</v>
      </c>
      <c r="E3783" s="115" t="s">
        <v>5220</v>
      </c>
    </row>
    <row r="3784" spans="1:5" x14ac:dyDescent="0.25">
      <c r="B3784" s="115" t="s">
        <v>1138</v>
      </c>
      <c r="D3784" s="115" t="s">
        <v>5221</v>
      </c>
      <c r="E3784" s="115" t="s">
        <v>1140</v>
      </c>
    </row>
    <row r="3785" spans="1:5" x14ac:dyDescent="0.25">
      <c r="B3785" s="115" t="s">
        <v>1138</v>
      </c>
      <c r="D3785" s="115" t="s">
        <v>5222</v>
      </c>
      <c r="E3785" s="115" t="s">
        <v>5223</v>
      </c>
    </row>
    <row r="3786" spans="1:5" x14ac:dyDescent="0.25">
      <c r="B3786" s="115" t="s">
        <v>5224</v>
      </c>
      <c r="D3786" s="115" t="s">
        <v>1662</v>
      </c>
      <c r="E3786" s="115" t="s">
        <v>5225</v>
      </c>
    </row>
    <row r="3787" spans="1:5" x14ac:dyDescent="0.25">
      <c r="B3787" s="115" t="s">
        <v>5226</v>
      </c>
      <c r="D3787" s="115" t="s">
        <v>1139</v>
      </c>
      <c r="E3787" s="115" t="s">
        <v>5227</v>
      </c>
    </row>
    <row r="3788" spans="1:5" x14ac:dyDescent="0.25">
      <c r="B3788" s="115" t="s">
        <v>1138</v>
      </c>
      <c r="D3788" s="115" t="s">
        <v>5228</v>
      </c>
      <c r="E3788" s="115" t="s">
        <v>5229</v>
      </c>
    </row>
    <row r="3789" spans="1:5" x14ac:dyDescent="0.25">
      <c r="B3789" s="115" t="s">
        <v>1138</v>
      </c>
      <c r="C3789" s="115" t="s">
        <v>1137</v>
      </c>
      <c r="D3789" s="115" t="s">
        <v>5230</v>
      </c>
      <c r="E3789" s="115" t="s">
        <v>5231</v>
      </c>
    </row>
    <row r="3790" spans="1:5" x14ac:dyDescent="0.25">
      <c r="B3790" s="115" t="s">
        <v>5232</v>
      </c>
      <c r="D3790" s="115" t="s">
        <v>5233</v>
      </c>
      <c r="E3790" s="115" t="s">
        <v>5234</v>
      </c>
    </row>
    <row r="3791" spans="1:5" x14ac:dyDescent="0.25">
      <c r="B3791" s="115" t="s">
        <v>5235</v>
      </c>
      <c r="D3791" s="115" t="s">
        <v>5236</v>
      </c>
      <c r="E3791" s="115" t="s">
        <v>5237</v>
      </c>
    </row>
    <row r="3792" spans="1:5" x14ac:dyDescent="0.25">
      <c r="A3792" s="115" t="s">
        <v>1137</v>
      </c>
      <c r="B3792" s="115" t="s">
        <v>5238</v>
      </c>
      <c r="C3792" s="115" t="s">
        <v>1137</v>
      </c>
      <c r="D3792" s="115" t="s">
        <v>5239</v>
      </c>
      <c r="E3792" s="115" t="s">
        <v>5240</v>
      </c>
    </row>
    <row r="3793" spans="2:5" x14ac:dyDescent="0.25">
      <c r="B3793" s="115" t="s">
        <v>5241</v>
      </c>
      <c r="D3793" s="115" t="s">
        <v>5242</v>
      </c>
      <c r="E3793" s="115" t="s">
        <v>5243</v>
      </c>
    </row>
    <row r="3794" spans="2:5" x14ac:dyDescent="0.25">
      <c r="B3794" s="115" t="s">
        <v>5244</v>
      </c>
      <c r="D3794" s="115" t="s">
        <v>5245</v>
      </c>
      <c r="E3794" s="115" t="s">
        <v>5246</v>
      </c>
    </row>
    <row r="3795" spans="2:5" x14ac:dyDescent="0.25">
      <c r="B3795" s="115">
        <f>-33   -597</f>
        <v>-630</v>
      </c>
      <c r="D3795" s="115" t="s">
        <v>5247</v>
      </c>
      <c r="E3795" s="115" t="s">
        <v>5248</v>
      </c>
    </row>
    <row r="3796" spans="2:5" x14ac:dyDescent="0.25">
      <c r="B3796" s="115" t="s">
        <v>1138</v>
      </c>
      <c r="D3796" s="115" t="s">
        <v>5249</v>
      </c>
      <c r="E3796" s="115" t="s">
        <v>5250</v>
      </c>
    </row>
    <row r="3797" spans="2:5" x14ac:dyDescent="0.25">
      <c r="B3797" s="115" t="s">
        <v>5251</v>
      </c>
      <c r="D3797" s="115" t="s">
        <v>5252</v>
      </c>
      <c r="E3797" s="115" t="s">
        <v>5253</v>
      </c>
    </row>
    <row r="3798" spans="2:5" x14ac:dyDescent="0.25">
      <c r="B3798" s="115" t="s">
        <v>5254</v>
      </c>
      <c r="D3798" s="115">
        <f>-954   -872   -771</f>
        <v>-2597</v>
      </c>
      <c r="E3798" s="115" t="s">
        <v>5255</v>
      </c>
    </row>
    <row r="3799" spans="2:5" x14ac:dyDescent="0.25">
      <c r="B3799" s="115" t="s">
        <v>5256</v>
      </c>
      <c r="D3799" s="115" t="s">
        <v>5257</v>
      </c>
      <c r="E3799" s="115" t="s">
        <v>1140</v>
      </c>
    </row>
    <row r="3800" spans="2:5" x14ac:dyDescent="0.25">
      <c r="B3800" s="115" t="s">
        <v>5258</v>
      </c>
      <c r="D3800" s="115" t="s">
        <v>5259</v>
      </c>
      <c r="E3800" s="115" t="s">
        <v>1858</v>
      </c>
    </row>
    <row r="3801" spans="2:5" x14ac:dyDescent="0.25">
      <c r="B3801" s="115" t="s">
        <v>5260</v>
      </c>
      <c r="D3801" s="115" t="s">
        <v>5261</v>
      </c>
      <c r="E3801" s="115" t="s">
        <v>5262</v>
      </c>
    </row>
    <row r="3802" spans="2:5" x14ac:dyDescent="0.25">
      <c r="B3802" s="115" t="s">
        <v>5263</v>
      </c>
      <c r="D3802" s="115" t="s">
        <v>5264</v>
      </c>
      <c r="E3802" s="115" t="s">
        <v>5265</v>
      </c>
    </row>
    <row r="3803" spans="2:5" x14ac:dyDescent="0.25">
      <c r="B3803" s="115" t="s">
        <v>5266</v>
      </c>
      <c r="D3803" s="115" t="s">
        <v>5267</v>
      </c>
      <c r="E3803" s="115" t="s">
        <v>5268</v>
      </c>
    </row>
    <row r="3804" spans="2:5" x14ac:dyDescent="0.25">
      <c r="B3804" s="115" t="s">
        <v>1138</v>
      </c>
      <c r="D3804" s="115" t="s">
        <v>1139</v>
      </c>
      <c r="E3804" s="115" t="s">
        <v>5269</v>
      </c>
    </row>
    <row r="3805" spans="2:5" x14ac:dyDescent="0.25">
      <c r="B3805" s="115" t="s">
        <v>5270</v>
      </c>
      <c r="D3805" s="115" t="s">
        <v>5271</v>
      </c>
      <c r="E3805" s="115" t="s">
        <v>5272</v>
      </c>
    </row>
    <row r="3806" spans="2:5" x14ac:dyDescent="0.25">
      <c r="B3806" s="115" t="s">
        <v>1138</v>
      </c>
      <c r="D3806" s="115" t="s">
        <v>5273</v>
      </c>
      <c r="E3806" s="115" t="s">
        <v>2081</v>
      </c>
    </row>
    <row r="3807" spans="2:5" x14ac:dyDescent="0.25">
      <c r="B3807" s="115" t="s">
        <v>1138</v>
      </c>
      <c r="D3807" s="115" t="s">
        <v>1139</v>
      </c>
      <c r="E3807" s="115" t="s">
        <v>1140</v>
      </c>
    </row>
    <row r="3808" spans="2:5" x14ac:dyDescent="0.25">
      <c r="B3808" s="115" t="s">
        <v>5274</v>
      </c>
      <c r="D3808" s="115" t="s">
        <v>1139</v>
      </c>
      <c r="E3808" s="115" t="s">
        <v>5275</v>
      </c>
    </row>
    <row r="3809" spans="1:5" x14ac:dyDescent="0.25">
      <c r="A3809" s="115">
        <v>-20</v>
      </c>
      <c r="B3809" s="115" t="s">
        <v>5276</v>
      </c>
      <c r="C3809" s="115">
        <v>-1</v>
      </c>
      <c r="D3809" s="115" t="s">
        <v>5277</v>
      </c>
      <c r="E3809" s="115" t="s">
        <v>5278</v>
      </c>
    </row>
    <row r="3810" spans="1:5" x14ac:dyDescent="0.25">
      <c r="B3810" s="115" t="s">
        <v>5279</v>
      </c>
      <c r="D3810" s="115" t="s">
        <v>5280</v>
      </c>
      <c r="E3810" s="115" t="s">
        <v>5281</v>
      </c>
    </row>
    <row r="3811" spans="1:5" x14ac:dyDescent="0.25">
      <c r="B3811" s="115" t="s">
        <v>1138</v>
      </c>
      <c r="D3811" s="115" t="s">
        <v>1847</v>
      </c>
      <c r="E3811" s="115" t="s">
        <v>5282</v>
      </c>
    </row>
    <row r="3812" spans="1:5" x14ac:dyDescent="0.25">
      <c r="A3812" s="115">
        <v>3</v>
      </c>
      <c r="B3812" s="115" t="s">
        <v>5283</v>
      </c>
      <c r="D3812" s="115" t="s">
        <v>5284</v>
      </c>
      <c r="E3812" s="115" t="s">
        <v>5285</v>
      </c>
    </row>
    <row r="3813" spans="1:5" x14ac:dyDescent="0.25">
      <c r="B3813" s="115" t="s">
        <v>1138</v>
      </c>
      <c r="D3813" s="115" t="s">
        <v>5286</v>
      </c>
      <c r="E3813" s="115" t="s">
        <v>1321</v>
      </c>
    </row>
    <row r="3814" spans="1:5" x14ac:dyDescent="0.25">
      <c r="B3814" s="115" t="s">
        <v>1138</v>
      </c>
      <c r="D3814" s="115" t="s">
        <v>1139</v>
      </c>
      <c r="E3814" s="115" t="s">
        <v>5287</v>
      </c>
    </row>
    <row r="3815" spans="1:5" x14ac:dyDescent="0.25">
      <c r="B3815" s="115" t="s">
        <v>1138</v>
      </c>
      <c r="D3815" s="115" t="s">
        <v>5288</v>
      </c>
      <c r="E3815" s="115" t="s">
        <v>5289</v>
      </c>
    </row>
    <row r="3816" spans="1:5" x14ac:dyDescent="0.25">
      <c r="B3816" s="115" t="s">
        <v>1647</v>
      </c>
      <c r="D3816" s="115">
        <f>-343   -855  -1035    -4</f>
        <v>-2237</v>
      </c>
      <c r="E3816" s="115" t="s">
        <v>5290</v>
      </c>
    </row>
    <row r="3817" spans="1:5" x14ac:dyDescent="0.25">
      <c r="B3817" s="115" t="s">
        <v>1138</v>
      </c>
      <c r="D3817" s="115" t="s">
        <v>5291</v>
      </c>
      <c r="E3817" s="115" t="s">
        <v>5292</v>
      </c>
    </row>
    <row r="3818" spans="1:5" x14ac:dyDescent="0.25">
      <c r="B3818" s="115" t="s">
        <v>1153</v>
      </c>
      <c r="D3818" s="115" t="s">
        <v>5293</v>
      </c>
      <c r="E3818" s="115" t="s">
        <v>5294</v>
      </c>
    </row>
    <row r="3819" spans="1:5" x14ac:dyDescent="0.25">
      <c r="B3819" s="115" t="s">
        <v>1138</v>
      </c>
      <c r="D3819" s="115" t="s">
        <v>5295</v>
      </c>
      <c r="E3819" s="115" t="s">
        <v>5296</v>
      </c>
    </row>
    <row r="3820" spans="1:5" x14ac:dyDescent="0.25">
      <c r="B3820" s="115" t="s">
        <v>1138</v>
      </c>
      <c r="D3820" s="115" t="s">
        <v>5297</v>
      </c>
      <c r="E3820" s="115" t="s">
        <v>5298</v>
      </c>
    </row>
    <row r="3821" spans="1:5" x14ac:dyDescent="0.25">
      <c r="B3821" s="115" t="s">
        <v>5299</v>
      </c>
      <c r="D3821" s="115" t="s">
        <v>5300</v>
      </c>
      <c r="E3821" s="115" t="s">
        <v>5301</v>
      </c>
    </row>
    <row r="3822" spans="1:5" x14ac:dyDescent="0.25">
      <c r="B3822" s="115" t="s">
        <v>5302</v>
      </c>
      <c r="D3822" s="115" t="s">
        <v>5303</v>
      </c>
      <c r="E3822" s="115" t="s">
        <v>5304</v>
      </c>
    </row>
    <row r="3823" spans="1:5" x14ac:dyDescent="0.25">
      <c r="B3823" s="115" t="s">
        <v>1138</v>
      </c>
      <c r="D3823" s="115" t="s">
        <v>5305</v>
      </c>
      <c r="E3823" s="115" t="s">
        <v>5306</v>
      </c>
    </row>
    <row r="3824" spans="1:5" x14ac:dyDescent="0.25">
      <c r="B3824" s="115" t="s">
        <v>1138</v>
      </c>
      <c r="D3824" s="115" t="s">
        <v>5307</v>
      </c>
      <c r="E3824" s="115" t="s">
        <v>5308</v>
      </c>
    </row>
    <row r="3825" spans="1:5" x14ac:dyDescent="0.25">
      <c r="B3825" s="115" t="s">
        <v>5309</v>
      </c>
      <c r="D3825" s="115" t="s">
        <v>5310</v>
      </c>
      <c r="E3825" s="115" t="s">
        <v>1140</v>
      </c>
    </row>
    <row r="3826" spans="1:5" x14ac:dyDescent="0.25">
      <c r="B3826" s="115" t="s">
        <v>1138</v>
      </c>
      <c r="D3826" s="115" t="s">
        <v>5311</v>
      </c>
      <c r="E3826" s="115" t="s">
        <v>5312</v>
      </c>
    </row>
    <row r="3827" spans="1:5" x14ac:dyDescent="0.25">
      <c r="B3827" s="115" t="s">
        <v>1138</v>
      </c>
      <c r="D3827" s="115" t="s">
        <v>5313</v>
      </c>
      <c r="E3827" s="115" t="s">
        <v>5314</v>
      </c>
    </row>
    <row r="3828" spans="1:5" x14ac:dyDescent="0.25">
      <c r="B3828" s="115" t="s">
        <v>1138</v>
      </c>
      <c r="D3828" s="115" t="s">
        <v>5315</v>
      </c>
      <c r="E3828" s="115" t="s">
        <v>5316</v>
      </c>
    </row>
    <row r="3829" spans="1:5" x14ac:dyDescent="0.25">
      <c r="B3829" s="115" t="s">
        <v>1138</v>
      </c>
      <c r="D3829" s="115" t="s">
        <v>5317</v>
      </c>
      <c r="E3829" s="115" t="s">
        <v>5318</v>
      </c>
    </row>
    <row r="3830" spans="1:5" x14ac:dyDescent="0.25">
      <c r="A3830" s="115" t="s">
        <v>1137</v>
      </c>
      <c r="B3830" s="115" t="s">
        <v>5319</v>
      </c>
      <c r="D3830" s="115" t="s">
        <v>1139</v>
      </c>
      <c r="E3830" s="115" t="s">
        <v>5320</v>
      </c>
    </row>
    <row r="3831" spans="1:5" x14ac:dyDescent="0.25">
      <c r="B3831" s="115" t="s">
        <v>5321</v>
      </c>
      <c r="D3831" s="115">
        <f>-96   -367   -260</f>
        <v>-723</v>
      </c>
      <c r="E3831" s="115" t="s">
        <v>5322</v>
      </c>
    </row>
    <row r="3832" spans="1:5" x14ac:dyDescent="0.25">
      <c r="A3832" s="115">
        <v>1</v>
      </c>
      <c r="B3832" s="115" t="s">
        <v>1254</v>
      </c>
      <c r="D3832" s="115" t="s">
        <v>1139</v>
      </c>
      <c r="E3832" s="115" t="s">
        <v>5323</v>
      </c>
    </row>
    <row r="3833" spans="1:5" x14ac:dyDescent="0.25">
      <c r="B3833" s="115" t="s">
        <v>1138</v>
      </c>
      <c r="D3833" s="115" t="s">
        <v>1139</v>
      </c>
      <c r="E3833" s="115" t="s">
        <v>1140</v>
      </c>
    </row>
    <row r="3834" spans="1:5" x14ac:dyDescent="0.25">
      <c r="B3834" s="115" t="s">
        <v>1138</v>
      </c>
      <c r="D3834" s="115" t="s">
        <v>5324</v>
      </c>
      <c r="E3834" s="115" t="s">
        <v>5325</v>
      </c>
    </row>
    <row r="3835" spans="1:5" x14ac:dyDescent="0.25">
      <c r="B3835" s="115" t="s">
        <v>5326</v>
      </c>
      <c r="C3835" s="115" t="s">
        <v>1137</v>
      </c>
      <c r="D3835" s="115" t="s">
        <v>5327</v>
      </c>
      <c r="E3835" s="115" t="s">
        <v>1140</v>
      </c>
    </row>
    <row r="3836" spans="1:5" x14ac:dyDescent="0.25">
      <c r="B3836" s="115" t="s">
        <v>1138</v>
      </c>
      <c r="D3836" s="115" t="s">
        <v>1139</v>
      </c>
      <c r="E3836" s="115" t="s">
        <v>1140</v>
      </c>
    </row>
    <row r="3837" spans="1:5" x14ac:dyDescent="0.25">
      <c r="B3837" s="115" t="s">
        <v>1138</v>
      </c>
      <c r="D3837" s="115" t="s">
        <v>1139</v>
      </c>
      <c r="E3837" s="115" t="s">
        <v>1140</v>
      </c>
    </row>
    <row r="3838" spans="1:5" x14ac:dyDescent="0.25">
      <c r="B3838" s="115" t="s">
        <v>1138</v>
      </c>
      <c r="D3838" s="115" t="s">
        <v>1139</v>
      </c>
      <c r="E3838" s="115" t="s">
        <v>1140</v>
      </c>
    </row>
    <row r="3839" spans="1:5" x14ac:dyDescent="0.25">
      <c r="B3839" s="115" t="s">
        <v>1138</v>
      </c>
      <c r="D3839" s="115" t="s">
        <v>1139</v>
      </c>
      <c r="E3839" s="115" t="s">
        <v>1140</v>
      </c>
    </row>
    <row r="3840" spans="1:5" x14ac:dyDescent="0.25">
      <c r="B3840" s="115" t="s">
        <v>1138</v>
      </c>
      <c r="D3840" s="115" t="s">
        <v>1139</v>
      </c>
      <c r="E3840" s="115" t="s">
        <v>1140</v>
      </c>
    </row>
    <row r="3841" spans="2:5" x14ac:dyDescent="0.25">
      <c r="B3841" s="115" t="s">
        <v>1138</v>
      </c>
      <c r="D3841" s="115" t="s">
        <v>1139</v>
      </c>
      <c r="E3841" s="115" t="s">
        <v>1140</v>
      </c>
    </row>
    <row r="3842" spans="2:5" x14ac:dyDescent="0.25">
      <c r="B3842" s="115" t="s">
        <v>1138</v>
      </c>
      <c r="D3842" s="115" t="s">
        <v>1139</v>
      </c>
      <c r="E3842" s="115" t="s">
        <v>1140</v>
      </c>
    </row>
    <row r="3843" spans="2:5" x14ac:dyDescent="0.25">
      <c r="B3843" s="115" t="s">
        <v>1138</v>
      </c>
      <c r="D3843" s="115" t="s">
        <v>1139</v>
      </c>
      <c r="E3843" s="115" t="s">
        <v>1140</v>
      </c>
    </row>
    <row r="3844" spans="2:5" x14ac:dyDescent="0.25">
      <c r="B3844" s="115" t="s">
        <v>1138</v>
      </c>
      <c r="D3844" s="115" t="s">
        <v>1139</v>
      </c>
      <c r="E3844" s="115" t="s">
        <v>1140</v>
      </c>
    </row>
    <row r="3845" spans="2:5" x14ac:dyDescent="0.25">
      <c r="B3845" s="115" t="s">
        <v>1138</v>
      </c>
      <c r="D3845" s="115" t="s">
        <v>1139</v>
      </c>
      <c r="E3845" s="115" t="s">
        <v>1140</v>
      </c>
    </row>
    <row r="3846" spans="2:5" x14ac:dyDescent="0.25">
      <c r="B3846" s="115" t="s">
        <v>1138</v>
      </c>
      <c r="D3846" s="115" t="s">
        <v>1139</v>
      </c>
      <c r="E3846" s="115" t="s">
        <v>1140</v>
      </c>
    </row>
    <row r="3847" spans="2:5" x14ac:dyDescent="0.25">
      <c r="B3847" s="115" t="s">
        <v>1138</v>
      </c>
      <c r="D3847" s="115" t="s">
        <v>1139</v>
      </c>
      <c r="E3847" s="115" t="s">
        <v>1140</v>
      </c>
    </row>
    <row r="3848" spans="2:5" x14ac:dyDescent="0.25">
      <c r="B3848" s="115" t="s">
        <v>1138</v>
      </c>
      <c r="D3848" s="115" t="s">
        <v>1139</v>
      </c>
      <c r="E3848" s="115" t="s">
        <v>1140</v>
      </c>
    </row>
    <row r="3849" spans="2:5" x14ac:dyDescent="0.25">
      <c r="B3849" s="115" t="s">
        <v>1138</v>
      </c>
      <c r="D3849" s="115" t="s">
        <v>1139</v>
      </c>
      <c r="E3849" s="115" t="s">
        <v>1140</v>
      </c>
    </row>
    <row r="3850" spans="2:5" x14ac:dyDescent="0.25">
      <c r="B3850" s="115" t="s">
        <v>1138</v>
      </c>
      <c r="D3850" s="115" t="s">
        <v>1139</v>
      </c>
      <c r="E3850" s="115" t="s">
        <v>1140</v>
      </c>
    </row>
    <row r="3851" spans="2:5" x14ac:dyDescent="0.25">
      <c r="B3851" s="115" t="s">
        <v>1138</v>
      </c>
      <c r="D3851" s="115" t="s">
        <v>1139</v>
      </c>
      <c r="E3851" s="115" t="s">
        <v>1140</v>
      </c>
    </row>
    <row r="3852" spans="2:5" x14ac:dyDescent="0.25">
      <c r="B3852" s="115" t="s">
        <v>1138</v>
      </c>
      <c r="D3852" s="115" t="s">
        <v>1139</v>
      </c>
      <c r="E3852" s="115" t="s">
        <v>1140</v>
      </c>
    </row>
    <row r="3853" spans="2:5" x14ac:dyDescent="0.25">
      <c r="B3853" s="115" t="s">
        <v>1138</v>
      </c>
      <c r="D3853" s="115" t="s">
        <v>1139</v>
      </c>
      <c r="E3853" s="115" t="s">
        <v>1140</v>
      </c>
    </row>
    <row r="3854" spans="2:5" x14ac:dyDescent="0.25">
      <c r="B3854" s="115" t="s">
        <v>1138</v>
      </c>
      <c r="D3854" s="115" t="s">
        <v>1139</v>
      </c>
      <c r="E3854" s="115" t="s">
        <v>1140</v>
      </c>
    </row>
    <row r="3855" spans="2:5" x14ac:dyDescent="0.25">
      <c r="B3855" s="115" t="s">
        <v>1138</v>
      </c>
      <c r="D3855" s="115" t="s">
        <v>1139</v>
      </c>
      <c r="E3855" s="115" t="s">
        <v>1140</v>
      </c>
    </row>
    <row r="3856" spans="2:5" x14ac:dyDescent="0.25">
      <c r="B3856" s="115" t="s">
        <v>1138</v>
      </c>
      <c r="D3856" s="115" t="s">
        <v>1139</v>
      </c>
      <c r="E3856" s="115" t="s">
        <v>1140</v>
      </c>
    </row>
    <row r="3857" spans="2:5" x14ac:dyDescent="0.25">
      <c r="B3857" s="115" t="s">
        <v>1138</v>
      </c>
      <c r="D3857" s="115" t="s">
        <v>1139</v>
      </c>
      <c r="E3857" s="115" t="s">
        <v>1140</v>
      </c>
    </row>
    <row r="3858" spans="2:5" x14ac:dyDescent="0.25">
      <c r="B3858" s="115" t="s">
        <v>1138</v>
      </c>
      <c r="D3858" s="115" t="s">
        <v>1139</v>
      </c>
      <c r="E3858" s="115" t="s">
        <v>1140</v>
      </c>
    </row>
    <row r="3859" spans="2:5" x14ac:dyDescent="0.25">
      <c r="B3859" s="115" t="s">
        <v>1138</v>
      </c>
      <c r="D3859" s="115" t="s">
        <v>1139</v>
      </c>
      <c r="E3859" s="115" t="s">
        <v>1140</v>
      </c>
    </row>
    <row r="3860" spans="2:5" x14ac:dyDescent="0.25">
      <c r="B3860" s="115" t="s">
        <v>1138</v>
      </c>
      <c r="D3860" s="115" t="s">
        <v>1139</v>
      </c>
      <c r="E3860" s="115" t="s">
        <v>1140</v>
      </c>
    </row>
    <row r="3861" spans="2:5" x14ac:dyDescent="0.25">
      <c r="B3861" s="115" t="s">
        <v>1138</v>
      </c>
      <c r="D3861" s="115" t="s">
        <v>1139</v>
      </c>
      <c r="E3861" s="115" t="s">
        <v>1140</v>
      </c>
    </row>
    <row r="3862" spans="2:5" x14ac:dyDescent="0.25">
      <c r="B3862" s="115" t="s">
        <v>1138</v>
      </c>
      <c r="D3862" s="115" t="s">
        <v>1139</v>
      </c>
      <c r="E3862" s="115" t="s">
        <v>1140</v>
      </c>
    </row>
    <row r="3863" spans="2:5" x14ac:dyDescent="0.25">
      <c r="B3863" s="115" t="s">
        <v>1138</v>
      </c>
      <c r="D3863" s="115" t="s">
        <v>1139</v>
      </c>
      <c r="E3863" s="115" t="s">
        <v>1140</v>
      </c>
    </row>
    <row r="3864" spans="2:5" x14ac:dyDescent="0.25">
      <c r="B3864" s="115" t="s">
        <v>1138</v>
      </c>
      <c r="D3864" s="115" t="s">
        <v>1139</v>
      </c>
      <c r="E3864" s="115" t="s">
        <v>1140</v>
      </c>
    </row>
    <row r="3865" spans="2:5" x14ac:dyDescent="0.25">
      <c r="B3865" s="115" t="s">
        <v>1138</v>
      </c>
      <c r="D3865" s="115" t="s">
        <v>1139</v>
      </c>
      <c r="E3865" s="115" t="s">
        <v>1140</v>
      </c>
    </row>
    <row r="3866" spans="2:5" x14ac:dyDescent="0.25">
      <c r="B3866" s="115" t="s">
        <v>1138</v>
      </c>
      <c r="D3866" s="115" t="s">
        <v>1139</v>
      </c>
      <c r="E3866" s="115" t="s">
        <v>1140</v>
      </c>
    </row>
    <row r="3867" spans="2:5" x14ac:dyDescent="0.25">
      <c r="B3867" s="115" t="s">
        <v>1138</v>
      </c>
      <c r="D3867" s="115" t="s">
        <v>1139</v>
      </c>
      <c r="E3867" s="115" t="s">
        <v>1140</v>
      </c>
    </row>
    <row r="3868" spans="2:5" x14ac:dyDescent="0.25">
      <c r="B3868" s="115" t="s">
        <v>1138</v>
      </c>
      <c r="D3868" s="115" t="s">
        <v>1139</v>
      </c>
      <c r="E3868" s="115" t="s">
        <v>1140</v>
      </c>
    </row>
    <row r="3869" spans="2:5" x14ac:dyDescent="0.25">
      <c r="B3869" s="115" t="s">
        <v>1138</v>
      </c>
      <c r="D3869" s="115" t="s">
        <v>1139</v>
      </c>
      <c r="E3869" s="115" t="s">
        <v>1140</v>
      </c>
    </row>
    <row r="3870" spans="2:5" x14ac:dyDescent="0.25">
      <c r="B3870" s="115" t="s">
        <v>1138</v>
      </c>
      <c r="D3870" s="115" t="s">
        <v>1139</v>
      </c>
      <c r="E3870" s="115" t="s">
        <v>1140</v>
      </c>
    </row>
    <row r="3871" spans="2:5" x14ac:dyDescent="0.25">
      <c r="B3871" s="115" t="s">
        <v>1138</v>
      </c>
      <c r="D3871" s="115" t="s">
        <v>1139</v>
      </c>
      <c r="E3871" s="115" t="s">
        <v>1140</v>
      </c>
    </row>
    <row r="3872" spans="2:5" x14ac:dyDescent="0.25">
      <c r="B3872" s="115" t="s">
        <v>1138</v>
      </c>
      <c r="D3872" s="115" t="s">
        <v>1139</v>
      </c>
      <c r="E3872" s="115" t="s">
        <v>1140</v>
      </c>
    </row>
    <row r="3873" spans="2:5" x14ac:dyDescent="0.25">
      <c r="B3873" s="115" t="s">
        <v>1138</v>
      </c>
      <c r="D3873" s="115" t="s">
        <v>1139</v>
      </c>
      <c r="E3873" s="115" t="s">
        <v>1140</v>
      </c>
    </row>
    <row r="3874" spans="2:5" x14ac:dyDescent="0.25">
      <c r="B3874" s="115" t="s">
        <v>1138</v>
      </c>
      <c r="D3874" s="115" t="s">
        <v>1139</v>
      </c>
      <c r="E3874" s="115" t="s">
        <v>1140</v>
      </c>
    </row>
    <row r="3875" spans="2:5" x14ac:dyDescent="0.25">
      <c r="B3875" s="115" t="s">
        <v>1138</v>
      </c>
      <c r="D3875" s="115" t="s">
        <v>1139</v>
      </c>
      <c r="E3875" s="115" t="s">
        <v>1140</v>
      </c>
    </row>
    <row r="3876" spans="2:5" x14ac:dyDescent="0.25">
      <c r="B3876" s="115" t="s">
        <v>1138</v>
      </c>
      <c r="D3876" s="115" t="s">
        <v>1139</v>
      </c>
      <c r="E3876" s="115" t="s">
        <v>1140</v>
      </c>
    </row>
    <row r="3877" spans="2:5" x14ac:dyDescent="0.25">
      <c r="B3877" s="115" t="s">
        <v>1138</v>
      </c>
      <c r="D3877" s="115" t="s">
        <v>1139</v>
      </c>
      <c r="E3877" s="115" t="s">
        <v>1140</v>
      </c>
    </row>
    <row r="3878" spans="2:5" x14ac:dyDescent="0.25">
      <c r="B3878" s="115" t="s">
        <v>1138</v>
      </c>
      <c r="D3878" s="115" t="s">
        <v>1139</v>
      </c>
      <c r="E3878" s="115" t="s">
        <v>1140</v>
      </c>
    </row>
    <row r="3879" spans="2:5" x14ac:dyDescent="0.25">
      <c r="B3879" s="115" t="s">
        <v>1138</v>
      </c>
      <c r="D3879" s="115" t="s">
        <v>1139</v>
      </c>
      <c r="E3879" s="115" t="s">
        <v>1140</v>
      </c>
    </row>
    <row r="3880" spans="2:5" x14ac:dyDescent="0.25">
      <c r="B3880" s="115" t="s">
        <v>1138</v>
      </c>
      <c r="D3880" s="115" t="s">
        <v>1139</v>
      </c>
      <c r="E3880" s="115" t="s">
        <v>1140</v>
      </c>
    </row>
    <row r="3881" spans="2:5" x14ac:dyDescent="0.25">
      <c r="B3881" s="115" t="s">
        <v>1138</v>
      </c>
      <c r="D3881" s="115" t="s">
        <v>1139</v>
      </c>
      <c r="E3881" s="115" t="s">
        <v>1140</v>
      </c>
    </row>
    <row r="3882" spans="2:5" x14ac:dyDescent="0.25">
      <c r="B3882" s="115" t="s">
        <v>1138</v>
      </c>
      <c r="D3882" s="115" t="s">
        <v>1139</v>
      </c>
      <c r="E3882" s="115" t="s">
        <v>1140</v>
      </c>
    </row>
    <row r="3883" spans="2:5" x14ac:dyDescent="0.25">
      <c r="B3883" s="115" t="s">
        <v>1138</v>
      </c>
      <c r="D3883" s="115" t="s">
        <v>1139</v>
      </c>
      <c r="E3883" s="115" t="s">
        <v>1140</v>
      </c>
    </row>
    <row r="3884" spans="2:5" x14ac:dyDescent="0.25">
      <c r="B3884" s="115" t="s">
        <v>1138</v>
      </c>
      <c r="D3884" s="115" t="s">
        <v>1139</v>
      </c>
      <c r="E3884" s="115" t="s">
        <v>1140</v>
      </c>
    </row>
    <row r="3885" spans="2:5" x14ac:dyDescent="0.25">
      <c r="B3885" s="115" t="s">
        <v>1138</v>
      </c>
      <c r="D3885" s="115" t="s">
        <v>1139</v>
      </c>
      <c r="E3885" s="115" t="s">
        <v>1140</v>
      </c>
    </row>
    <row r="3886" spans="2:5" x14ac:dyDescent="0.25">
      <c r="B3886" s="115" t="s">
        <v>1138</v>
      </c>
      <c r="D3886" s="115" t="s">
        <v>1139</v>
      </c>
      <c r="E3886" s="115" t="s">
        <v>1140</v>
      </c>
    </row>
    <row r="3887" spans="2:5" x14ac:dyDescent="0.25">
      <c r="B3887" s="115" t="s">
        <v>1138</v>
      </c>
      <c r="D3887" s="115" t="s">
        <v>1139</v>
      </c>
      <c r="E3887" s="115" t="s">
        <v>1140</v>
      </c>
    </row>
    <row r="3888" spans="2:5" x14ac:dyDescent="0.25">
      <c r="B3888" s="115" t="s">
        <v>1138</v>
      </c>
      <c r="D3888" s="115" t="s">
        <v>5328</v>
      </c>
      <c r="E3888" s="115" t="s">
        <v>5329</v>
      </c>
    </row>
    <row r="3889" spans="1:5" x14ac:dyDescent="0.25">
      <c r="B3889" s="115" t="s">
        <v>1389</v>
      </c>
      <c r="D3889" s="115" t="s">
        <v>5330</v>
      </c>
      <c r="E3889" s="115" t="s">
        <v>5331</v>
      </c>
    </row>
    <row r="3890" spans="1:5" x14ac:dyDescent="0.25">
      <c r="B3890" s="115" t="s">
        <v>1138</v>
      </c>
      <c r="D3890" s="115" t="s">
        <v>1139</v>
      </c>
      <c r="E3890" s="115" t="s">
        <v>5332</v>
      </c>
    </row>
    <row r="3891" spans="1:5" x14ac:dyDescent="0.25">
      <c r="B3891" s="115" t="s">
        <v>5333</v>
      </c>
      <c r="C3891" s="115">
        <v>-6</v>
      </c>
      <c r="D3891" s="115" t="s">
        <v>5334</v>
      </c>
      <c r="E3891" s="115" t="s">
        <v>5335</v>
      </c>
    </row>
    <row r="3892" spans="1:5" x14ac:dyDescent="0.25">
      <c r="A3892" s="115">
        <v>22</v>
      </c>
      <c r="B3892" s="115" t="s">
        <v>5336</v>
      </c>
      <c r="D3892" s="115" t="s">
        <v>5337</v>
      </c>
      <c r="E3892" s="115" t="s">
        <v>1140</v>
      </c>
    </row>
    <row r="3893" spans="1:5" x14ac:dyDescent="0.25">
      <c r="A3893" s="115">
        <v>2</v>
      </c>
      <c r="B3893" s="115" t="s">
        <v>1190</v>
      </c>
      <c r="D3893" s="115" t="s">
        <v>1139</v>
      </c>
      <c r="E3893" s="115" t="s">
        <v>5338</v>
      </c>
    </row>
    <row r="3894" spans="1:5" x14ac:dyDescent="0.25">
      <c r="B3894" s="115" t="s">
        <v>1612</v>
      </c>
      <c r="D3894" s="115" t="s">
        <v>1139</v>
      </c>
      <c r="E3894" s="115" t="s">
        <v>5339</v>
      </c>
    </row>
    <row r="3895" spans="1:5" x14ac:dyDescent="0.25">
      <c r="B3895" s="115" t="s">
        <v>5340</v>
      </c>
      <c r="D3895" s="115" t="s">
        <v>5341</v>
      </c>
      <c r="E3895" s="115" t="s">
        <v>5342</v>
      </c>
    </row>
    <row r="3896" spans="1:5" x14ac:dyDescent="0.25">
      <c r="A3896" s="115" t="s">
        <v>1137</v>
      </c>
      <c r="B3896" s="115" t="s">
        <v>1221</v>
      </c>
      <c r="D3896" s="115" t="s">
        <v>5343</v>
      </c>
      <c r="E3896" s="115" t="s">
        <v>5344</v>
      </c>
    </row>
    <row r="3897" spans="1:5" x14ac:dyDescent="0.25">
      <c r="A3897" s="115" t="s">
        <v>1137</v>
      </c>
      <c r="B3897" s="115" t="s">
        <v>5345</v>
      </c>
      <c r="D3897" s="115" t="s">
        <v>5346</v>
      </c>
      <c r="E3897" s="115" t="s">
        <v>5347</v>
      </c>
    </row>
    <row r="3898" spans="1:5" x14ac:dyDescent="0.25">
      <c r="B3898" s="115" t="s">
        <v>5348</v>
      </c>
      <c r="D3898" s="115" t="s">
        <v>5349</v>
      </c>
      <c r="E3898" s="115" t="s">
        <v>5350</v>
      </c>
    </row>
    <row r="3899" spans="1:5" x14ac:dyDescent="0.25">
      <c r="B3899" s="115" t="s">
        <v>1627</v>
      </c>
      <c r="D3899" s="115" t="s">
        <v>1849</v>
      </c>
      <c r="E3899" s="115" t="s">
        <v>5351</v>
      </c>
    </row>
    <row r="3900" spans="1:5" x14ac:dyDescent="0.25">
      <c r="A3900" s="115" t="s">
        <v>1137</v>
      </c>
      <c r="B3900" s="115" t="s">
        <v>5352</v>
      </c>
      <c r="D3900" s="115" t="s">
        <v>5353</v>
      </c>
      <c r="E3900" s="115" t="s">
        <v>5354</v>
      </c>
    </row>
    <row r="3901" spans="1:5" x14ac:dyDescent="0.25">
      <c r="A3901" s="115">
        <v>1</v>
      </c>
      <c r="B3901" s="115" t="s">
        <v>5355</v>
      </c>
      <c r="D3901" s="115" t="s">
        <v>1180</v>
      </c>
      <c r="E3901" s="115" t="s">
        <v>5356</v>
      </c>
    </row>
    <row r="3902" spans="1:5" x14ac:dyDescent="0.25">
      <c r="B3902" s="115" t="s">
        <v>1411</v>
      </c>
      <c r="D3902" s="115" t="s">
        <v>3809</v>
      </c>
      <c r="E3902" s="115" t="s">
        <v>5357</v>
      </c>
    </row>
    <row r="3903" spans="1:5" x14ac:dyDescent="0.25">
      <c r="A3903" s="115">
        <v>1</v>
      </c>
      <c r="B3903" s="115" t="s">
        <v>1227</v>
      </c>
      <c r="D3903" s="115" t="s">
        <v>5358</v>
      </c>
      <c r="E3903" s="115" t="s">
        <v>5359</v>
      </c>
    </row>
    <row r="3904" spans="1:5" x14ac:dyDescent="0.25">
      <c r="B3904" s="115" t="s">
        <v>1471</v>
      </c>
      <c r="D3904" s="115" t="s">
        <v>1611</v>
      </c>
      <c r="E3904" s="115" t="s">
        <v>5360</v>
      </c>
    </row>
    <row r="3905" spans="1:5" x14ac:dyDescent="0.25">
      <c r="B3905" s="115" t="s">
        <v>1138</v>
      </c>
      <c r="D3905" s="115" t="s">
        <v>1719</v>
      </c>
      <c r="E3905" s="115" t="s">
        <v>5361</v>
      </c>
    </row>
    <row r="3906" spans="1:5" x14ac:dyDescent="0.25">
      <c r="B3906" s="115" t="s">
        <v>1138</v>
      </c>
      <c r="D3906" s="115" t="s">
        <v>5362</v>
      </c>
      <c r="E3906" s="115" t="s">
        <v>5363</v>
      </c>
    </row>
    <row r="3907" spans="1:5" x14ac:dyDescent="0.25">
      <c r="B3907" s="115" t="s">
        <v>5364</v>
      </c>
      <c r="D3907" s="115" t="s">
        <v>3809</v>
      </c>
      <c r="E3907" s="115" t="s">
        <v>5365</v>
      </c>
    </row>
    <row r="3908" spans="1:5" x14ac:dyDescent="0.25">
      <c r="A3908" s="115" t="s">
        <v>1137</v>
      </c>
      <c r="B3908" s="115" t="s">
        <v>1324</v>
      </c>
      <c r="D3908" s="115" t="s">
        <v>5366</v>
      </c>
      <c r="E3908" s="115" t="s">
        <v>5367</v>
      </c>
    </row>
    <row r="3909" spans="1:5" x14ac:dyDescent="0.25">
      <c r="B3909" s="115" t="s">
        <v>5368</v>
      </c>
      <c r="C3909" s="115" t="s">
        <v>1137</v>
      </c>
      <c r="D3909" s="115" t="s">
        <v>5369</v>
      </c>
      <c r="E3909" s="115" t="s">
        <v>1140</v>
      </c>
    </row>
    <row r="3910" spans="1:5" x14ac:dyDescent="0.25">
      <c r="B3910" s="115" t="s">
        <v>1486</v>
      </c>
      <c r="D3910" s="115" t="s">
        <v>5370</v>
      </c>
      <c r="E3910" s="115" t="s">
        <v>5371</v>
      </c>
    </row>
    <row r="3911" spans="1:5" x14ac:dyDescent="0.25">
      <c r="B3911" s="115" t="s">
        <v>5372</v>
      </c>
      <c r="D3911" s="115" t="s">
        <v>5373</v>
      </c>
      <c r="E3911" s="115" t="s">
        <v>5374</v>
      </c>
    </row>
    <row r="3912" spans="1:5" x14ac:dyDescent="0.25">
      <c r="B3912" s="115" t="s">
        <v>1138</v>
      </c>
      <c r="D3912" s="115" t="s">
        <v>1139</v>
      </c>
      <c r="E3912" s="115" t="s">
        <v>1140</v>
      </c>
    </row>
    <row r="3913" spans="1:5" x14ac:dyDescent="0.25">
      <c r="B3913" s="115" t="s">
        <v>1138</v>
      </c>
      <c r="D3913" s="115" t="s">
        <v>5375</v>
      </c>
      <c r="E3913" s="115" t="s">
        <v>2536</v>
      </c>
    </row>
    <row r="3914" spans="1:5" x14ac:dyDescent="0.25">
      <c r="B3914" s="115" t="s">
        <v>5376</v>
      </c>
      <c r="D3914" s="115" t="s">
        <v>5377</v>
      </c>
      <c r="E3914" s="115" t="s">
        <v>5378</v>
      </c>
    </row>
    <row r="3915" spans="1:5" x14ac:dyDescent="0.25">
      <c r="B3915" s="115" t="s">
        <v>1161</v>
      </c>
      <c r="D3915" s="115" t="s">
        <v>5379</v>
      </c>
      <c r="E3915" s="115" t="s">
        <v>5380</v>
      </c>
    </row>
    <row r="3916" spans="1:5" x14ac:dyDescent="0.25">
      <c r="B3916" s="115" t="s">
        <v>1138</v>
      </c>
      <c r="D3916" s="115" t="s">
        <v>5381</v>
      </c>
      <c r="E3916" s="115" t="s">
        <v>1140</v>
      </c>
    </row>
    <row r="3917" spans="1:5" x14ac:dyDescent="0.25">
      <c r="B3917" s="115" t="s">
        <v>1138</v>
      </c>
      <c r="D3917" s="115" t="s">
        <v>5382</v>
      </c>
      <c r="E3917" s="115" t="s">
        <v>5383</v>
      </c>
    </row>
    <row r="3918" spans="1:5" x14ac:dyDescent="0.25">
      <c r="B3918" s="115" t="s">
        <v>5384</v>
      </c>
      <c r="D3918" s="115" t="s">
        <v>5385</v>
      </c>
      <c r="E3918" s="115" t="s">
        <v>5386</v>
      </c>
    </row>
    <row r="3919" spans="1:5" x14ac:dyDescent="0.25">
      <c r="A3919" s="115">
        <v>-3</v>
      </c>
      <c r="B3919" s="115" t="s">
        <v>5387</v>
      </c>
      <c r="D3919" s="115" t="s">
        <v>1139</v>
      </c>
      <c r="E3919" s="115" t="s">
        <v>5388</v>
      </c>
    </row>
    <row r="3920" spans="1:5" x14ac:dyDescent="0.25">
      <c r="B3920" s="115" t="s">
        <v>1138</v>
      </c>
      <c r="D3920" s="115" t="s">
        <v>5389</v>
      </c>
      <c r="E3920" s="115" t="s">
        <v>5390</v>
      </c>
    </row>
    <row r="3921" spans="1:5" x14ac:dyDescent="0.25">
      <c r="B3921" s="115" t="s">
        <v>1138</v>
      </c>
      <c r="C3921" s="115" t="s">
        <v>1137</v>
      </c>
      <c r="D3921" s="115" t="s">
        <v>5391</v>
      </c>
      <c r="E3921" s="115" t="s">
        <v>5392</v>
      </c>
    </row>
    <row r="3922" spans="1:5" x14ac:dyDescent="0.25">
      <c r="A3922" s="115">
        <v>7</v>
      </c>
      <c r="B3922" s="115" t="s">
        <v>5393</v>
      </c>
      <c r="D3922" s="115" t="s">
        <v>5394</v>
      </c>
      <c r="E3922" s="115" t="s">
        <v>5395</v>
      </c>
    </row>
    <row r="3923" spans="1:5" x14ac:dyDescent="0.25">
      <c r="B3923" s="115" t="s">
        <v>5396</v>
      </c>
      <c r="D3923" s="115" t="s">
        <v>5397</v>
      </c>
      <c r="E3923" s="115" t="s">
        <v>5398</v>
      </c>
    </row>
    <row r="3924" spans="1:5" x14ac:dyDescent="0.25">
      <c r="A3924" s="115">
        <v>2</v>
      </c>
      <c r="B3924" s="115" t="s">
        <v>5399</v>
      </c>
      <c r="D3924" s="115" t="s">
        <v>5400</v>
      </c>
      <c r="E3924" s="115" t="s">
        <v>5401</v>
      </c>
    </row>
    <row r="3925" spans="1:5" x14ac:dyDescent="0.25">
      <c r="B3925" s="115" t="s">
        <v>5402</v>
      </c>
      <c r="D3925" s="115" t="s">
        <v>5403</v>
      </c>
      <c r="E3925" s="115" t="s">
        <v>5404</v>
      </c>
    </row>
    <row r="3926" spans="1:5" x14ac:dyDescent="0.25">
      <c r="B3926" s="115" t="s">
        <v>1343</v>
      </c>
      <c r="D3926" s="115" t="s">
        <v>5405</v>
      </c>
      <c r="E3926" s="115" t="s">
        <v>5406</v>
      </c>
    </row>
    <row r="3927" spans="1:5" x14ac:dyDescent="0.25">
      <c r="A3927" s="115">
        <v>1</v>
      </c>
      <c r="B3927" s="115" t="s">
        <v>5407</v>
      </c>
      <c r="D3927" s="115" t="s">
        <v>1912</v>
      </c>
      <c r="E3927" s="115" t="s">
        <v>5408</v>
      </c>
    </row>
    <row r="3928" spans="1:5" x14ac:dyDescent="0.25">
      <c r="B3928" s="115" t="s">
        <v>1138</v>
      </c>
      <c r="D3928" s="115" t="s">
        <v>5409</v>
      </c>
      <c r="E3928" s="115" t="s">
        <v>5410</v>
      </c>
    </row>
    <row r="3929" spans="1:5" x14ac:dyDescent="0.25">
      <c r="B3929" s="115" t="s">
        <v>1636</v>
      </c>
      <c r="D3929" s="115" t="s">
        <v>5411</v>
      </c>
      <c r="E3929" s="115" t="s">
        <v>5412</v>
      </c>
    </row>
    <row r="3930" spans="1:5" x14ac:dyDescent="0.25">
      <c r="A3930" s="115">
        <v>2</v>
      </c>
      <c r="B3930" s="115" t="s">
        <v>5413</v>
      </c>
      <c r="D3930" s="115" t="s">
        <v>5414</v>
      </c>
      <c r="E3930" s="115" t="s">
        <v>5415</v>
      </c>
    </row>
    <row r="3931" spans="1:5" x14ac:dyDescent="0.25">
      <c r="B3931" s="115" t="s">
        <v>5416</v>
      </c>
      <c r="D3931" s="115" t="s">
        <v>1639</v>
      </c>
      <c r="E3931" s="115" t="s">
        <v>1140</v>
      </c>
    </row>
    <row r="3932" spans="1:5" x14ac:dyDescent="0.25">
      <c r="B3932" s="115" t="s">
        <v>5417</v>
      </c>
      <c r="D3932" s="115" t="s">
        <v>5418</v>
      </c>
      <c r="E3932" s="115" t="s">
        <v>2259</v>
      </c>
    </row>
    <row r="3933" spans="1:5" x14ac:dyDescent="0.25">
      <c r="B3933" s="115" t="s">
        <v>5419</v>
      </c>
      <c r="D3933" s="115" t="s">
        <v>5420</v>
      </c>
      <c r="E3933" s="115" t="s">
        <v>5421</v>
      </c>
    </row>
    <row r="3934" spans="1:5" x14ac:dyDescent="0.25">
      <c r="B3934" s="115" t="s">
        <v>5422</v>
      </c>
      <c r="D3934" s="115" t="s">
        <v>5423</v>
      </c>
      <c r="E3934" s="115" t="s">
        <v>5424</v>
      </c>
    </row>
    <row r="3935" spans="1:5" x14ac:dyDescent="0.25">
      <c r="B3935" s="115" t="s">
        <v>5425</v>
      </c>
      <c r="D3935" s="115" t="s">
        <v>5426</v>
      </c>
      <c r="E3935" s="115" t="s">
        <v>5427</v>
      </c>
    </row>
    <row r="3936" spans="1:5" x14ac:dyDescent="0.25">
      <c r="B3936" s="115" t="s">
        <v>1138</v>
      </c>
      <c r="D3936" s="115" t="s">
        <v>1139</v>
      </c>
      <c r="E3936" s="115" t="s">
        <v>5428</v>
      </c>
    </row>
    <row r="3937" spans="1:5" x14ac:dyDescent="0.25">
      <c r="A3937" s="115">
        <v>-2</v>
      </c>
      <c r="B3937" s="115" t="s">
        <v>5429</v>
      </c>
      <c r="D3937" s="115" t="s">
        <v>5430</v>
      </c>
      <c r="E3937" s="115" t="s">
        <v>5431</v>
      </c>
    </row>
    <row r="3938" spans="1:5" x14ac:dyDescent="0.25">
      <c r="B3938" s="115" t="s">
        <v>1138</v>
      </c>
      <c r="D3938" s="115" t="s">
        <v>5432</v>
      </c>
      <c r="E3938" s="115" t="s">
        <v>1140</v>
      </c>
    </row>
    <row r="3939" spans="1:5" x14ac:dyDescent="0.25">
      <c r="B3939" s="115" t="s">
        <v>1138</v>
      </c>
      <c r="D3939" s="115" t="s">
        <v>1139</v>
      </c>
      <c r="E3939" s="115" t="s">
        <v>1140</v>
      </c>
    </row>
    <row r="3940" spans="1:5" x14ac:dyDescent="0.25">
      <c r="B3940" s="115" t="s">
        <v>2289</v>
      </c>
      <c r="D3940" s="115" t="s">
        <v>1139</v>
      </c>
      <c r="E3940" s="115" t="s">
        <v>5433</v>
      </c>
    </row>
    <row r="3941" spans="1:5" x14ac:dyDescent="0.25">
      <c r="A3941" s="115">
        <v>11</v>
      </c>
      <c r="B3941" s="115" t="s">
        <v>5434</v>
      </c>
      <c r="C3941" s="115">
        <v>1</v>
      </c>
      <c r="D3941" s="115" t="s">
        <v>5435</v>
      </c>
      <c r="E3941" s="115" t="s">
        <v>5436</v>
      </c>
    </row>
    <row r="3942" spans="1:5" x14ac:dyDescent="0.25">
      <c r="B3942" s="115" t="s">
        <v>5437</v>
      </c>
      <c r="D3942" s="115" t="s">
        <v>5438</v>
      </c>
      <c r="E3942" s="115" t="s">
        <v>5439</v>
      </c>
    </row>
    <row r="3943" spans="1:5" x14ac:dyDescent="0.25">
      <c r="B3943" s="115" t="s">
        <v>5440</v>
      </c>
      <c r="D3943" s="115" t="s">
        <v>1139</v>
      </c>
      <c r="E3943" s="115" t="s">
        <v>1140</v>
      </c>
    </row>
    <row r="3944" spans="1:5" x14ac:dyDescent="0.25">
      <c r="B3944" s="115" t="s">
        <v>5441</v>
      </c>
      <c r="D3944" s="115" t="s">
        <v>5442</v>
      </c>
      <c r="E3944" s="115" t="s">
        <v>5443</v>
      </c>
    </row>
    <row r="3945" spans="1:5" x14ac:dyDescent="0.25">
      <c r="B3945" s="115" t="s">
        <v>1138</v>
      </c>
      <c r="D3945" s="115" t="s">
        <v>5444</v>
      </c>
      <c r="E3945" s="115" t="s">
        <v>5445</v>
      </c>
    </row>
    <row r="3946" spans="1:5" x14ac:dyDescent="0.25">
      <c r="B3946" s="115" t="s">
        <v>1138</v>
      </c>
      <c r="D3946" s="115" t="s">
        <v>5446</v>
      </c>
      <c r="E3946" s="115" t="s">
        <v>1140</v>
      </c>
    </row>
    <row r="3947" spans="1:5" x14ac:dyDescent="0.25">
      <c r="B3947" s="115" t="s">
        <v>5447</v>
      </c>
      <c r="C3947" s="115" t="s">
        <v>1137</v>
      </c>
      <c r="D3947" s="115" t="s">
        <v>5448</v>
      </c>
      <c r="E3947" s="115" t="s">
        <v>5449</v>
      </c>
    </row>
    <row r="3948" spans="1:5" x14ac:dyDescent="0.25">
      <c r="B3948" s="127">
        <v>41478</v>
      </c>
      <c r="D3948" s="115" t="s">
        <v>5450</v>
      </c>
      <c r="E3948" s="115" t="s">
        <v>5451</v>
      </c>
    </row>
    <row r="3949" spans="1:5" x14ac:dyDescent="0.25">
      <c r="A3949" s="115" t="s">
        <v>1137</v>
      </c>
      <c r="B3949" s="115" t="s">
        <v>5452</v>
      </c>
      <c r="D3949" s="115" t="s">
        <v>5453</v>
      </c>
      <c r="E3949" s="115" t="s">
        <v>5454</v>
      </c>
    </row>
    <row r="3950" spans="1:5" x14ac:dyDescent="0.25">
      <c r="A3950" s="115">
        <v>-1</v>
      </c>
      <c r="B3950" s="115" t="s">
        <v>5455</v>
      </c>
      <c r="C3950" s="115">
        <v>-2</v>
      </c>
      <c r="D3950" s="115" t="s">
        <v>5456</v>
      </c>
      <c r="E3950" s="115" t="s">
        <v>5457</v>
      </c>
    </row>
    <row r="3951" spans="1:5" x14ac:dyDescent="0.25">
      <c r="A3951" s="115">
        <v>4</v>
      </c>
      <c r="B3951" s="115" t="s">
        <v>5458</v>
      </c>
      <c r="D3951" s="115" t="s">
        <v>5459</v>
      </c>
      <c r="E3951" s="115" t="s">
        <v>5460</v>
      </c>
    </row>
    <row r="3952" spans="1:5" x14ac:dyDescent="0.25">
      <c r="B3952" s="115" t="s">
        <v>5461</v>
      </c>
      <c r="C3952" s="115" t="s">
        <v>1137</v>
      </c>
      <c r="D3952" s="115" t="s">
        <v>5462</v>
      </c>
      <c r="E3952" s="115" t="s">
        <v>5463</v>
      </c>
    </row>
    <row r="3953" spans="1:5" x14ac:dyDescent="0.25">
      <c r="B3953" s="115" t="s">
        <v>5464</v>
      </c>
      <c r="C3953" s="115" t="s">
        <v>1137</v>
      </c>
      <c r="D3953" s="115" t="s">
        <v>5465</v>
      </c>
      <c r="E3953" s="115" t="s">
        <v>5466</v>
      </c>
    </row>
    <row r="3954" spans="1:5" x14ac:dyDescent="0.25">
      <c r="B3954" s="115" t="s">
        <v>5467</v>
      </c>
      <c r="D3954" s="115" t="s">
        <v>5468</v>
      </c>
      <c r="E3954" s="115" t="s">
        <v>5469</v>
      </c>
    </row>
    <row r="3955" spans="1:5" x14ac:dyDescent="0.25">
      <c r="B3955" s="115" t="s">
        <v>1447</v>
      </c>
      <c r="D3955" s="115" t="s">
        <v>5470</v>
      </c>
      <c r="E3955" s="115" t="s">
        <v>5471</v>
      </c>
    </row>
    <row r="3956" spans="1:5" x14ac:dyDescent="0.25">
      <c r="B3956" s="115" t="s">
        <v>5472</v>
      </c>
      <c r="C3956" s="115" t="s">
        <v>1137</v>
      </c>
      <c r="D3956" s="115" t="s">
        <v>5473</v>
      </c>
      <c r="E3956" s="115" t="s">
        <v>5474</v>
      </c>
    </row>
    <row r="3957" spans="1:5" x14ac:dyDescent="0.25">
      <c r="B3957" s="115" t="s">
        <v>5475</v>
      </c>
      <c r="D3957" s="115" t="s">
        <v>5476</v>
      </c>
      <c r="E3957" s="115" t="s">
        <v>5477</v>
      </c>
    </row>
    <row r="3958" spans="1:5" x14ac:dyDescent="0.25">
      <c r="A3958" s="115" t="s">
        <v>1137</v>
      </c>
      <c r="B3958" s="115" t="s">
        <v>1214</v>
      </c>
      <c r="D3958" s="115" t="s">
        <v>1139</v>
      </c>
      <c r="E3958" s="115" t="s">
        <v>5478</v>
      </c>
    </row>
    <row r="3959" spans="1:5" x14ac:dyDescent="0.25">
      <c r="B3959" s="115" t="s">
        <v>5479</v>
      </c>
      <c r="D3959" s="115" t="s">
        <v>5480</v>
      </c>
      <c r="E3959" s="115" t="s">
        <v>5481</v>
      </c>
    </row>
    <row r="3960" spans="1:5" x14ac:dyDescent="0.25">
      <c r="A3960" s="115">
        <v>-2</v>
      </c>
      <c r="B3960" s="115" t="s">
        <v>5482</v>
      </c>
      <c r="C3960" s="115" t="s">
        <v>1137</v>
      </c>
      <c r="D3960" s="115" t="s">
        <v>5483</v>
      </c>
      <c r="E3960" s="115" t="s">
        <v>5484</v>
      </c>
    </row>
    <row r="3961" spans="1:5" x14ac:dyDescent="0.25">
      <c r="B3961" s="115" t="s">
        <v>1287</v>
      </c>
      <c r="D3961" s="115" t="s">
        <v>5485</v>
      </c>
      <c r="E3961" s="115" t="s">
        <v>5486</v>
      </c>
    </row>
    <row r="3962" spans="1:5" x14ac:dyDescent="0.25">
      <c r="A3962" s="115">
        <v>-6</v>
      </c>
      <c r="B3962" s="115" t="s">
        <v>5487</v>
      </c>
      <c r="C3962" s="115" t="s">
        <v>1137</v>
      </c>
      <c r="D3962" s="115" t="s">
        <v>5488</v>
      </c>
      <c r="E3962" s="115" t="s">
        <v>5489</v>
      </c>
    </row>
    <row r="3963" spans="1:5" x14ac:dyDescent="0.25">
      <c r="B3963" s="115" t="s">
        <v>1138</v>
      </c>
      <c r="D3963" s="115" t="s">
        <v>5490</v>
      </c>
      <c r="E3963" s="115" t="s">
        <v>5491</v>
      </c>
    </row>
    <row r="3964" spans="1:5" x14ac:dyDescent="0.25">
      <c r="B3964" s="115" t="s">
        <v>1138</v>
      </c>
      <c r="C3964" s="115" t="s">
        <v>1137</v>
      </c>
      <c r="D3964" s="115" t="s">
        <v>5492</v>
      </c>
      <c r="E3964" s="115" t="s">
        <v>1858</v>
      </c>
    </row>
    <row r="3965" spans="1:5" x14ac:dyDescent="0.25">
      <c r="B3965" s="115" t="s">
        <v>5493</v>
      </c>
      <c r="C3965" s="115" t="s">
        <v>1137</v>
      </c>
      <c r="D3965" s="115" t="s">
        <v>5494</v>
      </c>
      <c r="E3965" s="115" t="s">
        <v>1140</v>
      </c>
    </row>
    <row r="3966" spans="1:5" x14ac:dyDescent="0.25">
      <c r="B3966" s="115" t="s">
        <v>1138</v>
      </c>
      <c r="D3966" s="115" t="s">
        <v>1139</v>
      </c>
      <c r="E3966" s="115" t="s">
        <v>5495</v>
      </c>
    </row>
    <row r="3967" spans="1:5" x14ac:dyDescent="0.25">
      <c r="B3967" s="115" t="s">
        <v>1138</v>
      </c>
      <c r="D3967" s="115" t="s">
        <v>5496</v>
      </c>
      <c r="E3967" s="115" t="s">
        <v>5497</v>
      </c>
    </row>
    <row r="3968" spans="1:5" x14ac:dyDescent="0.25">
      <c r="A3968" s="115">
        <v>-8</v>
      </c>
      <c r="B3968" s="115" t="s">
        <v>5498</v>
      </c>
      <c r="D3968" s="115" t="s">
        <v>5499</v>
      </c>
      <c r="E3968" s="115" t="s">
        <v>5500</v>
      </c>
    </row>
    <row r="3969" spans="1:5" x14ac:dyDescent="0.25">
      <c r="B3969" s="115" t="s">
        <v>1138</v>
      </c>
      <c r="D3969" s="115" t="s">
        <v>5501</v>
      </c>
      <c r="E3969" s="115" t="s">
        <v>5502</v>
      </c>
    </row>
    <row r="3970" spans="1:5" x14ac:dyDescent="0.25">
      <c r="B3970" s="115" t="s">
        <v>1138</v>
      </c>
      <c r="D3970" s="115" t="s">
        <v>1139</v>
      </c>
      <c r="E3970" s="115" t="s">
        <v>5503</v>
      </c>
    </row>
    <row r="3971" spans="1:5" x14ac:dyDescent="0.25">
      <c r="B3971" s="115" t="s">
        <v>1138</v>
      </c>
      <c r="C3971" s="115" t="s">
        <v>1137</v>
      </c>
      <c r="D3971" s="115" t="s">
        <v>5504</v>
      </c>
      <c r="E3971" s="115" t="s">
        <v>5505</v>
      </c>
    </row>
    <row r="3972" spans="1:5" x14ac:dyDescent="0.25">
      <c r="B3972" s="115" t="s">
        <v>5506</v>
      </c>
      <c r="D3972" s="115" t="s">
        <v>5507</v>
      </c>
      <c r="E3972" s="115" t="s">
        <v>2259</v>
      </c>
    </row>
    <row r="3973" spans="1:5" x14ac:dyDescent="0.25">
      <c r="B3973" s="115" t="s">
        <v>5508</v>
      </c>
      <c r="D3973" s="115" t="s">
        <v>1139</v>
      </c>
      <c r="E3973" s="115" t="s">
        <v>5509</v>
      </c>
    </row>
    <row r="3974" spans="1:5" x14ac:dyDescent="0.25">
      <c r="A3974" s="115">
        <v>-6</v>
      </c>
      <c r="B3974" s="115" t="s">
        <v>1184</v>
      </c>
      <c r="D3974" s="115" t="s">
        <v>5510</v>
      </c>
      <c r="E3974" s="115" t="s">
        <v>5511</v>
      </c>
    </row>
    <row r="3975" spans="1:5" x14ac:dyDescent="0.25">
      <c r="B3975" s="115" t="s">
        <v>1138</v>
      </c>
      <c r="D3975" s="115" t="s">
        <v>5512</v>
      </c>
      <c r="E3975" s="115" t="s">
        <v>5513</v>
      </c>
    </row>
    <row r="3976" spans="1:5" x14ac:dyDescent="0.25">
      <c r="A3976" s="115" t="s">
        <v>1137</v>
      </c>
      <c r="B3976" s="115" t="s">
        <v>5514</v>
      </c>
      <c r="D3976" s="115" t="s">
        <v>1139</v>
      </c>
      <c r="E3976" s="115" t="s">
        <v>5515</v>
      </c>
    </row>
    <row r="3977" spans="1:5" x14ac:dyDescent="0.25">
      <c r="A3977" s="115">
        <v>-8</v>
      </c>
      <c r="B3977" s="115" t="s">
        <v>5516</v>
      </c>
      <c r="D3977" s="115" t="s">
        <v>5517</v>
      </c>
      <c r="E3977" s="115" t="s">
        <v>5518</v>
      </c>
    </row>
    <row r="3978" spans="1:5" x14ac:dyDescent="0.25">
      <c r="B3978" s="115" t="s">
        <v>5519</v>
      </c>
      <c r="D3978" s="115" t="s">
        <v>5520</v>
      </c>
      <c r="E3978" s="115" t="s">
        <v>5521</v>
      </c>
    </row>
    <row r="3979" spans="1:5" x14ac:dyDescent="0.25">
      <c r="B3979" s="115" t="s">
        <v>5522</v>
      </c>
      <c r="D3979" s="115" t="s">
        <v>1139</v>
      </c>
      <c r="E3979" s="115" t="s">
        <v>5523</v>
      </c>
    </row>
    <row r="3980" spans="1:5" x14ac:dyDescent="0.25">
      <c r="A3980" s="115">
        <v>-20</v>
      </c>
      <c r="B3980" s="115" t="s">
        <v>5524</v>
      </c>
      <c r="D3980" s="115" t="s">
        <v>5525</v>
      </c>
      <c r="E3980" s="115" t="s">
        <v>5526</v>
      </c>
    </row>
    <row r="3981" spans="1:5" x14ac:dyDescent="0.25">
      <c r="B3981" s="115" t="s">
        <v>5527</v>
      </c>
      <c r="C3981" s="115" t="s">
        <v>1137</v>
      </c>
      <c r="D3981" s="115" t="s">
        <v>5528</v>
      </c>
      <c r="E3981" s="115" t="s">
        <v>5529</v>
      </c>
    </row>
    <row r="3982" spans="1:5" x14ac:dyDescent="0.25">
      <c r="A3982" s="115">
        <v>-1</v>
      </c>
      <c r="B3982" s="115" t="s">
        <v>5530</v>
      </c>
      <c r="D3982" s="115" t="s">
        <v>1139</v>
      </c>
      <c r="E3982" s="115" t="s">
        <v>5531</v>
      </c>
    </row>
    <row r="3983" spans="1:5" x14ac:dyDescent="0.25">
      <c r="A3983" s="115">
        <v>-9</v>
      </c>
      <c r="B3983" s="115" t="s">
        <v>5532</v>
      </c>
      <c r="D3983" s="115" t="s">
        <v>5533</v>
      </c>
      <c r="E3983" s="115" t="s">
        <v>5534</v>
      </c>
    </row>
    <row r="3984" spans="1:5" x14ac:dyDescent="0.25">
      <c r="B3984" s="115" t="s">
        <v>5535</v>
      </c>
      <c r="D3984" s="115" t="s">
        <v>5536</v>
      </c>
      <c r="E3984" s="115" t="s">
        <v>5537</v>
      </c>
    </row>
    <row r="3985" spans="1:5" x14ac:dyDescent="0.25">
      <c r="B3985" s="115" t="s">
        <v>1138</v>
      </c>
      <c r="D3985" s="115" t="s">
        <v>1139</v>
      </c>
      <c r="E3985" s="115" t="s">
        <v>5538</v>
      </c>
    </row>
    <row r="3986" spans="1:5" x14ac:dyDescent="0.25">
      <c r="A3986" s="115">
        <v>3</v>
      </c>
      <c r="B3986" s="115" t="s">
        <v>1203</v>
      </c>
      <c r="D3986" s="115" t="s">
        <v>1139</v>
      </c>
      <c r="E3986" s="115" t="s">
        <v>5539</v>
      </c>
    </row>
    <row r="3987" spans="1:5" x14ac:dyDescent="0.25">
      <c r="A3987" s="115">
        <v>-2</v>
      </c>
      <c r="B3987" s="115" t="s">
        <v>5540</v>
      </c>
      <c r="D3987" s="115" t="s">
        <v>5541</v>
      </c>
      <c r="E3987" s="115" t="s">
        <v>5542</v>
      </c>
    </row>
    <row r="3988" spans="1:5" x14ac:dyDescent="0.25">
      <c r="B3988" s="115" t="s">
        <v>5543</v>
      </c>
      <c r="D3988" s="115" t="s">
        <v>1139</v>
      </c>
      <c r="E3988" s="115" t="s">
        <v>5544</v>
      </c>
    </row>
    <row r="3989" spans="1:5" x14ac:dyDescent="0.25">
      <c r="A3989" s="115">
        <v>-4</v>
      </c>
      <c r="B3989" s="115" t="s">
        <v>5545</v>
      </c>
      <c r="D3989" s="115" t="s">
        <v>5546</v>
      </c>
      <c r="E3989" s="115" t="s">
        <v>1140</v>
      </c>
    </row>
    <row r="3990" spans="1:5" x14ac:dyDescent="0.25">
      <c r="B3990" s="115" t="s">
        <v>1138</v>
      </c>
      <c r="C3990" s="115" t="s">
        <v>1137</v>
      </c>
      <c r="D3990" s="115" t="s">
        <v>5547</v>
      </c>
      <c r="E3990" s="115" t="s">
        <v>5548</v>
      </c>
    </row>
    <row r="3991" spans="1:5" x14ac:dyDescent="0.25">
      <c r="A3991" s="115">
        <v>-1</v>
      </c>
      <c r="B3991" s="115" t="s">
        <v>5549</v>
      </c>
      <c r="D3991" s="115" t="s">
        <v>5550</v>
      </c>
      <c r="E3991" s="115" t="s">
        <v>5551</v>
      </c>
    </row>
    <row r="3992" spans="1:5" x14ac:dyDescent="0.25">
      <c r="A3992" s="115">
        <v>-10</v>
      </c>
      <c r="B3992" s="115" t="s">
        <v>1587</v>
      </c>
      <c r="D3992" s="115" t="s">
        <v>1139</v>
      </c>
      <c r="E3992" s="115" t="s">
        <v>1140</v>
      </c>
    </row>
    <row r="3993" spans="1:5" x14ac:dyDescent="0.25">
      <c r="B3993" s="115" t="s">
        <v>1138</v>
      </c>
      <c r="D3993" s="115" t="s">
        <v>1139</v>
      </c>
      <c r="E3993" s="115" t="s">
        <v>5552</v>
      </c>
    </row>
    <row r="3994" spans="1:5" x14ac:dyDescent="0.25">
      <c r="B3994" s="115" t="s">
        <v>5553</v>
      </c>
      <c r="C3994" s="115" t="s">
        <v>1137</v>
      </c>
      <c r="D3994" s="115" t="s">
        <v>5554</v>
      </c>
      <c r="E3994" s="115" t="s">
        <v>5555</v>
      </c>
    </row>
    <row r="3995" spans="1:5" x14ac:dyDescent="0.25">
      <c r="B3995" s="115" t="s">
        <v>1138</v>
      </c>
      <c r="D3995" s="115" t="s">
        <v>5556</v>
      </c>
      <c r="E3995" s="115" t="s">
        <v>5557</v>
      </c>
    </row>
    <row r="3996" spans="1:5" x14ac:dyDescent="0.25">
      <c r="B3996" s="115" t="s">
        <v>5558</v>
      </c>
      <c r="D3996" s="115" t="s">
        <v>5559</v>
      </c>
      <c r="E3996" s="115" t="s">
        <v>5560</v>
      </c>
    </row>
    <row r="3997" spans="1:5" x14ac:dyDescent="0.25">
      <c r="B3997" s="115" t="s">
        <v>1138</v>
      </c>
      <c r="D3997" s="115" t="s">
        <v>1139</v>
      </c>
      <c r="E3997" s="115" t="s">
        <v>5561</v>
      </c>
    </row>
    <row r="3998" spans="1:5" x14ac:dyDescent="0.25">
      <c r="B3998" s="115" t="s">
        <v>5562</v>
      </c>
      <c r="C3998" s="115">
        <v>1</v>
      </c>
      <c r="D3998" s="115" t="s">
        <v>5563</v>
      </c>
      <c r="E3998" s="115" t="s">
        <v>5564</v>
      </c>
    </row>
    <row r="3999" spans="1:5" x14ac:dyDescent="0.25">
      <c r="A3999" s="115">
        <v>2</v>
      </c>
      <c r="B3999" s="115" t="s">
        <v>5565</v>
      </c>
      <c r="D3999" s="115" t="s">
        <v>5566</v>
      </c>
      <c r="E3999" s="115" t="s">
        <v>1140</v>
      </c>
    </row>
    <row r="4000" spans="1:5" x14ac:dyDescent="0.25">
      <c r="A4000" s="115" t="s">
        <v>1137</v>
      </c>
      <c r="B4000" s="115" t="s">
        <v>1616</v>
      </c>
      <c r="D4000" s="115" t="s">
        <v>1139</v>
      </c>
      <c r="E4000" s="115" t="s">
        <v>5567</v>
      </c>
    </row>
    <row r="4001" spans="1:5" x14ac:dyDescent="0.25">
      <c r="B4001" s="115" t="s">
        <v>5568</v>
      </c>
      <c r="D4001" s="115" t="s">
        <v>1139</v>
      </c>
      <c r="E4001" s="115" t="s">
        <v>5569</v>
      </c>
    </row>
    <row r="4002" spans="1:5" x14ac:dyDescent="0.25">
      <c r="B4002" s="115" t="s">
        <v>1476</v>
      </c>
      <c r="D4002" s="115" t="s">
        <v>5570</v>
      </c>
      <c r="E4002" s="115" t="s">
        <v>5571</v>
      </c>
    </row>
    <row r="4003" spans="1:5" x14ac:dyDescent="0.25">
      <c r="B4003" s="115" t="s">
        <v>1322</v>
      </c>
      <c r="D4003" s="115" t="s">
        <v>2057</v>
      </c>
      <c r="E4003" s="115" t="s">
        <v>5572</v>
      </c>
    </row>
    <row r="4004" spans="1:5" x14ac:dyDescent="0.25">
      <c r="B4004" s="115" t="s">
        <v>5573</v>
      </c>
      <c r="D4004" s="115" t="s">
        <v>5574</v>
      </c>
      <c r="E4004" s="115" t="s">
        <v>5575</v>
      </c>
    </row>
    <row r="4005" spans="1:5" x14ac:dyDescent="0.25">
      <c r="B4005" s="115">
        <f>-14   -138</f>
        <v>-152</v>
      </c>
      <c r="D4005" s="115" t="s">
        <v>5576</v>
      </c>
      <c r="E4005" s="115" t="s">
        <v>5577</v>
      </c>
    </row>
    <row r="4006" spans="1:5" x14ac:dyDescent="0.25">
      <c r="B4006" s="115" t="s">
        <v>5578</v>
      </c>
      <c r="D4006" s="115" t="s">
        <v>5579</v>
      </c>
      <c r="E4006" s="115" t="s">
        <v>5580</v>
      </c>
    </row>
    <row r="4007" spans="1:5" x14ac:dyDescent="0.25">
      <c r="B4007" s="115" t="s">
        <v>5581</v>
      </c>
      <c r="D4007" s="115" t="s">
        <v>5582</v>
      </c>
      <c r="E4007" s="115" t="s">
        <v>5583</v>
      </c>
    </row>
    <row r="4008" spans="1:5" x14ac:dyDescent="0.25">
      <c r="B4008" s="115" t="s">
        <v>5584</v>
      </c>
      <c r="D4008" s="115" t="s">
        <v>5585</v>
      </c>
      <c r="E4008" s="115" t="s">
        <v>5586</v>
      </c>
    </row>
    <row r="4009" spans="1:5" x14ac:dyDescent="0.25">
      <c r="B4009" s="115" t="s">
        <v>1331</v>
      </c>
      <c r="D4009" s="115" t="s">
        <v>2892</v>
      </c>
      <c r="E4009" s="115" t="s">
        <v>5587</v>
      </c>
    </row>
    <row r="4010" spans="1:5" x14ac:dyDescent="0.25">
      <c r="B4010" s="115" t="s">
        <v>1458</v>
      </c>
      <c r="D4010" s="115" t="s">
        <v>5588</v>
      </c>
      <c r="E4010" s="115" t="s">
        <v>5589</v>
      </c>
    </row>
    <row r="4011" spans="1:5" x14ac:dyDescent="0.25">
      <c r="A4011" s="115">
        <v>6</v>
      </c>
      <c r="B4011" s="115" t="s">
        <v>1381</v>
      </c>
      <c r="D4011" s="115" t="s">
        <v>5590</v>
      </c>
      <c r="E4011" s="115" t="s">
        <v>5591</v>
      </c>
    </row>
    <row r="4012" spans="1:5" x14ac:dyDescent="0.25">
      <c r="B4012" s="115" t="s">
        <v>1138</v>
      </c>
      <c r="D4012" s="115" t="s">
        <v>5592</v>
      </c>
      <c r="E4012" s="115" t="s">
        <v>5593</v>
      </c>
    </row>
    <row r="4013" spans="1:5" x14ac:dyDescent="0.25">
      <c r="B4013" s="115" t="s">
        <v>1138</v>
      </c>
      <c r="D4013" s="115" t="s">
        <v>5594</v>
      </c>
      <c r="E4013" s="115" t="s">
        <v>5595</v>
      </c>
    </row>
    <row r="4014" spans="1:5" x14ac:dyDescent="0.25">
      <c r="A4014" s="115">
        <v>-2</v>
      </c>
      <c r="B4014" s="115" t="s">
        <v>5596</v>
      </c>
      <c r="D4014" s="115" t="s">
        <v>5597</v>
      </c>
      <c r="E4014" s="115" t="s">
        <v>5598</v>
      </c>
    </row>
    <row r="4015" spans="1:5" x14ac:dyDescent="0.25">
      <c r="A4015" s="115">
        <v>-1</v>
      </c>
      <c r="B4015" s="115" t="s">
        <v>1496</v>
      </c>
      <c r="D4015" s="115" t="s">
        <v>5599</v>
      </c>
      <c r="E4015" s="115" t="s">
        <v>5600</v>
      </c>
    </row>
    <row r="4016" spans="1:5" x14ac:dyDescent="0.25">
      <c r="A4016" s="115">
        <v>-1</v>
      </c>
      <c r="B4016" s="115" t="s">
        <v>5601</v>
      </c>
      <c r="D4016" s="115" t="s">
        <v>5602</v>
      </c>
      <c r="E4016" s="115" t="s">
        <v>1140</v>
      </c>
    </row>
    <row r="4017" spans="1:5" x14ac:dyDescent="0.25">
      <c r="B4017" s="115" t="s">
        <v>5603</v>
      </c>
      <c r="D4017" s="115" t="s">
        <v>5604</v>
      </c>
      <c r="E4017" s="115" t="s">
        <v>5605</v>
      </c>
    </row>
    <row r="4018" spans="1:5" x14ac:dyDescent="0.25">
      <c r="B4018" s="115" t="s">
        <v>1348</v>
      </c>
      <c r="C4018" s="115" t="s">
        <v>1137</v>
      </c>
      <c r="D4018" s="115" t="s">
        <v>5606</v>
      </c>
      <c r="E4018" s="115" t="s">
        <v>5607</v>
      </c>
    </row>
    <row r="4019" spans="1:5" x14ac:dyDescent="0.25">
      <c r="B4019" s="115" t="s">
        <v>1138</v>
      </c>
      <c r="D4019" s="115" t="s">
        <v>1139</v>
      </c>
      <c r="E4019" s="115" t="s">
        <v>1140</v>
      </c>
    </row>
    <row r="4020" spans="1:5" x14ac:dyDescent="0.25">
      <c r="B4020" s="115" t="s">
        <v>1138</v>
      </c>
      <c r="D4020" s="115" t="s">
        <v>2512</v>
      </c>
      <c r="E4020" s="115" t="s">
        <v>1858</v>
      </c>
    </row>
    <row r="4021" spans="1:5" x14ac:dyDescent="0.25">
      <c r="B4021" s="115" t="s">
        <v>5608</v>
      </c>
      <c r="D4021" s="115" t="s">
        <v>5609</v>
      </c>
      <c r="E4021" s="115" t="s">
        <v>5610</v>
      </c>
    </row>
    <row r="4022" spans="1:5" x14ac:dyDescent="0.25">
      <c r="B4022" s="115" t="s">
        <v>5611</v>
      </c>
      <c r="C4022" s="115">
        <v>1</v>
      </c>
      <c r="D4022" s="115" t="s">
        <v>5612</v>
      </c>
      <c r="E4022" s="115" t="s">
        <v>5613</v>
      </c>
    </row>
    <row r="4023" spans="1:5" x14ac:dyDescent="0.25">
      <c r="B4023" s="115" t="s">
        <v>3060</v>
      </c>
      <c r="D4023" s="115" t="s">
        <v>5614</v>
      </c>
      <c r="E4023" s="115" t="s">
        <v>5615</v>
      </c>
    </row>
    <row r="4024" spans="1:5" x14ac:dyDescent="0.25">
      <c r="B4024" s="115" t="s">
        <v>1138</v>
      </c>
      <c r="D4024" s="115" t="s">
        <v>1139</v>
      </c>
      <c r="E4024" s="115" t="s">
        <v>5616</v>
      </c>
    </row>
    <row r="4025" spans="1:5" x14ac:dyDescent="0.25">
      <c r="B4025" s="115" t="s">
        <v>5617</v>
      </c>
      <c r="C4025" s="115">
        <v>-1</v>
      </c>
      <c r="D4025" s="115" t="s">
        <v>5618</v>
      </c>
      <c r="E4025" s="115" t="s">
        <v>5619</v>
      </c>
    </row>
    <row r="4026" spans="1:5" x14ac:dyDescent="0.25">
      <c r="A4026" s="115">
        <v>-8</v>
      </c>
      <c r="B4026" s="115" t="s">
        <v>5620</v>
      </c>
      <c r="D4026" s="115" t="s">
        <v>5621</v>
      </c>
      <c r="E4026" s="115" t="s">
        <v>1140</v>
      </c>
    </row>
    <row r="4027" spans="1:5" x14ac:dyDescent="0.25">
      <c r="B4027" s="115" t="s">
        <v>5622</v>
      </c>
      <c r="D4027" s="115" t="s">
        <v>1139</v>
      </c>
      <c r="E4027" s="115" t="s">
        <v>5623</v>
      </c>
    </row>
    <row r="4028" spans="1:5" x14ac:dyDescent="0.25">
      <c r="B4028" s="115" t="s">
        <v>1395</v>
      </c>
      <c r="D4028" s="115" t="s">
        <v>1139</v>
      </c>
      <c r="E4028" s="115" t="s">
        <v>5624</v>
      </c>
    </row>
    <row r="4029" spans="1:5" x14ac:dyDescent="0.25">
      <c r="B4029" s="115" t="s">
        <v>5625</v>
      </c>
      <c r="D4029" s="115" t="s">
        <v>5626</v>
      </c>
      <c r="E4029" s="115" t="s">
        <v>5627</v>
      </c>
    </row>
    <row r="4030" spans="1:5" x14ac:dyDescent="0.25">
      <c r="B4030" s="115" t="s">
        <v>5628</v>
      </c>
      <c r="D4030" s="115" t="s">
        <v>2339</v>
      </c>
      <c r="E4030" s="115" t="s">
        <v>5629</v>
      </c>
    </row>
    <row r="4031" spans="1:5" x14ac:dyDescent="0.25">
      <c r="B4031" s="115">
        <f>-53   -545</f>
        <v>-598</v>
      </c>
      <c r="D4031" s="115" t="s">
        <v>5630</v>
      </c>
      <c r="E4031" s="115" t="s">
        <v>5631</v>
      </c>
    </row>
    <row r="4032" spans="1:5" x14ac:dyDescent="0.25">
      <c r="A4032" s="115">
        <v>-4</v>
      </c>
      <c r="B4032" s="115" t="s">
        <v>5632</v>
      </c>
      <c r="D4032" s="115" t="s">
        <v>1306</v>
      </c>
      <c r="E4032" s="115" t="s">
        <v>5633</v>
      </c>
    </row>
    <row r="4033" spans="1:5" x14ac:dyDescent="0.25">
      <c r="A4033" s="115" t="s">
        <v>1137</v>
      </c>
      <c r="B4033" s="115" t="s">
        <v>1212</v>
      </c>
      <c r="D4033" s="115" t="s">
        <v>2034</v>
      </c>
      <c r="E4033" s="115" t="s">
        <v>5634</v>
      </c>
    </row>
    <row r="4034" spans="1:5" x14ac:dyDescent="0.25">
      <c r="A4034" s="115" t="s">
        <v>1137</v>
      </c>
      <c r="B4034" s="115" t="s">
        <v>5635</v>
      </c>
      <c r="D4034" s="115" t="s">
        <v>5636</v>
      </c>
      <c r="E4034" s="115" t="s">
        <v>5637</v>
      </c>
    </row>
    <row r="4035" spans="1:5" x14ac:dyDescent="0.25">
      <c r="A4035" s="115">
        <v>-5</v>
      </c>
      <c r="B4035" s="115" t="s">
        <v>5638</v>
      </c>
      <c r="D4035" s="115" t="s">
        <v>1361</v>
      </c>
      <c r="E4035" s="115" t="s">
        <v>5639</v>
      </c>
    </row>
    <row r="4036" spans="1:5" x14ac:dyDescent="0.25">
      <c r="A4036" s="115" t="s">
        <v>1137</v>
      </c>
      <c r="B4036" s="115" t="s">
        <v>1237</v>
      </c>
      <c r="D4036" s="115" t="s">
        <v>3946</v>
      </c>
      <c r="E4036" s="115" t="s">
        <v>5640</v>
      </c>
    </row>
    <row r="4037" spans="1:5" x14ac:dyDescent="0.25">
      <c r="B4037" s="115" t="s">
        <v>1508</v>
      </c>
      <c r="D4037" s="115" t="s">
        <v>5641</v>
      </c>
      <c r="E4037" s="115" t="s">
        <v>5642</v>
      </c>
    </row>
    <row r="4038" spans="1:5" x14ac:dyDescent="0.25">
      <c r="A4038" s="115">
        <v>-4</v>
      </c>
      <c r="B4038" s="115" t="s">
        <v>3849</v>
      </c>
      <c r="D4038" s="115" t="s">
        <v>5643</v>
      </c>
      <c r="E4038" s="115" t="s">
        <v>5644</v>
      </c>
    </row>
    <row r="4039" spans="1:5" x14ac:dyDescent="0.25">
      <c r="B4039" s="115" t="s">
        <v>1138</v>
      </c>
      <c r="D4039" s="115" t="s">
        <v>5645</v>
      </c>
      <c r="E4039" s="115" t="s">
        <v>5646</v>
      </c>
    </row>
    <row r="4040" spans="1:5" x14ac:dyDescent="0.25">
      <c r="B4040" s="115" t="s">
        <v>1138</v>
      </c>
      <c r="D4040" s="115" t="s">
        <v>5647</v>
      </c>
      <c r="E4040" s="115" t="s">
        <v>5648</v>
      </c>
    </row>
    <row r="4041" spans="1:5" x14ac:dyDescent="0.25">
      <c r="A4041" s="115">
        <v>-2</v>
      </c>
      <c r="B4041" s="115" t="s">
        <v>5649</v>
      </c>
      <c r="D4041" s="115" t="s">
        <v>5650</v>
      </c>
      <c r="E4041" s="115" t="s">
        <v>5651</v>
      </c>
    </row>
    <row r="4042" spans="1:5" x14ac:dyDescent="0.25">
      <c r="A4042" s="115">
        <v>1</v>
      </c>
      <c r="B4042" s="115" t="s">
        <v>1481</v>
      </c>
      <c r="D4042" s="115" t="s">
        <v>3393</v>
      </c>
      <c r="E4042" s="115" t="s">
        <v>5652</v>
      </c>
    </row>
    <row r="4043" spans="1:5" x14ac:dyDescent="0.25">
      <c r="A4043" s="115">
        <v>1</v>
      </c>
      <c r="B4043" s="115" t="s">
        <v>5653</v>
      </c>
      <c r="D4043" s="115" t="s">
        <v>5654</v>
      </c>
      <c r="E4043" s="115" t="s">
        <v>1140</v>
      </c>
    </row>
    <row r="4044" spans="1:5" x14ac:dyDescent="0.25">
      <c r="B4044" s="115" t="s">
        <v>5655</v>
      </c>
      <c r="D4044" s="115">
        <f>-141   -419   -199</f>
        <v>-759</v>
      </c>
      <c r="E4044" s="115" t="s">
        <v>5656</v>
      </c>
    </row>
    <row r="4045" spans="1:5" x14ac:dyDescent="0.25">
      <c r="B4045" s="115" t="s">
        <v>5657</v>
      </c>
      <c r="C4045" s="115" t="s">
        <v>1137</v>
      </c>
      <c r="D4045" s="115" t="s">
        <v>5658</v>
      </c>
      <c r="E4045" s="115" t="s">
        <v>5659</v>
      </c>
    </row>
    <row r="4046" spans="1:5" x14ac:dyDescent="0.25">
      <c r="B4046" s="115" t="s">
        <v>1138</v>
      </c>
      <c r="D4046" s="115" t="s">
        <v>1139</v>
      </c>
      <c r="E4046" s="115" t="s">
        <v>1140</v>
      </c>
    </row>
    <row r="4047" spans="1:5" x14ac:dyDescent="0.25">
      <c r="B4047" s="115" t="s">
        <v>1138</v>
      </c>
      <c r="D4047" s="115" t="s">
        <v>4123</v>
      </c>
      <c r="E4047" s="115" t="s">
        <v>1818</v>
      </c>
    </row>
    <row r="4048" spans="1:5" x14ac:dyDescent="0.25">
      <c r="A4048" s="115">
        <v>-1</v>
      </c>
      <c r="B4048" s="115" t="s">
        <v>5660</v>
      </c>
      <c r="D4048" s="115" t="s">
        <v>5661</v>
      </c>
      <c r="E4048" s="115" t="s">
        <v>5662</v>
      </c>
    </row>
    <row r="4049" spans="2:5" x14ac:dyDescent="0.25">
      <c r="B4049" s="115" t="s">
        <v>5663</v>
      </c>
      <c r="C4049" s="115">
        <v>-2</v>
      </c>
      <c r="D4049" s="115" t="s">
        <v>5664</v>
      </c>
      <c r="E4049" s="115" t="s">
        <v>2536</v>
      </c>
    </row>
    <row r="4050" spans="2:5" x14ac:dyDescent="0.25">
      <c r="B4050" s="115" t="s">
        <v>1138</v>
      </c>
      <c r="D4050" s="115" t="s">
        <v>1139</v>
      </c>
      <c r="E4050" s="115" t="s">
        <v>1140</v>
      </c>
    </row>
    <row r="4051" spans="2:5" x14ac:dyDescent="0.25">
      <c r="B4051" s="115" t="s">
        <v>1138</v>
      </c>
      <c r="D4051" s="115" t="s">
        <v>1139</v>
      </c>
      <c r="E4051" s="115" t="s">
        <v>1140</v>
      </c>
    </row>
    <row r="4052" spans="2:5" x14ac:dyDescent="0.25">
      <c r="B4052" s="115" t="s">
        <v>1138</v>
      </c>
      <c r="D4052" s="115" t="s">
        <v>1139</v>
      </c>
      <c r="E4052" s="115" t="s">
        <v>1140</v>
      </c>
    </row>
    <row r="4053" spans="2:5" x14ac:dyDescent="0.25">
      <c r="B4053" s="115" t="s">
        <v>1138</v>
      </c>
      <c r="D4053" s="115" t="s">
        <v>1139</v>
      </c>
      <c r="E4053" s="115" t="s">
        <v>1140</v>
      </c>
    </row>
    <row r="4054" spans="2:5" x14ac:dyDescent="0.25">
      <c r="B4054" s="115" t="s">
        <v>1138</v>
      </c>
      <c r="D4054" s="115" t="s">
        <v>1139</v>
      </c>
      <c r="E4054" s="115" t="s">
        <v>1140</v>
      </c>
    </row>
    <row r="4055" spans="2:5" x14ac:dyDescent="0.25">
      <c r="B4055" s="115" t="s">
        <v>1138</v>
      </c>
      <c r="D4055" s="115" t="s">
        <v>1139</v>
      </c>
      <c r="E4055" s="115" t="s">
        <v>1140</v>
      </c>
    </row>
    <row r="4056" spans="2:5" x14ac:dyDescent="0.25">
      <c r="B4056" s="115" t="s">
        <v>1138</v>
      </c>
      <c r="D4056" s="115" t="s">
        <v>1139</v>
      </c>
      <c r="E4056" s="115" t="s">
        <v>1140</v>
      </c>
    </row>
    <row r="4057" spans="2:5" x14ac:dyDescent="0.25">
      <c r="B4057" s="115" t="s">
        <v>1138</v>
      </c>
      <c r="D4057" s="115" t="s">
        <v>1139</v>
      </c>
      <c r="E4057" s="115" t="s">
        <v>1140</v>
      </c>
    </row>
    <row r="4058" spans="2:5" x14ac:dyDescent="0.25">
      <c r="B4058" s="115" t="s">
        <v>1138</v>
      </c>
      <c r="D4058" s="115" t="s">
        <v>1139</v>
      </c>
      <c r="E4058" s="115" t="s">
        <v>1140</v>
      </c>
    </row>
    <row r="4059" spans="2:5" x14ac:dyDescent="0.25">
      <c r="B4059" s="115" t="s">
        <v>1138</v>
      </c>
      <c r="D4059" s="115" t="s">
        <v>1139</v>
      </c>
      <c r="E4059" s="115" t="s">
        <v>1140</v>
      </c>
    </row>
    <row r="4060" spans="2:5" x14ac:dyDescent="0.25">
      <c r="B4060" s="115" t="s">
        <v>1138</v>
      </c>
      <c r="D4060" s="115" t="s">
        <v>1139</v>
      </c>
      <c r="E4060" s="115" t="s">
        <v>1140</v>
      </c>
    </row>
    <row r="4061" spans="2:5" x14ac:dyDescent="0.25">
      <c r="B4061" s="115" t="s">
        <v>1138</v>
      </c>
      <c r="D4061" s="115" t="s">
        <v>1139</v>
      </c>
      <c r="E4061" s="115" t="s">
        <v>1140</v>
      </c>
    </row>
    <row r="4062" spans="2:5" x14ac:dyDescent="0.25">
      <c r="B4062" s="115" t="s">
        <v>1138</v>
      </c>
      <c r="D4062" s="115" t="s">
        <v>1139</v>
      </c>
      <c r="E4062" s="115" t="s">
        <v>1140</v>
      </c>
    </row>
    <row r="4063" spans="2:5" x14ac:dyDescent="0.25">
      <c r="B4063" s="115" t="s">
        <v>1138</v>
      </c>
      <c r="D4063" s="115" t="s">
        <v>1139</v>
      </c>
      <c r="E4063" s="115" t="s">
        <v>1140</v>
      </c>
    </row>
    <row r="4064" spans="2:5" x14ac:dyDescent="0.25">
      <c r="B4064" s="115" t="s">
        <v>1138</v>
      </c>
      <c r="D4064" s="115" t="s">
        <v>1139</v>
      </c>
      <c r="E4064" s="115" t="s">
        <v>1140</v>
      </c>
    </row>
    <row r="4065" spans="1:5" x14ac:dyDescent="0.25">
      <c r="B4065" s="115" t="s">
        <v>1138</v>
      </c>
      <c r="D4065" s="115" t="s">
        <v>1139</v>
      </c>
      <c r="E4065" s="115" t="s">
        <v>1140</v>
      </c>
    </row>
    <row r="4066" spans="1:5" x14ac:dyDescent="0.25">
      <c r="B4066" s="115" t="s">
        <v>1138</v>
      </c>
      <c r="D4066" s="115" t="s">
        <v>1139</v>
      </c>
      <c r="E4066" s="115" t="s">
        <v>1140</v>
      </c>
    </row>
    <row r="4067" spans="1:5" x14ac:dyDescent="0.25">
      <c r="B4067" s="115" t="s">
        <v>1138</v>
      </c>
      <c r="D4067" s="115" t="s">
        <v>1139</v>
      </c>
      <c r="E4067" s="115" t="s">
        <v>1140</v>
      </c>
    </row>
    <row r="4068" spans="1:5" x14ac:dyDescent="0.25">
      <c r="B4068" s="115" t="s">
        <v>1138</v>
      </c>
      <c r="D4068" s="115" t="s">
        <v>1139</v>
      </c>
      <c r="E4068" s="115" t="s">
        <v>1140</v>
      </c>
    </row>
    <row r="4069" spans="1:5" x14ac:dyDescent="0.25">
      <c r="B4069" s="115" t="s">
        <v>1138</v>
      </c>
      <c r="D4069" s="115" t="s">
        <v>1139</v>
      </c>
      <c r="E4069" s="115" t="s">
        <v>1140</v>
      </c>
    </row>
    <row r="4070" spans="1:5" x14ac:dyDescent="0.25">
      <c r="B4070" s="115" t="s">
        <v>1138</v>
      </c>
      <c r="D4070" s="115" t="s">
        <v>1139</v>
      </c>
      <c r="E4070" s="115" t="s">
        <v>1140</v>
      </c>
    </row>
    <row r="4071" spans="1:5" x14ac:dyDescent="0.25">
      <c r="B4071" s="115" t="s">
        <v>1138</v>
      </c>
      <c r="D4071" s="115" t="s">
        <v>1139</v>
      </c>
      <c r="E4071" s="115" t="s">
        <v>1140</v>
      </c>
    </row>
    <row r="4072" spans="1:5" x14ac:dyDescent="0.25">
      <c r="B4072" s="115" t="s">
        <v>1138</v>
      </c>
      <c r="D4072" s="115" t="s">
        <v>1139</v>
      </c>
      <c r="E4072" s="115" t="s">
        <v>1140</v>
      </c>
    </row>
    <row r="4073" spans="1:5" x14ac:dyDescent="0.25">
      <c r="B4073" s="115" t="s">
        <v>1138</v>
      </c>
      <c r="D4073" s="115" t="s">
        <v>1139</v>
      </c>
      <c r="E4073" s="115" t="s">
        <v>1140</v>
      </c>
    </row>
    <row r="4074" spans="1:5" x14ac:dyDescent="0.25">
      <c r="B4074" s="115" t="s">
        <v>1138</v>
      </c>
      <c r="D4074" s="115" t="s">
        <v>1139</v>
      </c>
      <c r="E4074" s="115" t="s">
        <v>1140</v>
      </c>
    </row>
    <row r="4075" spans="1:5" x14ac:dyDescent="0.25">
      <c r="B4075" s="115" t="s">
        <v>1138</v>
      </c>
      <c r="D4075" s="115" t="s">
        <v>1139</v>
      </c>
      <c r="E4075" s="115" t="s">
        <v>1140</v>
      </c>
    </row>
    <row r="4076" spans="1:5" x14ac:dyDescent="0.25">
      <c r="B4076" s="115" t="s">
        <v>1138</v>
      </c>
      <c r="D4076" s="115" t="s">
        <v>1139</v>
      </c>
      <c r="E4076" s="115" t="s">
        <v>5665</v>
      </c>
    </row>
    <row r="4077" spans="1:5" x14ac:dyDescent="0.25">
      <c r="A4077" s="115">
        <v>-2</v>
      </c>
      <c r="B4077" s="115" t="s">
        <v>5666</v>
      </c>
      <c r="D4077" s="115" t="s">
        <v>5667</v>
      </c>
      <c r="E4077" s="115" t="s">
        <v>5668</v>
      </c>
    </row>
    <row r="4078" spans="1:5" x14ac:dyDescent="0.25">
      <c r="A4078" s="115">
        <v>2</v>
      </c>
      <c r="B4078" s="115" t="s">
        <v>5669</v>
      </c>
      <c r="D4078" s="115" t="s">
        <v>1139</v>
      </c>
      <c r="E4078" s="115" t="s">
        <v>1140</v>
      </c>
    </row>
    <row r="4079" spans="1:5" x14ac:dyDescent="0.25">
      <c r="B4079" s="115" t="s">
        <v>5670</v>
      </c>
      <c r="D4079" s="115" t="s">
        <v>5671</v>
      </c>
      <c r="E4079" s="115" t="s">
        <v>5672</v>
      </c>
    </row>
    <row r="4080" spans="1:5" x14ac:dyDescent="0.25">
      <c r="B4080" s="115" t="s">
        <v>1138</v>
      </c>
      <c r="D4080" s="115" t="s">
        <v>5673</v>
      </c>
      <c r="E4080" s="115" t="s">
        <v>5674</v>
      </c>
    </row>
    <row r="4081" spans="1:5" x14ac:dyDescent="0.25">
      <c r="B4081" s="115" t="s">
        <v>1138</v>
      </c>
      <c r="D4081" s="115" t="s">
        <v>5675</v>
      </c>
      <c r="E4081" s="115" t="s">
        <v>1140</v>
      </c>
    </row>
    <row r="4082" spans="1:5" x14ac:dyDescent="0.25">
      <c r="B4082" s="115" t="s">
        <v>5676</v>
      </c>
      <c r="C4082" s="115">
        <v>-4</v>
      </c>
      <c r="D4082" s="115" t="s">
        <v>5677</v>
      </c>
      <c r="E4082" s="115" t="s">
        <v>5678</v>
      </c>
    </row>
    <row r="4083" spans="1:5" x14ac:dyDescent="0.25">
      <c r="A4083" s="115">
        <v>7</v>
      </c>
      <c r="B4083" s="115" t="s">
        <v>5679</v>
      </c>
      <c r="D4083" s="115" t="s">
        <v>5680</v>
      </c>
      <c r="E4083" s="115" t="s">
        <v>5681</v>
      </c>
    </row>
    <row r="4084" spans="1:5" x14ac:dyDescent="0.25">
      <c r="A4084" s="115">
        <v>11</v>
      </c>
      <c r="B4084" s="115" t="s">
        <v>5682</v>
      </c>
      <c r="C4084" s="115">
        <v>1</v>
      </c>
      <c r="D4084" s="115" t="s">
        <v>5683</v>
      </c>
      <c r="E4084" s="115" t="s">
        <v>5684</v>
      </c>
    </row>
    <row r="4085" spans="1:5" x14ac:dyDescent="0.25">
      <c r="A4085" s="115">
        <v>34</v>
      </c>
      <c r="B4085" s="115" t="s">
        <v>5685</v>
      </c>
      <c r="C4085" s="115" t="s">
        <v>1137</v>
      </c>
      <c r="D4085" s="115" t="s">
        <v>5686</v>
      </c>
      <c r="E4085" s="115" t="s">
        <v>5687</v>
      </c>
    </row>
    <row r="4086" spans="1:5" x14ac:dyDescent="0.25">
      <c r="A4086" s="115" t="s">
        <v>1137</v>
      </c>
      <c r="B4086" s="115" t="s">
        <v>5688</v>
      </c>
      <c r="D4086" s="115" t="s">
        <v>5689</v>
      </c>
      <c r="E4086" s="115" t="s">
        <v>5690</v>
      </c>
    </row>
    <row r="4087" spans="1:5" x14ac:dyDescent="0.25">
      <c r="B4087" s="115">
        <f>-7   -523</f>
        <v>-530</v>
      </c>
      <c r="D4087" s="115" t="s">
        <v>5691</v>
      </c>
      <c r="E4087" s="115" t="s">
        <v>5692</v>
      </c>
    </row>
    <row r="4088" spans="1:5" x14ac:dyDescent="0.25">
      <c r="B4088" s="115" t="s">
        <v>5693</v>
      </c>
      <c r="C4088" s="115" t="s">
        <v>1137</v>
      </c>
      <c r="D4088" s="115" t="s">
        <v>5694</v>
      </c>
      <c r="E4088" s="115" t="s">
        <v>5695</v>
      </c>
    </row>
    <row r="4089" spans="1:5" x14ac:dyDescent="0.25">
      <c r="A4089" s="115" t="s">
        <v>1137</v>
      </c>
      <c r="B4089" s="115" t="s">
        <v>5696</v>
      </c>
      <c r="D4089" s="115" t="s">
        <v>5697</v>
      </c>
      <c r="E4089" s="115" t="s">
        <v>5698</v>
      </c>
    </row>
    <row r="4090" spans="1:5" x14ac:dyDescent="0.25">
      <c r="B4090" s="115" t="s">
        <v>5699</v>
      </c>
      <c r="D4090" s="115" t="s">
        <v>5700</v>
      </c>
      <c r="E4090" s="115" t="s">
        <v>5701</v>
      </c>
    </row>
    <row r="4091" spans="1:5" x14ac:dyDescent="0.25">
      <c r="B4091" s="115" t="s">
        <v>2912</v>
      </c>
      <c r="C4091" s="115" t="s">
        <v>1137</v>
      </c>
      <c r="D4091" s="115" t="s">
        <v>5702</v>
      </c>
      <c r="E4091" s="115" t="s">
        <v>5703</v>
      </c>
    </row>
    <row r="4092" spans="1:5" x14ac:dyDescent="0.25">
      <c r="A4092" s="115" t="s">
        <v>1137</v>
      </c>
      <c r="B4092" s="115" t="s">
        <v>5704</v>
      </c>
      <c r="D4092" s="115" t="s">
        <v>5705</v>
      </c>
      <c r="E4092" s="115" t="s">
        <v>5706</v>
      </c>
    </row>
    <row r="4093" spans="1:5" x14ac:dyDescent="0.25">
      <c r="B4093" s="115" t="s">
        <v>1250</v>
      </c>
      <c r="D4093" s="115" t="s">
        <v>1139</v>
      </c>
      <c r="E4093" s="115" t="s">
        <v>5707</v>
      </c>
    </row>
    <row r="4094" spans="1:5" x14ac:dyDescent="0.25">
      <c r="B4094" s="115" t="s">
        <v>5708</v>
      </c>
      <c r="D4094" s="115" t="s">
        <v>5709</v>
      </c>
      <c r="E4094" s="115" t="s">
        <v>5710</v>
      </c>
    </row>
    <row r="4095" spans="1:5" x14ac:dyDescent="0.25">
      <c r="A4095" s="115">
        <v>-2</v>
      </c>
      <c r="B4095" s="115" t="s">
        <v>5711</v>
      </c>
      <c r="C4095" s="115" t="s">
        <v>1137</v>
      </c>
      <c r="D4095" s="115" t="s">
        <v>5712</v>
      </c>
      <c r="E4095" s="115" t="s">
        <v>5713</v>
      </c>
    </row>
    <row r="4096" spans="1:5" x14ac:dyDescent="0.25">
      <c r="B4096" s="115" t="s">
        <v>1224</v>
      </c>
      <c r="D4096" s="115" t="s">
        <v>5714</v>
      </c>
      <c r="E4096" s="115" t="s">
        <v>5715</v>
      </c>
    </row>
    <row r="4097" spans="1:5" x14ac:dyDescent="0.25">
      <c r="A4097" s="115">
        <v>-1</v>
      </c>
      <c r="B4097" s="115" t="s">
        <v>5716</v>
      </c>
      <c r="D4097" s="115" t="s">
        <v>5717</v>
      </c>
      <c r="E4097" s="115" t="s">
        <v>5718</v>
      </c>
    </row>
    <row r="4098" spans="1:5" x14ac:dyDescent="0.25">
      <c r="B4098" s="115" t="s">
        <v>1138</v>
      </c>
      <c r="D4098" s="115" t="s">
        <v>5719</v>
      </c>
      <c r="E4098" s="115" t="s">
        <v>5720</v>
      </c>
    </row>
    <row r="4099" spans="1:5" x14ac:dyDescent="0.25">
      <c r="B4099" s="115" t="s">
        <v>1138</v>
      </c>
      <c r="D4099" s="115" t="s">
        <v>5721</v>
      </c>
      <c r="E4099" s="115" t="s">
        <v>2689</v>
      </c>
    </row>
    <row r="4100" spans="1:5" x14ac:dyDescent="0.25">
      <c r="B4100" s="115" t="s">
        <v>5722</v>
      </c>
      <c r="D4100" s="115" t="s">
        <v>5723</v>
      </c>
      <c r="E4100" s="115" t="s">
        <v>1140</v>
      </c>
    </row>
    <row r="4101" spans="1:5" x14ac:dyDescent="0.25">
      <c r="B4101" s="115" t="s">
        <v>1138</v>
      </c>
      <c r="D4101" s="115" t="s">
        <v>1139</v>
      </c>
      <c r="E4101" s="115" t="s">
        <v>5724</v>
      </c>
    </row>
    <row r="4102" spans="1:5" x14ac:dyDescent="0.25">
      <c r="B4102" s="115" t="s">
        <v>1138</v>
      </c>
      <c r="D4102" s="115" t="s">
        <v>5725</v>
      </c>
      <c r="E4102" s="115" t="s">
        <v>5726</v>
      </c>
    </row>
    <row r="4103" spans="1:5" x14ac:dyDescent="0.25">
      <c r="A4103" s="115">
        <v>1</v>
      </c>
      <c r="B4103" s="115" t="s">
        <v>5727</v>
      </c>
      <c r="D4103" s="115" t="s">
        <v>5728</v>
      </c>
      <c r="E4103" s="115" t="s">
        <v>5729</v>
      </c>
    </row>
    <row r="4104" spans="1:5" x14ac:dyDescent="0.25">
      <c r="B4104" s="115" t="s">
        <v>5730</v>
      </c>
      <c r="D4104" s="115" t="s">
        <v>5731</v>
      </c>
      <c r="E4104" s="115" t="s">
        <v>5732</v>
      </c>
    </row>
    <row r="4105" spans="1:5" x14ac:dyDescent="0.25">
      <c r="B4105" s="115" t="s">
        <v>1138</v>
      </c>
      <c r="D4105" s="115" t="s">
        <v>5733</v>
      </c>
      <c r="E4105" s="115" t="s">
        <v>1140</v>
      </c>
    </row>
    <row r="4106" spans="1:5" x14ac:dyDescent="0.25">
      <c r="B4106" s="115" t="s">
        <v>1138</v>
      </c>
      <c r="D4106" s="115" t="s">
        <v>5734</v>
      </c>
      <c r="E4106" s="115" t="s">
        <v>5735</v>
      </c>
    </row>
    <row r="4107" spans="1:5" x14ac:dyDescent="0.25">
      <c r="B4107" s="115" t="s">
        <v>5736</v>
      </c>
      <c r="D4107" s="115" t="s">
        <v>2021</v>
      </c>
      <c r="E4107" s="115" t="s">
        <v>5737</v>
      </c>
    </row>
    <row r="4108" spans="1:5" x14ac:dyDescent="0.25">
      <c r="A4108" s="115" t="s">
        <v>1137</v>
      </c>
      <c r="B4108" s="115" t="s">
        <v>1248</v>
      </c>
      <c r="D4108" s="115" t="s">
        <v>1139</v>
      </c>
      <c r="E4108" s="115" t="s">
        <v>5738</v>
      </c>
    </row>
    <row r="4109" spans="1:5" x14ac:dyDescent="0.25">
      <c r="B4109" s="115" t="s">
        <v>1138</v>
      </c>
      <c r="D4109" s="115" t="s">
        <v>5739</v>
      </c>
      <c r="E4109" s="115" t="s">
        <v>5740</v>
      </c>
    </row>
    <row r="4110" spans="1:5" x14ac:dyDescent="0.25">
      <c r="B4110" s="115" t="s">
        <v>1138</v>
      </c>
      <c r="D4110" s="115" t="s">
        <v>5741</v>
      </c>
      <c r="E4110" s="115" t="s">
        <v>5742</v>
      </c>
    </row>
    <row r="4111" spans="1:5" x14ac:dyDescent="0.25">
      <c r="B4111" s="115" t="s">
        <v>5743</v>
      </c>
      <c r="D4111" s="115" t="s">
        <v>5744</v>
      </c>
      <c r="E4111" s="115" t="s">
        <v>5745</v>
      </c>
    </row>
    <row r="4112" spans="1:5" x14ac:dyDescent="0.25">
      <c r="B4112" s="115" t="s">
        <v>5746</v>
      </c>
      <c r="D4112" s="115" t="s">
        <v>5747</v>
      </c>
      <c r="E4112" s="115" t="s">
        <v>5748</v>
      </c>
    </row>
    <row r="4113" spans="1:5" x14ac:dyDescent="0.25">
      <c r="B4113" s="115" t="s">
        <v>5749</v>
      </c>
      <c r="C4113" s="115" t="s">
        <v>1137</v>
      </c>
      <c r="D4113" s="115" t="s">
        <v>5750</v>
      </c>
      <c r="E4113" s="115" t="s">
        <v>5751</v>
      </c>
    </row>
    <row r="4114" spans="1:5" x14ac:dyDescent="0.25">
      <c r="A4114" s="115">
        <v>-5</v>
      </c>
      <c r="B4114" s="115" t="s">
        <v>5752</v>
      </c>
      <c r="D4114" s="115" t="s">
        <v>5753</v>
      </c>
      <c r="E4114" s="115" t="s">
        <v>5754</v>
      </c>
    </row>
    <row r="4115" spans="1:5" x14ac:dyDescent="0.25">
      <c r="B4115" s="115" t="s">
        <v>1176</v>
      </c>
      <c r="D4115" s="115" t="s">
        <v>5755</v>
      </c>
      <c r="E4115" s="115" t="s">
        <v>5756</v>
      </c>
    </row>
    <row r="4116" spans="1:5" x14ac:dyDescent="0.25">
      <c r="B4116" s="115" t="s">
        <v>5757</v>
      </c>
      <c r="D4116" s="115" t="s">
        <v>1533</v>
      </c>
      <c r="E4116" s="115" t="s">
        <v>5758</v>
      </c>
    </row>
    <row r="4117" spans="1:5" x14ac:dyDescent="0.25">
      <c r="B4117" s="115" t="s">
        <v>1138</v>
      </c>
      <c r="D4117" s="115" t="s">
        <v>5759</v>
      </c>
      <c r="E4117" s="115" t="s">
        <v>5760</v>
      </c>
    </row>
    <row r="4118" spans="1:5" x14ac:dyDescent="0.25">
      <c r="B4118" s="115" t="s">
        <v>5761</v>
      </c>
      <c r="D4118" s="115" t="s">
        <v>5762</v>
      </c>
      <c r="E4118" s="115" t="s">
        <v>5763</v>
      </c>
    </row>
    <row r="4119" spans="1:5" x14ac:dyDescent="0.25">
      <c r="B4119" s="115" t="s">
        <v>5764</v>
      </c>
      <c r="D4119" s="115" t="s">
        <v>5765</v>
      </c>
      <c r="E4119" s="115" t="s">
        <v>5766</v>
      </c>
    </row>
    <row r="4120" spans="1:5" x14ac:dyDescent="0.25">
      <c r="B4120" s="115" t="s">
        <v>1557</v>
      </c>
      <c r="D4120" s="115" t="s">
        <v>5767</v>
      </c>
      <c r="E4120" s="115" t="s">
        <v>1140</v>
      </c>
    </row>
    <row r="4121" spans="1:5" x14ac:dyDescent="0.25">
      <c r="B4121" s="115" t="s">
        <v>1686</v>
      </c>
      <c r="D4121" s="115" t="s">
        <v>5768</v>
      </c>
      <c r="E4121" s="115" t="s">
        <v>2081</v>
      </c>
    </row>
    <row r="4122" spans="1:5" x14ac:dyDescent="0.25">
      <c r="B4122" s="115" t="s">
        <v>5769</v>
      </c>
      <c r="C4122" s="115" t="s">
        <v>1137</v>
      </c>
      <c r="D4122" s="115" t="s">
        <v>5770</v>
      </c>
      <c r="E4122" s="115" t="s">
        <v>5771</v>
      </c>
    </row>
    <row r="4123" spans="1:5" x14ac:dyDescent="0.25">
      <c r="B4123" s="115" t="s">
        <v>5772</v>
      </c>
      <c r="D4123" s="115" t="s">
        <v>5773</v>
      </c>
      <c r="E4123" s="115" t="s">
        <v>5774</v>
      </c>
    </row>
    <row r="4124" spans="1:5" x14ac:dyDescent="0.25">
      <c r="B4124" s="115" t="s">
        <v>5775</v>
      </c>
      <c r="D4124" s="115" t="s">
        <v>5776</v>
      </c>
      <c r="E4124" s="115" t="s">
        <v>5777</v>
      </c>
    </row>
    <row r="4125" spans="1:5" x14ac:dyDescent="0.25">
      <c r="B4125" s="115" t="s">
        <v>1138</v>
      </c>
      <c r="D4125" s="115" t="s">
        <v>1139</v>
      </c>
      <c r="E4125" s="115" t="s">
        <v>5778</v>
      </c>
    </row>
    <row r="4126" spans="1:5" x14ac:dyDescent="0.25">
      <c r="B4126" s="115" t="s">
        <v>5779</v>
      </c>
      <c r="D4126" s="115" t="s">
        <v>5780</v>
      </c>
      <c r="E4126" s="115" t="s">
        <v>5781</v>
      </c>
    </row>
    <row r="4127" spans="1:5" x14ac:dyDescent="0.25">
      <c r="B4127" s="115" t="s">
        <v>1138</v>
      </c>
      <c r="D4127" s="115" t="s">
        <v>5782</v>
      </c>
      <c r="E4127" s="115" t="s">
        <v>1818</v>
      </c>
    </row>
    <row r="4128" spans="1:5" x14ac:dyDescent="0.25">
      <c r="B4128" s="115" t="s">
        <v>1138</v>
      </c>
      <c r="D4128" s="115" t="s">
        <v>1139</v>
      </c>
      <c r="E4128" s="115" t="s">
        <v>1140</v>
      </c>
    </row>
    <row r="4129" spans="1:5" x14ac:dyDescent="0.25">
      <c r="B4129" s="115" t="s">
        <v>5783</v>
      </c>
      <c r="D4129" s="115" t="s">
        <v>1139</v>
      </c>
      <c r="E4129" s="115" t="s">
        <v>5784</v>
      </c>
    </row>
    <row r="4130" spans="1:5" x14ac:dyDescent="0.25">
      <c r="A4130" s="115">
        <v>42</v>
      </c>
      <c r="B4130" s="115" t="s">
        <v>5785</v>
      </c>
      <c r="C4130" s="115">
        <v>1</v>
      </c>
      <c r="D4130" s="115" t="s">
        <v>5786</v>
      </c>
      <c r="E4130" s="115" t="s">
        <v>5787</v>
      </c>
    </row>
    <row r="4131" spans="1:5" x14ac:dyDescent="0.25">
      <c r="A4131" s="115">
        <v>14</v>
      </c>
      <c r="B4131" s="115" t="s">
        <v>5788</v>
      </c>
      <c r="C4131" s="115" t="s">
        <v>1137</v>
      </c>
      <c r="D4131" s="115" t="s">
        <v>5789</v>
      </c>
      <c r="E4131" s="115" t="s">
        <v>5790</v>
      </c>
    </row>
    <row r="4132" spans="1:5" x14ac:dyDescent="0.25">
      <c r="B4132" s="115" t="s">
        <v>1626</v>
      </c>
      <c r="D4132" s="115" t="s">
        <v>1530</v>
      </c>
      <c r="E4132" s="115" t="s">
        <v>5791</v>
      </c>
    </row>
    <row r="4133" spans="1:5" x14ac:dyDescent="0.25">
      <c r="B4133" s="115" t="s">
        <v>1138</v>
      </c>
      <c r="D4133" s="115" t="s">
        <v>1139</v>
      </c>
      <c r="E4133" s="115" t="s">
        <v>5792</v>
      </c>
    </row>
    <row r="4134" spans="1:5" x14ac:dyDescent="0.25">
      <c r="B4134" s="115" t="s">
        <v>5793</v>
      </c>
      <c r="D4134" s="115" t="s">
        <v>5794</v>
      </c>
      <c r="E4134" s="115" t="s">
        <v>5795</v>
      </c>
    </row>
    <row r="4135" spans="1:5" x14ac:dyDescent="0.25">
      <c r="B4135" s="115" t="s">
        <v>1470</v>
      </c>
      <c r="D4135" s="115" t="s">
        <v>5796</v>
      </c>
      <c r="E4135" s="115" t="s">
        <v>1140</v>
      </c>
    </row>
    <row r="4136" spans="1:5" x14ac:dyDescent="0.25">
      <c r="B4136" s="115" t="s">
        <v>1603</v>
      </c>
      <c r="D4136" s="115" t="s">
        <v>1139</v>
      </c>
      <c r="E4136" s="115" t="s">
        <v>5797</v>
      </c>
    </row>
    <row r="4137" spans="1:5" x14ac:dyDescent="0.25">
      <c r="B4137" s="115" t="s">
        <v>5798</v>
      </c>
      <c r="D4137" s="115" t="s">
        <v>1139</v>
      </c>
      <c r="E4137" s="115" t="s">
        <v>5799</v>
      </c>
    </row>
    <row r="4138" spans="1:5" x14ac:dyDescent="0.25">
      <c r="B4138" s="115" t="s">
        <v>5800</v>
      </c>
      <c r="D4138" s="115" t="s">
        <v>5801</v>
      </c>
      <c r="E4138" s="115" t="s">
        <v>5802</v>
      </c>
    </row>
    <row r="4139" spans="1:5" x14ac:dyDescent="0.25">
      <c r="A4139" s="115">
        <v>-1</v>
      </c>
      <c r="B4139" s="115" t="s">
        <v>1400</v>
      </c>
      <c r="D4139" s="115" t="s">
        <v>4078</v>
      </c>
      <c r="E4139" s="115" t="s">
        <v>5803</v>
      </c>
    </row>
    <row r="4140" spans="1:5" x14ac:dyDescent="0.25">
      <c r="B4140" s="115" t="s">
        <v>5804</v>
      </c>
      <c r="D4140" s="115" t="s">
        <v>5805</v>
      </c>
      <c r="E4140" s="115" t="s">
        <v>5806</v>
      </c>
    </row>
    <row r="4141" spans="1:5" x14ac:dyDescent="0.25">
      <c r="A4141" s="115">
        <v>-1</v>
      </c>
      <c r="B4141" s="115" t="s">
        <v>5807</v>
      </c>
      <c r="D4141" s="115" t="s">
        <v>5808</v>
      </c>
      <c r="E4141" s="115" t="s">
        <v>5809</v>
      </c>
    </row>
    <row r="4142" spans="1:5" x14ac:dyDescent="0.25">
      <c r="A4142" s="115" t="s">
        <v>1137</v>
      </c>
      <c r="B4142" s="115" t="s">
        <v>5810</v>
      </c>
      <c r="D4142" s="115" t="s">
        <v>4207</v>
      </c>
      <c r="E4142" s="115" t="s">
        <v>5811</v>
      </c>
    </row>
    <row r="4143" spans="1:5" x14ac:dyDescent="0.25">
      <c r="A4143" s="115">
        <v>-2</v>
      </c>
      <c r="B4143" s="115" t="s">
        <v>5812</v>
      </c>
      <c r="C4143" s="115" t="s">
        <v>1137</v>
      </c>
      <c r="D4143" s="115" t="s">
        <v>5813</v>
      </c>
      <c r="E4143" s="115" t="s">
        <v>5814</v>
      </c>
    </row>
    <row r="4144" spans="1:5" x14ac:dyDescent="0.25">
      <c r="A4144" s="115">
        <v>-2</v>
      </c>
      <c r="B4144" s="115" t="s">
        <v>5815</v>
      </c>
      <c r="D4144" s="115" t="s">
        <v>5816</v>
      </c>
      <c r="E4144" s="115" t="s">
        <v>5817</v>
      </c>
    </row>
    <row r="4145" spans="1:5" x14ac:dyDescent="0.25">
      <c r="A4145" s="115">
        <v>5</v>
      </c>
      <c r="B4145" s="115" t="s">
        <v>1457</v>
      </c>
      <c r="D4145" s="115" t="s">
        <v>5818</v>
      </c>
      <c r="E4145" s="115" t="s">
        <v>5819</v>
      </c>
    </row>
    <row r="4146" spans="1:5" x14ac:dyDescent="0.25">
      <c r="B4146" s="115" t="s">
        <v>1567</v>
      </c>
      <c r="D4146" s="115" t="s">
        <v>5820</v>
      </c>
      <c r="E4146" s="115" t="s">
        <v>5821</v>
      </c>
    </row>
    <row r="4147" spans="1:5" x14ac:dyDescent="0.25">
      <c r="A4147" s="115" t="s">
        <v>1137</v>
      </c>
      <c r="B4147" s="115" t="s">
        <v>5822</v>
      </c>
      <c r="D4147" s="115" t="s">
        <v>5823</v>
      </c>
      <c r="E4147" s="115" t="s">
        <v>5824</v>
      </c>
    </row>
    <row r="4148" spans="1:5" x14ac:dyDescent="0.25">
      <c r="B4148" s="115" t="s">
        <v>1138</v>
      </c>
      <c r="D4148" s="115" t="s">
        <v>2571</v>
      </c>
      <c r="E4148" s="115" t="s">
        <v>5825</v>
      </c>
    </row>
    <row r="4149" spans="1:5" x14ac:dyDescent="0.25">
      <c r="B4149" s="115" t="s">
        <v>1138</v>
      </c>
      <c r="D4149" s="115" t="s">
        <v>4677</v>
      </c>
      <c r="E4149" s="115" t="s">
        <v>5826</v>
      </c>
    </row>
    <row r="4150" spans="1:5" x14ac:dyDescent="0.25">
      <c r="A4150" s="115">
        <v>-4</v>
      </c>
      <c r="B4150" s="115" t="s">
        <v>5827</v>
      </c>
      <c r="D4150" s="115" t="s">
        <v>5828</v>
      </c>
      <c r="E4150" s="115" t="s">
        <v>5829</v>
      </c>
    </row>
    <row r="4151" spans="1:5" x14ac:dyDescent="0.25">
      <c r="A4151" s="115" t="s">
        <v>1137</v>
      </c>
      <c r="B4151" s="115" t="s">
        <v>5830</v>
      </c>
      <c r="D4151" s="115" t="s">
        <v>2681</v>
      </c>
      <c r="E4151" s="115" t="s">
        <v>5831</v>
      </c>
    </row>
    <row r="4152" spans="1:5" x14ac:dyDescent="0.25">
      <c r="A4152" s="115">
        <v>-1</v>
      </c>
      <c r="B4152" s="115" t="s">
        <v>5832</v>
      </c>
      <c r="D4152" s="115" t="s">
        <v>5833</v>
      </c>
      <c r="E4152" s="115" t="s">
        <v>1140</v>
      </c>
    </row>
    <row r="4153" spans="1:5" x14ac:dyDescent="0.25">
      <c r="B4153" s="115" t="s">
        <v>5834</v>
      </c>
      <c r="D4153" s="115" t="s">
        <v>5835</v>
      </c>
      <c r="E4153" s="115" t="s">
        <v>5836</v>
      </c>
    </row>
    <row r="4154" spans="1:5" x14ac:dyDescent="0.25">
      <c r="B4154" s="115" t="s">
        <v>5837</v>
      </c>
      <c r="C4154" s="115" t="s">
        <v>1137</v>
      </c>
      <c r="D4154" s="115" t="s">
        <v>5838</v>
      </c>
      <c r="E4154" s="115" t="s">
        <v>5839</v>
      </c>
    </row>
    <row r="4155" spans="1:5" x14ac:dyDescent="0.25">
      <c r="B4155" s="115" t="s">
        <v>1138</v>
      </c>
      <c r="D4155" s="115" t="s">
        <v>1139</v>
      </c>
      <c r="E4155" s="115" t="s">
        <v>1140</v>
      </c>
    </row>
    <row r="4156" spans="1:5" x14ac:dyDescent="0.25">
      <c r="B4156" s="115" t="s">
        <v>1138</v>
      </c>
      <c r="D4156" s="115" t="s">
        <v>5840</v>
      </c>
      <c r="E4156" s="115" t="s">
        <v>1140</v>
      </c>
    </row>
    <row r="4157" spans="1:5" x14ac:dyDescent="0.25">
      <c r="B4157" s="115" t="s">
        <v>5841</v>
      </c>
      <c r="D4157" s="115" t="s">
        <v>5842</v>
      </c>
      <c r="E4157" s="115" t="s">
        <v>5843</v>
      </c>
    </row>
    <row r="4158" spans="1:5" x14ac:dyDescent="0.25">
      <c r="B4158" s="115" t="s">
        <v>5844</v>
      </c>
      <c r="D4158" s="115" t="s">
        <v>5845</v>
      </c>
      <c r="E4158" s="115" t="s">
        <v>5846</v>
      </c>
    </row>
    <row r="4159" spans="1:5" x14ac:dyDescent="0.25">
      <c r="A4159" s="115" t="s">
        <v>1137</v>
      </c>
      <c r="B4159" s="115" t="s">
        <v>5847</v>
      </c>
      <c r="D4159" s="115" t="s">
        <v>5848</v>
      </c>
      <c r="E4159" s="115" t="s">
        <v>5849</v>
      </c>
    </row>
    <row r="4160" spans="1:5" x14ac:dyDescent="0.25">
      <c r="B4160" s="115" t="s">
        <v>1138</v>
      </c>
      <c r="D4160" s="115" t="s">
        <v>5850</v>
      </c>
      <c r="E4160" s="115" t="s">
        <v>1140</v>
      </c>
    </row>
    <row r="4161" spans="1:5" x14ac:dyDescent="0.25">
      <c r="B4161" s="115" t="s">
        <v>1138</v>
      </c>
      <c r="D4161" s="115" t="s">
        <v>5851</v>
      </c>
      <c r="E4161" s="115" t="s">
        <v>5852</v>
      </c>
    </row>
    <row r="4162" spans="1:5" x14ac:dyDescent="0.25">
      <c r="A4162" s="115" t="s">
        <v>1137</v>
      </c>
      <c r="B4162" s="115" t="s">
        <v>5853</v>
      </c>
      <c r="D4162" s="115" t="s">
        <v>5854</v>
      </c>
      <c r="E4162" s="115" t="s">
        <v>5855</v>
      </c>
    </row>
    <row r="4163" spans="1:5" x14ac:dyDescent="0.25">
      <c r="B4163" s="115" t="s">
        <v>1138</v>
      </c>
      <c r="D4163" s="115" t="s">
        <v>3121</v>
      </c>
      <c r="E4163" s="115" t="s">
        <v>1893</v>
      </c>
    </row>
    <row r="4164" spans="1:5" x14ac:dyDescent="0.25">
      <c r="B4164" s="115" t="s">
        <v>1138</v>
      </c>
      <c r="D4164" s="115" t="s">
        <v>5856</v>
      </c>
      <c r="E4164" s="115" t="s">
        <v>5857</v>
      </c>
    </row>
    <row r="4165" spans="1:5" x14ac:dyDescent="0.25">
      <c r="B4165" s="115" t="s">
        <v>5858</v>
      </c>
      <c r="D4165" s="115" t="s">
        <v>5859</v>
      </c>
      <c r="E4165" s="115" t="s">
        <v>5860</v>
      </c>
    </row>
    <row r="4166" spans="1:5" x14ac:dyDescent="0.25">
      <c r="A4166" s="115">
        <v>1</v>
      </c>
      <c r="B4166" s="115" t="s">
        <v>5861</v>
      </c>
      <c r="D4166" s="115" t="s">
        <v>5862</v>
      </c>
      <c r="E4166" s="115" t="s">
        <v>1893</v>
      </c>
    </row>
    <row r="4167" spans="1:5" x14ac:dyDescent="0.25">
      <c r="A4167" s="115" t="s">
        <v>1137</v>
      </c>
      <c r="B4167" s="115" t="s">
        <v>5863</v>
      </c>
      <c r="D4167" s="115" t="s">
        <v>5864</v>
      </c>
      <c r="E4167" s="115" t="s">
        <v>5865</v>
      </c>
    </row>
    <row r="4168" spans="1:5" x14ac:dyDescent="0.25">
      <c r="A4168" s="115">
        <v>-1</v>
      </c>
      <c r="B4168" s="115" t="s">
        <v>5866</v>
      </c>
      <c r="D4168" s="115" t="s">
        <v>5867</v>
      </c>
      <c r="E4168" s="115" t="s">
        <v>5868</v>
      </c>
    </row>
    <row r="4169" spans="1:5" x14ac:dyDescent="0.25">
      <c r="A4169" s="115" t="s">
        <v>1137</v>
      </c>
      <c r="B4169" s="115" t="s">
        <v>1407</v>
      </c>
      <c r="D4169" s="115" t="s">
        <v>5869</v>
      </c>
      <c r="E4169" s="115" t="s">
        <v>1858</v>
      </c>
    </row>
    <row r="4170" spans="1:5" x14ac:dyDescent="0.25">
      <c r="B4170" s="115" t="s">
        <v>5870</v>
      </c>
      <c r="D4170" s="115" t="s">
        <v>5871</v>
      </c>
      <c r="E4170" s="115" t="s">
        <v>5872</v>
      </c>
    </row>
    <row r="4171" spans="1:5" x14ac:dyDescent="0.25">
      <c r="A4171" s="115">
        <v>-1</v>
      </c>
      <c r="B4171" s="115" t="s">
        <v>1154</v>
      </c>
      <c r="D4171" s="115" t="s">
        <v>5873</v>
      </c>
      <c r="E4171" s="115" t="s">
        <v>5874</v>
      </c>
    </row>
    <row r="4172" spans="1:5" x14ac:dyDescent="0.25">
      <c r="B4172" s="115" t="s">
        <v>1608</v>
      </c>
      <c r="D4172" s="115" t="s">
        <v>5875</v>
      </c>
      <c r="E4172" s="115" t="s">
        <v>1701</v>
      </c>
    </row>
    <row r="4173" spans="1:5" x14ac:dyDescent="0.25">
      <c r="B4173" s="115" t="s">
        <v>5876</v>
      </c>
      <c r="D4173" s="115" t="s">
        <v>5877</v>
      </c>
      <c r="E4173" s="115" t="s">
        <v>5878</v>
      </c>
    </row>
    <row r="4174" spans="1:5" x14ac:dyDescent="0.25">
      <c r="A4174" s="115">
        <v>-2</v>
      </c>
      <c r="B4174" s="115" t="s">
        <v>5879</v>
      </c>
      <c r="D4174" s="115" t="s">
        <v>5880</v>
      </c>
      <c r="E4174" s="115" t="s">
        <v>5881</v>
      </c>
    </row>
    <row r="4175" spans="1:5" x14ac:dyDescent="0.25">
      <c r="A4175" s="115">
        <v>-12</v>
      </c>
      <c r="B4175" s="115" t="s">
        <v>1182</v>
      </c>
      <c r="C4175" s="115" t="s">
        <v>1137</v>
      </c>
      <c r="D4175" s="115" t="s">
        <v>5882</v>
      </c>
      <c r="E4175" s="115" t="s">
        <v>1140</v>
      </c>
    </row>
    <row r="4176" spans="1:5" x14ac:dyDescent="0.25">
      <c r="A4176" s="115" t="s">
        <v>1137</v>
      </c>
      <c r="B4176" s="115" t="s">
        <v>5883</v>
      </c>
      <c r="D4176" s="115" t="s">
        <v>5884</v>
      </c>
      <c r="E4176" s="115" t="s">
        <v>1140</v>
      </c>
    </row>
    <row r="4177" spans="1:5" x14ac:dyDescent="0.25">
      <c r="A4177" s="115">
        <v>-3</v>
      </c>
      <c r="B4177" s="115" t="s">
        <v>5885</v>
      </c>
      <c r="C4177" s="115" t="s">
        <v>1137</v>
      </c>
      <c r="D4177" s="115" t="s">
        <v>5886</v>
      </c>
      <c r="E4177" s="115" t="s">
        <v>5887</v>
      </c>
    </row>
    <row r="4178" spans="1:5" x14ac:dyDescent="0.25">
      <c r="A4178" s="115">
        <v>-1</v>
      </c>
      <c r="B4178" s="115" t="s">
        <v>5888</v>
      </c>
      <c r="D4178" s="115" t="s">
        <v>5889</v>
      </c>
      <c r="E4178" s="115" t="s">
        <v>2259</v>
      </c>
    </row>
    <row r="4179" spans="1:5" x14ac:dyDescent="0.25">
      <c r="A4179" s="115" t="s">
        <v>1137</v>
      </c>
      <c r="B4179" s="115" t="s">
        <v>5890</v>
      </c>
      <c r="C4179" s="115" t="s">
        <v>1137</v>
      </c>
      <c r="D4179" s="115" t="s">
        <v>5891</v>
      </c>
      <c r="E4179" s="115" t="s">
        <v>5892</v>
      </c>
    </row>
    <row r="4180" spans="1:5" x14ac:dyDescent="0.25">
      <c r="B4180" s="115" t="s">
        <v>1138</v>
      </c>
      <c r="D4180" s="115" t="s">
        <v>1139</v>
      </c>
      <c r="E4180" s="115" t="s">
        <v>5893</v>
      </c>
    </row>
    <row r="4181" spans="1:5" x14ac:dyDescent="0.25">
      <c r="A4181" s="115">
        <v>1</v>
      </c>
      <c r="B4181" s="115" t="s">
        <v>5894</v>
      </c>
      <c r="D4181" s="115" t="s">
        <v>5895</v>
      </c>
      <c r="E4181" s="115" t="s">
        <v>5896</v>
      </c>
    </row>
    <row r="4182" spans="1:5" x14ac:dyDescent="0.25">
      <c r="B4182" s="115" t="s">
        <v>1138</v>
      </c>
      <c r="D4182" s="115" t="s">
        <v>5897</v>
      </c>
      <c r="E4182" s="115" t="s">
        <v>1140</v>
      </c>
    </row>
    <row r="4183" spans="1:5" x14ac:dyDescent="0.25">
      <c r="B4183" s="115" t="s">
        <v>1138</v>
      </c>
      <c r="D4183" s="115" t="s">
        <v>1139</v>
      </c>
      <c r="E4183" s="115" t="s">
        <v>1140</v>
      </c>
    </row>
    <row r="4184" spans="1:5" x14ac:dyDescent="0.25">
      <c r="A4184" s="115" t="s">
        <v>1137</v>
      </c>
      <c r="B4184" s="115" t="s">
        <v>1196</v>
      </c>
      <c r="D4184" s="115" t="s">
        <v>5898</v>
      </c>
      <c r="E4184" s="115" t="s">
        <v>5899</v>
      </c>
    </row>
    <row r="4185" spans="1:5" x14ac:dyDescent="0.25">
      <c r="A4185" s="115">
        <v>17</v>
      </c>
      <c r="B4185" s="115" t="s">
        <v>5900</v>
      </c>
      <c r="D4185" s="115" t="s">
        <v>5901</v>
      </c>
      <c r="E4185" s="115" t="s">
        <v>5902</v>
      </c>
    </row>
    <row r="4186" spans="1:5" x14ac:dyDescent="0.25">
      <c r="A4186" s="115">
        <v>34</v>
      </c>
      <c r="B4186" s="115" t="s">
        <v>5903</v>
      </c>
      <c r="D4186" s="115" t="s">
        <v>5904</v>
      </c>
      <c r="E4186" s="115" t="s">
        <v>5905</v>
      </c>
    </row>
    <row r="4187" spans="1:5" x14ac:dyDescent="0.25">
      <c r="B4187" s="115" t="s">
        <v>1138</v>
      </c>
      <c r="D4187" s="115" t="s">
        <v>5906</v>
      </c>
      <c r="E4187" s="115" t="s">
        <v>5907</v>
      </c>
    </row>
    <row r="4188" spans="1:5" x14ac:dyDescent="0.25">
      <c r="B4188" s="115" t="s">
        <v>1138</v>
      </c>
      <c r="D4188" s="115" t="s">
        <v>1139</v>
      </c>
      <c r="E4188" s="115" t="s">
        <v>5908</v>
      </c>
    </row>
    <row r="4189" spans="1:5" x14ac:dyDescent="0.25">
      <c r="B4189" s="115" t="s">
        <v>1138</v>
      </c>
      <c r="D4189" s="115" t="s">
        <v>5909</v>
      </c>
      <c r="E4189" s="115" t="s">
        <v>5910</v>
      </c>
    </row>
    <row r="4190" spans="1:5" x14ac:dyDescent="0.25">
      <c r="B4190" s="115" t="s">
        <v>1357</v>
      </c>
      <c r="D4190" s="115" t="s">
        <v>1990</v>
      </c>
      <c r="E4190" s="115" t="s">
        <v>1858</v>
      </c>
    </row>
    <row r="4191" spans="1:5" x14ac:dyDescent="0.25">
      <c r="B4191" s="115" t="s">
        <v>1901</v>
      </c>
      <c r="D4191" s="115" t="s">
        <v>1139</v>
      </c>
      <c r="E4191" s="115" t="s">
        <v>5911</v>
      </c>
    </row>
    <row r="4192" spans="1:5" x14ac:dyDescent="0.25">
      <c r="A4192" s="115">
        <v>-20</v>
      </c>
      <c r="B4192" s="115" t="s">
        <v>3131</v>
      </c>
      <c r="C4192" s="115" t="s">
        <v>1137</v>
      </c>
      <c r="D4192" s="115" t="s">
        <v>5912</v>
      </c>
      <c r="E4192" s="115" t="s">
        <v>5913</v>
      </c>
    </row>
    <row r="4193" spans="1:5" x14ac:dyDescent="0.25">
      <c r="B4193" s="115" t="s">
        <v>1138</v>
      </c>
      <c r="D4193" s="115" t="s">
        <v>5914</v>
      </c>
      <c r="E4193" s="115" t="s">
        <v>5915</v>
      </c>
    </row>
    <row r="4194" spans="1:5" x14ac:dyDescent="0.25">
      <c r="B4194" s="115" t="s">
        <v>5916</v>
      </c>
      <c r="D4194" s="115" t="s">
        <v>1139</v>
      </c>
      <c r="E4194" s="115" t="s">
        <v>5917</v>
      </c>
    </row>
    <row r="4195" spans="1:5" x14ac:dyDescent="0.25">
      <c r="A4195" s="115">
        <v>-4</v>
      </c>
      <c r="B4195" s="115" t="s">
        <v>5918</v>
      </c>
      <c r="D4195" s="115" t="s">
        <v>5919</v>
      </c>
      <c r="E4195" s="115" t="s">
        <v>5920</v>
      </c>
    </row>
    <row r="4196" spans="1:5" x14ac:dyDescent="0.25">
      <c r="B4196" s="115">
        <f>-94  -1088</f>
        <v>-1182</v>
      </c>
      <c r="D4196" s="115" t="s">
        <v>5921</v>
      </c>
      <c r="E4196" s="115" t="s">
        <v>5922</v>
      </c>
    </row>
    <row r="4197" spans="1:5" x14ac:dyDescent="0.25">
      <c r="B4197" s="115" t="s">
        <v>5923</v>
      </c>
      <c r="D4197" s="115" t="s">
        <v>1139</v>
      </c>
      <c r="E4197" s="115" t="s">
        <v>5924</v>
      </c>
    </row>
    <row r="4198" spans="1:5" x14ac:dyDescent="0.25">
      <c r="A4198" s="115">
        <v>-4</v>
      </c>
      <c r="B4198" s="115" t="s">
        <v>5925</v>
      </c>
      <c r="D4198" s="115" t="s">
        <v>5926</v>
      </c>
      <c r="E4198" s="115" t="s">
        <v>5927</v>
      </c>
    </row>
    <row r="4199" spans="1:5" x14ac:dyDescent="0.25">
      <c r="B4199" s="115" t="s">
        <v>5928</v>
      </c>
      <c r="D4199" s="115" t="s">
        <v>5929</v>
      </c>
      <c r="E4199" s="115" t="s">
        <v>5930</v>
      </c>
    </row>
    <row r="4200" spans="1:5" x14ac:dyDescent="0.25">
      <c r="B4200" s="115">
        <f>-67   -366</f>
        <v>-433</v>
      </c>
      <c r="D4200" s="115" t="s">
        <v>1139</v>
      </c>
      <c r="E4200" s="115" t="s">
        <v>5931</v>
      </c>
    </row>
    <row r="4201" spans="1:5" x14ac:dyDescent="0.25">
      <c r="A4201" s="115">
        <v>-5</v>
      </c>
      <c r="B4201" s="115" t="s">
        <v>5932</v>
      </c>
      <c r="D4201" s="115" t="s">
        <v>2057</v>
      </c>
      <c r="E4201" s="115" t="s">
        <v>5933</v>
      </c>
    </row>
    <row r="4202" spans="1:5" x14ac:dyDescent="0.25">
      <c r="B4202" s="115" t="s">
        <v>5934</v>
      </c>
      <c r="D4202" s="115" t="s">
        <v>5935</v>
      </c>
      <c r="E4202" s="115" t="s">
        <v>5936</v>
      </c>
    </row>
    <row r="4203" spans="1:5" x14ac:dyDescent="0.25">
      <c r="B4203" s="115" t="s">
        <v>1138</v>
      </c>
      <c r="D4203" s="115" t="s">
        <v>1139</v>
      </c>
      <c r="E4203" s="115" t="s">
        <v>5937</v>
      </c>
    </row>
    <row r="4204" spans="1:5" x14ac:dyDescent="0.25">
      <c r="A4204" s="115">
        <v>2</v>
      </c>
      <c r="B4204" s="115" t="s">
        <v>1159</v>
      </c>
      <c r="D4204" s="115" t="s">
        <v>1139</v>
      </c>
      <c r="E4204" s="115" t="s">
        <v>5938</v>
      </c>
    </row>
    <row r="4205" spans="1:5" x14ac:dyDescent="0.25">
      <c r="A4205" s="115">
        <v>-2</v>
      </c>
      <c r="B4205" s="115" t="s">
        <v>5939</v>
      </c>
      <c r="C4205" s="115" t="s">
        <v>1137</v>
      </c>
      <c r="D4205" s="115" t="s">
        <v>5940</v>
      </c>
      <c r="E4205" s="115" t="s">
        <v>5941</v>
      </c>
    </row>
    <row r="4206" spans="1:5" x14ac:dyDescent="0.25">
      <c r="B4206" s="115" t="s">
        <v>5942</v>
      </c>
      <c r="D4206" s="115" t="s">
        <v>1139</v>
      </c>
      <c r="E4206" s="115" t="s">
        <v>5943</v>
      </c>
    </row>
    <row r="4207" spans="1:5" x14ac:dyDescent="0.25">
      <c r="B4207" s="115" t="s">
        <v>5944</v>
      </c>
      <c r="D4207" s="115" t="s">
        <v>5945</v>
      </c>
      <c r="E4207" s="115" t="s">
        <v>1140</v>
      </c>
    </row>
    <row r="4208" spans="1:5" x14ac:dyDescent="0.25">
      <c r="B4208" s="115" t="s">
        <v>1138</v>
      </c>
      <c r="D4208" s="115" t="s">
        <v>5946</v>
      </c>
      <c r="E4208" s="115" t="s">
        <v>5947</v>
      </c>
    </row>
    <row r="4209" spans="1:5" x14ac:dyDescent="0.25">
      <c r="A4209" s="115">
        <v>-1</v>
      </c>
      <c r="B4209" s="115" t="s">
        <v>1495</v>
      </c>
      <c r="D4209" s="115" t="s">
        <v>5948</v>
      </c>
      <c r="E4209" s="115" t="s">
        <v>5949</v>
      </c>
    </row>
    <row r="4210" spans="1:5" x14ac:dyDescent="0.25">
      <c r="B4210" s="115" t="s">
        <v>5950</v>
      </c>
      <c r="D4210" s="115" t="s">
        <v>1139</v>
      </c>
      <c r="E4210" s="115" t="s">
        <v>1140</v>
      </c>
    </row>
    <row r="4211" spans="1:5" x14ac:dyDescent="0.25">
      <c r="B4211" s="115" t="s">
        <v>1138</v>
      </c>
      <c r="D4211" s="115" t="s">
        <v>1139</v>
      </c>
      <c r="E4211" s="115" t="s">
        <v>5951</v>
      </c>
    </row>
    <row r="4212" spans="1:5" x14ac:dyDescent="0.25">
      <c r="B4212" s="115" t="s">
        <v>1288</v>
      </c>
      <c r="D4212" s="115" t="s">
        <v>5952</v>
      </c>
      <c r="E4212" s="115" t="s">
        <v>5953</v>
      </c>
    </row>
    <row r="4213" spans="1:5" x14ac:dyDescent="0.25">
      <c r="B4213" s="115" t="s">
        <v>1138</v>
      </c>
      <c r="D4213" s="115" t="s">
        <v>5954</v>
      </c>
      <c r="E4213" s="115" t="s">
        <v>5955</v>
      </c>
    </row>
    <row r="4214" spans="1:5" x14ac:dyDescent="0.25">
      <c r="A4214" s="115">
        <v>14</v>
      </c>
      <c r="B4214" s="115" t="s">
        <v>5956</v>
      </c>
      <c r="C4214" s="115">
        <v>1</v>
      </c>
      <c r="D4214" s="115" t="s">
        <v>5957</v>
      </c>
      <c r="E4214" s="115" t="s">
        <v>5958</v>
      </c>
    </row>
    <row r="4215" spans="1:5" x14ac:dyDescent="0.25">
      <c r="B4215" s="115" t="s">
        <v>5959</v>
      </c>
      <c r="D4215" s="115" t="s">
        <v>5960</v>
      </c>
      <c r="E4215" s="115" t="s">
        <v>5961</v>
      </c>
    </row>
    <row r="4216" spans="1:5" x14ac:dyDescent="0.25">
      <c r="B4216" s="115" t="s">
        <v>1138</v>
      </c>
      <c r="D4216" s="115" t="s">
        <v>3620</v>
      </c>
      <c r="E4216" s="115" t="s">
        <v>5962</v>
      </c>
    </row>
    <row r="4217" spans="1:5" x14ac:dyDescent="0.25">
      <c r="B4217" s="115" t="s">
        <v>5963</v>
      </c>
      <c r="D4217" s="115" t="s">
        <v>5964</v>
      </c>
      <c r="E4217" s="115" t="s">
        <v>5965</v>
      </c>
    </row>
    <row r="4218" spans="1:5" x14ac:dyDescent="0.25">
      <c r="B4218" s="115" t="s">
        <v>1138</v>
      </c>
      <c r="D4218" s="115" t="s">
        <v>1422</v>
      </c>
      <c r="E4218" s="115" t="s">
        <v>5966</v>
      </c>
    </row>
    <row r="4219" spans="1:5" x14ac:dyDescent="0.25">
      <c r="B4219" s="115" t="s">
        <v>1138</v>
      </c>
      <c r="D4219" s="115" t="s">
        <v>1139</v>
      </c>
      <c r="E4219" s="115" t="s">
        <v>5967</v>
      </c>
    </row>
    <row r="4220" spans="1:5" x14ac:dyDescent="0.25">
      <c r="B4220" s="115" t="s">
        <v>1138</v>
      </c>
      <c r="D4220" s="115" t="s">
        <v>5968</v>
      </c>
      <c r="E4220" s="115" t="s">
        <v>5969</v>
      </c>
    </row>
    <row r="4221" spans="1:5" x14ac:dyDescent="0.25">
      <c r="B4221" s="115" t="s">
        <v>1439</v>
      </c>
      <c r="D4221" s="115">
        <f>-292   -760    -52   -75</f>
        <v>-1179</v>
      </c>
      <c r="E4221" s="115" t="s">
        <v>5970</v>
      </c>
    </row>
    <row r="4222" spans="1:5" x14ac:dyDescent="0.25">
      <c r="B4222" s="115" t="s">
        <v>1138</v>
      </c>
      <c r="D4222" s="115" t="s">
        <v>5971</v>
      </c>
      <c r="E4222" s="115" t="s">
        <v>5972</v>
      </c>
    </row>
    <row r="4223" spans="1:5" x14ac:dyDescent="0.25">
      <c r="A4223" s="115">
        <v>26</v>
      </c>
      <c r="B4223" s="115" t="s">
        <v>1187</v>
      </c>
      <c r="C4223" s="115">
        <v>1</v>
      </c>
      <c r="D4223" s="115" t="s">
        <v>5973</v>
      </c>
      <c r="E4223" s="115" t="s">
        <v>5974</v>
      </c>
    </row>
    <row r="4224" spans="1:5" x14ac:dyDescent="0.25">
      <c r="B4224" s="115" t="s">
        <v>1138</v>
      </c>
      <c r="D4224" s="115" t="s">
        <v>5975</v>
      </c>
      <c r="E4224" s="115" t="s">
        <v>5976</v>
      </c>
    </row>
    <row r="4225" spans="1:5" x14ac:dyDescent="0.25">
      <c r="B4225" s="115" t="s">
        <v>1138</v>
      </c>
      <c r="D4225" s="115" t="s">
        <v>5977</v>
      </c>
      <c r="E4225" s="115" t="s">
        <v>5978</v>
      </c>
    </row>
    <row r="4226" spans="1:5" x14ac:dyDescent="0.25">
      <c r="A4226" s="115">
        <v>-1</v>
      </c>
      <c r="B4226" s="115" t="s">
        <v>5979</v>
      </c>
      <c r="D4226" s="115" t="s">
        <v>5980</v>
      </c>
      <c r="E4226" s="115" t="s">
        <v>5981</v>
      </c>
    </row>
    <row r="4227" spans="1:5" x14ac:dyDescent="0.25">
      <c r="B4227" s="115" t="s">
        <v>5982</v>
      </c>
      <c r="D4227" s="115" t="s">
        <v>5983</v>
      </c>
      <c r="E4227" s="115" t="s">
        <v>5984</v>
      </c>
    </row>
    <row r="4228" spans="1:5" x14ac:dyDescent="0.25">
      <c r="B4228" s="115" t="s">
        <v>1138</v>
      </c>
      <c r="D4228" s="115" t="s">
        <v>5985</v>
      </c>
      <c r="E4228" s="115" t="s">
        <v>5986</v>
      </c>
    </row>
    <row r="4229" spans="1:5" x14ac:dyDescent="0.25">
      <c r="B4229" s="115" t="s">
        <v>1138</v>
      </c>
      <c r="D4229" s="115" t="s">
        <v>5987</v>
      </c>
      <c r="E4229" s="115" t="s">
        <v>5988</v>
      </c>
    </row>
    <row r="4230" spans="1:5" x14ac:dyDescent="0.25">
      <c r="B4230" s="115" t="s">
        <v>1223</v>
      </c>
      <c r="D4230" s="115" t="s">
        <v>5989</v>
      </c>
      <c r="E4230" s="115" t="s">
        <v>1758</v>
      </c>
    </row>
    <row r="4231" spans="1:5" x14ac:dyDescent="0.25">
      <c r="B4231" s="115" t="s">
        <v>1138</v>
      </c>
      <c r="D4231" s="115" t="s">
        <v>5990</v>
      </c>
      <c r="E4231" s="115" t="s">
        <v>5991</v>
      </c>
    </row>
    <row r="4232" spans="1:5" x14ac:dyDescent="0.25">
      <c r="B4232" s="115" t="s">
        <v>1138</v>
      </c>
      <c r="D4232" s="115" t="s">
        <v>5992</v>
      </c>
      <c r="E4232" s="115" t="s">
        <v>5993</v>
      </c>
    </row>
    <row r="4233" spans="1:5" x14ac:dyDescent="0.25">
      <c r="B4233" s="115" t="s">
        <v>1138</v>
      </c>
      <c r="D4233" s="115" t="s">
        <v>5994</v>
      </c>
      <c r="E4233" s="115" t="s">
        <v>5995</v>
      </c>
    </row>
    <row r="4234" spans="1:5" x14ac:dyDescent="0.25">
      <c r="B4234" s="115" t="s">
        <v>1138</v>
      </c>
      <c r="D4234" s="115" t="s">
        <v>5996</v>
      </c>
      <c r="E4234" s="115" t="s">
        <v>5997</v>
      </c>
    </row>
    <row r="4235" spans="1:5" x14ac:dyDescent="0.25">
      <c r="A4235" s="115">
        <v>-2</v>
      </c>
      <c r="B4235" s="115" t="s">
        <v>5998</v>
      </c>
      <c r="D4235" s="115" t="s">
        <v>1139</v>
      </c>
      <c r="E4235" s="115" t="s">
        <v>5999</v>
      </c>
    </row>
    <row r="4236" spans="1:5" x14ac:dyDescent="0.25">
      <c r="A4236" s="115" t="s">
        <v>1137</v>
      </c>
      <c r="B4236" s="115" t="s">
        <v>6000</v>
      </c>
      <c r="D4236" s="115" t="s">
        <v>6001</v>
      </c>
      <c r="E4236" s="115" t="s">
        <v>6002</v>
      </c>
    </row>
    <row r="4237" spans="1:5" x14ac:dyDescent="0.25">
      <c r="B4237" s="115" t="s">
        <v>1673</v>
      </c>
      <c r="D4237" s="115" t="s">
        <v>1139</v>
      </c>
      <c r="E4237" s="115" t="s">
        <v>6003</v>
      </c>
    </row>
    <row r="4238" spans="1:5" x14ac:dyDescent="0.25">
      <c r="B4238" s="115" t="s">
        <v>1138</v>
      </c>
      <c r="D4238" s="115" t="s">
        <v>1139</v>
      </c>
      <c r="E4238" s="115" t="s">
        <v>1140</v>
      </c>
    </row>
    <row r="4239" spans="1:5" x14ac:dyDescent="0.25">
      <c r="B4239" s="115" t="s">
        <v>1138</v>
      </c>
      <c r="D4239" s="115" t="s">
        <v>1516</v>
      </c>
      <c r="E4239" s="115" t="s">
        <v>6004</v>
      </c>
    </row>
    <row r="4240" spans="1:5" x14ac:dyDescent="0.25">
      <c r="B4240" s="115" t="s">
        <v>6005</v>
      </c>
      <c r="C4240" s="115">
        <v>4</v>
      </c>
      <c r="D4240" s="115" t="s">
        <v>6006</v>
      </c>
      <c r="E4240" s="115" t="s">
        <v>6007</v>
      </c>
    </row>
    <row r="4241" spans="1:5" x14ac:dyDescent="0.25">
      <c r="A4241" s="115">
        <v>9</v>
      </c>
      <c r="B4241" s="115" t="s">
        <v>6008</v>
      </c>
      <c r="C4241" s="115">
        <v>1</v>
      </c>
      <c r="D4241" s="115" t="s">
        <v>6009</v>
      </c>
      <c r="E4241" s="115" t="s">
        <v>6010</v>
      </c>
    </row>
    <row r="4242" spans="1:5" x14ac:dyDescent="0.25">
      <c r="A4242" s="115">
        <v>9</v>
      </c>
      <c r="B4242" s="115" t="s">
        <v>6011</v>
      </c>
      <c r="D4242" s="115" t="s">
        <v>6012</v>
      </c>
      <c r="E4242" s="115" t="s">
        <v>6013</v>
      </c>
    </row>
    <row r="4243" spans="1:5" x14ac:dyDescent="0.25">
      <c r="B4243" s="115" t="s">
        <v>1138</v>
      </c>
      <c r="D4243" s="115" t="s">
        <v>6014</v>
      </c>
      <c r="E4243" s="115" t="s">
        <v>1140</v>
      </c>
    </row>
    <row r="4244" spans="1:5" x14ac:dyDescent="0.25">
      <c r="B4244" s="115" t="s">
        <v>1138</v>
      </c>
      <c r="D4244" s="115" t="s">
        <v>6015</v>
      </c>
      <c r="E4244" s="115" t="s">
        <v>6016</v>
      </c>
    </row>
    <row r="4245" spans="1:5" x14ac:dyDescent="0.25">
      <c r="A4245" s="115" t="s">
        <v>1137</v>
      </c>
      <c r="B4245" s="115" t="s">
        <v>6017</v>
      </c>
      <c r="D4245" s="115" t="s">
        <v>6018</v>
      </c>
      <c r="E4245" s="115" t="s">
        <v>5668</v>
      </c>
    </row>
    <row r="4246" spans="1:5" x14ac:dyDescent="0.25">
      <c r="B4246" s="115" t="s">
        <v>1222</v>
      </c>
      <c r="D4246" s="115" t="s">
        <v>1139</v>
      </c>
      <c r="E4246" s="115" t="s">
        <v>1646</v>
      </c>
    </row>
    <row r="4247" spans="1:5" x14ac:dyDescent="0.25">
      <c r="B4247" s="115" t="s">
        <v>1138</v>
      </c>
      <c r="D4247" s="115" t="s">
        <v>6019</v>
      </c>
      <c r="E4247" s="115" t="s">
        <v>6020</v>
      </c>
    </row>
    <row r="4248" spans="1:5" x14ac:dyDescent="0.25">
      <c r="B4248" s="115" t="s">
        <v>1138</v>
      </c>
      <c r="D4248" s="115" t="s">
        <v>6021</v>
      </c>
      <c r="E4248" s="115" t="s">
        <v>6022</v>
      </c>
    </row>
    <row r="4249" spans="1:5" x14ac:dyDescent="0.25">
      <c r="B4249" s="115" t="s">
        <v>6023</v>
      </c>
      <c r="D4249" s="115" t="s">
        <v>6024</v>
      </c>
      <c r="E4249" s="115" t="s">
        <v>6025</v>
      </c>
    </row>
    <row r="4250" spans="1:5" x14ac:dyDescent="0.25">
      <c r="B4250" s="115" t="s">
        <v>1585</v>
      </c>
      <c r="D4250" s="115" t="s">
        <v>6026</v>
      </c>
      <c r="E4250" s="115" t="s">
        <v>6027</v>
      </c>
    </row>
    <row r="4251" spans="1:5" x14ac:dyDescent="0.25">
      <c r="A4251" s="115">
        <v>1</v>
      </c>
      <c r="B4251" s="115" t="s">
        <v>6028</v>
      </c>
      <c r="D4251" s="115" t="s">
        <v>6029</v>
      </c>
      <c r="E4251" s="115" t="s">
        <v>6030</v>
      </c>
    </row>
    <row r="4252" spans="1:5" x14ac:dyDescent="0.25">
      <c r="B4252" s="115" t="s">
        <v>6031</v>
      </c>
      <c r="D4252" s="115" t="s">
        <v>6032</v>
      </c>
      <c r="E4252" s="115" t="s">
        <v>6033</v>
      </c>
    </row>
    <row r="4253" spans="1:5" x14ac:dyDescent="0.25">
      <c r="B4253" s="115" t="s">
        <v>6034</v>
      </c>
      <c r="D4253" s="115" t="s">
        <v>6035</v>
      </c>
      <c r="E4253" s="115" t="s">
        <v>6036</v>
      </c>
    </row>
    <row r="4254" spans="1:5" x14ac:dyDescent="0.25">
      <c r="A4254" s="115" t="s">
        <v>1137</v>
      </c>
      <c r="B4254" s="115" t="s">
        <v>6037</v>
      </c>
      <c r="D4254" s="115" t="s">
        <v>6038</v>
      </c>
      <c r="E4254" s="115" t="s">
        <v>6039</v>
      </c>
    </row>
    <row r="4255" spans="1:5" x14ac:dyDescent="0.25">
      <c r="B4255" s="115" t="s">
        <v>1138</v>
      </c>
      <c r="D4255" s="115" t="s">
        <v>6040</v>
      </c>
      <c r="E4255" s="115" t="s">
        <v>6041</v>
      </c>
    </row>
    <row r="4256" spans="1:5" x14ac:dyDescent="0.25">
      <c r="B4256" s="115" t="s">
        <v>6042</v>
      </c>
      <c r="D4256" s="115" t="s">
        <v>6043</v>
      </c>
      <c r="E4256" s="115" t="s">
        <v>6044</v>
      </c>
    </row>
    <row r="4257" spans="1:5" x14ac:dyDescent="0.25">
      <c r="B4257" s="115" t="s">
        <v>6045</v>
      </c>
      <c r="D4257" s="115" t="s">
        <v>6046</v>
      </c>
      <c r="E4257" s="115" t="s">
        <v>6047</v>
      </c>
    </row>
    <row r="4258" spans="1:5" x14ac:dyDescent="0.25">
      <c r="B4258" s="115" t="s">
        <v>1319</v>
      </c>
      <c r="D4258" s="115" t="s">
        <v>6048</v>
      </c>
      <c r="E4258" s="115" t="s">
        <v>1140</v>
      </c>
    </row>
    <row r="4259" spans="1:5" x14ac:dyDescent="0.25">
      <c r="B4259" s="115" t="s">
        <v>6049</v>
      </c>
      <c r="D4259" s="115" t="s">
        <v>6050</v>
      </c>
      <c r="E4259" s="115" t="s">
        <v>1858</v>
      </c>
    </row>
    <row r="4260" spans="1:5" x14ac:dyDescent="0.25">
      <c r="B4260" s="115" t="s">
        <v>6051</v>
      </c>
      <c r="C4260" s="115" t="s">
        <v>1137</v>
      </c>
      <c r="D4260" s="115" t="s">
        <v>6052</v>
      </c>
      <c r="E4260" s="115" t="s">
        <v>6053</v>
      </c>
    </row>
    <row r="4261" spans="1:5" x14ac:dyDescent="0.25">
      <c r="B4261" s="115" t="s">
        <v>1474</v>
      </c>
      <c r="D4261" s="115" t="s">
        <v>3856</v>
      </c>
      <c r="E4261" s="115" t="s">
        <v>6054</v>
      </c>
    </row>
    <row r="4262" spans="1:5" x14ac:dyDescent="0.25">
      <c r="B4262" s="115" t="s">
        <v>6055</v>
      </c>
      <c r="D4262" s="115" t="s">
        <v>6056</v>
      </c>
      <c r="E4262" s="115" t="s">
        <v>6057</v>
      </c>
    </row>
    <row r="4263" spans="1:5" x14ac:dyDescent="0.25">
      <c r="B4263" s="115" t="s">
        <v>1138</v>
      </c>
      <c r="D4263" s="115" t="s">
        <v>1139</v>
      </c>
      <c r="E4263" s="115" t="s">
        <v>6058</v>
      </c>
    </row>
    <row r="4264" spans="1:5" x14ac:dyDescent="0.25">
      <c r="A4264" s="115">
        <v>1</v>
      </c>
      <c r="B4264" s="115" t="s">
        <v>6059</v>
      </c>
      <c r="D4264" s="115" t="s">
        <v>6060</v>
      </c>
      <c r="E4264" s="115" t="s">
        <v>6061</v>
      </c>
    </row>
    <row r="4265" spans="1:5" x14ac:dyDescent="0.25">
      <c r="B4265" s="115" t="s">
        <v>1138</v>
      </c>
      <c r="D4265" s="115" t="s">
        <v>6062</v>
      </c>
      <c r="E4265" s="115" t="s">
        <v>2259</v>
      </c>
    </row>
    <row r="4266" spans="1:5" x14ac:dyDescent="0.25">
      <c r="B4266" s="115" t="s">
        <v>1138</v>
      </c>
      <c r="D4266" s="115" t="s">
        <v>1139</v>
      </c>
      <c r="E4266" s="115" t="s">
        <v>1140</v>
      </c>
    </row>
    <row r="4267" spans="1:5" x14ac:dyDescent="0.25">
      <c r="B4267" s="115" t="s">
        <v>6063</v>
      </c>
      <c r="D4267" s="115" t="s">
        <v>1139</v>
      </c>
      <c r="E4267" s="115" t="s">
        <v>6064</v>
      </c>
    </row>
    <row r="4268" spans="1:5" x14ac:dyDescent="0.25">
      <c r="A4268" s="115">
        <v>19</v>
      </c>
      <c r="B4268" s="115" t="s">
        <v>6065</v>
      </c>
      <c r="C4268" s="115">
        <v>2</v>
      </c>
      <c r="D4268" s="115" t="s">
        <v>6066</v>
      </c>
      <c r="E4268" s="115" t="s">
        <v>6067</v>
      </c>
    </row>
    <row r="4269" spans="1:5" x14ac:dyDescent="0.25">
      <c r="A4269" s="115">
        <v>37</v>
      </c>
      <c r="B4269" s="115" t="s">
        <v>6068</v>
      </c>
      <c r="D4269" s="115" t="s">
        <v>6069</v>
      </c>
      <c r="E4269" s="115" t="s">
        <v>6070</v>
      </c>
    </row>
    <row r="4270" spans="1:5" x14ac:dyDescent="0.25">
      <c r="A4270" s="115" t="s">
        <v>1137</v>
      </c>
      <c r="B4270" s="115" t="s">
        <v>6071</v>
      </c>
      <c r="D4270" s="115" t="s">
        <v>6072</v>
      </c>
      <c r="E4270" s="115" t="s">
        <v>6073</v>
      </c>
    </row>
    <row r="4271" spans="1:5" x14ac:dyDescent="0.25">
      <c r="B4271" s="115" t="s">
        <v>1138</v>
      </c>
      <c r="D4271" s="115" t="s">
        <v>6074</v>
      </c>
      <c r="E4271" s="115" t="s">
        <v>1140</v>
      </c>
    </row>
    <row r="4272" spans="1:5" x14ac:dyDescent="0.25">
      <c r="B4272" s="115" t="s">
        <v>1138</v>
      </c>
      <c r="D4272" s="115" t="s">
        <v>6075</v>
      </c>
      <c r="E4272" s="115" t="s">
        <v>6076</v>
      </c>
    </row>
    <row r="4273" spans="1:5" x14ac:dyDescent="0.25">
      <c r="A4273" s="115" t="s">
        <v>1137</v>
      </c>
      <c r="B4273" s="115" t="s">
        <v>6077</v>
      </c>
      <c r="D4273" s="115" t="s">
        <v>6078</v>
      </c>
      <c r="E4273" s="115" t="s">
        <v>6079</v>
      </c>
    </row>
    <row r="4274" spans="1:5" x14ac:dyDescent="0.25">
      <c r="B4274" s="115" t="s">
        <v>1138</v>
      </c>
      <c r="D4274" s="115" t="s">
        <v>3121</v>
      </c>
      <c r="E4274" s="115" t="s">
        <v>1893</v>
      </c>
    </row>
    <row r="4275" spans="1:5" x14ac:dyDescent="0.25">
      <c r="B4275" s="115" t="s">
        <v>1138</v>
      </c>
      <c r="D4275" s="115" t="s">
        <v>6080</v>
      </c>
      <c r="E4275" s="115" t="s">
        <v>6081</v>
      </c>
    </row>
    <row r="4276" spans="1:5" x14ac:dyDescent="0.25">
      <c r="B4276" s="115" t="s">
        <v>6082</v>
      </c>
      <c r="D4276" s="115" t="s">
        <v>6083</v>
      </c>
      <c r="E4276" s="115" t="s">
        <v>6084</v>
      </c>
    </row>
    <row r="4277" spans="1:5" x14ac:dyDescent="0.25">
      <c r="A4277" s="115" t="s">
        <v>1137</v>
      </c>
      <c r="B4277" s="115" t="s">
        <v>6085</v>
      </c>
      <c r="D4277" s="115" t="s">
        <v>6086</v>
      </c>
      <c r="E4277" s="115" t="s">
        <v>2536</v>
      </c>
    </row>
    <row r="4278" spans="1:5" x14ac:dyDescent="0.25">
      <c r="B4278" s="115" t="s">
        <v>6087</v>
      </c>
      <c r="D4278" s="115" t="s">
        <v>6088</v>
      </c>
      <c r="E4278" s="115" t="s">
        <v>6089</v>
      </c>
    </row>
    <row r="4279" spans="1:5" x14ac:dyDescent="0.25">
      <c r="B4279" s="115" t="s">
        <v>6090</v>
      </c>
      <c r="D4279" s="115" t="s">
        <v>6091</v>
      </c>
      <c r="E4279" s="115" t="s">
        <v>6092</v>
      </c>
    </row>
    <row r="4280" spans="1:5" x14ac:dyDescent="0.25">
      <c r="B4280" s="115" t="s">
        <v>6093</v>
      </c>
      <c r="D4280" s="115" t="s">
        <v>6094</v>
      </c>
      <c r="E4280" s="115" t="s">
        <v>2536</v>
      </c>
    </row>
    <row r="4281" spans="1:5" x14ac:dyDescent="0.25">
      <c r="A4281" s="115" t="s">
        <v>1137</v>
      </c>
      <c r="B4281" s="115" t="s">
        <v>6095</v>
      </c>
      <c r="D4281" s="115" t="s">
        <v>6096</v>
      </c>
      <c r="E4281" s="115" t="s">
        <v>6097</v>
      </c>
    </row>
    <row r="4282" spans="1:5" x14ac:dyDescent="0.25">
      <c r="A4282" s="115" t="s">
        <v>1137</v>
      </c>
      <c r="B4282" s="115" t="s">
        <v>6098</v>
      </c>
      <c r="D4282" s="115" t="s">
        <v>6099</v>
      </c>
      <c r="E4282" s="115" t="s">
        <v>6100</v>
      </c>
    </row>
    <row r="4283" spans="1:5" x14ac:dyDescent="0.25">
      <c r="B4283" s="115" t="s">
        <v>1314</v>
      </c>
      <c r="D4283" s="115" t="s">
        <v>6101</v>
      </c>
      <c r="E4283" s="115" t="s">
        <v>1893</v>
      </c>
    </row>
    <row r="4284" spans="1:5" x14ac:dyDescent="0.25">
      <c r="B4284" s="115" t="s">
        <v>6102</v>
      </c>
      <c r="D4284" s="115" t="s">
        <v>6103</v>
      </c>
      <c r="E4284" s="115" t="s">
        <v>1601</v>
      </c>
    </row>
    <row r="4285" spans="1:5" x14ac:dyDescent="0.25">
      <c r="A4285" s="115">
        <v>-1</v>
      </c>
      <c r="B4285" s="115" t="s">
        <v>6104</v>
      </c>
      <c r="C4285" s="115" t="s">
        <v>1137</v>
      </c>
      <c r="D4285" s="115" t="s">
        <v>6105</v>
      </c>
      <c r="E4285" s="115" t="s">
        <v>6106</v>
      </c>
    </row>
    <row r="4286" spans="1:5" x14ac:dyDescent="0.25">
      <c r="B4286" s="115" t="s">
        <v>1170</v>
      </c>
      <c r="D4286" s="115" t="s">
        <v>2021</v>
      </c>
      <c r="E4286" s="115" t="s">
        <v>1140</v>
      </c>
    </row>
    <row r="4287" spans="1:5" x14ac:dyDescent="0.25">
      <c r="B4287" s="115" t="s">
        <v>6107</v>
      </c>
      <c r="D4287" s="115" t="s">
        <v>6108</v>
      </c>
      <c r="E4287" s="115" t="s">
        <v>1140</v>
      </c>
    </row>
    <row r="4288" spans="1:5" x14ac:dyDescent="0.25">
      <c r="A4288" s="115">
        <v>-3</v>
      </c>
      <c r="B4288" s="115" t="s">
        <v>6109</v>
      </c>
      <c r="C4288" s="115" t="s">
        <v>1137</v>
      </c>
      <c r="D4288" s="115" t="s">
        <v>6110</v>
      </c>
      <c r="E4288" s="115" t="s">
        <v>6111</v>
      </c>
    </row>
    <row r="4289" spans="1:5" x14ac:dyDescent="0.25">
      <c r="A4289" s="115" t="s">
        <v>1137</v>
      </c>
      <c r="B4289" s="115" t="s">
        <v>1535</v>
      </c>
      <c r="D4289" s="115" t="s">
        <v>6112</v>
      </c>
      <c r="E4289" s="115" t="s">
        <v>1893</v>
      </c>
    </row>
    <row r="4290" spans="1:5" x14ac:dyDescent="0.25">
      <c r="A4290" s="115" t="s">
        <v>1137</v>
      </c>
      <c r="B4290" s="115" t="s">
        <v>6113</v>
      </c>
      <c r="C4290" s="115" t="s">
        <v>1137</v>
      </c>
      <c r="D4290" s="115" t="s">
        <v>6114</v>
      </c>
      <c r="E4290" s="115" t="s">
        <v>6115</v>
      </c>
    </row>
    <row r="4291" spans="1:5" x14ac:dyDescent="0.25">
      <c r="B4291" s="115" t="s">
        <v>1138</v>
      </c>
      <c r="D4291" s="115" t="s">
        <v>1139</v>
      </c>
      <c r="E4291" s="115" t="s">
        <v>6116</v>
      </c>
    </row>
    <row r="4292" spans="1:5" x14ac:dyDescent="0.25">
      <c r="B4292" s="115" t="s">
        <v>6117</v>
      </c>
      <c r="D4292" s="115" t="s">
        <v>6118</v>
      </c>
      <c r="E4292" s="115" t="s">
        <v>6119</v>
      </c>
    </row>
    <row r="4293" spans="1:5" x14ac:dyDescent="0.25">
      <c r="B4293" s="115" t="s">
        <v>1138</v>
      </c>
      <c r="D4293" s="115" t="s">
        <v>6120</v>
      </c>
      <c r="E4293" s="115" t="s">
        <v>1140</v>
      </c>
    </row>
    <row r="4294" spans="1:5" x14ac:dyDescent="0.25">
      <c r="B4294" s="115" t="s">
        <v>1138</v>
      </c>
      <c r="D4294" s="115" t="s">
        <v>1139</v>
      </c>
      <c r="E4294" s="115" t="s">
        <v>1140</v>
      </c>
    </row>
    <row r="4295" spans="1:5" x14ac:dyDescent="0.25">
      <c r="A4295" s="115" t="s">
        <v>1137</v>
      </c>
      <c r="B4295" s="115" t="s">
        <v>1141</v>
      </c>
      <c r="D4295" s="115" t="s">
        <v>1817</v>
      </c>
      <c r="E4295" s="115" t="s">
        <v>6121</v>
      </c>
    </row>
    <row r="4296" spans="1:5" x14ac:dyDescent="0.25">
      <c r="A4296" s="115">
        <v>19</v>
      </c>
      <c r="B4296" s="115" t="s">
        <v>6122</v>
      </c>
      <c r="D4296" s="115" t="s">
        <v>6123</v>
      </c>
      <c r="E4296" s="115" t="s">
        <v>6124</v>
      </c>
    </row>
    <row r="4297" spans="1:5" x14ac:dyDescent="0.25">
      <c r="A4297" s="115">
        <v>39</v>
      </c>
      <c r="B4297" s="115" t="s">
        <v>6125</v>
      </c>
      <c r="D4297" s="115" t="s">
        <v>6126</v>
      </c>
      <c r="E4297" s="115" t="s">
        <v>6127</v>
      </c>
    </row>
    <row r="4298" spans="1:5" x14ac:dyDescent="0.25">
      <c r="B4298" s="115" t="s">
        <v>6128</v>
      </c>
      <c r="D4298" s="115" t="s">
        <v>6129</v>
      </c>
      <c r="E4298" s="115" t="s">
        <v>6130</v>
      </c>
    </row>
    <row r="4299" spans="1:5" x14ac:dyDescent="0.25">
      <c r="B4299" s="115" t="s">
        <v>1138</v>
      </c>
      <c r="D4299" s="115" t="s">
        <v>6131</v>
      </c>
      <c r="E4299" s="115" t="s">
        <v>1140</v>
      </c>
    </row>
    <row r="4300" spans="1:5" x14ac:dyDescent="0.25">
      <c r="B4300" s="115" t="s">
        <v>1138</v>
      </c>
      <c r="D4300" s="115" t="s">
        <v>6132</v>
      </c>
      <c r="E4300" s="115" t="s">
        <v>6133</v>
      </c>
    </row>
    <row r="4301" spans="1:5" x14ac:dyDescent="0.25">
      <c r="A4301" s="115" t="s">
        <v>1137</v>
      </c>
      <c r="B4301" s="115" t="s">
        <v>6134</v>
      </c>
      <c r="D4301" s="115" t="s">
        <v>2776</v>
      </c>
      <c r="E4301" s="115" t="s">
        <v>6135</v>
      </c>
    </row>
    <row r="4302" spans="1:5" x14ac:dyDescent="0.25">
      <c r="B4302" s="115" t="s">
        <v>1138</v>
      </c>
      <c r="D4302" s="115" t="s">
        <v>1990</v>
      </c>
      <c r="E4302" s="115" t="s">
        <v>2689</v>
      </c>
    </row>
    <row r="4303" spans="1:5" x14ac:dyDescent="0.25">
      <c r="B4303" s="115" t="s">
        <v>1138</v>
      </c>
      <c r="D4303" s="115" t="s">
        <v>6136</v>
      </c>
      <c r="E4303" s="115" t="s">
        <v>6137</v>
      </c>
    </row>
    <row r="4304" spans="1:5" x14ac:dyDescent="0.25">
      <c r="B4304" s="115" t="s">
        <v>6138</v>
      </c>
      <c r="D4304" s="115" t="s">
        <v>6139</v>
      </c>
      <c r="E4304" s="115" t="s">
        <v>6140</v>
      </c>
    </row>
    <row r="4305" spans="1:5" x14ac:dyDescent="0.25">
      <c r="B4305" s="115" t="s">
        <v>6141</v>
      </c>
      <c r="D4305" s="115" t="s">
        <v>6142</v>
      </c>
      <c r="E4305" s="115" t="s">
        <v>1858</v>
      </c>
    </row>
    <row r="4306" spans="1:5" x14ac:dyDescent="0.25">
      <c r="A4306" s="115" t="s">
        <v>1137</v>
      </c>
      <c r="B4306" s="115" t="s">
        <v>6143</v>
      </c>
      <c r="D4306" s="115" t="s">
        <v>6144</v>
      </c>
      <c r="E4306" s="115" t="s">
        <v>6145</v>
      </c>
    </row>
    <row r="4307" spans="1:5" x14ac:dyDescent="0.25">
      <c r="A4307" s="115" t="s">
        <v>1137</v>
      </c>
      <c r="B4307" s="115" t="s">
        <v>6146</v>
      </c>
      <c r="D4307" s="115" t="s">
        <v>6147</v>
      </c>
      <c r="E4307" s="115" t="s">
        <v>6148</v>
      </c>
    </row>
    <row r="4308" spans="1:5" x14ac:dyDescent="0.25">
      <c r="A4308" s="115">
        <v>1</v>
      </c>
      <c r="B4308" s="115" t="s">
        <v>1366</v>
      </c>
      <c r="D4308" s="115" t="s">
        <v>6149</v>
      </c>
      <c r="E4308" s="115" t="s">
        <v>1140</v>
      </c>
    </row>
    <row r="4309" spans="1:5" x14ac:dyDescent="0.25">
      <c r="B4309" s="115" t="s">
        <v>6150</v>
      </c>
      <c r="D4309" s="115" t="s">
        <v>6151</v>
      </c>
      <c r="E4309" s="115" t="s">
        <v>6152</v>
      </c>
    </row>
    <row r="4310" spans="1:5" x14ac:dyDescent="0.25">
      <c r="B4310" s="115" t="s">
        <v>6153</v>
      </c>
      <c r="D4310" s="115" t="s">
        <v>6154</v>
      </c>
      <c r="E4310" s="115" t="s">
        <v>6155</v>
      </c>
    </row>
    <row r="4311" spans="1:5" x14ac:dyDescent="0.25">
      <c r="B4311" s="115" t="s">
        <v>6156</v>
      </c>
      <c r="D4311" s="115" t="s">
        <v>6157</v>
      </c>
      <c r="E4311" s="115" t="s">
        <v>1893</v>
      </c>
    </row>
    <row r="4312" spans="1:5" x14ac:dyDescent="0.25">
      <c r="B4312" s="115" t="s">
        <v>6158</v>
      </c>
      <c r="D4312" s="115" t="s">
        <v>6159</v>
      </c>
      <c r="E4312" s="115" t="s">
        <v>6160</v>
      </c>
    </row>
    <row r="4313" spans="1:5" x14ac:dyDescent="0.25">
      <c r="A4313" s="115" t="s">
        <v>1137</v>
      </c>
      <c r="B4313" s="115" t="s">
        <v>6161</v>
      </c>
      <c r="D4313" s="115" t="s">
        <v>6162</v>
      </c>
      <c r="E4313" s="115" t="s">
        <v>6163</v>
      </c>
    </row>
    <row r="4314" spans="1:5" x14ac:dyDescent="0.25">
      <c r="B4314" s="115" t="s">
        <v>6164</v>
      </c>
      <c r="D4314" s="115" t="s">
        <v>6165</v>
      </c>
      <c r="E4314" s="115" t="s">
        <v>1140</v>
      </c>
    </row>
    <row r="4315" spans="1:5" x14ac:dyDescent="0.25">
      <c r="B4315" s="115" t="s">
        <v>6166</v>
      </c>
      <c r="D4315" s="115" t="s">
        <v>6167</v>
      </c>
      <c r="E4315" s="115" t="s">
        <v>1140</v>
      </c>
    </row>
    <row r="4316" spans="1:5" x14ac:dyDescent="0.25">
      <c r="A4316" s="115">
        <v>-1</v>
      </c>
      <c r="B4316" s="115" t="s">
        <v>6168</v>
      </c>
      <c r="C4316" s="115" t="s">
        <v>1137</v>
      </c>
      <c r="D4316" s="115" t="s">
        <v>6169</v>
      </c>
      <c r="E4316" s="115" t="s">
        <v>6170</v>
      </c>
    </row>
    <row r="4317" spans="1:5" x14ac:dyDescent="0.25">
      <c r="A4317" s="115">
        <v>2</v>
      </c>
      <c r="B4317" s="115" t="s">
        <v>6171</v>
      </c>
      <c r="D4317" s="115" t="s">
        <v>6172</v>
      </c>
      <c r="E4317" s="115" t="s">
        <v>1893</v>
      </c>
    </row>
    <row r="4318" spans="1:5" x14ac:dyDescent="0.25">
      <c r="A4318" s="115" t="s">
        <v>1137</v>
      </c>
      <c r="B4318" s="115" t="s">
        <v>6173</v>
      </c>
      <c r="C4318" s="115" t="s">
        <v>1137</v>
      </c>
      <c r="D4318" s="115" t="s">
        <v>6174</v>
      </c>
      <c r="E4318" s="115" t="s">
        <v>6175</v>
      </c>
    </row>
    <row r="4319" spans="1:5" x14ac:dyDescent="0.25">
      <c r="B4319" s="115" t="s">
        <v>1138</v>
      </c>
      <c r="D4319" s="115" t="s">
        <v>1139</v>
      </c>
      <c r="E4319" s="115" t="s">
        <v>6176</v>
      </c>
    </row>
    <row r="4320" spans="1:5" x14ac:dyDescent="0.25">
      <c r="A4320" s="115">
        <v>-5</v>
      </c>
      <c r="B4320" s="115" t="s">
        <v>6177</v>
      </c>
      <c r="D4320" s="115" t="s">
        <v>6178</v>
      </c>
      <c r="E4320" s="115" t="s">
        <v>6179</v>
      </c>
    </row>
    <row r="4321" spans="1:5" x14ac:dyDescent="0.25">
      <c r="B4321" s="115" t="s">
        <v>1138</v>
      </c>
      <c r="D4321" s="115" t="s">
        <v>6180</v>
      </c>
      <c r="E4321" s="115" t="s">
        <v>1140</v>
      </c>
    </row>
    <row r="4322" spans="1:5" x14ac:dyDescent="0.25">
      <c r="B4322" s="115" t="s">
        <v>1138</v>
      </c>
      <c r="D4322" s="115" t="s">
        <v>1139</v>
      </c>
      <c r="E4322" s="115" t="s">
        <v>1140</v>
      </c>
    </row>
    <row r="4323" spans="1:5" x14ac:dyDescent="0.25">
      <c r="A4323" s="115" t="s">
        <v>1137</v>
      </c>
      <c r="B4323" s="115" t="s">
        <v>1599</v>
      </c>
      <c r="D4323" s="115" t="s">
        <v>2383</v>
      </c>
      <c r="E4323" s="115" t="s">
        <v>6181</v>
      </c>
    </row>
    <row r="4324" spans="1:5" x14ac:dyDescent="0.25">
      <c r="A4324" s="115">
        <v>12</v>
      </c>
      <c r="B4324" s="115" t="s">
        <v>6182</v>
      </c>
      <c r="D4324" s="115" t="s">
        <v>6183</v>
      </c>
      <c r="E4324" s="115" t="s">
        <v>6184</v>
      </c>
    </row>
    <row r="4325" spans="1:5" x14ac:dyDescent="0.25">
      <c r="A4325" s="115">
        <v>10</v>
      </c>
      <c r="B4325" s="115" t="s">
        <v>6185</v>
      </c>
      <c r="D4325" s="115" t="s">
        <v>6186</v>
      </c>
      <c r="E4325" s="115" t="s">
        <v>6187</v>
      </c>
    </row>
    <row r="4326" spans="1:5" x14ac:dyDescent="0.25">
      <c r="A4326" s="115">
        <v>13</v>
      </c>
      <c r="B4326" s="115" t="s">
        <v>6188</v>
      </c>
      <c r="D4326" s="115" t="s">
        <v>6189</v>
      </c>
      <c r="E4326" s="115" t="s">
        <v>6190</v>
      </c>
    </row>
    <row r="4327" spans="1:5" x14ac:dyDescent="0.25">
      <c r="B4327" s="115" t="s">
        <v>1138</v>
      </c>
      <c r="D4327" s="115" t="s">
        <v>6191</v>
      </c>
      <c r="E4327" s="115" t="s">
        <v>1140</v>
      </c>
    </row>
    <row r="4328" spans="1:5" x14ac:dyDescent="0.25">
      <c r="B4328" s="115" t="s">
        <v>1138</v>
      </c>
      <c r="D4328" s="115" t="s">
        <v>6192</v>
      </c>
      <c r="E4328" s="115" t="s">
        <v>6193</v>
      </c>
    </row>
    <row r="4329" spans="1:5" x14ac:dyDescent="0.25">
      <c r="B4329" s="115" t="s">
        <v>6194</v>
      </c>
      <c r="D4329" s="115" t="s">
        <v>1456</v>
      </c>
      <c r="E4329" s="115" t="s">
        <v>2651</v>
      </c>
    </row>
    <row r="4330" spans="1:5" x14ac:dyDescent="0.25">
      <c r="B4330" s="115" t="s">
        <v>1663</v>
      </c>
      <c r="D4330" s="115" t="s">
        <v>1139</v>
      </c>
      <c r="E4330" s="115" t="s">
        <v>6195</v>
      </c>
    </row>
    <row r="4331" spans="1:5" x14ac:dyDescent="0.25">
      <c r="B4331" s="115" t="s">
        <v>1138</v>
      </c>
      <c r="D4331" s="115" t="s">
        <v>6196</v>
      </c>
      <c r="E4331" s="115" t="s">
        <v>6197</v>
      </c>
    </row>
    <row r="4332" spans="1:5" x14ac:dyDescent="0.25">
      <c r="B4332" s="115" t="s">
        <v>1138</v>
      </c>
      <c r="D4332" s="115" t="s">
        <v>6198</v>
      </c>
      <c r="E4332" s="115" t="s">
        <v>6199</v>
      </c>
    </row>
    <row r="4333" spans="1:5" x14ac:dyDescent="0.25">
      <c r="A4333" s="115" t="s">
        <v>1137</v>
      </c>
      <c r="B4333" s="115" t="s">
        <v>6200</v>
      </c>
      <c r="D4333" s="115" t="s">
        <v>6201</v>
      </c>
      <c r="E4333" s="115" t="s">
        <v>6202</v>
      </c>
    </row>
    <row r="4334" spans="1:5" x14ac:dyDescent="0.25">
      <c r="B4334" s="115" t="s">
        <v>6203</v>
      </c>
      <c r="D4334" s="115" t="s">
        <v>6204</v>
      </c>
      <c r="E4334" s="115" t="s">
        <v>6205</v>
      </c>
    </row>
    <row r="4335" spans="1:5" x14ac:dyDescent="0.25">
      <c r="A4335" s="115">
        <v>1</v>
      </c>
      <c r="B4335" s="115" t="s">
        <v>6206</v>
      </c>
      <c r="D4335" s="115" t="s">
        <v>6207</v>
      </c>
      <c r="E4335" s="115" t="s">
        <v>6208</v>
      </c>
    </row>
    <row r="4336" spans="1:5" x14ac:dyDescent="0.25">
      <c r="B4336" s="115" t="s">
        <v>6209</v>
      </c>
      <c r="D4336" s="115" t="s">
        <v>6210</v>
      </c>
      <c r="E4336" s="115" t="s">
        <v>6211</v>
      </c>
    </row>
    <row r="4337" spans="1:5" x14ac:dyDescent="0.25">
      <c r="B4337" s="115" t="s">
        <v>1915</v>
      </c>
      <c r="D4337" s="115" t="s">
        <v>6212</v>
      </c>
      <c r="E4337" s="115" t="s">
        <v>6213</v>
      </c>
    </row>
    <row r="4338" spans="1:5" x14ac:dyDescent="0.25">
      <c r="B4338" s="115" t="s">
        <v>6214</v>
      </c>
      <c r="D4338" s="115" t="s">
        <v>1330</v>
      </c>
      <c r="E4338" s="115" t="s">
        <v>6215</v>
      </c>
    </row>
    <row r="4339" spans="1:5" x14ac:dyDescent="0.25">
      <c r="B4339" s="115" t="s">
        <v>1138</v>
      </c>
      <c r="D4339" s="115" t="s">
        <v>6216</v>
      </c>
      <c r="E4339" s="115" t="s">
        <v>6217</v>
      </c>
    </row>
    <row r="4340" spans="1:5" x14ac:dyDescent="0.25">
      <c r="B4340" s="115" t="s">
        <v>1308</v>
      </c>
      <c r="D4340" s="115" t="s">
        <v>6218</v>
      </c>
      <c r="E4340" s="115" t="s">
        <v>6219</v>
      </c>
    </row>
    <row r="4341" spans="1:5" x14ac:dyDescent="0.25">
      <c r="B4341" s="115" t="s">
        <v>6220</v>
      </c>
      <c r="D4341" s="115" t="s">
        <v>6221</v>
      </c>
      <c r="E4341" s="115" t="s">
        <v>6222</v>
      </c>
    </row>
    <row r="4342" spans="1:5" x14ac:dyDescent="0.25">
      <c r="B4342" s="115" t="s">
        <v>2570</v>
      </c>
      <c r="D4342" s="115" t="s">
        <v>1912</v>
      </c>
      <c r="E4342" s="115" t="s">
        <v>1140</v>
      </c>
    </row>
    <row r="4343" spans="1:5" x14ac:dyDescent="0.25">
      <c r="B4343" s="115" t="s">
        <v>6223</v>
      </c>
      <c r="D4343" s="115" t="s">
        <v>6224</v>
      </c>
      <c r="E4343" s="115" t="s">
        <v>1858</v>
      </c>
    </row>
    <row r="4344" spans="1:5" x14ac:dyDescent="0.25">
      <c r="B4344" s="115" t="s">
        <v>6225</v>
      </c>
      <c r="C4344" s="115" t="s">
        <v>1137</v>
      </c>
      <c r="D4344" s="115" t="s">
        <v>6226</v>
      </c>
      <c r="E4344" s="115" t="s">
        <v>6227</v>
      </c>
    </row>
    <row r="4345" spans="1:5" x14ac:dyDescent="0.25">
      <c r="B4345" s="115" t="s">
        <v>6228</v>
      </c>
      <c r="D4345" s="115" t="s">
        <v>6229</v>
      </c>
      <c r="E4345" s="115" t="s">
        <v>6230</v>
      </c>
    </row>
    <row r="4346" spans="1:5" x14ac:dyDescent="0.25">
      <c r="B4346" s="115" t="s">
        <v>4164</v>
      </c>
      <c r="D4346" s="115">
        <f>-138  -5710  -2747  -307</f>
        <v>-8902</v>
      </c>
      <c r="E4346" s="115" t="s">
        <v>6231</v>
      </c>
    </row>
    <row r="4347" spans="1:5" x14ac:dyDescent="0.25">
      <c r="B4347" s="115" t="s">
        <v>1138</v>
      </c>
      <c r="D4347" s="115" t="s">
        <v>1139</v>
      </c>
      <c r="E4347" s="115" t="s">
        <v>6232</v>
      </c>
    </row>
    <row r="4348" spans="1:5" x14ac:dyDescent="0.25">
      <c r="B4348" s="115" t="s">
        <v>6233</v>
      </c>
      <c r="D4348" s="115" t="s">
        <v>6234</v>
      </c>
      <c r="E4348" s="115" t="s">
        <v>6235</v>
      </c>
    </row>
    <row r="4349" spans="1:5" x14ac:dyDescent="0.25">
      <c r="B4349" s="115" t="s">
        <v>1138</v>
      </c>
      <c r="D4349" s="115" t="s">
        <v>6236</v>
      </c>
      <c r="E4349" s="115" t="s">
        <v>1858</v>
      </c>
    </row>
    <row r="4350" spans="1:5" x14ac:dyDescent="0.25">
      <c r="B4350" s="115" t="s">
        <v>1138</v>
      </c>
      <c r="D4350" s="115" t="s">
        <v>1139</v>
      </c>
      <c r="E4350" s="115" t="s">
        <v>1140</v>
      </c>
    </row>
    <row r="4351" spans="1:5" x14ac:dyDescent="0.25">
      <c r="B4351" s="115" t="s">
        <v>6237</v>
      </c>
      <c r="D4351" s="115" t="s">
        <v>1139</v>
      </c>
      <c r="E4351" s="115" t="s">
        <v>6238</v>
      </c>
    </row>
    <row r="4352" spans="1:5" x14ac:dyDescent="0.25">
      <c r="A4352" s="115">
        <v>47</v>
      </c>
      <c r="B4352" s="115" t="s">
        <v>6239</v>
      </c>
      <c r="C4352" s="115">
        <v>2</v>
      </c>
      <c r="D4352" s="115" t="s">
        <v>6240</v>
      </c>
      <c r="E4352" s="115" t="s">
        <v>6241</v>
      </c>
    </row>
    <row r="4353" spans="1:5" x14ac:dyDescent="0.25">
      <c r="A4353" s="115">
        <v>14</v>
      </c>
      <c r="B4353" s="115" t="s">
        <v>6242</v>
      </c>
      <c r="D4353" s="115" t="s">
        <v>6243</v>
      </c>
      <c r="E4353" s="115" t="s">
        <v>6244</v>
      </c>
    </row>
    <row r="4354" spans="1:5" x14ac:dyDescent="0.25">
      <c r="A4354" s="115">
        <v>26</v>
      </c>
      <c r="B4354" s="115" t="s">
        <v>6245</v>
      </c>
      <c r="C4354" s="115">
        <v>1</v>
      </c>
      <c r="D4354" s="115" t="s">
        <v>6246</v>
      </c>
      <c r="E4354" s="115" t="s">
        <v>6247</v>
      </c>
    </row>
    <row r="4355" spans="1:5" x14ac:dyDescent="0.25">
      <c r="B4355" s="115" t="s">
        <v>6248</v>
      </c>
      <c r="D4355" s="115" t="s">
        <v>3013</v>
      </c>
      <c r="E4355" s="115" t="s">
        <v>6249</v>
      </c>
    </row>
    <row r="4356" spans="1:5" x14ac:dyDescent="0.25">
      <c r="B4356" s="115" t="s">
        <v>1138</v>
      </c>
      <c r="D4356" s="115" t="s">
        <v>5579</v>
      </c>
      <c r="E4356" s="115" t="s">
        <v>6250</v>
      </c>
    </row>
    <row r="4357" spans="1:5" x14ac:dyDescent="0.25">
      <c r="B4357" s="115" t="s">
        <v>6251</v>
      </c>
      <c r="D4357" s="115" t="s">
        <v>6252</v>
      </c>
      <c r="E4357" s="115" t="s">
        <v>6253</v>
      </c>
    </row>
    <row r="4358" spans="1:5" x14ac:dyDescent="0.25">
      <c r="B4358" s="115" t="s">
        <v>1138</v>
      </c>
      <c r="D4358" s="115" t="s">
        <v>6254</v>
      </c>
      <c r="E4358" s="115" t="s">
        <v>6255</v>
      </c>
    </row>
    <row r="4359" spans="1:5" x14ac:dyDescent="0.25">
      <c r="B4359" s="115" t="s">
        <v>1138</v>
      </c>
      <c r="D4359" s="115" t="s">
        <v>1139</v>
      </c>
      <c r="E4359" s="115" t="s">
        <v>6256</v>
      </c>
    </row>
    <row r="4360" spans="1:5" x14ac:dyDescent="0.25">
      <c r="B4360" s="115" t="s">
        <v>1138</v>
      </c>
      <c r="D4360" s="115" t="s">
        <v>6257</v>
      </c>
      <c r="E4360" s="115" t="s">
        <v>6258</v>
      </c>
    </row>
    <row r="4361" spans="1:5" x14ac:dyDescent="0.25">
      <c r="B4361" s="115" t="s">
        <v>1262</v>
      </c>
      <c r="D4361" s="115" t="s">
        <v>6259</v>
      </c>
      <c r="E4361" s="115" t="s">
        <v>6260</v>
      </c>
    </row>
    <row r="4362" spans="1:5" x14ac:dyDescent="0.25">
      <c r="B4362" s="115" t="s">
        <v>1138</v>
      </c>
      <c r="D4362" s="115" t="s">
        <v>6261</v>
      </c>
      <c r="E4362" s="115" t="s">
        <v>6262</v>
      </c>
    </row>
    <row r="4363" spans="1:5" x14ac:dyDescent="0.25">
      <c r="A4363" s="115">
        <v>-1</v>
      </c>
      <c r="B4363" s="115" t="s">
        <v>1454</v>
      </c>
      <c r="C4363" s="115" t="s">
        <v>1137</v>
      </c>
      <c r="D4363" s="115" t="s">
        <v>6263</v>
      </c>
      <c r="E4363" s="115" t="s">
        <v>6264</v>
      </c>
    </row>
    <row r="4364" spans="1:5" x14ac:dyDescent="0.25">
      <c r="B4364" s="115" t="s">
        <v>1138</v>
      </c>
      <c r="D4364" s="115" t="s">
        <v>6265</v>
      </c>
      <c r="E4364" s="115" t="s">
        <v>6266</v>
      </c>
    </row>
    <row r="4365" spans="1:5" x14ac:dyDescent="0.25">
      <c r="B4365" s="115" t="s">
        <v>1138</v>
      </c>
      <c r="D4365" s="115" t="s">
        <v>6267</v>
      </c>
      <c r="E4365" s="115" t="s">
        <v>6268</v>
      </c>
    </row>
    <row r="4366" spans="1:5" x14ac:dyDescent="0.25">
      <c r="A4366" s="115">
        <v>25</v>
      </c>
      <c r="B4366" s="115" t="s">
        <v>6269</v>
      </c>
      <c r="D4366" s="115" t="s">
        <v>6270</v>
      </c>
      <c r="E4366" s="115" t="s">
        <v>6271</v>
      </c>
    </row>
    <row r="4367" spans="1:5" x14ac:dyDescent="0.25">
      <c r="B4367" s="115" t="s">
        <v>6272</v>
      </c>
      <c r="D4367" s="115" t="s">
        <v>6273</v>
      </c>
      <c r="E4367" s="115" t="s">
        <v>6274</v>
      </c>
    </row>
    <row r="4368" spans="1:5" x14ac:dyDescent="0.25">
      <c r="B4368" s="115" t="s">
        <v>1138</v>
      </c>
      <c r="D4368" s="115" t="s">
        <v>6275</v>
      </c>
      <c r="E4368" s="115" t="s">
        <v>6276</v>
      </c>
    </row>
    <row r="4369" spans="1:5" x14ac:dyDescent="0.25">
      <c r="B4369" s="115" t="s">
        <v>1138</v>
      </c>
      <c r="D4369" s="115" t="s">
        <v>6277</v>
      </c>
      <c r="E4369" s="115" t="s">
        <v>6278</v>
      </c>
    </row>
    <row r="4370" spans="1:5" x14ac:dyDescent="0.25">
      <c r="B4370" s="115" t="s">
        <v>3068</v>
      </c>
      <c r="D4370" s="115" t="s">
        <v>6279</v>
      </c>
      <c r="E4370" s="115" t="s">
        <v>1758</v>
      </c>
    </row>
    <row r="4371" spans="1:5" x14ac:dyDescent="0.25">
      <c r="B4371" s="115" t="s">
        <v>1138</v>
      </c>
      <c r="D4371" s="115" t="s">
        <v>6280</v>
      </c>
      <c r="E4371" s="115" t="s">
        <v>6281</v>
      </c>
    </row>
    <row r="4372" spans="1:5" x14ac:dyDescent="0.25">
      <c r="B4372" s="115" t="s">
        <v>1138</v>
      </c>
      <c r="D4372" s="115" t="s">
        <v>6282</v>
      </c>
      <c r="E4372" s="115" t="s">
        <v>6283</v>
      </c>
    </row>
    <row r="4373" spans="1:5" x14ac:dyDescent="0.25">
      <c r="B4373" s="115" t="s">
        <v>1138</v>
      </c>
      <c r="D4373" s="115" t="s">
        <v>6284</v>
      </c>
      <c r="E4373" s="115" t="s">
        <v>6285</v>
      </c>
    </row>
    <row r="4374" spans="1:5" x14ac:dyDescent="0.25">
      <c r="B4374" s="115" t="s">
        <v>1138</v>
      </c>
      <c r="D4374" s="115" t="s">
        <v>6286</v>
      </c>
      <c r="E4374" s="115" t="s">
        <v>6287</v>
      </c>
    </row>
    <row r="4375" spans="1:5" x14ac:dyDescent="0.25">
      <c r="A4375" s="115">
        <v>-2</v>
      </c>
      <c r="B4375" s="115" t="s">
        <v>6288</v>
      </c>
      <c r="D4375" s="115" t="s">
        <v>1139</v>
      </c>
      <c r="E4375" s="115" t="s">
        <v>6289</v>
      </c>
    </row>
    <row r="4376" spans="1:5" x14ac:dyDescent="0.25">
      <c r="A4376" s="115" t="s">
        <v>1137</v>
      </c>
      <c r="B4376" s="115" t="s">
        <v>6290</v>
      </c>
      <c r="C4376" s="115" t="s">
        <v>1137</v>
      </c>
      <c r="D4376" s="115" t="s">
        <v>6291</v>
      </c>
      <c r="E4376" s="115" t="s">
        <v>6292</v>
      </c>
    </row>
    <row r="4377" spans="1:5" x14ac:dyDescent="0.25">
      <c r="A4377" s="115">
        <v>1</v>
      </c>
      <c r="B4377" s="115" t="s">
        <v>1576</v>
      </c>
      <c r="D4377" s="115" t="s">
        <v>1139</v>
      </c>
      <c r="E4377" s="115" t="s">
        <v>6293</v>
      </c>
    </row>
    <row r="4378" spans="1:5" x14ac:dyDescent="0.25">
      <c r="B4378" s="115" t="s">
        <v>1138</v>
      </c>
      <c r="D4378" s="115" t="s">
        <v>1139</v>
      </c>
      <c r="E4378" s="115" t="s">
        <v>1140</v>
      </c>
    </row>
    <row r="4379" spans="1:5" x14ac:dyDescent="0.25">
      <c r="B4379" s="115" t="s">
        <v>1138</v>
      </c>
      <c r="D4379" s="115" t="s">
        <v>1969</v>
      </c>
      <c r="E4379" s="115" t="s">
        <v>6294</v>
      </c>
    </row>
    <row r="4380" spans="1:5" x14ac:dyDescent="0.25">
      <c r="B4380" s="115" t="s">
        <v>6295</v>
      </c>
      <c r="C4380" s="115">
        <v>1</v>
      </c>
      <c r="D4380" s="115" t="s">
        <v>6296</v>
      </c>
      <c r="E4380" s="115" t="s">
        <v>6297</v>
      </c>
    </row>
    <row r="4381" spans="1:5" x14ac:dyDescent="0.25">
      <c r="A4381" s="115">
        <v>10</v>
      </c>
      <c r="B4381" s="115" t="s">
        <v>6298</v>
      </c>
      <c r="C4381" s="115">
        <v>2</v>
      </c>
      <c r="D4381" s="115" t="s">
        <v>6299</v>
      </c>
      <c r="E4381" s="115" t="s">
        <v>6300</v>
      </c>
    </row>
    <row r="4382" spans="1:5" x14ac:dyDescent="0.25">
      <c r="A4382" s="115">
        <v>11</v>
      </c>
      <c r="B4382" s="115" t="s">
        <v>6301</v>
      </c>
      <c r="C4382" s="115">
        <v>3</v>
      </c>
      <c r="D4382" s="115" t="s">
        <v>6302</v>
      </c>
      <c r="E4382" s="115" t="s">
        <v>6303</v>
      </c>
    </row>
    <row r="4383" spans="1:5" x14ac:dyDescent="0.25">
      <c r="B4383" s="115" t="s">
        <v>1138</v>
      </c>
      <c r="D4383" s="115" t="s">
        <v>6304</v>
      </c>
      <c r="E4383" s="115" t="s">
        <v>6305</v>
      </c>
    </row>
    <row r="4384" spans="1:5" x14ac:dyDescent="0.25">
      <c r="B4384" s="115" t="s">
        <v>1138</v>
      </c>
      <c r="D4384" s="115" t="s">
        <v>1139</v>
      </c>
      <c r="E4384" s="115" t="s">
        <v>6306</v>
      </c>
    </row>
    <row r="4385" spans="1:5" x14ac:dyDescent="0.25">
      <c r="B4385" s="115" t="s">
        <v>1138</v>
      </c>
      <c r="D4385" s="115" t="s">
        <v>6307</v>
      </c>
      <c r="E4385" s="115" t="s">
        <v>6308</v>
      </c>
    </row>
    <row r="4386" spans="1:5" x14ac:dyDescent="0.25">
      <c r="B4386" s="115" t="s">
        <v>6309</v>
      </c>
      <c r="D4386" s="115" t="s">
        <v>1139</v>
      </c>
      <c r="E4386" s="115" t="s">
        <v>1818</v>
      </c>
    </row>
    <row r="4387" spans="1:5" x14ac:dyDescent="0.25">
      <c r="B4387" s="115" t="s">
        <v>1588</v>
      </c>
      <c r="D4387" s="115" t="s">
        <v>1139</v>
      </c>
      <c r="E4387" s="115" t="s">
        <v>6310</v>
      </c>
    </row>
    <row r="4388" spans="1:5" x14ac:dyDescent="0.25">
      <c r="A4388" s="115">
        <v>-6</v>
      </c>
      <c r="B4388" s="115" t="s">
        <v>1684</v>
      </c>
      <c r="D4388" s="115" t="s">
        <v>1494</v>
      </c>
      <c r="E4388" s="115" t="s">
        <v>6311</v>
      </c>
    </row>
    <row r="4389" spans="1:5" x14ac:dyDescent="0.25">
      <c r="B4389" s="115" t="s">
        <v>1138</v>
      </c>
      <c r="D4389" s="115" t="s">
        <v>6312</v>
      </c>
      <c r="E4389" s="115" t="s">
        <v>6313</v>
      </c>
    </row>
    <row r="4390" spans="1:5" x14ac:dyDescent="0.25">
      <c r="B4390" s="115" t="s">
        <v>6314</v>
      </c>
      <c r="D4390" s="115" t="s">
        <v>1139</v>
      </c>
      <c r="E4390" s="115" t="s">
        <v>6315</v>
      </c>
    </row>
    <row r="4391" spans="1:5" x14ac:dyDescent="0.25">
      <c r="A4391" s="115">
        <v>-5</v>
      </c>
      <c r="B4391" s="115" t="s">
        <v>6316</v>
      </c>
      <c r="D4391" s="115" t="s">
        <v>6317</v>
      </c>
      <c r="E4391" s="115" t="s">
        <v>6318</v>
      </c>
    </row>
    <row r="4392" spans="1:5" x14ac:dyDescent="0.25">
      <c r="B4392" s="115" t="s">
        <v>6319</v>
      </c>
      <c r="D4392" s="115" t="s">
        <v>6320</v>
      </c>
      <c r="E4392" s="115" t="s">
        <v>6321</v>
      </c>
    </row>
    <row r="4393" spans="1:5" x14ac:dyDescent="0.25">
      <c r="B4393" s="115" t="s">
        <v>6322</v>
      </c>
      <c r="D4393" s="115" t="s">
        <v>1139</v>
      </c>
      <c r="E4393" s="115" t="s">
        <v>6323</v>
      </c>
    </row>
    <row r="4394" spans="1:5" x14ac:dyDescent="0.25">
      <c r="A4394" s="115">
        <v>-6</v>
      </c>
      <c r="B4394" s="115" t="s">
        <v>6324</v>
      </c>
      <c r="D4394" s="115" t="s">
        <v>6325</v>
      </c>
      <c r="E4394" s="115" t="s">
        <v>6326</v>
      </c>
    </row>
    <row r="4395" spans="1:5" x14ac:dyDescent="0.25">
      <c r="B4395" s="115" t="s">
        <v>6327</v>
      </c>
      <c r="D4395" s="115" t="s">
        <v>6328</v>
      </c>
      <c r="E4395" s="115" t="s">
        <v>6329</v>
      </c>
    </row>
    <row r="4396" spans="1:5" x14ac:dyDescent="0.25">
      <c r="A4396" s="115" t="s">
        <v>1137</v>
      </c>
      <c r="B4396" s="115" t="s">
        <v>6330</v>
      </c>
      <c r="D4396" s="115" t="s">
        <v>1139</v>
      </c>
      <c r="E4396" s="115" t="s">
        <v>6331</v>
      </c>
    </row>
    <row r="4397" spans="1:5" x14ac:dyDescent="0.25">
      <c r="A4397" s="115">
        <v>-23</v>
      </c>
      <c r="B4397" s="115" t="s">
        <v>6332</v>
      </c>
      <c r="D4397" s="115" t="s">
        <v>5533</v>
      </c>
      <c r="E4397" s="115" t="s">
        <v>6333</v>
      </c>
    </row>
    <row r="4398" spans="1:5" x14ac:dyDescent="0.25">
      <c r="B4398" s="115" t="s">
        <v>6334</v>
      </c>
      <c r="D4398" s="115" t="s">
        <v>6335</v>
      </c>
      <c r="E4398" s="115" t="s">
        <v>6336</v>
      </c>
    </row>
    <row r="4399" spans="1:5" x14ac:dyDescent="0.25">
      <c r="B4399" s="115" t="s">
        <v>1138</v>
      </c>
      <c r="D4399" s="115" t="s">
        <v>1139</v>
      </c>
      <c r="E4399" s="115" t="s">
        <v>6337</v>
      </c>
    </row>
    <row r="4400" spans="1:5" x14ac:dyDescent="0.25">
      <c r="A4400" s="115">
        <v>5</v>
      </c>
      <c r="B4400" s="115" t="s">
        <v>1683</v>
      </c>
      <c r="D4400" s="115" t="s">
        <v>1139</v>
      </c>
      <c r="E4400" s="115" t="s">
        <v>6338</v>
      </c>
    </row>
    <row r="4401" spans="1:5" x14ac:dyDescent="0.25">
      <c r="A4401" s="115">
        <v>-4</v>
      </c>
      <c r="B4401" s="115" t="s">
        <v>6339</v>
      </c>
      <c r="C4401" s="115" t="s">
        <v>1137</v>
      </c>
      <c r="D4401" s="115" t="s">
        <v>6340</v>
      </c>
      <c r="E4401" s="115" t="s">
        <v>6341</v>
      </c>
    </row>
    <row r="4402" spans="1:5" x14ac:dyDescent="0.25">
      <c r="B4402" s="115" t="s">
        <v>6342</v>
      </c>
      <c r="D4402" s="115" t="s">
        <v>1139</v>
      </c>
      <c r="E4402" s="115" t="s">
        <v>6343</v>
      </c>
    </row>
    <row r="4403" spans="1:5" x14ac:dyDescent="0.25">
      <c r="A4403" s="115">
        <v>-1</v>
      </c>
      <c r="B4403" s="115" t="s">
        <v>6344</v>
      </c>
      <c r="C4403" s="115" t="s">
        <v>1137</v>
      </c>
      <c r="D4403" s="115" t="s">
        <v>6345</v>
      </c>
      <c r="E4403" s="115" t="s">
        <v>1140</v>
      </c>
    </row>
    <row r="4404" spans="1:5" x14ac:dyDescent="0.25">
      <c r="B4404" s="115" t="s">
        <v>1138</v>
      </c>
      <c r="D4404" s="115" t="s">
        <v>6346</v>
      </c>
      <c r="E4404" s="115" t="s">
        <v>6347</v>
      </c>
    </row>
    <row r="4405" spans="1:5" x14ac:dyDescent="0.25">
      <c r="A4405" s="115">
        <v>-1</v>
      </c>
      <c r="B4405" s="115" t="s">
        <v>6348</v>
      </c>
      <c r="C4405" s="115" t="s">
        <v>1137</v>
      </c>
      <c r="D4405" s="115" t="s">
        <v>6349</v>
      </c>
      <c r="E4405" s="115" t="s">
        <v>6350</v>
      </c>
    </row>
    <row r="4406" spans="1:5" x14ac:dyDescent="0.25">
      <c r="A4406" s="115">
        <v>1</v>
      </c>
      <c r="B4406" s="115" t="s">
        <v>1593</v>
      </c>
      <c r="D4406" s="115" t="s">
        <v>1139</v>
      </c>
      <c r="E4406" s="115" t="s">
        <v>1140</v>
      </c>
    </row>
    <row r="4407" spans="1:5" x14ac:dyDescent="0.25">
      <c r="B4407" s="115" t="s">
        <v>1138</v>
      </c>
      <c r="D4407" s="115" t="s">
        <v>1139</v>
      </c>
      <c r="E4407" s="115" t="s">
        <v>6351</v>
      </c>
    </row>
    <row r="4408" spans="1:5" x14ac:dyDescent="0.25">
      <c r="B4408" s="115" t="s">
        <v>6352</v>
      </c>
      <c r="D4408" s="115" t="s">
        <v>6353</v>
      </c>
      <c r="E4408" s="115" t="s">
        <v>6354</v>
      </c>
    </row>
    <row r="4409" spans="1:5" x14ac:dyDescent="0.25">
      <c r="B4409" s="115" t="s">
        <v>1138</v>
      </c>
      <c r="D4409" s="115" t="s">
        <v>6355</v>
      </c>
      <c r="E4409" s="115" t="s">
        <v>6356</v>
      </c>
    </row>
    <row r="4410" spans="1:5" x14ac:dyDescent="0.25">
      <c r="A4410" s="115">
        <v>20</v>
      </c>
      <c r="B4410" s="115" t="s">
        <v>6357</v>
      </c>
      <c r="C4410" s="115">
        <v>3</v>
      </c>
      <c r="D4410" s="115" t="s">
        <v>6358</v>
      </c>
      <c r="E4410" s="115" t="s">
        <v>6359</v>
      </c>
    </row>
    <row r="4411" spans="1:5" x14ac:dyDescent="0.25">
      <c r="B4411" s="115" t="s">
        <v>6360</v>
      </c>
      <c r="D4411" s="115" t="s">
        <v>6361</v>
      </c>
      <c r="E4411" s="115" t="s">
        <v>6362</v>
      </c>
    </row>
    <row r="4412" spans="1:5" x14ac:dyDescent="0.25">
      <c r="B4412" s="115" t="s">
        <v>1138</v>
      </c>
      <c r="D4412" s="115" t="s">
        <v>6363</v>
      </c>
      <c r="E4412" s="115" t="s">
        <v>1140</v>
      </c>
    </row>
    <row r="4413" spans="1:5" x14ac:dyDescent="0.25">
      <c r="B4413" s="115" t="s">
        <v>1138</v>
      </c>
      <c r="D4413" s="115" t="s">
        <v>6364</v>
      </c>
      <c r="E4413" s="115" t="s">
        <v>6365</v>
      </c>
    </row>
    <row r="4414" spans="1:5" x14ac:dyDescent="0.25">
      <c r="A4414" s="115" t="s">
        <v>1137</v>
      </c>
      <c r="B4414" s="115" t="s">
        <v>6366</v>
      </c>
      <c r="D4414" s="115" t="s">
        <v>1817</v>
      </c>
      <c r="E4414" s="115" t="s">
        <v>6367</v>
      </c>
    </row>
    <row r="4415" spans="1:5" x14ac:dyDescent="0.25">
      <c r="B4415" s="115" t="s">
        <v>1138</v>
      </c>
      <c r="D4415" s="115" t="s">
        <v>3620</v>
      </c>
      <c r="E4415" s="115" t="s">
        <v>2259</v>
      </c>
    </row>
    <row r="4416" spans="1:5" x14ac:dyDescent="0.25">
      <c r="B4416" s="115" t="s">
        <v>1138</v>
      </c>
      <c r="D4416" s="115" t="s">
        <v>6368</v>
      </c>
      <c r="E4416" s="115" t="s">
        <v>6369</v>
      </c>
    </row>
    <row r="4417" spans="1:5" x14ac:dyDescent="0.25">
      <c r="B4417" s="115" t="s">
        <v>6370</v>
      </c>
      <c r="D4417" s="115" t="s">
        <v>6371</v>
      </c>
      <c r="E4417" s="115" t="s">
        <v>6372</v>
      </c>
    </row>
    <row r="4418" spans="1:5" x14ac:dyDescent="0.25">
      <c r="A4418" s="115">
        <v>2</v>
      </c>
      <c r="B4418" s="115" t="s">
        <v>6373</v>
      </c>
      <c r="D4418" s="115" t="s">
        <v>6374</v>
      </c>
      <c r="E4418" s="115" t="s">
        <v>1818</v>
      </c>
    </row>
    <row r="4419" spans="1:5" x14ac:dyDescent="0.25">
      <c r="A4419" s="115">
        <v>-1</v>
      </c>
      <c r="B4419" s="115" t="s">
        <v>6375</v>
      </c>
      <c r="D4419" s="115" t="s">
        <v>6376</v>
      </c>
      <c r="E4419" s="115" t="s">
        <v>6377</v>
      </c>
    </row>
    <row r="4420" spans="1:5" x14ac:dyDescent="0.25">
      <c r="A4420" s="115" t="s">
        <v>1137</v>
      </c>
      <c r="B4420" s="115" t="s">
        <v>6378</v>
      </c>
      <c r="D4420" s="115" t="s">
        <v>6379</v>
      </c>
      <c r="E4420" s="115" t="s">
        <v>6380</v>
      </c>
    </row>
    <row r="4421" spans="1:5" x14ac:dyDescent="0.25">
      <c r="A4421" s="115">
        <v>1</v>
      </c>
      <c r="B4421" s="115" t="s">
        <v>6381</v>
      </c>
      <c r="D4421" s="115" t="s">
        <v>6382</v>
      </c>
      <c r="E4421" s="115" t="s">
        <v>1818</v>
      </c>
    </row>
    <row r="4422" spans="1:5" x14ac:dyDescent="0.25">
      <c r="B4422" s="115" t="s">
        <v>6383</v>
      </c>
      <c r="D4422" s="115" t="s">
        <v>6384</v>
      </c>
      <c r="E4422" s="115" t="s">
        <v>6385</v>
      </c>
    </row>
    <row r="4423" spans="1:5" x14ac:dyDescent="0.25">
      <c r="A4423" s="115" t="s">
        <v>1137</v>
      </c>
      <c r="B4423" s="115" t="s">
        <v>1485</v>
      </c>
      <c r="D4423" s="115" t="s">
        <v>6386</v>
      </c>
      <c r="E4423" s="115" t="s">
        <v>6387</v>
      </c>
    </row>
    <row r="4424" spans="1:5" x14ac:dyDescent="0.25">
      <c r="B4424" s="115" t="s">
        <v>6388</v>
      </c>
      <c r="D4424" s="115" t="s">
        <v>6389</v>
      </c>
      <c r="E4424" s="115" t="s">
        <v>1758</v>
      </c>
    </row>
    <row r="4425" spans="1:5" x14ac:dyDescent="0.25">
      <c r="B4425" s="115" t="s">
        <v>6390</v>
      </c>
      <c r="D4425" s="115" t="s">
        <v>6391</v>
      </c>
      <c r="E4425" s="115" t="s">
        <v>6392</v>
      </c>
    </row>
    <row r="4426" spans="1:5" x14ac:dyDescent="0.25">
      <c r="A4426" s="115" t="s">
        <v>1137</v>
      </c>
      <c r="B4426" s="115" t="s">
        <v>6393</v>
      </c>
      <c r="D4426" s="115" t="s">
        <v>6394</v>
      </c>
      <c r="E4426" s="115" t="s">
        <v>6395</v>
      </c>
    </row>
    <row r="4427" spans="1:5" x14ac:dyDescent="0.25">
      <c r="A4427" s="115">
        <v>-5</v>
      </c>
      <c r="B4427" s="115" t="s">
        <v>1303</v>
      </c>
      <c r="C4427" s="115" t="s">
        <v>1137</v>
      </c>
      <c r="D4427" s="115" t="s">
        <v>6396</v>
      </c>
      <c r="E4427" s="115" t="s">
        <v>1140</v>
      </c>
    </row>
    <row r="4428" spans="1:5" x14ac:dyDescent="0.25">
      <c r="B4428" s="115" t="s">
        <v>6397</v>
      </c>
      <c r="D4428" s="115" t="s">
        <v>6398</v>
      </c>
      <c r="E4428" s="115" t="s">
        <v>1140</v>
      </c>
    </row>
    <row r="4429" spans="1:5" x14ac:dyDescent="0.25">
      <c r="A4429" s="115">
        <v>-1</v>
      </c>
      <c r="B4429" s="115" t="s">
        <v>6399</v>
      </c>
      <c r="C4429" s="115" t="s">
        <v>1137</v>
      </c>
      <c r="D4429" s="115" t="s">
        <v>6400</v>
      </c>
      <c r="E4429" s="115" t="s">
        <v>6401</v>
      </c>
    </row>
    <row r="4430" spans="1:5" x14ac:dyDescent="0.25">
      <c r="A4430" s="115">
        <v>1</v>
      </c>
      <c r="B4430" s="115" t="s">
        <v>1509</v>
      </c>
      <c r="D4430" s="115" t="s">
        <v>6402</v>
      </c>
      <c r="E4430" s="115" t="s">
        <v>1893</v>
      </c>
    </row>
    <row r="4431" spans="1:5" x14ac:dyDescent="0.25">
      <c r="A4431" s="115" t="s">
        <v>1137</v>
      </c>
      <c r="B4431" s="115" t="s">
        <v>6403</v>
      </c>
      <c r="C4431" s="115" t="s">
        <v>1137</v>
      </c>
      <c r="D4431" s="115" t="s">
        <v>6404</v>
      </c>
      <c r="E4431" s="115" t="s">
        <v>6405</v>
      </c>
    </row>
    <row r="4432" spans="1:5" x14ac:dyDescent="0.25">
      <c r="B4432" s="115" t="s">
        <v>1138</v>
      </c>
      <c r="D4432" s="115" t="s">
        <v>1139</v>
      </c>
      <c r="E4432" s="115" t="s">
        <v>6406</v>
      </c>
    </row>
    <row r="4433" spans="1:5" x14ac:dyDescent="0.25">
      <c r="A4433" s="115">
        <v>-4</v>
      </c>
      <c r="B4433" s="115" t="s">
        <v>6407</v>
      </c>
      <c r="D4433" s="115" t="s">
        <v>6408</v>
      </c>
      <c r="E4433" s="115" t="s">
        <v>6409</v>
      </c>
    </row>
    <row r="4434" spans="1:5" x14ac:dyDescent="0.25">
      <c r="B4434" s="115" t="s">
        <v>1138</v>
      </c>
      <c r="D4434" s="115" t="s">
        <v>6410</v>
      </c>
      <c r="E4434" s="115" t="s">
        <v>1140</v>
      </c>
    </row>
    <row r="4435" spans="1:5" x14ac:dyDescent="0.25">
      <c r="B4435" s="115" t="s">
        <v>1138</v>
      </c>
      <c r="D4435" s="115" t="s">
        <v>1139</v>
      </c>
      <c r="E4435" s="115" t="s">
        <v>1140</v>
      </c>
    </row>
    <row r="4436" spans="1:5" x14ac:dyDescent="0.25">
      <c r="A4436" s="115" t="s">
        <v>1137</v>
      </c>
      <c r="B4436" s="115" t="s">
        <v>1260</v>
      </c>
      <c r="D4436" s="115" t="s">
        <v>3821</v>
      </c>
      <c r="E4436" s="115" t="s">
        <v>6411</v>
      </c>
    </row>
    <row r="4437" spans="1:5" x14ac:dyDescent="0.25">
      <c r="A4437" s="115">
        <v>9</v>
      </c>
      <c r="B4437" s="115" t="s">
        <v>6412</v>
      </c>
      <c r="D4437" s="115" t="s">
        <v>6413</v>
      </c>
      <c r="E4437" s="115" t="s">
        <v>6414</v>
      </c>
    </row>
    <row r="4438" spans="1:5" x14ac:dyDescent="0.25">
      <c r="A4438" s="115">
        <v>8</v>
      </c>
      <c r="B4438" s="115" t="s">
        <v>6415</v>
      </c>
      <c r="D4438" s="115" t="s">
        <v>6416</v>
      </c>
      <c r="E4438" s="115" t="s">
        <v>6417</v>
      </c>
    </row>
    <row r="4439" spans="1:5" x14ac:dyDescent="0.25">
      <c r="A4439" s="115">
        <v>10</v>
      </c>
      <c r="B4439" s="115" t="s">
        <v>6418</v>
      </c>
      <c r="C4439" s="115">
        <v>1</v>
      </c>
      <c r="D4439" s="115" t="s">
        <v>6419</v>
      </c>
      <c r="E4439" s="115" t="s">
        <v>6420</v>
      </c>
    </row>
    <row r="4440" spans="1:5" x14ac:dyDescent="0.25">
      <c r="B4440" s="115" t="s">
        <v>6421</v>
      </c>
      <c r="D4440" s="115" t="s">
        <v>6422</v>
      </c>
      <c r="E4440" s="115" t="s">
        <v>6423</v>
      </c>
    </row>
    <row r="4441" spans="1:5" x14ac:dyDescent="0.25">
      <c r="B4441" s="115" t="s">
        <v>1138</v>
      </c>
      <c r="D4441" s="115" t="s">
        <v>1139</v>
      </c>
      <c r="E4441" s="115" t="s">
        <v>6424</v>
      </c>
    </row>
    <row r="4442" spans="1:5" x14ac:dyDescent="0.25">
      <c r="B4442" s="115" t="s">
        <v>6425</v>
      </c>
      <c r="D4442" s="115" t="s">
        <v>6426</v>
      </c>
      <c r="E4442" s="115" t="s">
        <v>6427</v>
      </c>
    </row>
    <row r="4443" spans="1:5" x14ac:dyDescent="0.25">
      <c r="B4443" s="115" t="s">
        <v>6428</v>
      </c>
      <c r="D4443" s="115" t="s">
        <v>1213</v>
      </c>
      <c r="E4443" s="115" t="s">
        <v>1140</v>
      </c>
    </row>
    <row r="4444" spans="1:5" x14ac:dyDescent="0.25">
      <c r="B4444" s="115" t="s">
        <v>6429</v>
      </c>
      <c r="D4444" s="115" t="s">
        <v>1139</v>
      </c>
      <c r="E4444" s="115" t="s">
        <v>6430</v>
      </c>
    </row>
    <row r="4445" spans="1:5" x14ac:dyDescent="0.25">
      <c r="B4445" s="115" t="s">
        <v>6431</v>
      </c>
      <c r="D4445" s="115" t="s">
        <v>1139</v>
      </c>
      <c r="E4445" s="115" t="s">
        <v>6432</v>
      </c>
    </row>
    <row r="4446" spans="1:5" x14ac:dyDescent="0.25">
      <c r="B4446" s="115" t="s">
        <v>1402</v>
      </c>
      <c r="D4446" s="115" t="s">
        <v>6433</v>
      </c>
      <c r="E4446" s="115" t="s">
        <v>6434</v>
      </c>
    </row>
    <row r="4447" spans="1:5" x14ac:dyDescent="0.25">
      <c r="B4447" s="115" t="s">
        <v>6435</v>
      </c>
      <c r="D4447" s="115" t="s">
        <v>6436</v>
      </c>
      <c r="E4447" s="115" t="s">
        <v>6437</v>
      </c>
    </row>
    <row r="4448" spans="1:5" x14ac:dyDescent="0.25">
      <c r="A4448" s="115">
        <v>-1</v>
      </c>
      <c r="B4448" s="115" t="s">
        <v>6438</v>
      </c>
      <c r="D4448" s="115" t="s">
        <v>6439</v>
      </c>
      <c r="E4448" s="115" t="s">
        <v>6440</v>
      </c>
    </row>
    <row r="4449" spans="1:5" x14ac:dyDescent="0.25">
      <c r="A4449" s="115" t="s">
        <v>1137</v>
      </c>
      <c r="B4449" s="115" t="s">
        <v>6441</v>
      </c>
      <c r="D4449" s="115" t="s">
        <v>6442</v>
      </c>
      <c r="E4449" s="115" t="s">
        <v>6443</v>
      </c>
    </row>
    <row r="4450" spans="1:5" x14ac:dyDescent="0.25">
      <c r="B4450" s="115" t="s">
        <v>1170</v>
      </c>
      <c r="D4450" s="115" t="s">
        <v>6444</v>
      </c>
      <c r="E4450" s="115" t="s">
        <v>6445</v>
      </c>
    </row>
    <row r="4451" spans="1:5" x14ac:dyDescent="0.25">
      <c r="B4451" s="115" t="s">
        <v>6446</v>
      </c>
      <c r="D4451" s="115" t="s">
        <v>6447</v>
      </c>
      <c r="E4451" s="115" t="s">
        <v>6448</v>
      </c>
    </row>
    <row r="4452" spans="1:5" x14ac:dyDescent="0.25">
      <c r="A4452" s="115">
        <v>-1</v>
      </c>
      <c r="B4452" s="115" t="s">
        <v>6449</v>
      </c>
      <c r="D4452" s="115" t="s">
        <v>6450</v>
      </c>
      <c r="E4452" s="115" t="s">
        <v>6451</v>
      </c>
    </row>
    <row r="4453" spans="1:5" x14ac:dyDescent="0.25">
      <c r="B4453" s="115" t="s">
        <v>6452</v>
      </c>
      <c r="D4453" s="115" t="s">
        <v>2715</v>
      </c>
      <c r="E4453" s="115" t="s">
        <v>6453</v>
      </c>
    </row>
    <row r="4454" spans="1:5" x14ac:dyDescent="0.25">
      <c r="B4454" s="115" t="s">
        <v>1304</v>
      </c>
      <c r="D4454" s="115" t="s">
        <v>6454</v>
      </c>
      <c r="E4454" s="115" t="s">
        <v>6455</v>
      </c>
    </row>
    <row r="4455" spans="1:5" x14ac:dyDescent="0.25">
      <c r="A4455" s="115">
        <v>-2</v>
      </c>
      <c r="B4455" s="115" t="s">
        <v>6456</v>
      </c>
      <c r="D4455" s="115" t="s">
        <v>6457</v>
      </c>
      <c r="E4455" s="115" t="s">
        <v>6458</v>
      </c>
    </row>
    <row r="4456" spans="1:5" x14ac:dyDescent="0.25">
      <c r="B4456" s="115" t="s">
        <v>1138</v>
      </c>
      <c r="D4456" s="115" t="s">
        <v>5173</v>
      </c>
      <c r="E4456" s="115" t="s">
        <v>6459</v>
      </c>
    </row>
    <row r="4457" spans="1:5" x14ac:dyDescent="0.25">
      <c r="B4457" s="115" t="s">
        <v>1138</v>
      </c>
      <c r="D4457" s="115" t="s">
        <v>6460</v>
      </c>
      <c r="E4457" s="115" t="s">
        <v>6461</v>
      </c>
    </row>
    <row r="4458" spans="1:5" x14ac:dyDescent="0.25">
      <c r="A4458" s="115">
        <v>-3</v>
      </c>
      <c r="B4458" s="115" t="s">
        <v>6462</v>
      </c>
      <c r="D4458" s="115" t="s">
        <v>4886</v>
      </c>
      <c r="E4458" s="115" t="s">
        <v>6463</v>
      </c>
    </row>
    <row r="4459" spans="1:5" x14ac:dyDescent="0.25">
      <c r="A4459" s="115" t="s">
        <v>1137</v>
      </c>
      <c r="B4459" s="115" t="s">
        <v>1559</v>
      </c>
      <c r="D4459" s="115" t="s">
        <v>1859</v>
      </c>
      <c r="E4459" s="115" t="s">
        <v>6464</v>
      </c>
    </row>
    <row r="4460" spans="1:5" x14ac:dyDescent="0.25">
      <c r="A4460" s="115">
        <v>-2</v>
      </c>
      <c r="B4460" s="115" t="s">
        <v>6465</v>
      </c>
      <c r="C4460" s="115" t="s">
        <v>1137</v>
      </c>
      <c r="D4460" s="115" t="s">
        <v>6466</v>
      </c>
      <c r="E4460" s="115" t="s">
        <v>1140</v>
      </c>
    </row>
    <row r="4461" spans="1:5" x14ac:dyDescent="0.25">
      <c r="B4461" s="115" t="s">
        <v>1263</v>
      </c>
      <c r="D4461" s="115" t="s">
        <v>6467</v>
      </c>
      <c r="E4461" s="115" t="s">
        <v>6468</v>
      </c>
    </row>
    <row r="4462" spans="1:5" x14ac:dyDescent="0.25">
      <c r="B4462" s="115" t="s">
        <v>6469</v>
      </c>
      <c r="C4462" s="115" t="s">
        <v>1137</v>
      </c>
      <c r="D4462" s="115" t="s">
        <v>6470</v>
      </c>
      <c r="E4462" s="115" t="s">
        <v>6471</v>
      </c>
    </row>
    <row r="4463" spans="1:5" x14ac:dyDescent="0.25">
      <c r="B4463" s="115" t="s">
        <v>1138</v>
      </c>
      <c r="D4463" s="115" t="s">
        <v>1139</v>
      </c>
      <c r="E4463" s="115" t="s">
        <v>1140</v>
      </c>
    </row>
    <row r="4464" spans="1:5" x14ac:dyDescent="0.25">
      <c r="B4464" s="115" t="s">
        <v>1138</v>
      </c>
      <c r="D4464" s="115" t="s">
        <v>6472</v>
      </c>
      <c r="E4464" s="115" t="s">
        <v>2081</v>
      </c>
    </row>
    <row r="4465" spans="1:5" x14ac:dyDescent="0.25">
      <c r="B4465" s="115" t="s">
        <v>6473</v>
      </c>
      <c r="D4465" s="115" t="s">
        <v>6474</v>
      </c>
      <c r="E4465" s="115" t="s">
        <v>6475</v>
      </c>
    </row>
    <row r="4466" spans="1:5" x14ac:dyDescent="0.25">
      <c r="B4466" s="115" t="s">
        <v>5844</v>
      </c>
      <c r="D4466" s="115" t="s">
        <v>6476</v>
      </c>
      <c r="E4466" s="115" t="s">
        <v>6477</v>
      </c>
    </row>
    <row r="4467" spans="1:5" x14ac:dyDescent="0.25">
      <c r="A4467" s="115">
        <v>18</v>
      </c>
      <c r="B4467" s="115" t="s">
        <v>6478</v>
      </c>
      <c r="C4467" s="115">
        <v>1</v>
      </c>
      <c r="D4467" s="115" t="s">
        <v>6479</v>
      </c>
      <c r="E4467" s="115" t="s">
        <v>6480</v>
      </c>
    </row>
    <row r="4468" spans="1:5" x14ac:dyDescent="0.25">
      <c r="A4468" s="115">
        <v>8</v>
      </c>
      <c r="B4468" s="115" t="s">
        <v>6481</v>
      </c>
      <c r="D4468" s="115" t="s">
        <v>6482</v>
      </c>
      <c r="E4468" s="115" t="s">
        <v>6483</v>
      </c>
    </row>
    <row r="4469" spans="1:5" x14ac:dyDescent="0.25">
      <c r="B4469" s="115" t="s">
        <v>1138</v>
      </c>
      <c r="D4469" s="115" t="s">
        <v>6484</v>
      </c>
      <c r="E4469" s="115" t="s">
        <v>1140</v>
      </c>
    </row>
    <row r="4470" spans="1:5" x14ac:dyDescent="0.25">
      <c r="B4470" s="115" t="s">
        <v>1138</v>
      </c>
      <c r="D4470" s="115" t="s">
        <v>6485</v>
      </c>
      <c r="E4470" s="115" t="s">
        <v>6486</v>
      </c>
    </row>
    <row r="4471" spans="1:5" x14ac:dyDescent="0.25">
      <c r="B4471" s="115" t="s">
        <v>6487</v>
      </c>
      <c r="D4471" s="115" t="s">
        <v>6488</v>
      </c>
      <c r="E4471" s="115" t="s">
        <v>2479</v>
      </c>
    </row>
    <row r="4472" spans="1:5" x14ac:dyDescent="0.25">
      <c r="B4472" s="115" t="s">
        <v>1362</v>
      </c>
      <c r="D4472" s="115" t="s">
        <v>1139</v>
      </c>
      <c r="E4472" s="115" t="s">
        <v>6489</v>
      </c>
    </row>
    <row r="4473" spans="1:5" x14ac:dyDescent="0.25">
      <c r="B4473" s="115" t="s">
        <v>1138</v>
      </c>
      <c r="D4473" s="115" t="s">
        <v>6490</v>
      </c>
      <c r="E4473" s="115" t="s">
        <v>6491</v>
      </c>
    </row>
    <row r="4474" spans="1:5" x14ac:dyDescent="0.25">
      <c r="B4474" s="115" t="s">
        <v>1138</v>
      </c>
      <c r="D4474" s="115" t="s">
        <v>6492</v>
      </c>
      <c r="E4474" s="115" t="s">
        <v>6493</v>
      </c>
    </row>
    <row r="4475" spans="1:5" x14ac:dyDescent="0.25">
      <c r="B4475" s="115" t="s">
        <v>6494</v>
      </c>
      <c r="D4475" s="115" t="s">
        <v>6495</v>
      </c>
      <c r="E4475" s="115" t="s">
        <v>6496</v>
      </c>
    </row>
    <row r="4476" spans="1:5" x14ac:dyDescent="0.25">
      <c r="B4476" s="115" t="s">
        <v>6497</v>
      </c>
      <c r="D4476" s="115" t="s">
        <v>6498</v>
      </c>
      <c r="E4476" s="115" t="s">
        <v>6499</v>
      </c>
    </row>
    <row r="4477" spans="1:5" x14ac:dyDescent="0.25">
      <c r="B4477" s="115">
        <f>-25   -934</f>
        <v>-959</v>
      </c>
      <c r="D4477" s="115" t="s">
        <v>6500</v>
      </c>
      <c r="E4477" s="115" t="s">
        <v>6501</v>
      </c>
    </row>
    <row r="4478" spans="1:5" x14ac:dyDescent="0.25">
      <c r="B4478" s="115" t="s">
        <v>6502</v>
      </c>
      <c r="D4478" s="115" t="s">
        <v>6503</v>
      </c>
      <c r="E4478" s="115" t="s">
        <v>6504</v>
      </c>
    </row>
    <row r="4479" spans="1:5" x14ac:dyDescent="0.25">
      <c r="B4479" s="115" t="s">
        <v>6505</v>
      </c>
      <c r="D4479" s="115" t="s">
        <v>6506</v>
      </c>
      <c r="E4479" s="115" t="s">
        <v>6507</v>
      </c>
    </row>
    <row r="4480" spans="1:5" x14ac:dyDescent="0.25">
      <c r="B4480" s="115" t="s">
        <v>6508</v>
      </c>
      <c r="D4480" s="115" t="s">
        <v>6509</v>
      </c>
      <c r="E4480" s="115" t="s">
        <v>6510</v>
      </c>
    </row>
    <row r="4481" spans="1:5" x14ac:dyDescent="0.25">
      <c r="B4481" s="115" t="s">
        <v>1138</v>
      </c>
      <c r="D4481" s="115" t="s">
        <v>6511</v>
      </c>
      <c r="E4481" s="115" t="s">
        <v>6512</v>
      </c>
    </row>
    <row r="4482" spans="1:5" x14ac:dyDescent="0.25">
      <c r="B4482" s="115" t="s">
        <v>6513</v>
      </c>
      <c r="D4482" s="115" t="s">
        <v>6514</v>
      </c>
      <c r="E4482" s="115" t="s">
        <v>6515</v>
      </c>
    </row>
    <row r="4483" spans="1:5" x14ac:dyDescent="0.25">
      <c r="A4483" s="115">
        <v>1</v>
      </c>
      <c r="B4483" s="115" t="s">
        <v>6516</v>
      </c>
      <c r="D4483" s="115" t="s">
        <v>6517</v>
      </c>
      <c r="E4483" s="115" t="s">
        <v>6518</v>
      </c>
    </row>
    <row r="4484" spans="1:5" x14ac:dyDescent="0.25">
      <c r="B4484" s="115" t="s">
        <v>1152</v>
      </c>
      <c r="D4484" s="115" t="s">
        <v>1656</v>
      </c>
      <c r="E4484" s="115" t="s">
        <v>1140</v>
      </c>
    </row>
    <row r="4485" spans="1:5" x14ac:dyDescent="0.25">
      <c r="B4485" s="115" t="s">
        <v>1465</v>
      </c>
      <c r="D4485" s="115" t="s">
        <v>6519</v>
      </c>
      <c r="E4485" s="115" t="s">
        <v>2259</v>
      </c>
    </row>
    <row r="4486" spans="1:5" x14ac:dyDescent="0.25">
      <c r="B4486" s="115" t="s">
        <v>6520</v>
      </c>
      <c r="C4486" s="115" t="s">
        <v>1137</v>
      </c>
      <c r="D4486" s="115" t="s">
        <v>6521</v>
      </c>
      <c r="E4486" s="115" t="s">
        <v>6522</v>
      </c>
    </row>
    <row r="4487" spans="1:5" x14ac:dyDescent="0.25">
      <c r="B4487" s="115" t="s">
        <v>1283</v>
      </c>
      <c r="D4487" s="115" t="s">
        <v>1528</v>
      </c>
      <c r="E4487" s="115" t="s">
        <v>6523</v>
      </c>
    </row>
    <row r="4488" spans="1:5" x14ac:dyDescent="0.25">
      <c r="B4488" s="115" t="s">
        <v>1474</v>
      </c>
      <c r="D4488" s="115" t="s">
        <v>6524</v>
      </c>
      <c r="E4488" s="115" t="s">
        <v>6525</v>
      </c>
    </row>
    <row r="4489" spans="1:5" x14ac:dyDescent="0.25">
      <c r="B4489" s="115" t="s">
        <v>1138</v>
      </c>
      <c r="D4489" s="115" t="s">
        <v>1139</v>
      </c>
      <c r="E4489" s="115" t="s">
        <v>6526</v>
      </c>
    </row>
    <row r="4490" spans="1:5" x14ac:dyDescent="0.25">
      <c r="A4490" s="115">
        <v>1</v>
      </c>
      <c r="B4490" s="115" t="s">
        <v>6527</v>
      </c>
      <c r="D4490" s="115" t="s">
        <v>6528</v>
      </c>
      <c r="E4490" s="115" t="s">
        <v>6529</v>
      </c>
    </row>
    <row r="4491" spans="1:5" x14ac:dyDescent="0.25">
      <c r="B4491" s="115" t="s">
        <v>1138</v>
      </c>
      <c r="D4491" s="115" t="s">
        <v>6530</v>
      </c>
      <c r="E4491" s="115" t="s">
        <v>1701</v>
      </c>
    </row>
    <row r="4492" spans="1:5" x14ac:dyDescent="0.25">
      <c r="B4492" s="115" t="s">
        <v>1138</v>
      </c>
      <c r="D4492" s="115" t="s">
        <v>1139</v>
      </c>
      <c r="E4492" s="115" t="s">
        <v>1140</v>
      </c>
    </row>
    <row r="4493" spans="1:5" x14ac:dyDescent="0.25">
      <c r="B4493" s="115" t="s">
        <v>6531</v>
      </c>
      <c r="D4493" s="115" t="s">
        <v>1139</v>
      </c>
      <c r="E4493" s="115" t="s">
        <v>6532</v>
      </c>
    </row>
    <row r="4494" spans="1:5" x14ac:dyDescent="0.25">
      <c r="A4494" s="115">
        <v>17</v>
      </c>
      <c r="B4494" s="115" t="s">
        <v>6533</v>
      </c>
      <c r="C4494" s="115">
        <v>1</v>
      </c>
      <c r="D4494" s="115" t="s">
        <v>6534</v>
      </c>
      <c r="E4494" s="115" t="s">
        <v>6535</v>
      </c>
    </row>
    <row r="4495" spans="1:5" x14ac:dyDescent="0.25">
      <c r="A4495" s="115">
        <v>26</v>
      </c>
      <c r="B4495" s="115" t="s">
        <v>6536</v>
      </c>
      <c r="D4495" s="115" t="s">
        <v>6537</v>
      </c>
      <c r="E4495" s="115" t="s">
        <v>6538</v>
      </c>
    </row>
    <row r="4496" spans="1:5" x14ac:dyDescent="0.25">
      <c r="A4496" s="115">
        <v>33</v>
      </c>
      <c r="B4496" s="115" t="s">
        <v>6539</v>
      </c>
      <c r="C4496" s="115">
        <v>1</v>
      </c>
      <c r="D4496" s="115" t="s">
        <v>6540</v>
      </c>
      <c r="E4496" s="115" t="s">
        <v>6541</v>
      </c>
    </row>
    <row r="4497" spans="1:5" x14ac:dyDescent="0.25">
      <c r="B4497" s="115" t="s">
        <v>6542</v>
      </c>
      <c r="D4497" s="115" t="s">
        <v>6543</v>
      </c>
      <c r="E4497" s="115" t="s">
        <v>6544</v>
      </c>
    </row>
    <row r="4498" spans="1:5" x14ac:dyDescent="0.25">
      <c r="B4498" s="115" t="s">
        <v>6545</v>
      </c>
      <c r="D4498" s="115" t="s">
        <v>1139</v>
      </c>
      <c r="E4498" s="115" t="s">
        <v>1140</v>
      </c>
    </row>
    <row r="4499" spans="1:5" x14ac:dyDescent="0.25">
      <c r="B4499" s="115">
        <f>-94   -680</f>
        <v>-774</v>
      </c>
      <c r="D4499" s="115" t="s">
        <v>6546</v>
      </c>
      <c r="E4499" s="115" t="s">
        <v>6547</v>
      </c>
    </row>
    <row r="4500" spans="1:5" x14ac:dyDescent="0.25">
      <c r="B4500" s="115" t="s">
        <v>1138</v>
      </c>
      <c r="D4500" s="115" t="s">
        <v>6548</v>
      </c>
      <c r="E4500" s="115" t="s">
        <v>6549</v>
      </c>
    </row>
    <row r="4501" spans="1:5" x14ac:dyDescent="0.25">
      <c r="B4501" s="115" t="s">
        <v>1138</v>
      </c>
      <c r="D4501" s="115" t="s">
        <v>1667</v>
      </c>
      <c r="E4501" s="115" t="s">
        <v>1140</v>
      </c>
    </row>
    <row r="4502" spans="1:5" x14ac:dyDescent="0.25">
      <c r="B4502" s="115" t="s">
        <v>5422</v>
      </c>
      <c r="C4502" s="115" t="s">
        <v>1137</v>
      </c>
      <c r="D4502" s="115" t="s">
        <v>6550</v>
      </c>
      <c r="E4502" s="115" t="s">
        <v>1634</v>
      </c>
    </row>
    <row r="4503" spans="1:5" x14ac:dyDescent="0.25">
      <c r="A4503" s="115" t="s">
        <v>1137</v>
      </c>
      <c r="B4503" s="115" t="s">
        <v>6551</v>
      </c>
      <c r="D4503" s="115" t="s">
        <v>6552</v>
      </c>
      <c r="E4503" s="115" t="s">
        <v>6553</v>
      </c>
    </row>
    <row r="4504" spans="1:5" x14ac:dyDescent="0.25">
      <c r="A4504" s="115" t="s">
        <v>1137</v>
      </c>
      <c r="B4504" s="115" t="s">
        <v>6554</v>
      </c>
      <c r="D4504" s="115" t="s">
        <v>6555</v>
      </c>
      <c r="E4504" s="115" t="s">
        <v>6556</v>
      </c>
    </row>
    <row r="4505" spans="1:5" x14ac:dyDescent="0.25">
      <c r="B4505" s="115" t="s">
        <v>6557</v>
      </c>
      <c r="C4505" s="115" t="s">
        <v>1137</v>
      </c>
      <c r="D4505" s="115" t="s">
        <v>6558</v>
      </c>
      <c r="E4505" s="115" t="s">
        <v>6559</v>
      </c>
    </row>
    <row r="4506" spans="1:5" x14ac:dyDescent="0.25">
      <c r="A4506" s="115" t="s">
        <v>1137</v>
      </c>
      <c r="B4506" s="115" t="s">
        <v>6560</v>
      </c>
      <c r="D4506" s="115" t="s">
        <v>6561</v>
      </c>
      <c r="E4506" s="115" t="s">
        <v>6562</v>
      </c>
    </row>
    <row r="4507" spans="1:5" x14ac:dyDescent="0.25">
      <c r="A4507" s="115" t="s">
        <v>1137</v>
      </c>
      <c r="B4507" s="115" t="s">
        <v>6563</v>
      </c>
      <c r="D4507" s="115" t="s">
        <v>6564</v>
      </c>
      <c r="E4507" s="115" t="s">
        <v>6565</v>
      </c>
    </row>
    <row r="4508" spans="1:5" x14ac:dyDescent="0.25">
      <c r="B4508" s="115" t="s">
        <v>6566</v>
      </c>
      <c r="C4508" s="115" t="s">
        <v>1137</v>
      </c>
      <c r="D4508" s="115" t="s">
        <v>6567</v>
      </c>
      <c r="E4508" s="115" t="s">
        <v>6568</v>
      </c>
    </row>
    <row r="4509" spans="1:5" x14ac:dyDescent="0.25">
      <c r="A4509" s="115" t="s">
        <v>1137</v>
      </c>
      <c r="B4509" s="115" t="s">
        <v>6569</v>
      </c>
      <c r="D4509" s="115" t="s">
        <v>6570</v>
      </c>
      <c r="E4509" s="115" t="s">
        <v>6571</v>
      </c>
    </row>
    <row r="4510" spans="1:5" x14ac:dyDescent="0.25">
      <c r="B4510" s="115" t="s">
        <v>6572</v>
      </c>
      <c r="D4510" s="115" t="s">
        <v>6573</v>
      </c>
      <c r="E4510" s="115" t="s">
        <v>6574</v>
      </c>
    </row>
    <row r="4511" spans="1:5" x14ac:dyDescent="0.25">
      <c r="B4511" s="115" t="s">
        <v>6575</v>
      </c>
      <c r="C4511" s="115">
        <v>-2</v>
      </c>
      <c r="D4511" s="115" t="s">
        <v>6576</v>
      </c>
      <c r="E4511" s="115" t="s">
        <v>6577</v>
      </c>
    </row>
    <row r="4512" spans="1:5" x14ac:dyDescent="0.25">
      <c r="A4512" s="115">
        <v>9</v>
      </c>
      <c r="B4512" s="115" t="s">
        <v>6578</v>
      </c>
      <c r="D4512" s="115" t="s">
        <v>6579</v>
      </c>
      <c r="E4512" s="115" t="s">
        <v>6580</v>
      </c>
    </row>
    <row r="4513" spans="1:5" x14ac:dyDescent="0.25">
      <c r="A4513" s="115">
        <v>6</v>
      </c>
      <c r="B4513" s="115" t="s">
        <v>1463</v>
      </c>
      <c r="D4513" s="115" t="s">
        <v>1139</v>
      </c>
      <c r="E4513" s="115" t="s">
        <v>6581</v>
      </c>
    </row>
    <row r="4514" spans="1:5" x14ac:dyDescent="0.25">
      <c r="B4514" s="115" t="s">
        <v>6582</v>
      </c>
      <c r="D4514" s="115" t="s">
        <v>6583</v>
      </c>
      <c r="E4514" s="115" t="s">
        <v>6584</v>
      </c>
    </row>
    <row r="4515" spans="1:5" x14ac:dyDescent="0.25">
      <c r="A4515" s="115">
        <v>-2</v>
      </c>
      <c r="B4515" s="115" t="s">
        <v>6585</v>
      </c>
      <c r="C4515" s="115" t="s">
        <v>1137</v>
      </c>
      <c r="D4515" s="115" t="s">
        <v>6586</v>
      </c>
      <c r="E4515" s="115" t="s">
        <v>6587</v>
      </c>
    </row>
    <row r="4516" spans="1:5" x14ac:dyDescent="0.25">
      <c r="B4516" s="115" t="s">
        <v>1605</v>
      </c>
      <c r="D4516" s="115" t="s">
        <v>6588</v>
      </c>
      <c r="E4516" s="115" t="s">
        <v>6589</v>
      </c>
    </row>
    <row r="4517" spans="1:5" x14ac:dyDescent="0.25">
      <c r="A4517" s="115">
        <v>-3</v>
      </c>
      <c r="B4517" s="115" t="s">
        <v>6590</v>
      </c>
      <c r="D4517" s="115" t="s">
        <v>6591</v>
      </c>
      <c r="E4517" s="115" t="s">
        <v>6592</v>
      </c>
    </row>
    <row r="4518" spans="1:5" x14ac:dyDescent="0.25">
      <c r="B4518" s="115" t="s">
        <v>1138</v>
      </c>
      <c r="D4518" s="115" t="s">
        <v>6593</v>
      </c>
      <c r="E4518" s="115" t="s">
        <v>6594</v>
      </c>
    </row>
    <row r="4519" spans="1:5" x14ac:dyDescent="0.25">
      <c r="B4519" s="115" t="s">
        <v>1138</v>
      </c>
      <c r="C4519" s="115" t="s">
        <v>1137</v>
      </c>
      <c r="D4519" s="115" t="s">
        <v>6595</v>
      </c>
      <c r="E4519" s="115" t="s">
        <v>2536</v>
      </c>
    </row>
    <row r="4520" spans="1:5" x14ac:dyDescent="0.25">
      <c r="B4520" s="115" t="s">
        <v>6596</v>
      </c>
      <c r="D4520" s="115" t="s">
        <v>6597</v>
      </c>
      <c r="E4520" s="115" t="s">
        <v>1140</v>
      </c>
    </row>
    <row r="4521" spans="1:5" x14ac:dyDescent="0.25">
      <c r="B4521" s="115" t="s">
        <v>1138</v>
      </c>
      <c r="D4521" s="115" t="s">
        <v>1139</v>
      </c>
      <c r="E4521" s="115" t="s">
        <v>6598</v>
      </c>
    </row>
    <row r="4522" spans="1:5" x14ac:dyDescent="0.25">
      <c r="B4522" s="115" t="s">
        <v>1138</v>
      </c>
      <c r="D4522" s="115" t="s">
        <v>6599</v>
      </c>
      <c r="E4522" s="115" t="s">
        <v>6600</v>
      </c>
    </row>
    <row r="4523" spans="1:5" x14ac:dyDescent="0.25">
      <c r="B4523" s="115" t="s">
        <v>6601</v>
      </c>
      <c r="D4523" s="115" t="s">
        <v>6602</v>
      </c>
      <c r="E4523" s="115" t="s">
        <v>6603</v>
      </c>
    </row>
    <row r="4524" spans="1:5" x14ac:dyDescent="0.25">
      <c r="B4524" s="115" t="s">
        <v>6604</v>
      </c>
      <c r="C4524" s="115">
        <v>1</v>
      </c>
      <c r="D4524" s="115" t="s">
        <v>6605</v>
      </c>
      <c r="E4524" s="115" t="s">
        <v>6606</v>
      </c>
    </row>
    <row r="4525" spans="1:5" x14ac:dyDescent="0.25">
      <c r="A4525" s="115">
        <v>19</v>
      </c>
      <c r="B4525" s="115" t="s">
        <v>6607</v>
      </c>
      <c r="C4525" s="115">
        <v>2</v>
      </c>
      <c r="D4525" s="115" t="s">
        <v>6608</v>
      </c>
      <c r="E4525" s="115" t="s">
        <v>6609</v>
      </c>
    </row>
    <row r="4526" spans="1:5" x14ac:dyDescent="0.25">
      <c r="B4526" s="115" t="s">
        <v>1138</v>
      </c>
      <c r="D4526" s="115" t="s">
        <v>6610</v>
      </c>
      <c r="E4526" s="115" t="s">
        <v>6611</v>
      </c>
    </row>
    <row r="4527" spans="1:5" x14ac:dyDescent="0.25">
      <c r="B4527" s="115" t="s">
        <v>1138</v>
      </c>
      <c r="D4527" s="115" t="s">
        <v>1139</v>
      </c>
      <c r="E4527" s="115" t="s">
        <v>6612</v>
      </c>
    </row>
    <row r="4528" spans="1:5" x14ac:dyDescent="0.25">
      <c r="B4528" s="115" t="s">
        <v>1138</v>
      </c>
      <c r="D4528" s="115" t="s">
        <v>6613</v>
      </c>
      <c r="E4528" s="115" t="s">
        <v>6614</v>
      </c>
    </row>
    <row r="4529" spans="1:5" x14ac:dyDescent="0.25">
      <c r="B4529" s="115" t="s">
        <v>1174</v>
      </c>
      <c r="D4529" s="115" t="s">
        <v>6615</v>
      </c>
      <c r="E4529" s="115" t="s">
        <v>1858</v>
      </c>
    </row>
    <row r="4530" spans="1:5" x14ac:dyDescent="0.25">
      <c r="B4530" s="115" t="s">
        <v>1354</v>
      </c>
      <c r="D4530" s="115" t="s">
        <v>1139</v>
      </c>
      <c r="E4530" s="115" t="s">
        <v>6616</v>
      </c>
    </row>
    <row r="4531" spans="1:5" x14ac:dyDescent="0.25">
      <c r="A4531" s="115">
        <v>-22</v>
      </c>
      <c r="B4531" s="115" t="s">
        <v>6617</v>
      </c>
      <c r="D4531" s="115" t="s">
        <v>6618</v>
      </c>
      <c r="E4531" s="115" t="s">
        <v>6619</v>
      </c>
    </row>
    <row r="4532" spans="1:5" x14ac:dyDescent="0.25">
      <c r="B4532" s="115" t="s">
        <v>1138</v>
      </c>
      <c r="D4532" s="115" t="s">
        <v>6620</v>
      </c>
      <c r="E4532" s="115" t="s">
        <v>6621</v>
      </c>
    </row>
    <row r="4533" spans="1:5" x14ac:dyDescent="0.25">
      <c r="A4533" s="115" t="s">
        <v>1137</v>
      </c>
      <c r="B4533" s="115" t="s">
        <v>6622</v>
      </c>
      <c r="D4533" s="115" t="s">
        <v>1139</v>
      </c>
      <c r="E4533" s="115" t="s">
        <v>6623</v>
      </c>
    </row>
    <row r="4534" spans="1:5" x14ac:dyDescent="0.25">
      <c r="A4534" s="115">
        <v>-6</v>
      </c>
      <c r="B4534" s="115" t="s">
        <v>6624</v>
      </c>
      <c r="D4534" s="115" t="s">
        <v>6625</v>
      </c>
      <c r="E4534" s="115" t="s">
        <v>6626</v>
      </c>
    </row>
    <row r="4535" spans="1:5" x14ac:dyDescent="0.25">
      <c r="B4535" s="115" t="s">
        <v>6627</v>
      </c>
      <c r="D4535" s="115" t="s">
        <v>6628</v>
      </c>
      <c r="E4535" s="115" t="s">
        <v>6629</v>
      </c>
    </row>
    <row r="4536" spans="1:5" x14ac:dyDescent="0.25">
      <c r="B4536" s="115" t="s">
        <v>6630</v>
      </c>
      <c r="D4536" s="115" t="s">
        <v>1139</v>
      </c>
      <c r="E4536" s="115" t="s">
        <v>6631</v>
      </c>
    </row>
    <row r="4537" spans="1:5" x14ac:dyDescent="0.25">
      <c r="A4537" s="115">
        <v>-6</v>
      </c>
      <c r="B4537" s="115" t="s">
        <v>6632</v>
      </c>
      <c r="D4537" s="115" t="s">
        <v>6633</v>
      </c>
      <c r="E4537" s="115" t="s">
        <v>6634</v>
      </c>
    </row>
    <row r="4538" spans="1:5" x14ac:dyDescent="0.25">
      <c r="B4538" s="115" t="s">
        <v>6635</v>
      </c>
      <c r="D4538" s="115" t="s">
        <v>6636</v>
      </c>
      <c r="E4538" s="115" t="s">
        <v>6637</v>
      </c>
    </row>
    <row r="4539" spans="1:5" x14ac:dyDescent="0.25">
      <c r="B4539" s="115">
        <f>-36   -358</f>
        <v>-394</v>
      </c>
      <c r="D4539" s="115" t="s">
        <v>1139</v>
      </c>
      <c r="E4539" s="115" t="s">
        <v>6638</v>
      </c>
    </row>
    <row r="4540" spans="1:5" x14ac:dyDescent="0.25">
      <c r="A4540" s="115">
        <v>-8</v>
      </c>
      <c r="B4540" s="115" t="s">
        <v>6639</v>
      </c>
      <c r="D4540" s="115" t="s">
        <v>3013</v>
      </c>
      <c r="E4540" s="115" t="s">
        <v>6640</v>
      </c>
    </row>
    <row r="4541" spans="1:5" x14ac:dyDescent="0.25">
      <c r="B4541" s="115" t="s">
        <v>6641</v>
      </c>
      <c r="D4541" s="115" t="s">
        <v>6642</v>
      </c>
      <c r="E4541" s="115" t="s">
        <v>6643</v>
      </c>
    </row>
    <row r="4542" spans="1:5" x14ac:dyDescent="0.25">
      <c r="B4542" s="115" t="s">
        <v>1138</v>
      </c>
      <c r="D4542" s="115" t="s">
        <v>1139</v>
      </c>
      <c r="E4542" s="115" t="s">
        <v>6644</v>
      </c>
    </row>
    <row r="4543" spans="1:5" x14ac:dyDescent="0.25">
      <c r="A4543" s="115">
        <v>2</v>
      </c>
      <c r="B4543" s="115" t="s">
        <v>6645</v>
      </c>
      <c r="D4543" s="115" t="s">
        <v>1139</v>
      </c>
      <c r="E4543" s="115" t="s">
        <v>6646</v>
      </c>
    </row>
    <row r="4544" spans="1:5" x14ac:dyDescent="0.25">
      <c r="A4544" s="115">
        <v>-2</v>
      </c>
      <c r="B4544" s="115" t="s">
        <v>6647</v>
      </c>
      <c r="D4544" s="115" t="s">
        <v>1405</v>
      </c>
      <c r="E4544" s="115" t="s">
        <v>6648</v>
      </c>
    </row>
    <row r="4545" spans="1:5" x14ac:dyDescent="0.25">
      <c r="B4545" s="115" t="s">
        <v>6649</v>
      </c>
      <c r="D4545" s="115" t="s">
        <v>1139</v>
      </c>
      <c r="E4545" s="115" t="s">
        <v>6650</v>
      </c>
    </row>
    <row r="4546" spans="1:5" x14ac:dyDescent="0.25">
      <c r="A4546" s="115" t="s">
        <v>1137</v>
      </c>
      <c r="B4546" s="115" t="s">
        <v>6651</v>
      </c>
      <c r="D4546" s="115" t="s">
        <v>6652</v>
      </c>
      <c r="E4546" s="115" t="s">
        <v>1140</v>
      </c>
    </row>
    <row r="4547" spans="1:5" x14ac:dyDescent="0.25">
      <c r="B4547" s="115" t="s">
        <v>1138</v>
      </c>
      <c r="D4547" s="115" t="s">
        <v>6653</v>
      </c>
      <c r="E4547" s="115" t="s">
        <v>6654</v>
      </c>
    </row>
    <row r="4548" spans="1:5" x14ac:dyDescent="0.25">
      <c r="A4548" s="115" t="s">
        <v>1137</v>
      </c>
      <c r="B4548" s="115" t="s">
        <v>4661</v>
      </c>
      <c r="D4548" s="115" t="s">
        <v>6655</v>
      </c>
      <c r="E4548" s="115" t="s">
        <v>6656</v>
      </c>
    </row>
    <row r="4549" spans="1:5" x14ac:dyDescent="0.25">
      <c r="B4549" s="115" t="s">
        <v>1440</v>
      </c>
      <c r="D4549" s="115" t="s">
        <v>1139</v>
      </c>
      <c r="E4549" s="115" t="s">
        <v>1140</v>
      </c>
    </row>
    <row r="4550" spans="1:5" x14ac:dyDescent="0.25">
      <c r="B4550" s="115" t="s">
        <v>1138</v>
      </c>
      <c r="D4550" s="115" t="s">
        <v>1139</v>
      </c>
      <c r="E4550" s="115" t="s">
        <v>2531</v>
      </c>
    </row>
    <row r="4551" spans="1:5" x14ac:dyDescent="0.25">
      <c r="B4551" s="115" t="s">
        <v>1537</v>
      </c>
      <c r="D4551" s="115" t="s">
        <v>6657</v>
      </c>
      <c r="E4551" s="115" t="s">
        <v>6658</v>
      </c>
    </row>
    <row r="4552" spans="1:5" x14ac:dyDescent="0.25">
      <c r="B4552" s="115" t="s">
        <v>1138</v>
      </c>
      <c r="D4552" s="115" t="s">
        <v>6659</v>
      </c>
      <c r="E4552" s="115" t="s">
        <v>6660</v>
      </c>
    </row>
    <row r="4553" spans="1:5" x14ac:dyDescent="0.25">
      <c r="A4553" s="115">
        <v>16</v>
      </c>
      <c r="B4553" s="115" t="s">
        <v>6661</v>
      </c>
      <c r="C4553" s="115">
        <v>1</v>
      </c>
      <c r="D4553" s="115" t="s">
        <v>6662</v>
      </c>
      <c r="E4553" s="115" t="s">
        <v>6663</v>
      </c>
    </row>
    <row r="4554" spans="1:5" x14ac:dyDescent="0.25">
      <c r="A4554" s="115">
        <v>17</v>
      </c>
      <c r="B4554" s="115" t="s">
        <v>6664</v>
      </c>
      <c r="C4554" s="115">
        <v>1</v>
      </c>
      <c r="D4554" s="115" t="s">
        <v>6665</v>
      </c>
      <c r="E4554" s="115" t="s">
        <v>6666</v>
      </c>
    </row>
    <row r="4555" spans="1:5" x14ac:dyDescent="0.25">
      <c r="B4555" s="115" t="s">
        <v>1387</v>
      </c>
      <c r="D4555" s="115" t="s">
        <v>1374</v>
      </c>
      <c r="E4555" s="115" t="s">
        <v>6667</v>
      </c>
    </row>
    <row r="4556" spans="1:5" x14ac:dyDescent="0.25">
      <c r="B4556" s="115" t="s">
        <v>1138</v>
      </c>
      <c r="D4556" s="115" t="s">
        <v>1139</v>
      </c>
      <c r="E4556" s="115" t="s">
        <v>6668</v>
      </c>
    </row>
    <row r="4557" spans="1:5" x14ac:dyDescent="0.25">
      <c r="B4557" s="115" t="s">
        <v>1661</v>
      </c>
      <c r="D4557" s="115" t="s">
        <v>6669</v>
      </c>
      <c r="E4557" s="115" t="s">
        <v>6670</v>
      </c>
    </row>
    <row r="4558" spans="1:5" x14ac:dyDescent="0.25">
      <c r="B4558" s="115" t="s">
        <v>4576</v>
      </c>
      <c r="D4558" s="115" t="s">
        <v>1939</v>
      </c>
      <c r="E4558" s="115" t="s">
        <v>1140</v>
      </c>
    </row>
    <row r="4559" spans="1:5" x14ac:dyDescent="0.25">
      <c r="B4559" s="115" t="s">
        <v>1868</v>
      </c>
      <c r="D4559" s="115" t="s">
        <v>1139</v>
      </c>
      <c r="E4559" s="115" t="s">
        <v>6671</v>
      </c>
    </row>
    <row r="4560" spans="1:5" x14ac:dyDescent="0.25">
      <c r="B4560" s="115" t="s">
        <v>6672</v>
      </c>
      <c r="D4560" s="115" t="s">
        <v>1139</v>
      </c>
      <c r="E4560" s="115" t="s">
        <v>6673</v>
      </c>
    </row>
    <row r="4561" spans="1:5" x14ac:dyDescent="0.25">
      <c r="B4561" s="115" t="s">
        <v>1901</v>
      </c>
      <c r="D4561" s="115" t="s">
        <v>6674</v>
      </c>
      <c r="E4561" s="115" t="s">
        <v>6675</v>
      </c>
    </row>
    <row r="4562" spans="1:5" x14ac:dyDescent="0.25">
      <c r="B4562" s="115" t="s">
        <v>1593</v>
      </c>
      <c r="D4562" s="115" t="s">
        <v>6676</v>
      </c>
      <c r="E4562" s="115" t="s">
        <v>6677</v>
      </c>
    </row>
    <row r="4563" spans="1:5" x14ac:dyDescent="0.25">
      <c r="A4563" s="115">
        <v>-2</v>
      </c>
      <c r="B4563" s="115" t="s">
        <v>6678</v>
      </c>
      <c r="C4563" s="115" t="s">
        <v>1137</v>
      </c>
      <c r="D4563" s="115" t="s">
        <v>6679</v>
      </c>
      <c r="E4563" s="115" t="s">
        <v>6680</v>
      </c>
    </row>
    <row r="4564" spans="1:5" x14ac:dyDescent="0.25">
      <c r="A4564" s="115">
        <v>-2</v>
      </c>
      <c r="B4564" s="115" t="s">
        <v>6681</v>
      </c>
      <c r="D4564" s="115" t="s">
        <v>6682</v>
      </c>
      <c r="E4564" s="115" t="s">
        <v>6683</v>
      </c>
    </row>
    <row r="4565" spans="1:5" x14ac:dyDescent="0.25">
      <c r="B4565" s="115" t="s">
        <v>3716</v>
      </c>
      <c r="D4565" s="115" t="s">
        <v>6684</v>
      </c>
      <c r="E4565" s="115" t="s">
        <v>6685</v>
      </c>
    </row>
    <row r="4566" spans="1:5" x14ac:dyDescent="0.25">
      <c r="B4566" s="115" t="s">
        <v>6686</v>
      </c>
      <c r="D4566" s="115" t="s">
        <v>6687</v>
      </c>
      <c r="E4566" s="115" t="s">
        <v>6688</v>
      </c>
    </row>
    <row r="4567" spans="1:5" x14ac:dyDescent="0.25">
      <c r="A4567" s="115">
        <v>-1</v>
      </c>
      <c r="B4567" s="115" t="s">
        <v>6689</v>
      </c>
      <c r="D4567" s="115" t="s">
        <v>6690</v>
      </c>
      <c r="E4567" s="115" t="s">
        <v>6691</v>
      </c>
    </row>
    <row r="4568" spans="1:5" x14ac:dyDescent="0.25">
      <c r="B4568" s="115" t="s">
        <v>6692</v>
      </c>
      <c r="D4568" s="115" t="s">
        <v>6693</v>
      </c>
      <c r="E4568" s="115" t="s">
        <v>6694</v>
      </c>
    </row>
    <row r="4569" spans="1:5" x14ac:dyDescent="0.25">
      <c r="B4569" s="115" t="s">
        <v>1458</v>
      </c>
      <c r="D4569" s="115" t="s">
        <v>6695</v>
      </c>
      <c r="E4569" s="115" t="s">
        <v>6696</v>
      </c>
    </row>
    <row r="4570" spans="1:5" x14ac:dyDescent="0.25">
      <c r="A4570" s="115" t="s">
        <v>1137</v>
      </c>
      <c r="B4570" s="115" t="s">
        <v>1293</v>
      </c>
      <c r="D4570" s="115" t="s">
        <v>6697</v>
      </c>
      <c r="E4570" s="115" t="s">
        <v>6698</v>
      </c>
    </row>
    <row r="4571" spans="1:5" x14ac:dyDescent="0.25">
      <c r="B4571" s="115" t="s">
        <v>1138</v>
      </c>
      <c r="D4571" s="115" t="s">
        <v>6676</v>
      </c>
      <c r="E4571" s="115" t="s">
        <v>6699</v>
      </c>
    </row>
    <row r="4572" spans="1:5" x14ac:dyDescent="0.25">
      <c r="B4572" s="115" t="s">
        <v>1138</v>
      </c>
      <c r="D4572" s="115" t="s">
        <v>6700</v>
      </c>
      <c r="E4572" s="115" t="s">
        <v>6701</v>
      </c>
    </row>
    <row r="4573" spans="1:5" x14ac:dyDescent="0.25">
      <c r="A4573" s="115">
        <v>-6</v>
      </c>
      <c r="B4573" s="115" t="s">
        <v>6702</v>
      </c>
      <c r="D4573" s="115" t="s">
        <v>6703</v>
      </c>
      <c r="E4573" s="115" t="s">
        <v>6704</v>
      </c>
    </row>
    <row r="4574" spans="1:5" x14ac:dyDescent="0.25">
      <c r="A4574" s="115">
        <v>-2</v>
      </c>
      <c r="B4574" s="115" t="s">
        <v>3097</v>
      </c>
      <c r="D4574" s="115" t="s">
        <v>6705</v>
      </c>
      <c r="E4574" s="115" t="s">
        <v>6706</v>
      </c>
    </row>
    <row r="4575" spans="1:5" x14ac:dyDescent="0.25">
      <c r="A4575" s="115">
        <v>-2</v>
      </c>
      <c r="B4575" s="115" t="s">
        <v>6707</v>
      </c>
      <c r="C4575" s="115" t="s">
        <v>1137</v>
      </c>
      <c r="D4575" s="115" t="s">
        <v>6708</v>
      </c>
      <c r="E4575" s="115" t="s">
        <v>1140</v>
      </c>
    </row>
    <row r="4576" spans="1:5" x14ac:dyDescent="0.25">
      <c r="B4576" s="115" t="s">
        <v>1433</v>
      </c>
      <c r="D4576" s="115" t="s">
        <v>6709</v>
      </c>
      <c r="E4576" s="115" t="s">
        <v>6710</v>
      </c>
    </row>
    <row r="4577" spans="1:5" x14ac:dyDescent="0.25">
      <c r="B4577" s="115" t="s">
        <v>1543</v>
      </c>
      <c r="C4577" s="115" t="s">
        <v>1137</v>
      </c>
      <c r="D4577" s="115" t="s">
        <v>6711</v>
      </c>
      <c r="E4577" s="115" t="s">
        <v>6712</v>
      </c>
    </row>
    <row r="4578" spans="1:5" x14ac:dyDescent="0.25">
      <c r="B4578" s="115" t="s">
        <v>1138</v>
      </c>
      <c r="D4578" s="115" t="s">
        <v>1139</v>
      </c>
      <c r="E4578" s="115" t="s">
        <v>1140</v>
      </c>
    </row>
    <row r="4579" spans="1:5" x14ac:dyDescent="0.25">
      <c r="B4579" s="115" t="s">
        <v>1138</v>
      </c>
      <c r="D4579" s="115" t="s">
        <v>2758</v>
      </c>
      <c r="E4579" s="115" t="s">
        <v>2081</v>
      </c>
    </row>
    <row r="4580" spans="1:5" x14ac:dyDescent="0.25">
      <c r="B4580" s="115" t="s">
        <v>6713</v>
      </c>
      <c r="D4580" s="115" t="s">
        <v>6714</v>
      </c>
      <c r="E4580" s="115" t="s">
        <v>6715</v>
      </c>
    </row>
    <row r="4581" spans="1:5" x14ac:dyDescent="0.25">
      <c r="B4581" s="115" t="s">
        <v>6716</v>
      </c>
      <c r="C4581" s="115">
        <v>1</v>
      </c>
      <c r="D4581" s="115" t="s">
        <v>6717</v>
      </c>
      <c r="E4581" s="115" t="s">
        <v>6718</v>
      </c>
    </row>
    <row r="4582" spans="1:5" x14ac:dyDescent="0.25">
      <c r="A4582" s="115">
        <v>25</v>
      </c>
      <c r="B4582" s="115" t="s">
        <v>6719</v>
      </c>
      <c r="C4582" s="115">
        <v>1</v>
      </c>
      <c r="D4582" s="115" t="s">
        <v>6720</v>
      </c>
      <c r="E4582" s="115" t="s">
        <v>6721</v>
      </c>
    </row>
    <row r="4583" spans="1:5" x14ac:dyDescent="0.25">
      <c r="A4583" s="115">
        <v>12</v>
      </c>
      <c r="B4583" s="115" t="s">
        <v>6722</v>
      </c>
      <c r="C4583" s="115">
        <v>2</v>
      </c>
      <c r="D4583" s="115" t="s">
        <v>6723</v>
      </c>
      <c r="E4583" s="115" t="s">
        <v>6724</v>
      </c>
    </row>
    <row r="4584" spans="1:5" x14ac:dyDescent="0.25">
      <c r="B4584" s="115" t="s">
        <v>2240</v>
      </c>
      <c r="D4584" s="115" t="s">
        <v>1249</v>
      </c>
      <c r="E4584" s="115" t="s">
        <v>6725</v>
      </c>
    </row>
    <row r="4585" spans="1:5" x14ac:dyDescent="0.25">
      <c r="B4585" s="115" t="s">
        <v>1138</v>
      </c>
      <c r="D4585" s="115" t="s">
        <v>1139</v>
      </c>
      <c r="E4585" s="115" t="s">
        <v>6726</v>
      </c>
    </row>
    <row r="4586" spans="1:5" x14ac:dyDescent="0.25">
      <c r="B4586" s="115" t="s">
        <v>6727</v>
      </c>
      <c r="D4586" s="115" t="s">
        <v>6728</v>
      </c>
      <c r="E4586" s="115" t="s">
        <v>6729</v>
      </c>
    </row>
    <row r="4587" spans="1:5" x14ac:dyDescent="0.25">
      <c r="B4587" s="115" t="s">
        <v>1272</v>
      </c>
      <c r="D4587" s="115" t="s">
        <v>4857</v>
      </c>
      <c r="E4587" s="115" t="s">
        <v>1140</v>
      </c>
    </row>
    <row r="4588" spans="1:5" x14ac:dyDescent="0.25">
      <c r="B4588" s="115" t="s">
        <v>6730</v>
      </c>
      <c r="D4588" s="115" t="s">
        <v>1139</v>
      </c>
      <c r="E4588" s="115" t="s">
        <v>6731</v>
      </c>
    </row>
    <row r="4589" spans="1:5" x14ac:dyDescent="0.25">
      <c r="B4589" s="115" t="s">
        <v>6732</v>
      </c>
      <c r="D4589" s="115" t="s">
        <v>1139</v>
      </c>
      <c r="E4589" s="115" t="s">
        <v>6733</v>
      </c>
    </row>
    <row r="4590" spans="1:5" x14ac:dyDescent="0.25">
      <c r="B4590" s="115" t="s">
        <v>5568</v>
      </c>
      <c r="D4590" s="115" t="s">
        <v>6734</v>
      </c>
      <c r="E4590" s="115" t="s">
        <v>6735</v>
      </c>
    </row>
    <row r="4591" spans="1:5" x14ac:dyDescent="0.25">
      <c r="B4591" s="115" t="s">
        <v>1403</v>
      </c>
      <c r="D4591" s="115" t="s">
        <v>5009</v>
      </c>
      <c r="E4591" s="115" t="s">
        <v>6736</v>
      </c>
    </row>
    <row r="4592" spans="1:5" x14ac:dyDescent="0.25">
      <c r="B4592" s="115" t="s">
        <v>6737</v>
      </c>
      <c r="D4592" s="115" t="s">
        <v>6738</v>
      </c>
      <c r="E4592" s="115" t="s">
        <v>6739</v>
      </c>
    </row>
    <row r="4593" spans="1:5" x14ac:dyDescent="0.25">
      <c r="A4593" s="115">
        <v>-1</v>
      </c>
      <c r="B4593" s="115" t="s">
        <v>6740</v>
      </c>
      <c r="D4593" s="115" t="s">
        <v>6741</v>
      </c>
      <c r="E4593" s="115" t="s">
        <v>6742</v>
      </c>
    </row>
    <row r="4594" spans="1:5" x14ac:dyDescent="0.25">
      <c r="B4594" s="115" t="s">
        <v>1300</v>
      </c>
      <c r="D4594" s="115" t="s">
        <v>5854</v>
      </c>
      <c r="E4594" s="115" t="s">
        <v>6743</v>
      </c>
    </row>
    <row r="4595" spans="1:5" x14ac:dyDescent="0.25">
      <c r="A4595" s="115">
        <v>-2</v>
      </c>
      <c r="B4595" s="115" t="s">
        <v>6744</v>
      </c>
      <c r="C4595" s="115" t="s">
        <v>1137</v>
      </c>
      <c r="D4595" s="115" t="s">
        <v>6745</v>
      </c>
      <c r="E4595" s="115" t="s">
        <v>6746</v>
      </c>
    </row>
    <row r="4596" spans="1:5" x14ac:dyDescent="0.25">
      <c r="A4596" s="115">
        <v>-2</v>
      </c>
      <c r="B4596" s="115" t="s">
        <v>6747</v>
      </c>
      <c r="D4596" s="115" t="s">
        <v>6748</v>
      </c>
      <c r="E4596" s="115" t="s">
        <v>6749</v>
      </c>
    </row>
    <row r="4597" spans="1:5" x14ac:dyDescent="0.25">
      <c r="B4597" s="115" t="s">
        <v>1531</v>
      </c>
      <c r="D4597" s="115" t="s">
        <v>6750</v>
      </c>
      <c r="E4597" s="115" t="s">
        <v>6751</v>
      </c>
    </row>
    <row r="4598" spans="1:5" x14ac:dyDescent="0.25">
      <c r="B4598" s="115" t="s">
        <v>6752</v>
      </c>
      <c r="D4598" s="115" t="s">
        <v>6753</v>
      </c>
      <c r="E4598" s="115" t="s">
        <v>6754</v>
      </c>
    </row>
    <row r="4599" spans="1:5" x14ac:dyDescent="0.25">
      <c r="A4599" s="115" t="s">
        <v>1137</v>
      </c>
      <c r="B4599" s="115" t="s">
        <v>1278</v>
      </c>
      <c r="D4599" s="115" t="s">
        <v>6755</v>
      </c>
      <c r="E4599" s="115" t="s">
        <v>6756</v>
      </c>
    </row>
    <row r="4600" spans="1:5" x14ac:dyDescent="0.25">
      <c r="B4600" s="115" t="s">
        <v>1138</v>
      </c>
      <c r="D4600" s="115" t="s">
        <v>6436</v>
      </c>
      <c r="E4600" s="115" t="s">
        <v>6757</v>
      </c>
    </row>
    <row r="4601" spans="1:5" x14ac:dyDescent="0.25">
      <c r="B4601" s="115" t="s">
        <v>1138</v>
      </c>
      <c r="D4601" s="115" t="s">
        <v>6758</v>
      </c>
      <c r="E4601" s="115" t="s">
        <v>6759</v>
      </c>
    </row>
    <row r="4602" spans="1:5" x14ac:dyDescent="0.25">
      <c r="A4602" s="115">
        <v>-6</v>
      </c>
      <c r="B4602" s="115" t="s">
        <v>6760</v>
      </c>
      <c r="D4602" s="115" t="s">
        <v>6761</v>
      </c>
      <c r="E4602" s="115" t="s">
        <v>6762</v>
      </c>
    </row>
    <row r="4603" spans="1:5" x14ac:dyDescent="0.25">
      <c r="A4603" s="115">
        <v>-2</v>
      </c>
      <c r="B4603" s="115" t="s">
        <v>6763</v>
      </c>
      <c r="D4603" s="115" t="s">
        <v>6764</v>
      </c>
      <c r="E4603" s="115" t="s">
        <v>6765</v>
      </c>
    </row>
    <row r="4604" spans="1:5" x14ac:dyDescent="0.25">
      <c r="A4604" s="115">
        <v>-2</v>
      </c>
      <c r="B4604" s="115" t="s">
        <v>6766</v>
      </c>
      <c r="D4604" s="115" t="s">
        <v>6767</v>
      </c>
      <c r="E4604" s="115" t="s">
        <v>1140</v>
      </c>
    </row>
    <row r="4605" spans="1:5" x14ac:dyDescent="0.25">
      <c r="B4605" s="115" t="s">
        <v>6768</v>
      </c>
      <c r="D4605" s="115" t="s">
        <v>6769</v>
      </c>
      <c r="E4605" s="115" t="s">
        <v>6770</v>
      </c>
    </row>
    <row r="4606" spans="1:5" x14ac:dyDescent="0.25">
      <c r="B4606" s="115" t="s">
        <v>6771</v>
      </c>
      <c r="D4606" s="115" t="s">
        <v>6772</v>
      </c>
      <c r="E4606" s="115" t="s">
        <v>6773</v>
      </c>
    </row>
    <row r="4607" spans="1:5" x14ac:dyDescent="0.25">
      <c r="B4607" s="115" t="s">
        <v>1138</v>
      </c>
      <c r="D4607" s="115" t="s">
        <v>1139</v>
      </c>
      <c r="E4607" s="115" t="s">
        <v>1140</v>
      </c>
    </row>
    <row r="4608" spans="1:5" x14ac:dyDescent="0.25">
      <c r="B4608" s="115" t="s">
        <v>1138</v>
      </c>
      <c r="D4608" s="115" t="s">
        <v>2182</v>
      </c>
      <c r="E4608" s="115" t="s">
        <v>2689</v>
      </c>
    </row>
    <row r="4609" spans="1:5" x14ac:dyDescent="0.25">
      <c r="B4609" s="115" t="s">
        <v>6774</v>
      </c>
      <c r="D4609" s="115" t="s">
        <v>6775</v>
      </c>
      <c r="E4609" s="115" t="s">
        <v>6776</v>
      </c>
    </row>
    <row r="4610" spans="1:5" x14ac:dyDescent="0.25">
      <c r="B4610" s="115" t="s">
        <v>6777</v>
      </c>
      <c r="C4610" s="115">
        <v>1</v>
      </c>
      <c r="D4610" s="115" t="s">
        <v>6778</v>
      </c>
      <c r="E4610" s="115" t="s">
        <v>6779</v>
      </c>
    </row>
    <row r="4611" spans="1:5" x14ac:dyDescent="0.25">
      <c r="A4611" s="115">
        <v>37</v>
      </c>
      <c r="B4611" s="115" t="s">
        <v>6780</v>
      </c>
      <c r="C4611" s="115">
        <v>1</v>
      </c>
      <c r="D4611" s="115" t="s">
        <v>6781</v>
      </c>
      <c r="E4611" s="115" t="s">
        <v>6782</v>
      </c>
    </row>
    <row r="4612" spans="1:5" x14ac:dyDescent="0.25">
      <c r="A4612" s="115">
        <v>13</v>
      </c>
      <c r="B4612" s="115" t="s">
        <v>6783</v>
      </c>
      <c r="C4612" s="115">
        <v>3</v>
      </c>
      <c r="D4612" s="115" t="s">
        <v>6784</v>
      </c>
      <c r="E4612" s="115" t="s">
        <v>6785</v>
      </c>
    </row>
    <row r="4613" spans="1:5" x14ac:dyDescent="0.25">
      <c r="B4613" s="115" t="s">
        <v>1138</v>
      </c>
      <c r="D4613" s="115" t="s">
        <v>6786</v>
      </c>
      <c r="E4613" s="115" t="s">
        <v>6787</v>
      </c>
    </row>
    <row r="4614" spans="1:5" x14ac:dyDescent="0.25">
      <c r="B4614" s="115" t="s">
        <v>1138</v>
      </c>
      <c r="D4614" s="115" t="s">
        <v>1139</v>
      </c>
      <c r="E4614" s="115" t="s">
        <v>6788</v>
      </c>
    </row>
    <row r="4615" spans="1:5" x14ac:dyDescent="0.25">
      <c r="B4615" s="115" t="s">
        <v>1138</v>
      </c>
      <c r="D4615" s="115" t="s">
        <v>6789</v>
      </c>
      <c r="E4615" s="115" t="s">
        <v>6790</v>
      </c>
    </row>
    <row r="4616" spans="1:5" x14ac:dyDescent="0.25">
      <c r="B4616" s="115" t="s">
        <v>6791</v>
      </c>
      <c r="D4616" s="115" t="s">
        <v>1829</v>
      </c>
      <c r="E4616" s="115" t="s">
        <v>1758</v>
      </c>
    </row>
    <row r="4617" spans="1:5" x14ac:dyDescent="0.25">
      <c r="B4617" s="115" t="s">
        <v>1515</v>
      </c>
      <c r="D4617" s="115" t="s">
        <v>1139</v>
      </c>
      <c r="E4617" s="115" t="s">
        <v>6792</v>
      </c>
    </row>
    <row r="4618" spans="1:5" x14ac:dyDescent="0.25">
      <c r="A4618" s="115">
        <v>-7</v>
      </c>
      <c r="B4618" s="115" t="s">
        <v>1551</v>
      </c>
      <c r="D4618" s="115" t="s">
        <v>6793</v>
      </c>
      <c r="E4618" s="115" t="s">
        <v>6794</v>
      </c>
    </row>
    <row r="4619" spans="1:5" x14ac:dyDescent="0.25">
      <c r="B4619" s="115" t="s">
        <v>1138</v>
      </c>
      <c r="D4619" s="115" t="s">
        <v>6795</v>
      </c>
      <c r="E4619" s="115" t="s">
        <v>6796</v>
      </c>
    </row>
    <row r="4620" spans="1:5" x14ac:dyDescent="0.25">
      <c r="B4620" s="115" t="s">
        <v>6797</v>
      </c>
      <c r="D4620" s="115" t="s">
        <v>1139</v>
      </c>
      <c r="E4620" s="115" t="s">
        <v>6798</v>
      </c>
    </row>
    <row r="4621" spans="1:5" x14ac:dyDescent="0.25">
      <c r="A4621" s="115">
        <v>-7</v>
      </c>
      <c r="B4621" s="115" t="s">
        <v>6799</v>
      </c>
      <c r="D4621" s="115" t="s">
        <v>6800</v>
      </c>
      <c r="E4621" s="115" t="s">
        <v>6801</v>
      </c>
    </row>
    <row r="4622" spans="1:5" x14ac:dyDescent="0.25">
      <c r="B4622" s="115" t="s">
        <v>6802</v>
      </c>
      <c r="D4622" s="115" t="s">
        <v>6803</v>
      </c>
      <c r="E4622" s="115" t="s">
        <v>6804</v>
      </c>
    </row>
    <row r="4623" spans="1:5" x14ac:dyDescent="0.25">
      <c r="B4623" s="115">
        <f>-55    -43</f>
        <v>-98</v>
      </c>
      <c r="D4623" s="115" t="s">
        <v>1139</v>
      </c>
      <c r="E4623" s="115" t="s">
        <v>6805</v>
      </c>
    </row>
    <row r="4624" spans="1:5" x14ac:dyDescent="0.25">
      <c r="A4624" s="115">
        <v>-7</v>
      </c>
      <c r="B4624" s="115" t="s">
        <v>6806</v>
      </c>
      <c r="D4624" s="115" t="s">
        <v>6807</v>
      </c>
      <c r="E4624" s="115" t="s">
        <v>6808</v>
      </c>
    </row>
    <row r="4625" spans="1:5" x14ac:dyDescent="0.25">
      <c r="B4625" s="115" t="s">
        <v>6809</v>
      </c>
      <c r="D4625" s="115" t="s">
        <v>6810</v>
      </c>
      <c r="E4625" s="115" t="s">
        <v>6811</v>
      </c>
    </row>
    <row r="4626" spans="1:5" x14ac:dyDescent="0.25">
      <c r="B4626" s="115" t="s">
        <v>6812</v>
      </c>
      <c r="D4626" s="115" t="s">
        <v>1139</v>
      </c>
      <c r="E4626" s="115" t="s">
        <v>6813</v>
      </c>
    </row>
    <row r="4627" spans="1:5" x14ac:dyDescent="0.25">
      <c r="A4627" s="115">
        <v>-24</v>
      </c>
      <c r="B4627" s="115" t="s">
        <v>6814</v>
      </c>
      <c r="D4627" s="115" t="s">
        <v>6815</v>
      </c>
      <c r="E4627" s="115" t="s">
        <v>6816</v>
      </c>
    </row>
    <row r="4628" spans="1:5" x14ac:dyDescent="0.25">
      <c r="B4628" s="115" t="s">
        <v>6817</v>
      </c>
      <c r="D4628" s="115" t="s">
        <v>6818</v>
      </c>
      <c r="E4628" s="115" t="s">
        <v>6819</v>
      </c>
    </row>
    <row r="4629" spans="1:5" x14ac:dyDescent="0.25">
      <c r="B4629" s="115" t="s">
        <v>1138</v>
      </c>
      <c r="D4629" s="115" t="s">
        <v>1139</v>
      </c>
      <c r="E4629" s="115" t="s">
        <v>6820</v>
      </c>
    </row>
    <row r="4630" spans="1:5" x14ac:dyDescent="0.25">
      <c r="A4630" s="115">
        <v>6</v>
      </c>
      <c r="B4630" s="115" t="s">
        <v>1669</v>
      </c>
      <c r="D4630" s="115" t="s">
        <v>1139</v>
      </c>
      <c r="E4630" s="115" t="s">
        <v>6821</v>
      </c>
    </row>
    <row r="4631" spans="1:5" x14ac:dyDescent="0.25">
      <c r="A4631" s="115">
        <v>-3</v>
      </c>
      <c r="B4631" s="115" t="s">
        <v>6822</v>
      </c>
      <c r="C4631" s="115" t="s">
        <v>1137</v>
      </c>
      <c r="D4631" s="115" t="s">
        <v>6823</v>
      </c>
      <c r="E4631" s="115" t="s">
        <v>6824</v>
      </c>
    </row>
    <row r="4632" spans="1:5" x14ac:dyDescent="0.25">
      <c r="B4632" s="115" t="s">
        <v>6825</v>
      </c>
      <c r="D4632" s="115" t="s">
        <v>1139</v>
      </c>
      <c r="E4632" s="115" t="s">
        <v>6826</v>
      </c>
    </row>
    <row r="4633" spans="1:5" x14ac:dyDescent="0.25">
      <c r="A4633" s="115">
        <v>-1</v>
      </c>
      <c r="B4633" s="115" t="s">
        <v>6827</v>
      </c>
      <c r="C4633" s="115" t="s">
        <v>1137</v>
      </c>
      <c r="D4633" s="115" t="s">
        <v>6828</v>
      </c>
      <c r="E4633" s="115" t="s">
        <v>1140</v>
      </c>
    </row>
    <row r="4634" spans="1:5" x14ac:dyDescent="0.25">
      <c r="B4634" s="115" t="s">
        <v>1138</v>
      </c>
      <c r="D4634" s="115" t="s">
        <v>6829</v>
      </c>
      <c r="E4634" s="115" t="s">
        <v>6830</v>
      </c>
    </row>
    <row r="4635" spans="1:5" x14ac:dyDescent="0.25">
      <c r="A4635" s="115">
        <v>-1</v>
      </c>
      <c r="B4635" s="115" t="s">
        <v>1440</v>
      </c>
      <c r="C4635" s="115" t="s">
        <v>1137</v>
      </c>
      <c r="D4635" s="115" t="s">
        <v>6831</v>
      </c>
      <c r="E4635" s="115" t="s">
        <v>6832</v>
      </c>
    </row>
    <row r="4636" spans="1:5" x14ac:dyDescent="0.25">
      <c r="A4636" s="115">
        <v>1</v>
      </c>
      <c r="B4636" s="115" t="s">
        <v>1144</v>
      </c>
      <c r="D4636" s="115" t="s">
        <v>1139</v>
      </c>
      <c r="E4636" s="115" t="s">
        <v>1140</v>
      </c>
    </row>
    <row r="4637" spans="1:5" x14ac:dyDescent="0.25">
      <c r="B4637" s="115" t="s">
        <v>1138</v>
      </c>
      <c r="D4637" s="115" t="s">
        <v>1139</v>
      </c>
      <c r="E4637" s="115" t="s">
        <v>6833</v>
      </c>
    </row>
    <row r="4638" spans="1:5" x14ac:dyDescent="0.25">
      <c r="B4638" s="115" t="s">
        <v>6834</v>
      </c>
      <c r="D4638" s="115" t="s">
        <v>6835</v>
      </c>
      <c r="E4638" s="115" t="s">
        <v>6836</v>
      </c>
    </row>
    <row r="4639" spans="1:5" x14ac:dyDescent="0.25">
      <c r="B4639" s="115" t="s">
        <v>1138</v>
      </c>
      <c r="D4639" s="115" t="s">
        <v>6837</v>
      </c>
      <c r="E4639" s="115" t="s">
        <v>6838</v>
      </c>
    </row>
    <row r="4640" spans="1:5" x14ac:dyDescent="0.25">
      <c r="A4640" s="115">
        <v>25</v>
      </c>
      <c r="B4640" s="115" t="s">
        <v>6839</v>
      </c>
      <c r="C4640" s="115">
        <v>3</v>
      </c>
      <c r="D4640" s="115" t="s">
        <v>6840</v>
      </c>
      <c r="E4640" s="115" t="s">
        <v>6841</v>
      </c>
    </row>
    <row r="4641" spans="1:5" x14ac:dyDescent="0.25">
      <c r="A4641" s="115">
        <v>40</v>
      </c>
      <c r="B4641" s="115" t="s">
        <v>6842</v>
      </c>
      <c r="C4641" s="115">
        <v>2</v>
      </c>
      <c r="D4641" s="115" t="s">
        <v>6843</v>
      </c>
      <c r="E4641" s="115" t="s">
        <v>6844</v>
      </c>
    </row>
    <row r="4642" spans="1:5" x14ac:dyDescent="0.25">
      <c r="A4642" s="115">
        <v>-6</v>
      </c>
      <c r="B4642" s="115" t="s">
        <v>6845</v>
      </c>
      <c r="D4642" s="115" t="s">
        <v>6846</v>
      </c>
      <c r="E4642" s="115" t="s">
        <v>6847</v>
      </c>
    </row>
    <row r="4643" spans="1:5" x14ac:dyDescent="0.25">
      <c r="A4643" s="115">
        <v>1</v>
      </c>
      <c r="B4643" s="115" t="s">
        <v>6848</v>
      </c>
      <c r="D4643" s="115" t="s">
        <v>1139</v>
      </c>
      <c r="E4643" s="115" t="s">
        <v>1140</v>
      </c>
    </row>
    <row r="4644" spans="1:5" x14ac:dyDescent="0.25">
      <c r="A4644" s="115">
        <v>-1</v>
      </c>
      <c r="B4644" s="115" t="s">
        <v>6849</v>
      </c>
      <c r="D4644" s="115" t="s">
        <v>6850</v>
      </c>
      <c r="E4644" s="115" t="s">
        <v>6851</v>
      </c>
    </row>
    <row r="4645" spans="1:5" x14ac:dyDescent="0.25">
      <c r="B4645" s="115" t="s">
        <v>1138</v>
      </c>
      <c r="D4645" s="115" t="s">
        <v>6852</v>
      </c>
      <c r="E4645" s="115" t="s">
        <v>6853</v>
      </c>
    </row>
    <row r="4646" spans="1:5" x14ac:dyDescent="0.25">
      <c r="B4646" s="115" t="s">
        <v>1138</v>
      </c>
      <c r="D4646" s="115" t="s">
        <v>6854</v>
      </c>
      <c r="E4646" s="115" t="s">
        <v>1140</v>
      </c>
    </row>
    <row r="4647" spans="1:5" x14ac:dyDescent="0.25">
      <c r="B4647" s="115" t="s">
        <v>2764</v>
      </c>
      <c r="D4647" s="115" t="s">
        <v>6855</v>
      </c>
      <c r="E4647" s="115" t="s">
        <v>6856</v>
      </c>
    </row>
    <row r="4648" spans="1:5" x14ac:dyDescent="0.25">
      <c r="A4648" s="115">
        <v>-1</v>
      </c>
      <c r="B4648" s="115" t="s">
        <v>6857</v>
      </c>
      <c r="D4648" s="115" t="s">
        <v>6858</v>
      </c>
      <c r="E4648" s="115" t="s">
        <v>6859</v>
      </c>
    </row>
    <row r="4649" spans="1:5" x14ac:dyDescent="0.25">
      <c r="B4649" s="126">
        <v>18383</v>
      </c>
      <c r="D4649" s="115" t="s">
        <v>6860</v>
      </c>
      <c r="E4649" s="115" t="s">
        <v>6861</v>
      </c>
    </row>
    <row r="4650" spans="1:5" x14ac:dyDescent="0.25">
      <c r="B4650" s="115" t="s">
        <v>6862</v>
      </c>
      <c r="C4650" s="115" t="s">
        <v>1137</v>
      </c>
      <c r="D4650" s="115" t="s">
        <v>6863</v>
      </c>
      <c r="E4650" s="115" t="s">
        <v>6864</v>
      </c>
    </row>
    <row r="4651" spans="1:5" x14ac:dyDescent="0.25">
      <c r="B4651" s="115" t="s">
        <v>6865</v>
      </c>
      <c r="D4651" s="115" t="s">
        <v>6866</v>
      </c>
      <c r="E4651" s="115" t="s">
        <v>6867</v>
      </c>
    </row>
    <row r="4652" spans="1:5" x14ac:dyDescent="0.25">
      <c r="B4652" s="115" t="s">
        <v>6868</v>
      </c>
      <c r="D4652" s="115" t="s">
        <v>6869</v>
      </c>
      <c r="E4652" s="115" t="s">
        <v>6870</v>
      </c>
    </row>
    <row r="4653" spans="1:5" x14ac:dyDescent="0.25">
      <c r="B4653" s="115" t="s">
        <v>6871</v>
      </c>
      <c r="C4653" s="115" t="s">
        <v>1137</v>
      </c>
      <c r="D4653" s="115" t="s">
        <v>6872</v>
      </c>
      <c r="E4653" s="115" t="s">
        <v>6873</v>
      </c>
    </row>
    <row r="4654" spans="1:5" x14ac:dyDescent="0.25">
      <c r="B4654" s="115" t="s">
        <v>6874</v>
      </c>
      <c r="D4654" s="115" t="s">
        <v>6875</v>
      </c>
      <c r="E4654" s="115" t="s">
        <v>6876</v>
      </c>
    </row>
    <row r="4655" spans="1:5" x14ac:dyDescent="0.25">
      <c r="B4655" s="115" t="s">
        <v>1554</v>
      </c>
      <c r="D4655" s="115" t="s">
        <v>6877</v>
      </c>
      <c r="E4655" s="115" t="s">
        <v>6878</v>
      </c>
    </row>
    <row r="4656" spans="1:5" x14ac:dyDescent="0.25">
      <c r="B4656" s="115" t="s">
        <v>6879</v>
      </c>
      <c r="D4656" s="115" t="s">
        <v>6880</v>
      </c>
      <c r="E4656" s="115" t="s">
        <v>6881</v>
      </c>
    </row>
    <row r="4657" spans="1:5" x14ac:dyDescent="0.25">
      <c r="A4657" s="115" t="s">
        <v>1137</v>
      </c>
      <c r="B4657" s="115" t="s">
        <v>6882</v>
      </c>
      <c r="D4657" s="115" t="s">
        <v>6883</v>
      </c>
      <c r="E4657" s="115" t="s">
        <v>6884</v>
      </c>
    </row>
    <row r="4658" spans="1:5" x14ac:dyDescent="0.25">
      <c r="B4658" s="115" t="s">
        <v>2363</v>
      </c>
      <c r="D4658" s="115" t="s">
        <v>1139</v>
      </c>
      <c r="E4658" s="115" t="s">
        <v>6885</v>
      </c>
    </row>
    <row r="4659" spans="1:5" x14ac:dyDescent="0.25">
      <c r="B4659" s="115" t="s">
        <v>6886</v>
      </c>
      <c r="D4659" s="115" t="s">
        <v>6887</v>
      </c>
      <c r="E4659" s="115" t="s">
        <v>6888</v>
      </c>
    </row>
    <row r="4660" spans="1:5" x14ac:dyDescent="0.25">
      <c r="A4660" s="115">
        <v>-1</v>
      </c>
      <c r="B4660" s="115" t="s">
        <v>6889</v>
      </c>
      <c r="D4660" s="115" t="s">
        <v>6890</v>
      </c>
      <c r="E4660" s="115" t="s">
        <v>6891</v>
      </c>
    </row>
    <row r="4661" spans="1:5" x14ac:dyDescent="0.25">
      <c r="B4661" s="115" t="s">
        <v>6435</v>
      </c>
      <c r="D4661" s="115" t="s">
        <v>6892</v>
      </c>
      <c r="E4661" s="115" t="s">
        <v>6893</v>
      </c>
    </row>
    <row r="4662" spans="1:5" x14ac:dyDescent="0.25">
      <c r="A4662" s="115">
        <v>-1</v>
      </c>
      <c r="B4662" s="115" t="s">
        <v>6894</v>
      </c>
      <c r="D4662" s="115" t="s">
        <v>6895</v>
      </c>
      <c r="E4662" s="115" t="s">
        <v>6896</v>
      </c>
    </row>
    <row r="4663" spans="1:5" x14ac:dyDescent="0.25">
      <c r="B4663" s="115" t="s">
        <v>1138</v>
      </c>
      <c r="D4663" s="115" t="s">
        <v>6897</v>
      </c>
      <c r="E4663" s="115" t="s">
        <v>6898</v>
      </c>
    </row>
    <row r="4664" spans="1:5" x14ac:dyDescent="0.25">
      <c r="B4664" s="115" t="s">
        <v>1138</v>
      </c>
      <c r="D4664" s="115" t="s">
        <v>6899</v>
      </c>
      <c r="E4664" s="115" t="s">
        <v>1893</v>
      </c>
    </row>
    <row r="4665" spans="1:5" x14ac:dyDescent="0.25">
      <c r="B4665" s="115" t="s">
        <v>1594</v>
      </c>
      <c r="D4665" s="115" t="s">
        <v>6900</v>
      </c>
      <c r="E4665" s="115" t="s">
        <v>1140</v>
      </c>
    </row>
    <row r="4666" spans="1:5" x14ac:dyDescent="0.25">
      <c r="B4666" s="115" t="s">
        <v>1138</v>
      </c>
      <c r="D4666" s="115" t="s">
        <v>1139</v>
      </c>
      <c r="E4666" s="115" t="s">
        <v>6901</v>
      </c>
    </row>
    <row r="4667" spans="1:5" x14ac:dyDescent="0.25">
      <c r="B4667" s="115" t="s">
        <v>1138</v>
      </c>
      <c r="D4667" s="115" t="s">
        <v>6902</v>
      </c>
      <c r="E4667" s="115" t="s">
        <v>6903</v>
      </c>
    </row>
    <row r="4668" spans="1:5" x14ac:dyDescent="0.25">
      <c r="A4668" s="115">
        <v>-3</v>
      </c>
      <c r="B4668" s="115" t="s">
        <v>6904</v>
      </c>
      <c r="D4668" s="115" t="s">
        <v>6905</v>
      </c>
      <c r="E4668" s="115" t="s">
        <v>6906</v>
      </c>
    </row>
    <row r="4669" spans="1:5" x14ac:dyDescent="0.25">
      <c r="B4669" s="115" t="s">
        <v>6907</v>
      </c>
      <c r="D4669" s="115" t="s">
        <v>6908</v>
      </c>
      <c r="E4669" s="115" t="s">
        <v>6909</v>
      </c>
    </row>
    <row r="4670" spans="1:5" x14ac:dyDescent="0.25">
      <c r="A4670" s="115">
        <v>3</v>
      </c>
      <c r="B4670" s="115" t="s">
        <v>6910</v>
      </c>
      <c r="D4670" s="115" t="s">
        <v>6911</v>
      </c>
      <c r="E4670" s="115" t="s">
        <v>6912</v>
      </c>
    </row>
    <row r="4671" spans="1:5" x14ac:dyDescent="0.25">
      <c r="A4671" s="115">
        <v>2</v>
      </c>
      <c r="B4671" s="115" t="s">
        <v>6913</v>
      </c>
      <c r="D4671" s="115" t="s">
        <v>6914</v>
      </c>
      <c r="E4671" s="115" t="s">
        <v>6915</v>
      </c>
    </row>
    <row r="4672" spans="1:5" x14ac:dyDescent="0.25">
      <c r="B4672" s="115" t="s">
        <v>1138</v>
      </c>
      <c r="D4672" s="115" t="s">
        <v>6916</v>
      </c>
      <c r="E4672" s="115" t="s">
        <v>1140</v>
      </c>
    </row>
    <row r="4673" spans="1:5" x14ac:dyDescent="0.25">
      <c r="B4673" s="115" t="s">
        <v>1138</v>
      </c>
      <c r="D4673" s="115" t="s">
        <v>6917</v>
      </c>
      <c r="E4673" s="115" t="s">
        <v>6918</v>
      </c>
    </row>
    <row r="4674" spans="1:5" x14ac:dyDescent="0.25">
      <c r="A4674" s="115" t="s">
        <v>1137</v>
      </c>
      <c r="B4674" s="115" t="s">
        <v>6919</v>
      </c>
      <c r="D4674" s="115" t="s">
        <v>1358</v>
      </c>
      <c r="E4674" s="115" t="s">
        <v>6920</v>
      </c>
    </row>
    <row r="4675" spans="1:5" x14ac:dyDescent="0.25">
      <c r="A4675" s="115" t="s">
        <v>1137</v>
      </c>
      <c r="B4675" s="115" t="s">
        <v>1147</v>
      </c>
      <c r="D4675" s="115" t="s">
        <v>1139</v>
      </c>
      <c r="E4675" s="115" t="s">
        <v>6921</v>
      </c>
    </row>
    <row r="4676" spans="1:5" x14ac:dyDescent="0.25">
      <c r="B4676" s="115" t="s">
        <v>1138</v>
      </c>
      <c r="D4676" s="115" t="s">
        <v>6922</v>
      </c>
      <c r="E4676" s="115" t="s">
        <v>6923</v>
      </c>
    </row>
    <row r="4677" spans="1:5" x14ac:dyDescent="0.25">
      <c r="B4677" s="115" t="s">
        <v>1138</v>
      </c>
      <c r="D4677" s="115" t="s">
        <v>6924</v>
      </c>
      <c r="E4677" s="115" t="s">
        <v>6925</v>
      </c>
    </row>
    <row r="4678" spans="1:5" x14ac:dyDescent="0.25">
      <c r="A4678" s="115">
        <v>4</v>
      </c>
      <c r="B4678" s="115" t="s">
        <v>6926</v>
      </c>
      <c r="D4678" s="115" t="s">
        <v>6927</v>
      </c>
      <c r="E4678" s="115" t="s">
        <v>6928</v>
      </c>
    </row>
    <row r="4679" spans="1:5" x14ac:dyDescent="0.25">
      <c r="B4679" s="115" t="s">
        <v>6929</v>
      </c>
      <c r="D4679" s="115" t="s">
        <v>6930</v>
      </c>
      <c r="E4679" s="115" t="s">
        <v>6931</v>
      </c>
    </row>
    <row r="4680" spans="1:5" x14ac:dyDescent="0.25">
      <c r="A4680" s="115" t="s">
        <v>1137</v>
      </c>
      <c r="B4680" s="115" t="s">
        <v>6932</v>
      </c>
      <c r="C4680" s="115" t="s">
        <v>1137</v>
      </c>
      <c r="D4680" s="115" t="s">
        <v>6933</v>
      </c>
      <c r="E4680" s="115" t="s">
        <v>6934</v>
      </c>
    </row>
    <row r="4681" spans="1:5" x14ac:dyDescent="0.25">
      <c r="A4681" s="115" t="s">
        <v>1137</v>
      </c>
      <c r="B4681" s="115" t="s">
        <v>6935</v>
      </c>
      <c r="D4681" s="115" t="s">
        <v>6936</v>
      </c>
      <c r="E4681" s="115" t="s">
        <v>6937</v>
      </c>
    </row>
    <row r="4682" spans="1:5" x14ac:dyDescent="0.25">
      <c r="B4682" s="115" t="s">
        <v>6938</v>
      </c>
      <c r="C4682" s="115">
        <v>1</v>
      </c>
      <c r="D4682" s="115" t="s">
        <v>6939</v>
      </c>
      <c r="E4682" s="115" t="s">
        <v>6940</v>
      </c>
    </row>
    <row r="4683" spans="1:5" x14ac:dyDescent="0.25">
      <c r="A4683" s="115" t="s">
        <v>1137</v>
      </c>
      <c r="B4683" s="115" t="s">
        <v>6941</v>
      </c>
      <c r="D4683" s="115" t="s">
        <v>6942</v>
      </c>
      <c r="E4683" s="115" t="s">
        <v>6943</v>
      </c>
    </row>
    <row r="4684" spans="1:5" x14ac:dyDescent="0.25">
      <c r="B4684" s="115" t="s">
        <v>1138</v>
      </c>
      <c r="D4684" s="115" t="s">
        <v>6944</v>
      </c>
      <c r="E4684" s="115" t="s">
        <v>6945</v>
      </c>
    </row>
    <row r="4685" spans="1:5" x14ac:dyDescent="0.25">
      <c r="B4685" s="115" t="s">
        <v>1259</v>
      </c>
      <c r="C4685" s="115">
        <v>1</v>
      </c>
      <c r="D4685" s="115" t="s">
        <v>6946</v>
      </c>
      <c r="E4685" s="115" t="s">
        <v>6947</v>
      </c>
    </row>
    <row r="4686" spans="1:5" x14ac:dyDescent="0.25">
      <c r="A4686" s="115" t="s">
        <v>1137</v>
      </c>
      <c r="B4686" s="115" t="s">
        <v>6948</v>
      </c>
      <c r="D4686" s="115">
        <f>-673   -959   -379</f>
        <v>-2011</v>
      </c>
      <c r="E4686" s="115" t="s">
        <v>6949</v>
      </c>
    </row>
    <row r="4687" spans="1:5" x14ac:dyDescent="0.25">
      <c r="B4687" s="115" t="s">
        <v>6950</v>
      </c>
      <c r="D4687" s="115" t="s">
        <v>6951</v>
      </c>
      <c r="E4687" s="115" t="s">
        <v>1140</v>
      </c>
    </row>
    <row r="4688" spans="1:5" x14ac:dyDescent="0.25">
      <c r="B4688" s="115" t="s">
        <v>6952</v>
      </c>
      <c r="D4688" s="115" t="s">
        <v>6953</v>
      </c>
      <c r="E4688" s="115" t="s">
        <v>1858</v>
      </c>
    </row>
    <row r="4689" spans="1:5" x14ac:dyDescent="0.25">
      <c r="B4689" s="115" t="s">
        <v>6954</v>
      </c>
      <c r="D4689" s="115" t="s">
        <v>6955</v>
      </c>
      <c r="E4689" s="115" t="s">
        <v>6956</v>
      </c>
    </row>
    <row r="4690" spans="1:5" x14ac:dyDescent="0.25">
      <c r="B4690" s="115" t="s">
        <v>6957</v>
      </c>
      <c r="D4690" s="115" t="s">
        <v>6958</v>
      </c>
      <c r="E4690" s="115" t="s">
        <v>6959</v>
      </c>
    </row>
    <row r="4691" spans="1:5" x14ac:dyDescent="0.25">
      <c r="B4691" s="115" t="s">
        <v>1632</v>
      </c>
      <c r="C4691" s="115">
        <v>1</v>
      </c>
      <c r="D4691" s="115" t="s">
        <v>6960</v>
      </c>
      <c r="E4691" s="115" t="s">
        <v>6961</v>
      </c>
    </row>
    <row r="4692" spans="1:5" x14ac:dyDescent="0.25">
      <c r="B4692" s="115" t="s">
        <v>1138</v>
      </c>
      <c r="D4692" s="115" t="s">
        <v>1139</v>
      </c>
      <c r="E4692" s="115" t="s">
        <v>6962</v>
      </c>
    </row>
    <row r="4693" spans="1:5" x14ac:dyDescent="0.25">
      <c r="A4693" s="115">
        <v>-5</v>
      </c>
      <c r="B4693" s="115" t="s">
        <v>6963</v>
      </c>
      <c r="D4693" s="115" t="s">
        <v>6964</v>
      </c>
      <c r="E4693" s="115" t="s">
        <v>6965</v>
      </c>
    </row>
    <row r="4694" spans="1:5" x14ac:dyDescent="0.25">
      <c r="B4694" s="115" t="s">
        <v>1138</v>
      </c>
      <c r="D4694" s="115" t="s">
        <v>6966</v>
      </c>
      <c r="E4694" s="115" t="s">
        <v>2081</v>
      </c>
    </row>
    <row r="4695" spans="1:5" x14ac:dyDescent="0.25">
      <c r="B4695" s="115" t="s">
        <v>1138</v>
      </c>
      <c r="D4695" s="115" t="s">
        <v>1139</v>
      </c>
      <c r="E4695" s="115" t="s">
        <v>1140</v>
      </c>
    </row>
    <row r="4696" spans="1:5" x14ac:dyDescent="0.25">
      <c r="B4696" s="115" t="s">
        <v>6967</v>
      </c>
      <c r="D4696" s="115" t="s">
        <v>1139</v>
      </c>
      <c r="E4696" s="115" t="s">
        <v>6968</v>
      </c>
    </row>
    <row r="4697" spans="1:5" x14ac:dyDescent="0.25">
      <c r="A4697" s="115">
        <v>-1</v>
      </c>
      <c r="B4697" s="115" t="s">
        <v>6969</v>
      </c>
      <c r="D4697" s="115">
        <f>-585   -804   -925</f>
        <v>-2314</v>
      </c>
      <c r="E4697" s="115" t="s">
        <v>6970</v>
      </c>
    </row>
    <row r="4698" spans="1:5" x14ac:dyDescent="0.25">
      <c r="B4698" s="115" t="s">
        <v>6971</v>
      </c>
      <c r="D4698" s="115" t="s">
        <v>6972</v>
      </c>
      <c r="E4698" s="115" t="s">
        <v>6973</v>
      </c>
    </row>
    <row r="4699" spans="1:5" x14ac:dyDescent="0.25">
      <c r="A4699" s="115">
        <v>1</v>
      </c>
      <c r="B4699" s="115" t="s">
        <v>6974</v>
      </c>
      <c r="C4699" s="115" t="s">
        <v>1137</v>
      </c>
      <c r="D4699" s="115" t="s">
        <v>6975</v>
      </c>
      <c r="E4699" s="115" t="s">
        <v>6976</v>
      </c>
    </row>
    <row r="4700" spans="1:5" x14ac:dyDescent="0.25">
      <c r="A4700" s="115">
        <v>-3</v>
      </c>
      <c r="B4700" s="115" t="s">
        <v>6977</v>
      </c>
      <c r="D4700" s="115" t="s">
        <v>6978</v>
      </c>
      <c r="E4700" s="115" t="s">
        <v>6979</v>
      </c>
    </row>
    <row r="4701" spans="1:5" x14ac:dyDescent="0.25">
      <c r="B4701" s="115" t="s">
        <v>6980</v>
      </c>
      <c r="D4701" s="115" t="s">
        <v>6981</v>
      </c>
      <c r="E4701" s="115" t="s">
        <v>6982</v>
      </c>
    </row>
    <row r="4702" spans="1:5" x14ac:dyDescent="0.25">
      <c r="B4702" s="115" t="s">
        <v>1138</v>
      </c>
      <c r="D4702" s="115" t="s">
        <v>1139</v>
      </c>
      <c r="E4702" s="115" t="s">
        <v>6983</v>
      </c>
    </row>
    <row r="4703" spans="1:5" x14ac:dyDescent="0.25">
      <c r="B4703" s="115" t="s">
        <v>6984</v>
      </c>
      <c r="D4703" s="115" t="s">
        <v>6985</v>
      </c>
      <c r="E4703" s="115" t="s">
        <v>6986</v>
      </c>
    </row>
    <row r="4704" spans="1:5" x14ac:dyDescent="0.25">
      <c r="A4704" s="115">
        <v>1</v>
      </c>
      <c r="B4704" s="115" t="s">
        <v>1303</v>
      </c>
      <c r="D4704" s="115" t="s">
        <v>6987</v>
      </c>
      <c r="E4704" s="115" t="s">
        <v>1140</v>
      </c>
    </row>
    <row r="4705" spans="1:5" x14ac:dyDescent="0.25">
      <c r="A4705" s="115" t="s">
        <v>1137</v>
      </c>
      <c r="B4705" s="115" t="s">
        <v>1484</v>
      </c>
      <c r="D4705" s="115" t="s">
        <v>1139</v>
      </c>
      <c r="E4705" s="115" t="s">
        <v>6988</v>
      </c>
    </row>
    <row r="4706" spans="1:5" x14ac:dyDescent="0.25">
      <c r="B4706" s="115" t="s">
        <v>6989</v>
      </c>
      <c r="D4706" s="115" t="s">
        <v>1139</v>
      </c>
      <c r="E4706" s="115" t="s">
        <v>6990</v>
      </c>
    </row>
    <row r="4707" spans="1:5" x14ac:dyDescent="0.25">
      <c r="B4707" s="115" t="s">
        <v>6991</v>
      </c>
      <c r="D4707" s="115" t="s">
        <v>6992</v>
      </c>
      <c r="E4707" s="115" t="s">
        <v>6993</v>
      </c>
    </row>
    <row r="4708" spans="1:5" x14ac:dyDescent="0.25">
      <c r="B4708" s="115" t="s">
        <v>1210</v>
      </c>
      <c r="D4708" s="115" t="s">
        <v>6994</v>
      </c>
      <c r="E4708" s="115" t="s">
        <v>6995</v>
      </c>
    </row>
    <row r="4709" spans="1:5" x14ac:dyDescent="0.25">
      <c r="A4709" s="115">
        <v>6</v>
      </c>
      <c r="B4709" s="115" t="s">
        <v>6996</v>
      </c>
      <c r="C4709" s="115">
        <v>1</v>
      </c>
      <c r="D4709" s="115" t="s">
        <v>6997</v>
      </c>
      <c r="E4709" s="115" t="s">
        <v>6998</v>
      </c>
    </row>
    <row r="4710" spans="1:5" x14ac:dyDescent="0.25">
      <c r="A4710" s="115">
        <v>-1</v>
      </c>
      <c r="B4710" s="115" t="s">
        <v>6999</v>
      </c>
      <c r="D4710" s="115" t="s">
        <v>7000</v>
      </c>
      <c r="E4710" s="115" t="s">
        <v>7001</v>
      </c>
    </row>
    <row r="4711" spans="1:5" x14ac:dyDescent="0.25">
      <c r="A4711" s="115" t="s">
        <v>1137</v>
      </c>
      <c r="B4711" s="115" t="s">
        <v>1438</v>
      </c>
      <c r="D4711" s="115" t="s">
        <v>7002</v>
      </c>
      <c r="E4711" s="115" t="s">
        <v>7003</v>
      </c>
    </row>
    <row r="4712" spans="1:5" x14ac:dyDescent="0.25">
      <c r="A4712" s="115">
        <v>-1</v>
      </c>
      <c r="B4712" s="115" t="s">
        <v>7004</v>
      </c>
      <c r="C4712" s="115" t="s">
        <v>1137</v>
      </c>
      <c r="D4712" s="115" t="s">
        <v>7005</v>
      </c>
      <c r="E4712" s="115" t="s">
        <v>7006</v>
      </c>
    </row>
    <row r="4713" spans="1:5" x14ac:dyDescent="0.25">
      <c r="B4713" s="115" t="s">
        <v>7007</v>
      </c>
      <c r="D4713" s="115" t="s">
        <v>7008</v>
      </c>
      <c r="E4713" s="115" t="s">
        <v>7009</v>
      </c>
    </row>
    <row r="4714" spans="1:5" x14ac:dyDescent="0.25">
      <c r="B4714" s="115" t="s">
        <v>7010</v>
      </c>
      <c r="D4714" s="115" t="s">
        <v>2398</v>
      </c>
      <c r="E4714" s="115" t="s">
        <v>7011</v>
      </c>
    </row>
    <row r="4715" spans="1:5" x14ac:dyDescent="0.25">
      <c r="A4715" s="115">
        <v>1</v>
      </c>
      <c r="B4715" s="115" t="s">
        <v>7012</v>
      </c>
      <c r="D4715" s="115" t="s">
        <v>7013</v>
      </c>
      <c r="E4715" s="115" t="s">
        <v>7014</v>
      </c>
    </row>
    <row r="4716" spans="1:5" x14ac:dyDescent="0.25">
      <c r="A4716" s="115">
        <v>1</v>
      </c>
      <c r="B4716" s="115" t="s">
        <v>1400</v>
      </c>
      <c r="D4716" s="115" t="s">
        <v>7015</v>
      </c>
      <c r="E4716" s="115" t="s">
        <v>7016</v>
      </c>
    </row>
    <row r="4717" spans="1:5" x14ac:dyDescent="0.25">
      <c r="B4717" s="115" t="s">
        <v>1138</v>
      </c>
      <c r="D4717" s="115" t="s">
        <v>7017</v>
      </c>
      <c r="E4717" s="115" t="s">
        <v>7018</v>
      </c>
    </row>
    <row r="4718" spans="1:5" x14ac:dyDescent="0.25">
      <c r="B4718" s="115" t="s">
        <v>1138</v>
      </c>
      <c r="D4718" s="115" t="s">
        <v>6703</v>
      </c>
      <c r="E4718" s="115" t="s">
        <v>7019</v>
      </c>
    </row>
    <row r="4719" spans="1:5" x14ac:dyDescent="0.25">
      <c r="A4719" s="115">
        <v>3</v>
      </c>
      <c r="B4719" s="115" t="s">
        <v>7020</v>
      </c>
      <c r="D4719" s="115" t="s">
        <v>7021</v>
      </c>
      <c r="E4719" s="115" t="s">
        <v>7022</v>
      </c>
    </row>
    <row r="4720" spans="1:5" x14ac:dyDescent="0.25">
      <c r="A4720" s="115" t="s">
        <v>1137</v>
      </c>
      <c r="B4720" s="115" t="s">
        <v>1620</v>
      </c>
      <c r="D4720" s="115" t="s">
        <v>2258</v>
      </c>
      <c r="E4720" s="115" t="s">
        <v>7023</v>
      </c>
    </row>
    <row r="4721" spans="1:5" x14ac:dyDescent="0.25">
      <c r="A4721" s="115">
        <v>16</v>
      </c>
      <c r="B4721" s="115" t="s">
        <v>7024</v>
      </c>
      <c r="D4721" s="115" t="s">
        <v>7025</v>
      </c>
      <c r="E4721" s="115" t="s">
        <v>1140</v>
      </c>
    </row>
    <row r="4722" spans="1:5" x14ac:dyDescent="0.25">
      <c r="B4722" s="115" t="s">
        <v>7026</v>
      </c>
      <c r="D4722" s="115">
        <f>-295  -2852  -2134  -306</f>
        <v>-5587</v>
      </c>
      <c r="E4722" s="115" t="s">
        <v>7027</v>
      </c>
    </row>
    <row r="4723" spans="1:5" x14ac:dyDescent="0.25">
      <c r="B4723" s="115" t="s">
        <v>7028</v>
      </c>
      <c r="C4723" s="115">
        <v>-5</v>
      </c>
      <c r="D4723" s="115" t="s">
        <v>7029</v>
      </c>
      <c r="E4723" s="115" t="s">
        <v>7030</v>
      </c>
    </row>
    <row r="4724" spans="1:5" x14ac:dyDescent="0.25">
      <c r="B4724" s="115" t="s">
        <v>1138</v>
      </c>
      <c r="D4724" s="115" t="s">
        <v>1139</v>
      </c>
      <c r="E4724" s="115" t="s">
        <v>1140</v>
      </c>
    </row>
    <row r="4725" spans="1:5" x14ac:dyDescent="0.25">
      <c r="B4725" s="115" t="s">
        <v>1138</v>
      </c>
      <c r="D4725" s="115" t="s">
        <v>7031</v>
      </c>
      <c r="E4725" s="115" t="s">
        <v>1858</v>
      </c>
    </row>
    <row r="4726" spans="1:5" x14ac:dyDescent="0.25">
      <c r="B4726" s="115">
        <f>-76   -103</f>
        <v>-179</v>
      </c>
      <c r="D4726" s="115" t="s">
        <v>7032</v>
      </c>
      <c r="E4726" s="115" t="s">
        <v>7033</v>
      </c>
    </row>
    <row r="4727" spans="1:5" x14ac:dyDescent="0.25">
      <c r="B4727" s="115" t="s">
        <v>7034</v>
      </c>
      <c r="D4727" s="115" t="s">
        <v>7035</v>
      </c>
      <c r="E4727" s="115" t="s">
        <v>7036</v>
      </c>
    </row>
    <row r="4728" spans="1:5" x14ac:dyDescent="0.25">
      <c r="A4728" s="115">
        <v>2</v>
      </c>
      <c r="B4728" s="115" t="s">
        <v>7037</v>
      </c>
      <c r="C4728" s="115" t="s">
        <v>1137</v>
      </c>
      <c r="D4728" s="115" t="s">
        <v>7038</v>
      </c>
      <c r="E4728" s="115" t="s">
        <v>7039</v>
      </c>
    </row>
    <row r="4729" spans="1:5" x14ac:dyDescent="0.25">
      <c r="A4729" s="115">
        <v>1</v>
      </c>
      <c r="B4729" s="115" t="s">
        <v>7040</v>
      </c>
      <c r="D4729" s="115" t="s">
        <v>7041</v>
      </c>
      <c r="E4729" s="115" t="s">
        <v>7042</v>
      </c>
    </row>
    <row r="4730" spans="1:5" x14ac:dyDescent="0.25">
      <c r="A4730" s="115">
        <v>-7</v>
      </c>
      <c r="B4730" s="115" t="s">
        <v>7043</v>
      </c>
      <c r="C4730" s="115" t="s">
        <v>1137</v>
      </c>
      <c r="D4730" s="115" t="s">
        <v>7044</v>
      </c>
      <c r="E4730" s="115" t="s">
        <v>7045</v>
      </c>
    </row>
    <row r="4731" spans="1:5" x14ac:dyDescent="0.25">
      <c r="B4731" s="115" t="s">
        <v>1138</v>
      </c>
      <c r="D4731" s="115" t="s">
        <v>7046</v>
      </c>
      <c r="E4731" s="115" t="s">
        <v>1140</v>
      </c>
    </row>
    <row r="4732" spans="1:5" x14ac:dyDescent="0.25">
      <c r="B4732" s="115" t="s">
        <v>1138</v>
      </c>
      <c r="D4732" s="115" t="s">
        <v>7047</v>
      </c>
      <c r="E4732" s="115" t="s">
        <v>7048</v>
      </c>
    </row>
    <row r="4733" spans="1:5" x14ac:dyDescent="0.25">
      <c r="B4733" s="115" t="s">
        <v>7049</v>
      </c>
      <c r="D4733" s="115" t="s">
        <v>4179</v>
      </c>
      <c r="E4733" s="115" t="s">
        <v>7050</v>
      </c>
    </row>
    <row r="4734" spans="1:5" x14ac:dyDescent="0.25">
      <c r="B4734" s="115" t="s">
        <v>1138</v>
      </c>
      <c r="D4734" s="115" t="s">
        <v>1892</v>
      </c>
      <c r="E4734" s="115" t="s">
        <v>2259</v>
      </c>
    </row>
    <row r="4735" spans="1:5" x14ac:dyDescent="0.25">
      <c r="B4735" s="115" t="s">
        <v>1138</v>
      </c>
      <c r="D4735" s="115" t="s">
        <v>7051</v>
      </c>
      <c r="E4735" s="115" t="s">
        <v>7052</v>
      </c>
    </row>
    <row r="4736" spans="1:5" x14ac:dyDescent="0.25">
      <c r="B4736" s="115" t="s">
        <v>1198</v>
      </c>
      <c r="C4736" s="115" t="s">
        <v>1137</v>
      </c>
      <c r="D4736" s="115" t="s">
        <v>7053</v>
      </c>
      <c r="E4736" s="115" t="s">
        <v>7054</v>
      </c>
    </row>
    <row r="4737" spans="1:5" x14ac:dyDescent="0.25">
      <c r="A4737" s="115">
        <v>1</v>
      </c>
      <c r="B4737" s="115" t="s">
        <v>7055</v>
      </c>
      <c r="D4737" s="115" t="s">
        <v>7056</v>
      </c>
      <c r="E4737" s="115" t="s">
        <v>2536</v>
      </c>
    </row>
    <row r="4738" spans="1:5" x14ac:dyDescent="0.25">
      <c r="B4738" s="115" t="s">
        <v>7057</v>
      </c>
      <c r="D4738" s="115" t="s">
        <v>7058</v>
      </c>
      <c r="E4738" s="115" t="s">
        <v>7059</v>
      </c>
    </row>
    <row r="4739" spans="1:5" x14ac:dyDescent="0.25">
      <c r="A4739" s="115">
        <v>-3</v>
      </c>
      <c r="B4739" s="115" t="s">
        <v>7060</v>
      </c>
      <c r="D4739" s="115" t="s">
        <v>7061</v>
      </c>
      <c r="E4739" s="115" t="s">
        <v>7062</v>
      </c>
    </row>
    <row r="4740" spans="1:5" x14ac:dyDescent="0.25">
      <c r="B4740" s="115" t="s">
        <v>7063</v>
      </c>
      <c r="D4740" s="115" t="s">
        <v>7064</v>
      </c>
      <c r="E4740" s="115" t="s">
        <v>2536</v>
      </c>
    </row>
    <row r="4741" spans="1:5" x14ac:dyDescent="0.25">
      <c r="A4741" s="115">
        <v>1</v>
      </c>
      <c r="B4741" s="115" t="s">
        <v>7065</v>
      </c>
      <c r="D4741" s="115" t="s">
        <v>7066</v>
      </c>
      <c r="E4741" s="115" t="s">
        <v>7067</v>
      </c>
    </row>
    <row r="4742" spans="1:5" x14ac:dyDescent="0.25">
      <c r="A4742" s="115">
        <v>4</v>
      </c>
      <c r="B4742" s="115" t="s">
        <v>7068</v>
      </c>
      <c r="D4742" s="115" t="s">
        <v>7069</v>
      </c>
      <c r="E4742" s="115" t="s">
        <v>7070</v>
      </c>
    </row>
    <row r="4743" spans="1:5" x14ac:dyDescent="0.25">
      <c r="B4743" s="115" t="s">
        <v>7071</v>
      </c>
      <c r="D4743" s="115" t="s">
        <v>7072</v>
      </c>
      <c r="E4743" s="115" t="s">
        <v>1858</v>
      </c>
    </row>
    <row r="4744" spans="1:5" x14ac:dyDescent="0.25">
      <c r="A4744" s="115">
        <v>-6</v>
      </c>
      <c r="B4744" s="115" t="s">
        <v>7073</v>
      </c>
      <c r="D4744" s="115" t="s">
        <v>7074</v>
      </c>
      <c r="E4744" s="115" t="s">
        <v>5999</v>
      </c>
    </row>
    <row r="4745" spans="1:5" x14ac:dyDescent="0.25">
      <c r="A4745" s="115" t="s">
        <v>1137</v>
      </c>
      <c r="B4745" s="115" t="s">
        <v>7075</v>
      </c>
      <c r="C4745" s="115" t="s">
        <v>1137</v>
      </c>
      <c r="D4745" s="115" t="s">
        <v>7076</v>
      </c>
      <c r="E4745" s="115" t="s">
        <v>7077</v>
      </c>
    </row>
    <row r="4746" spans="1:5" x14ac:dyDescent="0.25">
      <c r="B4746" s="115" t="s">
        <v>1587</v>
      </c>
      <c r="D4746" s="115" t="s">
        <v>7078</v>
      </c>
      <c r="E4746" s="115" t="s">
        <v>1140</v>
      </c>
    </row>
    <row r="4747" spans="1:5" x14ac:dyDescent="0.25">
      <c r="A4747" s="115">
        <v>1</v>
      </c>
      <c r="B4747" s="115" t="s">
        <v>7079</v>
      </c>
      <c r="D4747" s="115" t="s">
        <v>7080</v>
      </c>
      <c r="E4747" s="115" t="s">
        <v>1140</v>
      </c>
    </row>
    <row r="4748" spans="1:5" x14ac:dyDescent="0.25">
      <c r="B4748" s="115" t="s">
        <v>7081</v>
      </c>
      <c r="C4748" s="115" t="s">
        <v>1137</v>
      </c>
      <c r="D4748" s="115" t="s">
        <v>7082</v>
      </c>
      <c r="E4748" s="115" t="s">
        <v>7083</v>
      </c>
    </row>
    <row r="4749" spans="1:5" x14ac:dyDescent="0.25">
      <c r="A4749" s="115">
        <v>1</v>
      </c>
      <c r="B4749" s="115" t="s">
        <v>1538</v>
      </c>
      <c r="D4749" s="115" t="s">
        <v>7084</v>
      </c>
      <c r="E4749" s="115" t="s">
        <v>1858</v>
      </c>
    </row>
    <row r="4750" spans="1:5" x14ac:dyDescent="0.25">
      <c r="B4750" s="115" t="s">
        <v>7085</v>
      </c>
      <c r="D4750" s="115" t="s">
        <v>7086</v>
      </c>
      <c r="E4750" s="115" t="s">
        <v>7087</v>
      </c>
    </row>
    <row r="4751" spans="1:5" x14ac:dyDescent="0.25">
      <c r="B4751" s="115" t="s">
        <v>1138</v>
      </c>
      <c r="D4751" s="115" t="s">
        <v>1139</v>
      </c>
      <c r="E4751" s="115" t="s">
        <v>7088</v>
      </c>
    </row>
    <row r="4752" spans="1:5" x14ac:dyDescent="0.25">
      <c r="A4752" s="115">
        <v>-5</v>
      </c>
      <c r="B4752" s="115" t="s">
        <v>7089</v>
      </c>
      <c r="D4752" s="115" t="s">
        <v>7090</v>
      </c>
      <c r="E4752" s="115" t="s">
        <v>7091</v>
      </c>
    </row>
    <row r="4753" spans="1:5" x14ac:dyDescent="0.25">
      <c r="B4753" s="115" t="s">
        <v>1138</v>
      </c>
      <c r="D4753" s="115" t="s">
        <v>7092</v>
      </c>
      <c r="E4753" s="115" t="s">
        <v>1140</v>
      </c>
    </row>
    <row r="4754" spans="1:5" x14ac:dyDescent="0.25">
      <c r="B4754" s="115" t="s">
        <v>1138</v>
      </c>
      <c r="D4754" s="115" t="s">
        <v>1139</v>
      </c>
      <c r="E4754" s="115" t="s">
        <v>1140</v>
      </c>
    </row>
    <row r="4755" spans="1:5" x14ac:dyDescent="0.25">
      <c r="A4755" s="115" t="s">
        <v>1137</v>
      </c>
      <c r="B4755" s="115" t="s">
        <v>1507</v>
      </c>
      <c r="D4755" s="115" t="s">
        <v>3875</v>
      </c>
      <c r="E4755" s="115" t="s">
        <v>7093</v>
      </c>
    </row>
    <row r="4756" spans="1:5" x14ac:dyDescent="0.25">
      <c r="A4756" s="115">
        <v>8</v>
      </c>
      <c r="B4756" s="115" t="s">
        <v>7094</v>
      </c>
      <c r="C4756" s="115" t="s">
        <v>1137</v>
      </c>
      <c r="D4756" s="115" t="s">
        <v>7095</v>
      </c>
      <c r="E4756" s="115" t="s">
        <v>7096</v>
      </c>
    </row>
    <row r="4757" spans="1:5" x14ac:dyDescent="0.25">
      <c r="A4757" s="115">
        <v>1</v>
      </c>
      <c r="B4757" s="115" t="s">
        <v>7097</v>
      </c>
      <c r="D4757" s="115" t="s">
        <v>7098</v>
      </c>
      <c r="E4757" s="115" t="s">
        <v>7099</v>
      </c>
    </row>
    <row r="4758" spans="1:5" x14ac:dyDescent="0.25">
      <c r="A4758" s="115">
        <v>1</v>
      </c>
      <c r="B4758" s="115" t="s">
        <v>7100</v>
      </c>
      <c r="D4758" s="115" t="s">
        <v>7101</v>
      </c>
      <c r="E4758" s="115" t="s">
        <v>7102</v>
      </c>
    </row>
    <row r="4759" spans="1:5" x14ac:dyDescent="0.25">
      <c r="A4759" s="115">
        <v>2</v>
      </c>
      <c r="B4759" s="115" t="s">
        <v>7103</v>
      </c>
      <c r="D4759" s="115" t="s">
        <v>7104</v>
      </c>
      <c r="E4759" s="115" t="s">
        <v>7105</v>
      </c>
    </row>
    <row r="4760" spans="1:5" x14ac:dyDescent="0.25">
      <c r="B4760" s="115" t="s">
        <v>1138</v>
      </c>
      <c r="D4760" s="115" t="s">
        <v>7106</v>
      </c>
      <c r="E4760" s="115" t="s">
        <v>7107</v>
      </c>
    </row>
    <row r="4761" spans="1:5" x14ac:dyDescent="0.25">
      <c r="B4761" s="115" t="s">
        <v>1138</v>
      </c>
      <c r="D4761" s="115" t="s">
        <v>1139</v>
      </c>
      <c r="E4761" s="115" t="s">
        <v>7108</v>
      </c>
    </row>
    <row r="4762" spans="1:5" x14ac:dyDescent="0.25">
      <c r="B4762" s="115" t="s">
        <v>1138</v>
      </c>
      <c r="D4762" s="115" t="s">
        <v>7109</v>
      </c>
      <c r="E4762" s="115" t="s">
        <v>7110</v>
      </c>
    </row>
    <row r="4763" spans="1:5" x14ac:dyDescent="0.25">
      <c r="B4763" s="115" t="s">
        <v>7111</v>
      </c>
      <c r="D4763" s="115" t="s">
        <v>1849</v>
      </c>
      <c r="E4763" s="115" t="s">
        <v>1858</v>
      </c>
    </row>
    <row r="4764" spans="1:5" x14ac:dyDescent="0.25">
      <c r="B4764" s="115" t="s">
        <v>1872</v>
      </c>
      <c r="D4764" s="115" t="s">
        <v>1139</v>
      </c>
      <c r="E4764" s="115" t="s">
        <v>7112</v>
      </c>
    </row>
    <row r="4765" spans="1:5" x14ac:dyDescent="0.25">
      <c r="A4765" s="115" t="s">
        <v>1137</v>
      </c>
      <c r="B4765" s="115" t="s">
        <v>7113</v>
      </c>
      <c r="D4765" s="115" t="s">
        <v>7114</v>
      </c>
      <c r="E4765" s="115" t="s">
        <v>7115</v>
      </c>
    </row>
    <row r="4766" spans="1:5" x14ac:dyDescent="0.25">
      <c r="B4766" s="115" t="s">
        <v>1138</v>
      </c>
      <c r="D4766" s="115" t="s">
        <v>7116</v>
      </c>
      <c r="E4766" s="115" t="s">
        <v>7117</v>
      </c>
    </row>
    <row r="4767" spans="1:5" x14ac:dyDescent="0.25">
      <c r="B4767" s="115" t="s">
        <v>7118</v>
      </c>
      <c r="D4767" s="115" t="s">
        <v>1139</v>
      </c>
      <c r="E4767" s="115" t="s">
        <v>7119</v>
      </c>
    </row>
    <row r="4768" spans="1:5" x14ac:dyDescent="0.25">
      <c r="B4768" s="115" t="s">
        <v>7120</v>
      </c>
      <c r="C4768" s="115" t="s">
        <v>1137</v>
      </c>
      <c r="D4768" s="115" t="s">
        <v>7121</v>
      </c>
      <c r="E4768" s="115" t="s">
        <v>7122</v>
      </c>
    </row>
    <row r="4769" spans="1:5" x14ac:dyDescent="0.25">
      <c r="B4769" s="115" t="s">
        <v>7123</v>
      </c>
      <c r="D4769" s="115" t="s">
        <v>7124</v>
      </c>
      <c r="E4769" s="115" t="s">
        <v>7125</v>
      </c>
    </row>
    <row r="4770" spans="1:5" x14ac:dyDescent="0.25">
      <c r="A4770" s="115" t="s">
        <v>1137</v>
      </c>
      <c r="B4770" s="115" t="s">
        <v>7126</v>
      </c>
      <c r="D4770" s="115" t="s">
        <v>1139</v>
      </c>
      <c r="E4770" s="115" t="s">
        <v>7127</v>
      </c>
    </row>
    <row r="4771" spans="1:5" x14ac:dyDescent="0.25">
      <c r="B4771" s="115" t="s">
        <v>7128</v>
      </c>
      <c r="C4771" s="115" t="s">
        <v>1137</v>
      </c>
      <c r="D4771" s="115" t="s">
        <v>7129</v>
      </c>
      <c r="E4771" s="115" t="s">
        <v>7130</v>
      </c>
    </row>
    <row r="4772" spans="1:5" x14ac:dyDescent="0.25">
      <c r="B4772" s="115" t="s">
        <v>4949</v>
      </c>
      <c r="D4772" s="115" t="s">
        <v>7131</v>
      </c>
      <c r="E4772" s="115" t="s">
        <v>7132</v>
      </c>
    </row>
    <row r="4773" spans="1:5" x14ac:dyDescent="0.25">
      <c r="B4773" s="115" t="s">
        <v>7133</v>
      </c>
      <c r="D4773" s="115" t="s">
        <v>1139</v>
      </c>
      <c r="E4773" s="115" t="s">
        <v>7134</v>
      </c>
    </row>
    <row r="4774" spans="1:5" x14ac:dyDescent="0.25">
      <c r="B4774" s="115" t="s">
        <v>7135</v>
      </c>
      <c r="D4774" s="115" t="s">
        <v>4030</v>
      </c>
      <c r="E4774" s="115" t="s">
        <v>7136</v>
      </c>
    </row>
    <row r="4775" spans="1:5" x14ac:dyDescent="0.25">
      <c r="B4775" s="115" t="s">
        <v>7137</v>
      </c>
      <c r="D4775" s="115" t="s">
        <v>7138</v>
      </c>
      <c r="E4775" s="115" t="s">
        <v>7139</v>
      </c>
    </row>
    <row r="4776" spans="1:5" x14ac:dyDescent="0.25">
      <c r="B4776" s="115" t="s">
        <v>1138</v>
      </c>
      <c r="D4776" s="115" t="s">
        <v>1139</v>
      </c>
      <c r="E4776" s="115" t="s">
        <v>7140</v>
      </c>
    </row>
    <row r="4777" spans="1:5" x14ac:dyDescent="0.25">
      <c r="A4777" s="115" t="s">
        <v>1137</v>
      </c>
      <c r="B4777" s="115" t="s">
        <v>1462</v>
      </c>
      <c r="D4777" s="115" t="s">
        <v>1139</v>
      </c>
      <c r="E4777" s="115" t="s">
        <v>7141</v>
      </c>
    </row>
    <row r="4778" spans="1:5" x14ac:dyDescent="0.25">
      <c r="A4778" s="115">
        <v>-1</v>
      </c>
      <c r="B4778" s="115" t="s">
        <v>7142</v>
      </c>
      <c r="C4778" s="115" t="s">
        <v>1137</v>
      </c>
      <c r="D4778" s="115" t="s">
        <v>7143</v>
      </c>
      <c r="E4778" s="115" t="s">
        <v>7144</v>
      </c>
    </row>
    <row r="4779" spans="1:5" x14ac:dyDescent="0.25">
      <c r="B4779" s="115" t="s">
        <v>7145</v>
      </c>
      <c r="D4779" s="115" t="s">
        <v>1139</v>
      </c>
      <c r="E4779" s="115" t="s">
        <v>7146</v>
      </c>
    </row>
    <row r="4780" spans="1:5" x14ac:dyDescent="0.25">
      <c r="A4780" s="115">
        <v>19</v>
      </c>
      <c r="B4780" s="115" t="s">
        <v>7147</v>
      </c>
      <c r="C4780" s="115">
        <v>1</v>
      </c>
      <c r="D4780" s="115" t="s">
        <v>7148</v>
      </c>
      <c r="E4780" s="115" t="s">
        <v>1140</v>
      </c>
    </row>
    <row r="4781" spans="1:5" x14ac:dyDescent="0.25">
      <c r="B4781" s="115" t="s">
        <v>1138</v>
      </c>
      <c r="C4781" s="115" t="s">
        <v>1137</v>
      </c>
      <c r="D4781" s="115" t="s">
        <v>7149</v>
      </c>
      <c r="E4781" s="115" t="s">
        <v>7150</v>
      </c>
    </row>
    <row r="4782" spans="1:5" x14ac:dyDescent="0.25">
      <c r="A4782" s="115">
        <v>1</v>
      </c>
      <c r="B4782" s="115" t="s">
        <v>7151</v>
      </c>
      <c r="D4782" s="115" t="s">
        <v>7152</v>
      </c>
      <c r="E4782" s="115" t="s">
        <v>7153</v>
      </c>
    </row>
    <row r="4783" spans="1:5" x14ac:dyDescent="0.25">
      <c r="B4783" s="115" t="s">
        <v>1622</v>
      </c>
      <c r="D4783" s="115" t="s">
        <v>1139</v>
      </c>
      <c r="E4783" s="115" t="s">
        <v>1140</v>
      </c>
    </row>
    <row r="4784" spans="1:5" x14ac:dyDescent="0.25">
      <c r="B4784" s="115" t="s">
        <v>1138</v>
      </c>
      <c r="D4784" s="115" t="s">
        <v>1139</v>
      </c>
      <c r="E4784" s="115" t="s">
        <v>7154</v>
      </c>
    </row>
    <row r="4785" spans="1:5" x14ac:dyDescent="0.25">
      <c r="B4785" s="115" t="s">
        <v>7155</v>
      </c>
      <c r="D4785" s="115" t="s">
        <v>7156</v>
      </c>
      <c r="E4785" s="115" t="s">
        <v>7157</v>
      </c>
    </row>
    <row r="4786" spans="1:5" x14ac:dyDescent="0.25">
      <c r="B4786" s="115" t="s">
        <v>1138</v>
      </c>
      <c r="D4786" s="115" t="s">
        <v>7158</v>
      </c>
      <c r="E4786" s="115" t="s">
        <v>7159</v>
      </c>
    </row>
    <row r="4787" spans="1:5" x14ac:dyDescent="0.25">
      <c r="A4787" s="115">
        <v>1</v>
      </c>
      <c r="B4787" s="115" t="s">
        <v>7160</v>
      </c>
      <c r="D4787" s="115" t="s">
        <v>7161</v>
      </c>
      <c r="E4787" s="115" t="s">
        <v>7162</v>
      </c>
    </row>
    <row r="4788" spans="1:5" x14ac:dyDescent="0.25">
      <c r="A4788" s="115">
        <v>1</v>
      </c>
      <c r="B4788" s="115" t="s">
        <v>7163</v>
      </c>
      <c r="D4788" s="115" t="s">
        <v>7164</v>
      </c>
      <c r="E4788" s="115" t="s">
        <v>7165</v>
      </c>
    </row>
    <row r="4789" spans="1:5" x14ac:dyDescent="0.25">
      <c r="A4789" s="115">
        <v>30</v>
      </c>
      <c r="B4789" s="115" t="s">
        <v>7166</v>
      </c>
      <c r="C4789" s="115">
        <v>3</v>
      </c>
      <c r="D4789" s="115" t="s">
        <v>7167</v>
      </c>
      <c r="E4789" s="115" t="s">
        <v>7168</v>
      </c>
    </row>
    <row r="4790" spans="1:5" x14ac:dyDescent="0.25">
      <c r="B4790" s="115" t="s">
        <v>1668</v>
      </c>
      <c r="D4790" s="115" t="s">
        <v>4320</v>
      </c>
      <c r="E4790" s="115" t="s">
        <v>7169</v>
      </c>
    </row>
    <row r="4791" spans="1:5" x14ac:dyDescent="0.25">
      <c r="B4791" s="115" t="s">
        <v>1138</v>
      </c>
      <c r="D4791" s="115" t="s">
        <v>7170</v>
      </c>
      <c r="E4791" s="115" t="s">
        <v>7171</v>
      </c>
    </row>
    <row r="4792" spans="1:5" x14ac:dyDescent="0.25">
      <c r="A4792" s="115">
        <v>1</v>
      </c>
      <c r="B4792" s="115" t="s">
        <v>7172</v>
      </c>
      <c r="D4792" s="115">
        <f>-793   -587    -45</f>
        <v>-1425</v>
      </c>
      <c r="E4792" s="115" t="s">
        <v>7173</v>
      </c>
    </row>
    <row r="4793" spans="1:5" x14ac:dyDescent="0.25">
      <c r="B4793" s="115" t="s">
        <v>1138</v>
      </c>
      <c r="D4793" s="115" t="s">
        <v>7174</v>
      </c>
      <c r="E4793" s="115" t="s">
        <v>7175</v>
      </c>
    </row>
    <row r="4794" spans="1:5" x14ac:dyDescent="0.25">
      <c r="B4794" s="115" t="s">
        <v>1138</v>
      </c>
      <c r="D4794" s="115" t="s">
        <v>1139</v>
      </c>
      <c r="E4794" s="115" t="s">
        <v>7176</v>
      </c>
    </row>
    <row r="4795" spans="1:5" x14ac:dyDescent="0.25">
      <c r="B4795" s="115" t="s">
        <v>1138</v>
      </c>
      <c r="D4795" s="115" t="s">
        <v>7177</v>
      </c>
      <c r="E4795" s="115" t="s">
        <v>7178</v>
      </c>
    </row>
    <row r="4796" spans="1:5" x14ac:dyDescent="0.25">
      <c r="B4796" s="115" t="s">
        <v>1236</v>
      </c>
      <c r="D4796" s="115" t="s">
        <v>7179</v>
      </c>
      <c r="E4796" s="115" t="s">
        <v>7180</v>
      </c>
    </row>
    <row r="4797" spans="1:5" x14ac:dyDescent="0.25">
      <c r="B4797" s="115" t="s">
        <v>1138</v>
      </c>
      <c r="D4797" s="115" t="s">
        <v>7181</v>
      </c>
      <c r="E4797" s="115" t="s">
        <v>7182</v>
      </c>
    </row>
    <row r="4798" spans="1:5" x14ac:dyDescent="0.25">
      <c r="A4798" s="115">
        <v>-4</v>
      </c>
      <c r="B4798" s="115" t="s">
        <v>7183</v>
      </c>
      <c r="D4798" s="115" t="s">
        <v>7184</v>
      </c>
      <c r="E4798" s="115" t="s">
        <v>7185</v>
      </c>
    </row>
    <row r="4799" spans="1:5" x14ac:dyDescent="0.25">
      <c r="B4799" s="115" t="s">
        <v>1138</v>
      </c>
      <c r="D4799" s="115" t="s">
        <v>7186</v>
      </c>
      <c r="E4799" s="115" t="s">
        <v>7187</v>
      </c>
    </row>
    <row r="4800" spans="1:5" x14ac:dyDescent="0.25">
      <c r="B4800" s="115" t="s">
        <v>1138</v>
      </c>
      <c r="D4800" s="115" t="s">
        <v>7188</v>
      </c>
      <c r="E4800" s="115" t="s">
        <v>7189</v>
      </c>
    </row>
    <row r="4801" spans="1:5" x14ac:dyDescent="0.25">
      <c r="A4801" s="115">
        <v>-6</v>
      </c>
      <c r="B4801" s="115" t="s">
        <v>7190</v>
      </c>
      <c r="C4801" s="115" t="s">
        <v>1137</v>
      </c>
      <c r="D4801" s="115" t="s">
        <v>7191</v>
      </c>
      <c r="E4801" s="115" t="s">
        <v>7192</v>
      </c>
    </row>
    <row r="4802" spans="1:5" x14ac:dyDescent="0.25">
      <c r="B4802" s="115" t="s">
        <v>7193</v>
      </c>
      <c r="D4802" s="115" t="s">
        <v>7194</v>
      </c>
      <c r="E4802" s="115" t="s">
        <v>7195</v>
      </c>
    </row>
    <row r="4803" spans="1:5" x14ac:dyDescent="0.25">
      <c r="B4803" s="115" t="s">
        <v>1138</v>
      </c>
      <c r="D4803" s="115" t="s">
        <v>7196</v>
      </c>
      <c r="E4803" s="115" t="s">
        <v>7197</v>
      </c>
    </row>
    <row r="4804" spans="1:5" x14ac:dyDescent="0.25">
      <c r="B4804" s="115" t="s">
        <v>1138</v>
      </c>
      <c r="D4804" s="115" t="s">
        <v>7198</v>
      </c>
      <c r="E4804" s="115" t="s">
        <v>7199</v>
      </c>
    </row>
    <row r="4805" spans="1:5" x14ac:dyDescent="0.25">
      <c r="B4805" s="115" t="s">
        <v>1582</v>
      </c>
      <c r="D4805" s="115" t="s">
        <v>7200</v>
      </c>
      <c r="E4805" s="115" t="s">
        <v>2689</v>
      </c>
    </row>
    <row r="4806" spans="1:5" x14ac:dyDescent="0.25">
      <c r="B4806" s="115" t="s">
        <v>1138</v>
      </c>
      <c r="D4806" s="115" t="s">
        <v>7201</v>
      </c>
      <c r="E4806" s="115" t="s">
        <v>7202</v>
      </c>
    </row>
    <row r="4807" spans="1:5" x14ac:dyDescent="0.25">
      <c r="B4807" s="115" t="s">
        <v>1138</v>
      </c>
      <c r="D4807" s="115" t="s">
        <v>7203</v>
      </c>
      <c r="E4807" s="115" t="s">
        <v>7204</v>
      </c>
    </row>
    <row r="4808" spans="1:5" x14ac:dyDescent="0.25">
      <c r="B4808" s="115" t="s">
        <v>1138</v>
      </c>
      <c r="D4808" s="115" t="s">
        <v>7205</v>
      </c>
      <c r="E4808" s="115" t="s">
        <v>7206</v>
      </c>
    </row>
    <row r="4809" spans="1:5" x14ac:dyDescent="0.25">
      <c r="B4809" s="115" t="s">
        <v>1138</v>
      </c>
      <c r="D4809" s="115" t="s">
        <v>7207</v>
      </c>
      <c r="E4809" s="115" t="s">
        <v>7208</v>
      </c>
    </row>
    <row r="4810" spans="1:5" x14ac:dyDescent="0.25">
      <c r="A4810" s="115">
        <v>4</v>
      </c>
      <c r="B4810" s="115" t="s">
        <v>7209</v>
      </c>
      <c r="D4810" s="115" t="s">
        <v>1139</v>
      </c>
      <c r="E4810" s="115" t="s">
        <v>7210</v>
      </c>
    </row>
    <row r="4811" spans="1:5" x14ac:dyDescent="0.25">
      <c r="A4811" s="115" t="s">
        <v>1137</v>
      </c>
      <c r="B4811" s="115" t="s">
        <v>7211</v>
      </c>
      <c r="C4811" s="115" t="s">
        <v>1137</v>
      </c>
      <c r="D4811" s="115" t="s">
        <v>7212</v>
      </c>
      <c r="E4811" s="115" t="s">
        <v>7213</v>
      </c>
    </row>
    <row r="4812" spans="1:5" x14ac:dyDescent="0.25">
      <c r="A4812" s="115">
        <v>-61</v>
      </c>
      <c r="B4812" s="115" t="s">
        <v>1292</v>
      </c>
      <c r="D4812" s="115" t="s">
        <v>1139</v>
      </c>
      <c r="E4812" s="115" t="s">
        <v>7214</v>
      </c>
    </row>
    <row r="4813" spans="1:5" x14ac:dyDescent="0.25">
      <c r="B4813" s="115" t="s">
        <v>1138</v>
      </c>
      <c r="D4813" s="115" t="s">
        <v>1139</v>
      </c>
      <c r="E4813" s="115" t="s">
        <v>1140</v>
      </c>
    </row>
    <row r="4814" spans="1:5" x14ac:dyDescent="0.25">
      <c r="B4814" s="115" t="s">
        <v>1138</v>
      </c>
      <c r="D4814" s="115" t="s">
        <v>7215</v>
      </c>
      <c r="E4814" s="115" t="s">
        <v>7216</v>
      </c>
    </row>
    <row r="4815" spans="1:5" x14ac:dyDescent="0.25">
      <c r="B4815" s="115" t="s">
        <v>7217</v>
      </c>
      <c r="D4815" s="115" t="s">
        <v>7218</v>
      </c>
      <c r="E4815" s="115" t="s">
        <v>7219</v>
      </c>
    </row>
    <row r="4816" spans="1:5" x14ac:dyDescent="0.25">
      <c r="A4816" s="115">
        <v>3</v>
      </c>
      <c r="B4816" s="115" t="s">
        <v>7220</v>
      </c>
      <c r="D4816" s="115" t="s">
        <v>7221</v>
      </c>
      <c r="E4816" s="115" t="s">
        <v>7222</v>
      </c>
    </row>
    <row r="4817" spans="1:5" x14ac:dyDescent="0.25">
      <c r="A4817" s="115">
        <v>2</v>
      </c>
      <c r="B4817" s="115" t="s">
        <v>7223</v>
      </c>
      <c r="D4817" s="115" t="s">
        <v>7224</v>
      </c>
      <c r="E4817" s="115" t="s">
        <v>7225</v>
      </c>
    </row>
    <row r="4818" spans="1:5" x14ac:dyDescent="0.25">
      <c r="A4818" s="115">
        <v>4</v>
      </c>
      <c r="B4818" s="115" t="s">
        <v>7226</v>
      </c>
      <c r="C4818" s="115" t="s">
        <v>1137</v>
      </c>
      <c r="D4818" s="115" t="s">
        <v>7227</v>
      </c>
      <c r="E4818" s="115" t="s">
        <v>7228</v>
      </c>
    </row>
    <row r="4819" spans="1:5" x14ac:dyDescent="0.25">
      <c r="A4819" s="115">
        <v>41</v>
      </c>
      <c r="B4819" s="115" t="s">
        <v>7229</v>
      </c>
      <c r="D4819" s="115" t="s">
        <v>7230</v>
      </c>
      <c r="E4819" s="115" t="s">
        <v>7231</v>
      </c>
    </row>
    <row r="4820" spans="1:5" x14ac:dyDescent="0.25">
      <c r="B4820" s="115" t="s">
        <v>1138</v>
      </c>
      <c r="D4820" s="115" t="s">
        <v>7232</v>
      </c>
      <c r="E4820" s="115" t="s">
        <v>1140</v>
      </c>
    </row>
    <row r="4821" spans="1:5" x14ac:dyDescent="0.25">
      <c r="B4821" s="115" t="s">
        <v>1138</v>
      </c>
      <c r="D4821" s="115" t="s">
        <v>7233</v>
      </c>
      <c r="E4821" s="115" t="s">
        <v>7234</v>
      </c>
    </row>
    <row r="4822" spans="1:5" x14ac:dyDescent="0.25">
      <c r="A4822" s="115">
        <v>1</v>
      </c>
      <c r="B4822" s="115" t="s">
        <v>7235</v>
      </c>
      <c r="D4822" s="115" t="s">
        <v>7236</v>
      </c>
      <c r="E4822" s="115" t="s">
        <v>7237</v>
      </c>
    </row>
    <row r="4823" spans="1:5" x14ac:dyDescent="0.25">
      <c r="A4823" s="115">
        <v>-1</v>
      </c>
      <c r="B4823" s="115" t="s">
        <v>6093</v>
      </c>
      <c r="D4823" s="115" t="s">
        <v>1139</v>
      </c>
      <c r="E4823" s="115" t="s">
        <v>7238</v>
      </c>
    </row>
    <row r="4824" spans="1:5" x14ac:dyDescent="0.25">
      <c r="B4824" s="115" t="s">
        <v>1138</v>
      </c>
      <c r="D4824" s="115" t="s">
        <v>7239</v>
      </c>
      <c r="E4824" s="115" t="s">
        <v>7240</v>
      </c>
    </row>
    <row r="4825" spans="1:5" x14ac:dyDescent="0.25">
      <c r="B4825" s="115" t="s">
        <v>1138</v>
      </c>
      <c r="D4825" s="115" t="s">
        <v>7241</v>
      </c>
      <c r="E4825" s="115" t="s">
        <v>7242</v>
      </c>
    </row>
    <row r="4826" spans="1:5" x14ac:dyDescent="0.25">
      <c r="A4826" s="115">
        <v>4</v>
      </c>
      <c r="B4826" s="115" t="s">
        <v>7243</v>
      </c>
      <c r="D4826" s="115" t="s">
        <v>7244</v>
      </c>
      <c r="E4826" s="115" t="s">
        <v>7245</v>
      </c>
    </row>
    <row r="4827" spans="1:5" x14ac:dyDescent="0.25">
      <c r="B4827" s="115" t="s">
        <v>5447</v>
      </c>
      <c r="C4827" s="115">
        <v>-1</v>
      </c>
      <c r="D4827" s="115" t="s">
        <v>7246</v>
      </c>
      <c r="E4827" s="115" t="s">
        <v>7247</v>
      </c>
    </row>
    <row r="4828" spans="1:5" x14ac:dyDescent="0.25">
      <c r="A4828" s="115">
        <v>2</v>
      </c>
      <c r="B4828" s="115" t="s">
        <v>7248</v>
      </c>
      <c r="C4828" s="115" t="s">
        <v>1137</v>
      </c>
      <c r="D4828" s="115" t="s">
        <v>7249</v>
      </c>
      <c r="E4828" s="115" t="s">
        <v>7250</v>
      </c>
    </row>
    <row r="4829" spans="1:5" x14ac:dyDescent="0.25">
      <c r="A4829" s="115" t="s">
        <v>1137</v>
      </c>
      <c r="B4829" s="115" t="s">
        <v>7251</v>
      </c>
      <c r="D4829" s="115" t="s">
        <v>7252</v>
      </c>
      <c r="E4829" s="115" t="s">
        <v>7253</v>
      </c>
    </row>
    <row r="4830" spans="1:5" x14ac:dyDescent="0.25">
      <c r="B4830" s="115" t="s">
        <v>7254</v>
      </c>
      <c r="D4830" s="115" t="s">
        <v>7255</v>
      </c>
      <c r="E4830" s="115" t="s">
        <v>7256</v>
      </c>
    </row>
    <row r="4831" spans="1:5" x14ac:dyDescent="0.25">
      <c r="A4831" s="115">
        <v>2</v>
      </c>
      <c r="B4831" s="115" t="s">
        <v>7257</v>
      </c>
      <c r="D4831" s="115" t="s">
        <v>7258</v>
      </c>
      <c r="E4831" s="115" t="s">
        <v>7259</v>
      </c>
    </row>
    <row r="4832" spans="1:5" x14ac:dyDescent="0.25">
      <c r="B4832" s="115" t="s">
        <v>1138</v>
      </c>
      <c r="D4832" s="115" t="s">
        <v>7260</v>
      </c>
      <c r="E4832" s="115" t="s">
        <v>7261</v>
      </c>
    </row>
    <row r="4833" spans="1:5" x14ac:dyDescent="0.25">
      <c r="B4833" s="115" t="s">
        <v>1846</v>
      </c>
      <c r="D4833" s="115" t="s">
        <v>7262</v>
      </c>
      <c r="E4833" s="115" t="s">
        <v>7263</v>
      </c>
    </row>
    <row r="4834" spans="1:5" x14ac:dyDescent="0.25">
      <c r="A4834" s="115">
        <v>1</v>
      </c>
      <c r="B4834" s="115" t="s">
        <v>7264</v>
      </c>
      <c r="D4834" s="115">
        <f>-614   -508   -365</f>
        <v>-1487</v>
      </c>
      <c r="E4834" s="115" t="s">
        <v>7265</v>
      </c>
    </row>
    <row r="4835" spans="1:5" x14ac:dyDescent="0.25">
      <c r="B4835" s="115" t="s">
        <v>1175</v>
      </c>
      <c r="D4835" s="115" t="s">
        <v>1240</v>
      </c>
      <c r="E4835" s="115" t="s">
        <v>1140</v>
      </c>
    </row>
    <row r="4836" spans="1:5" x14ac:dyDescent="0.25">
      <c r="B4836" s="115" t="s">
        <v>7266</v>
      </c>
      <c r="D4836" s="115" t="s">
        <v>7267</v>
      </c>
      <c r="E4836" s="115" t="s">
        <v>1701</v>
      </c>
    </row>
    <row r="4837" spans="1:5" x14ac:dyDescent="0.25">
      <c r="B4837" s="115" t="s">
        <v>7268</v>
      </c>
      <c r="C4837" s="115" t="s">
        <v>1137</v>
      </c>
      <c r="D4837" s="115" t="s">
        <v>7269</v>
      </c>
      <c r="E4837" s="115" t="s">
        <v>7270</v>
      </c>
    </row>
    <row r="4838" spans="1:5" x14ac:dyDescent="0.25">
      <c r="B4838" s="115" t="s">
        <v>7271</v>
      </c>
      <c r="D4838" s="115" t="s">
        <v>1592</v>
      </c>
      <c r="E4838" s="115" t="s">
        <v>7272</v>
      </c>
    </row>
    <row r="4839" spans="1:5" x14ac:dyDescent="0.25">
      <c r="B4839" s="115" t="s">
        <v>7273</v>
      </c>
      <c r="D4839" s="115" t="s">
        <v>7274</v>
      </c>
      <c r="E4839" s="115" t="s">
        <v>7275</v>
      </c>
    </row>
    <row r="4840" spans="1:5" x14ac:dyDescent="0.25">
      <c r="B4840" s="115" t="s">
        <v>1138</v>
      </c>
      <c r="D4840" s="115" t="s">
        <v>1139</v>
      </c>
      <c r="E4840" s="115" t="s">
        <v>7276</v>
      </c>
    </row>
    <row r="4841" spans="1:5" x14ac:dyDescent="0.25">
      <c r="B4841" s="115" t="s">
        <v>7277</v>
      </c>
      <c r="C4841" s="115" t="s">
        <v>1137</v>
      </c>
      <c r="D4841" s="115" t="s">
        <v>7278</v>
      </c>
      <c r="E4841" s="115" t="s">
        <v>7279</v>
      </c>
    </row>
    <row r="4842" spans="1:5" x14ac:dyDescent="0.25">
      <c r="B4842" s="115" t="s">
        <v>1138</v>
      </c>
      <c r="D4842" s="115" t="s">
        <v>7280</v>
      </c>
      <c r="E4842" s="115" t="s">
        <v>1858</v>
      </c>
    </row>
    <row r="4843" spans="1:5" x14ac:dyDescent="0.25">
      <c r="B4843" s="115" t="s">
        <v>1138</v>
      </c>
      <c r="D4843" s="115" t="s">
        <v>1139</v>
      </c>
      <c r="E4843" s="115" t="s">
        <v>1140</v>
      </c>
    </row>
    <row r="4844" spans="1:5" x14ac:dyDescent="0.25">
      <c r="B4844" s="115" t="s">
        <v>1219</v>
      </c>
      <c r="D4844" s="115" t="s">
        <v>1139</v>
      </c>
      <c r="E4844" s="115" t="s">
        <v>7281</v>
      </c>
    </row>
    <row r="4845" spans="1:5" x14ac:dyDescent="0.25">
      <c r="A4845" s="115">
        <v>1</v>
      </c>
      <c r="B4845" s="115" t="s">
        <v>7282</v>
      </c>
      <c r="D4845" s="115" t="s">
        <v>7283</v>
      </c>
      <c r="E4845" s="115" t="s">
        <v>7284</v>
      </c>
    </row>
    <row r="4846" spans="1:5" x14ac:dyDescent="0.25">
      <c r="A4846" s="115" t="s">
        <v>1137</v>
      </c>
      <c r="B4846" s="115" t="s">
        <v>7285</v>
      </c>
      <c r="C4846" s="115" t="s">
        <v>1137</v>
      </c>
      <c r="D4846" s="115" t="s">
        <v>7286</v>
      </c>
      <c r="E4846" s="115" t="s">
        <v>7287</v>
      </c>
    </row>
    <row r="4847" spans="1:5" x14ac:dyDescent="0.25">
      <c r="A4847" s="115">
        <v>1</v>
      </c>
      <c r="B4847" s="115" t="s">
        <v>7288</v>
      </c>
      <c r="C4847" s="115" t="s">
        <v>1137</v>
      </c>
      <c r="D4847" s="115" t="s">
        <v>7289</v>
      </c>
      <c r="E4847" s="115" t="s">
        <v>7290</v>
      </c>
    </row>
    <row r="4848" spans="1:5" x14ac:dyDescent="0.25">
      <c r="A4848" s="115">
        <v>-2</v>
      </c>
      <c r="B4848" s="115" t="s">
        <v>7291</v>
      </c>
      <c r="D4848" s="115" t="s">
        <v>7292</v>
      </c>
      <c r="E4848" s="115" t="s">
        <v>7293</v>
      </c>
    </row>
    <row r="4849" spans="1:5" x14ac:dyDescent="0.25">
      <c r="A4849" s="115">
        <v>-1</v>
      </c>
      <c r="B4849" s="115" t="s">
        <v>7294</v>
      </c>
      <c r="D4849" s="115" t="s">
        <v>7295</v>
      </c>
      <c r="E4849" s="115" t="s">
        <v>7296</v>
      </c>
    </row>
    <row r="4850" spans="1:5" x14ac:dyDescent="0.25">
      <c r="B4850" s="115" t="s">
        <v>1138</v>
      </c>
      <c r="D4850" s="115" t="s">
        <v>7297</v>
      </c>
      <c r="E4850" s="115" t="s">
        <v>1140</v>
      </c>
    </row>
    <row r="4851" spans="1:5" x14ac:dyDescent="0.25">
      <c r="B4851" s="115" t="s">
        <v>1138</v>
      </c>
      <c r="D4851" s="115" t="s">
        <v>7298</v>
      </c>
      <c r="E4851" s="115" t="s">
        <v>7299</v>
      </c>
    </row>
    <row r="4852" spans="1:5" x14ac:dyDescent="0.25">
      <c r="A4852" s="115">
        <v>2</v>
      </c>
      <c r="B4852" s="115" t="s">
        <v>7300</v>
      </c>
      <c r="D4852" s="115" t="s">
        <v>5854</v>
      </c>
      <c r="E4852" s="115" t="s">
        <v>7301</v>
      </c>
    </row>
    <row r="4853" spans="1:5" x14ac:dyDescent="0.25">
      <c r="B4853" s="115" t="s">
        <v>1138</v>
      </c>
      <c r="D4853" s="115" t="s">
        <v>7302</v>
      </c>
      <c r="E4853" s="115" t="s">
        <v>1893</v>
      </c>
    </row>
    <row r="4854" spans="1:5" x14ac:dyDescent="0.25">
      <c r="B4854" s="115" t="s">
        <v>1138</v>
      </c>
      <c r="D4854" s="115" t="s">
        <v>7303</v>
      </c>
      <c r="E4854" s="115" t="s">
        <v>7304</v>
      </c>
    </row>
    <row r="4855" spans="1:5" x14ac:dyDescent="0.25">
      <c r="B4855" s="115" t="s">
        <v>7305</v>
      </c>
      <c r="C4855" s="115" t="s">
        <v>1137</v>
      </c>
      <c r="D4855" s="115" t="s">
        <v>7306</v>
      </c>
      <c r="E4855" s="115" t="s">
        <v>7307</v>
      </c>
    </row>
    <row r="4856" spans="1:5" x14ac:dyDescent="0.25">
      <c r="A4856" s="115">
        <v>-1</v>
      </c>
      <c r="B4856" s="115" t="s">
        <v>7308</v>
      </c>
      <c r="D4856" s="115" t="s">
        <v>7309</v>
      </c>
      <c r="E4856" s="115" t="s">
        <v>2081</v>
      </c>
    </row>
    <row r="4857" spans="1:5" x14ac:dyDescent="0.25">
      <c r="A4857" s="115">
        <v>-1</v>
      </c>
      <c r="B4857" s="115" t="s">
        <v>7310</v>
      </c>
      <c r="C4857" s="115" t="s">
        <v>1137</v>
      </c>
      <c r="D4857" s="115" t="s">
        <v>7311</v>
      </c>
      <c r="E4857" s="115" t="s">
        <v>7312</v>
      </c>
    </row>
    <row r="4858" spans="1:5" x14ac:dyDescent="0.25">
      <c r="A4858" s="115">
        <v>-15</v>
      </c>
      <c r="B4858" s="115" t="s">
        <v>7313</v>
      </c>
      <c r="D4858" s="115" t="s">
        <v>7314</v>
      </c>
      <c r="E4858" s="115" t="s">
        <v>7315</v>
      </c>
    </row>
    <row r="4859" spans="1:5" x14ac:dyDescent="0.25">
      <c r="A4859" s="115" t="s">
        <v>1137</v>
      </c>
      <c r="B4859" s="115" t="s">
        <v>7316</v>
      </c>
      <c r="D4859" s="115" t="s">
        <v>7317</v>
      </c>
      <c r="E4859" s="115" t="s">
        <v>1818</v>
      </c>
    </row>
    <row r="4860" spans="1:5" x14ac:dyDescent="0.25">
      <c r="B4860" s="115" t="s">
        <v>7318</v>
      </c>
      <c r="D4860" s="115" t="s">
        <v>7319</v>
      </c>
      <c r="E4860" s="115" t="s">
        <v>7320</v>
      </c>
    </row>
    <row r="4861" spans="1:5" x14ac:dyDescent="0.25">
      <c r="A4861" s="115">
        <v>9</v>
      </c>
      <c r="B4861" s="115" t="s">
        <v>7321</v>
      </c>
      <c r="D4861" s="115" t="s">
        <v>7322</v>
      </c>
      <c r="E4861" s="115" t="s">
        <v>7323</v>
      </c>
    </row>
    <row r="4862" spans="1:5" x14ac:dyDescent="0.25">
      <c r="B4862" s="115" t="s">
        <v>1613</v>
      </c>
      <c r="D4862" s="115" t="s">
        <v>7324</v>
      </c>
      <c r="E4862" s="115" t="s">
        <v>2081</v>
      </c>
    </row>
    <row r="4863" spans="1:5" x14ac:dyDescent="0.25">
      <c r="B4863" s="115" t="s">
        <v>7325</v>
      </c>
      <c r="D4863" s="115" t="s">
        <v>7326</v>
      </c>
      <c r="E4863" s="115" t="s">
        <v>7327</v>
      </c>
    </row>
    <row r="4864" spans="1:5" x14ac:dyDescent="0.25">
      <c r="A4864" s="115">
        <v>3</v>
      </c>
      <c r="B4864" s="115" t="s">
        <v>7328</v>
      </c>
      <c r="C4864" s="115" t="s">
        <v>1137</v>
      </c>
      <c r="D4864" s="115" t="s">
        <v>7329</v>
      </c>
      <c r="E4864" s="115" t="s">
        <v>7330</v>
      </c>
    </row>
    <row r="4865" spans="1:5" x14ac:dyDescent="0.25">
      <c r="B4865" s="115" t="s">
        <v>6429</v>
      </c>
      <c r="D4865" s="115" t="s">
        <v>1651</v>
      </c>
      <c r="E4865" s="115" t="s">
        <v>1140</v>
      </c>
    </row>
    <row r="4866" spans="1:5" x14ac:dyDescent="0.25">
      <c r="A4866" s="115" t="s">
        <v>1137</v>
      </c>
      <c r="B4866" s="115" t="s">
        <v>7331</v>
      </c>
      <c r="D4866" s="115" t="s">
        <v>7332</v>
      </c>
      <c r="E4866" s="115" t="s">
        <v>1140</v>
      </c>
    </row>
    <row r="4867" spans="1:5" x14ac:dyDescent="0.25">
      <c r="A4867" s="115">
        <v>10</v>
      </c>
      <c r="B4867" s="115" t="s">
        <v>7333</v>
      </c>
      <c r="C4867" s="115" t="s">
        <v>1137</v>
      </c>
      <c r="D4867" s="115" t="s">
        <v>7334</v>
      </c>
      <c r="E4867" s="115" t="s">
        <v>7335</v>
      </c>
    </row>
    <row r="4868" spans="1:5" x14ac:dyDescent="0.25">
      <c r="A4868" s="115" t="s">
        <v>1137</v>
      </c>
      <c r="B4868" s="115" t="s">
        <v>7336</v>
      </c>
      <c r="D4868" s="115" t="s">
        <v>7337</v>
      </c>
      <c r="E4868" s="115" t="s">
        <v>1858</v>
      </c>
    </row>
    <row r="4869" spans="1:5" x14ac:dyDescent="0.25">
      <c r="A4869" s="115" t="s">
        <v>1137</v>
      </c>
      <c r="B4869" s="115" t="s">
        <v>7338</v>
      </c>
      <c r="C4869" s="115" t="s">
        <v>1137</v>
      </c>
      <c r="D4869" s="115" t="s">
        <v>7339</v>
      </c>
      <c r="E4869" s="115" t="s">
        <v>7340</v>
      </c>
    </row>
    <row r="4870" spans="1:5" x14ac:dyDescent="0.25">
      <c r="B4870" s="115" t="s">
        <v>1138</v>
      </c>
      <c r="D4870" s="115" t="s">
        <v>1139</v>
      </c>
      <c r="E4870" s="115" t="s">
        <v>7341</v>
      </c>
    </row>
    <row r="4871" spans="1:5" x14ac:dyDescent="0.25">
      <c r="A4871" s="115" t="s">
        <v>1137</v>
      </c>
      <c r="B4871" s="115" t="s">
        <v>7342</v>
      </c>
      <c r="D4871" s="115" t="s">
        <v>7343</v>
      </c>
      <c r="E4871" s="115" t="s">
        <v>7344</v>
      </c>
    </row>
    <row r="4872" spans="1:5" x14ac:dyDescent="0.25">
      <c r="B4872" s="115" t="s">
        <v>1138</v>
      </c>
      <c r="D4872" s="115" t="s">
        <v>7345</v>
      </c>
      <c r="E4872" s="115" t="s">
        <v>1140</v>
      </c>
    </row>
    <row r="4873" spans="1:5" x14ac:dyDescent="0.25">
      <c r="B4873" s="115" t="s">
        <v>1138</v>
      </c>
      <c r="D4873" s="115" t="s">
        <v>1139</v>
      </c>
      <c r="E4873" s="115" t="s">
        <v>1140</v>
      </c>
    </row>
    <row r="4874" spans="1:5" x14ac:dyDescent="0.25">
      <c r="A4874" s="115" t="s">
        <v>1137</v>
      </c>
      <c r="B4874" s="115" t="s">
        <v>1428</v>
      </c>
      <c r="D4874" s="115" t="s">
        <v>6815</v>
      </c>
      <c r="E4874" s="115" t="s">
        <v>7346</v>
      </c>
    </row>
    <row r="4875" spans="1:5" x14ac:dyDescent="0.25">
      <c r="A4875" s="115">
        <v>3</v>
      </c>
      <c r="B4875" s="115" t="s">
        <v>7347</v>
      </c>
      <c r="D4875" s="115" t="s">
        <v>7348</v>
      </c>
      <c r="E4875" s="115" t="s">
        <v>7349</v>
      </c>
    </row>
    <row r="4876" spans="1:5" x14ac:dyDescent="0.25">
      <c r="A4876" s="115">
        <v>2</v>
      </c>
      <c r="B4876" s="115" t="s">
        <v>7350</v>
      </c>
      <c r="D4876" s="115" t="s">
        <v>7351</v>
      </c>
      <c r="E4876" s="115" t="s">
        <v>7352</v>
      </c>
    </row>
    <row r="4877" spans="1:5" x14ac:dyDescent="0.25">
      <c r="A4877" s="115">
        <v>1</v>
      </c>
      <c r="B4877" s="115" t="s">
        <v>7353</v>
      </c>
      <c r="D4877" s="115" t="s">
        <v>7354</v>
      </c>
      <c r="E4877" s="115" t="s">
        <v>7355</v>
      </c>
    </row>
    <row r="4878" spans="1:5" x14ac:dyDescent="0.25">
      <c r="A4878" s="115">
        <v>2</v>
      </c>
      <c r="B4878" s="115" t="s">
        <v>7356</v>
      </c>
      <c r="D4878" s="115" t="s">
        <v>7357</v>
      </c>
      <c r="E4878" s="115" t="s">
        <v>7358</v>
      </c>
    </row>
    <row r="4879" spans="1:5" x14ac:dyDescent="0.25">
      <c r="A4879" s="115" t="s">
        <v>1137</v>
      </c>
      <c r="B4879" s="115" t="s">
        <v>7359</v>
      </c>
      <c r="D4879" s="115" t="s">
        <v>7360</v>
      </c>
      <c r="E4879" s="115" t="s">
        <v>7361</v>
      </c>
    </row>
    <row r="4880" spans="1:5" x14ac:dyDescent="0.25">
      <c r="B4880" s="115" t="s">
        <v>1138</v>
      </c>
      <c r="D4880" s="115" t="s">
        <v>7362</v>
      </c>
      <c r="E4880" s="115" t="s">
        <v>1140</v>
      </c>
    </row>
    <row r="4881" spans="1:5" x14ac:dyDescent="0.25">
      <c r="B4881" s="115" t="s">
        <v>1138</v>
      </c>
      <c r="D4881" s="115" t="s">
        <v>7363</v>
      </c>
      <c r="E4881" s="115" t="s">
        <v>7364</v>
      </c>
    </row>
    <row r="4882" spans="1:5" x14ac:dyDescent="0.25">
      <c r="A4882" s="115">
        <v>4</v>
      </c>
      <c r="B4882" s="115" t="s">
        <v>7365</v>
      </c>
      <c r="D4882" s="115" t="s">
        <v>7366</v>
      </c>
      <c r="E4882" s="115" t="s">
        <v>7367</v>
      </c>
    </row>
    <row r="4883" spans="1:5" x14ac:dyDescent="0.25">
      <c r="B4883" s="115" t="s">
        <v>1138</v>
      </c>
      <c r="D4883" s="115" t="s">
        <v>7368</v>
      </c>
      <c r="E4883" s="115" t="s">
        <v>1818</v>
      </c>
    </row>
    <row r="4884" spans="1:5" x14ac:dyDescent="0.25">
      <c r="B4884" s="115" t="s">
        <v>1138</v>
      </c>
      <c r="D4884" s="115" t="s">
        <v>7369</v>
      </c>
      <c r="E4884" s="115" t="s">
        <v>7370</v>
      </c>
    </row>
    <row r="4885" spans="1:5" x14ac:dyDescent="0.25">
      <c r="B4885" s="115" t="s">
        <v>7371</v>
      </c>
      <c r="C4885" s="115" t="s">
        <v>1137</v>
      </c>
      <c r="D4885" s="115" t="s">
        <v>7372</v>
      </c>
      <c r="E4885" s="115" t="s">
        <v>7373</v>
      </c>
    </row>
    <row r="4886" spans="1:5" x14ac:dyDescent="0.25">
      <c r="A4886" s="115" t="s">
        <v>1137</v>
      </c>
      <c r="B4886" s="115" t="s">
        <v>7374</v>
      </c>
      <c r="D4886" s="115" t="s">
        <v>7375</v>
      </c>
      <c r="E4886" s="115" t="s">
        <v>2259</v>
      </c>
    </row>
    <row r="4887" spans="1:5" x14ac:dyDescent="0.25">
      <c r="A4887" s="115" t="s">
        <v>1137</v>
      </c>
      <c r="B4887" s="115" t="s">
        <v>7376</v>
      </c>
      <c r="C4887" s="115" t="s">
        <v>1137</v>
      </c>
      <c r="D4887" s="115" t="s">
        <v>7377</v>
      </c>
      <c r="E4887" s="115" t="s">
        <v>7378</v>
      </c>
    </row>
    <row r="4888" spans="1:5" x14ac:dyDescent="0.25">
      <c r="A4888" s="115">
        <v>5</v>
      </c>
      <c r="B4888" s="115" t="s">
        <v>7379</v>
      </c>
      <c r="C4888" s="115" t="s">
        <v>1137</v>
      </c>
      <c r="D4888" s="115" t="s">
        <v>7380</v>
      </c>
      <c r="E4888" s="115" t="s">
        <v>7381</v>
      </c>
    </row>
    <row r="4889" spans="1:5" x14ac:dyDescent="0.25">
      <c r="B4889" s="115" t="s">
        <v>1195</v>
      </c>
      <c r="D4889" s="115" t="s">
        <v>7382</v>
      </c>
      <c r="E4889" s="115" t="s">
        <v>1858</v>
      </c>
    </row>
    <row r="4890" spans="1:5" x14ac:dyDescent="0.25">
      <c r="A4890" s="115">
        <v>-1</v>
      </c>
      <c r="B4890" s="115" t="s">
        <v>7383</v>
      </c>
      <c r="D4890" s="115" t="s">
        <v>7384</v>
      </c>
      <c r="E4890" s="115" t="s">
        <v>7385</v>
      </c>
    </row>
    <row r="4891" spans="1:5" x14ac:dyDescent="0.25">
      <c r="A4891" s="115">
        <v>-14</v>
      </c>
      <c r="B4891" s="115" t="s">
        <v>7386</v>
      </c>
      <c r="D4891" s="115" t="s">
        <v>7387</v>
      </c>
      <c r="E4891" s="115" t="s">
        <v>7388</v>
      </c>
    </row>
    <row r="4892" spans="1:5" x14ac:dyDescent="0.25">
      <c r="B4892" s="115" t="s">
        <v>7389</v>
      </c>
      <c r="D4892" s="115" t="s">
        <v>7390</v>
      </c>
      <c r="E4892" s="115" t="s">
        <v>1818</v>
      </c>
    </row>
    <row r="4893" spans="1:5" x14ac:dyDescent="0.25">
      <c r="A4893" s="115" t="s">
        <v>1137</v>
      </c>
      <c r="B4893" s="115" t="s">
        <v>7391</v>
      </c>
      <c r="D4893" s="115" t="s">
        <v>7392</v>
      </c>
      <c r="E4893" s="115" t="s">
        <v>7393</v>
      </c>
    </row>
    <row r="4894" spans="1:5" x14ac:dyDescent="0.25">
      <c r="A4894" s="115">
        <v>1</v>
      </c>
      <c r="B4894" s="115" t="s">
        <v>7394</v>
      </c>
      <c r="D4894" s="115" t="s">
        <v>7395</v>
      </c>
      <c r="E4894" s="115" t="s">
        <v>7396</v>
      </c>
    </row>
    <row r="4895" spans="1:5" x14ac:dyDescent="0.25">
      <c r="B4895" s="115" t="s">
        <v>1602</v>
      </c>
      <c r="D4895" s="115" t="s">
        <v>7397</v>
      </c>
      <c r="E4895" s="115" t="s">
        <v>1140</v>
      </c>
    </row>
    <row r="4896" spans="1:5" x14ac:dyDescent="0.25">
      <c r="A4896" s="115" t="s">
        <v>1137</v>
      </c>
      <c r="B4896" s="115" t="s">
        <v>7398</v>
      </c>
      <c r="D4896" s="115" t="s">
        <v>7399</v>
      </c>
      <c r="E4896" s="115" t="s">
        <v>1140</v>
      </c>
    </row>
    <row r="4897" spans="1:5" x14ac:dyDescent="0.25">
      <c r="A4897" s="115">
        <v>8</v>
      </c>
      <c r="B4897" s="115" t="s">
        <v>7400</v>
      </c>
      <c r="C4897" s="115" t="s">
        <v>1137</v>
      </c>
      <c r="D4897" s="115" t="s">
        <v>7401</v>
      </c>
      <c r="E4897" s="115" t="s">
        <v>7402</v>
      </c>
    </row>
    <row r="4898" spans="1:5" x14ac:dyDescent="0.25">
      <c r="A4898" s="115" t="s">
        <v>1137</v>
      </c>
      <c r="B4898" s="115" t="s">
        <v>1620</v>
      </c>
      <c r="D4898" s="115" t="s">
        <v>7403</v>
      </c>
      <c r="E4898" s="115" t="s">
        <v>1858</v>
      </c>
    </row>
    <row r="4899" spans="1:5" x14ac:dyDescent="0.25">
      <c r="A4899" s="115" t="s">
        <v>1137</v>
      </c>
      <c r="B4899" s="115" t="s">
        <v>7404</v>
      </c>
      <c r="C4899" s="115" t="s">
        <v>1137</v>
      </c>
      <c r="D4899" s="115" t="s">
        <v>7405</v>
      </c>
      <c r="E4899" s="115" t="s">
        <v>7406</v>
      </c>
    </row>
    <row r="4900" spans="1:5" x14ac:dyDescent="0.25">
      <c r="B4900" s="115" t="s">
        <v>1138</v>
      </c>
      <c r="D4900" s="115" t="s">
        <v>1139</v>
      </c>
      <c r="E4900" s="115" t="s">
        <v>7407</v>
      </c>
    </row>
    <row r="4901" spans="1:5" x14ac:dyDescent="0.25">
      <c r="A4901" s="115" t="s">
        <v>1137</v>
      </c>
      <c r="B4901" s="115" t="s">
        <v>7408</v>
      </c>
      <c r="D4901" s="115" t="s">
        <v>7409</v>
      </c>
      <c r="E4901" s="115" t="s">
        <v>7410</v>
      </c>
    </row>
    <row r="4902" spans="1:5" x14ac:dyDescent="0.25">
      <c r="B4902" s="115" t="s">
        <v>1138</v>
      </c>
      <c r="D4902" s="115" t="s">
        <v>7411</v>
      </c>
      <c r="E4902" s="115" t="s">
        <v>1140</v>
      </c>
    </row>
    <row r="4903" spans="1:5" x14ac:dyDescent="0.25">
      <c r="B4903" s="115" t="s">
        <v>1138</v>
      </c>
      <c r="D4903" s="115" t="s">
        <v>1139</v>
      </c>
      <c r="E4903" s="115" t="s">
        <v>1140</v>
      </c>
    </row>
    <row r="4904" spans="1:5" x14ac:dyDescent="0.25">
      <c r="A4904" s="115" t="s">
        <v>1137</v>
      </c>
      <c r="B4904" s="115" t="s">
        <v>4576</v>
      </c>
      <c r="D4904" s="115" t="s">
        <v>3121</v>
      </c>
      <c r="E4904" s="115" t="s">
        <v>7412</v>
      </c>
    </row>
    <row r="4905" spans="1:5" x14ac:dyDescent="0.25">
      <c r="A4905" s="115">
        <v>1</v>
      </c>
      <c r="B4905" s="115" t="s">
        <v>7413</v>
      </c>
      <c r="D4905" s="115" t="s">
        <v>7414</v>
      </c>
      <c r="E4905" s="115" t="s">
        <v>7415</v>
      </c>
    </row>
    <row r="4906" spans="1:5" x14ac:dyDescent="0.25">
      <c r="A4906" s="115">
        <v>2</v>
      </c>
      <c r="B4906" s="115" t="s">
        <v>7416</v>
      </c>
      <c r="D4906" s="115" t="s">
        <v>7417</v>
      </c>
      <c r="E4906" s="115" t="s">
        <v>7418</v>
      </c>
    </row>
    <row r="4907" spans="1:5" x14ac:dyDescent="0.25">
      <c r="A4907" s="115">
        <v>2</v>
      </c>
      <c r="B4907" s="115" t="s">
        <v>7419</v>
      </c>
      <c r="D4907" s="115" t="s">
        <v>7420</v>
      </c>
      <c r="E4907" s="115" t="s">
        <v>7421</v>
      </c>
    </row>
    <row r="4908" spans="1:5" x14ac:dyDescent="0.25">
      <c r="A4908" s="115">
        <v>3</v>
      </c>
      <c r="B4908" s="115" t="s">
        <v>7422</v>
      </c>
      <c r="D4908" s="115" t="s">
        <v>7423</v>
      </c>
      <c r="E4908" s="115" t="s">
        <v>7424</v>
      </c>
    </row>
    <row r="4909" spans="1:5" x14ac:dyDescent="0.25">
      <c r="A4909" s="115">
        <v>31</v>
      </c>
      <c r="B4909" s="115" t="s">
        <v>7425</v>
      </c>
      <c r="D4909" s="115" t="s">
        <v>7426</v>
      </c>
      <c r="E4909" s="115" t="s">
        <v>7427</v>
      </c>
    </row>
    <row r="4910" spans="1:5" x14ac:dyDescent="0.25">
      <c r="B4910" s="115" t="s">
        <v>1138</v>
      </c>
      <c r="D4910" s="115" t="s">
        <v>7428</v>
      </c>
      <c r="E4910" s="115" t="s">
        <v>1140</v>
      </c>
    </row>
    <row r="4911" spans="1:5" x14ac:dyDescent="0.25">
      <c r="B4911" s="115" t="s">
        <v>1138</v>
      </c>
      <c r="D4911" s="115" t="s">
        <v>7429</v>
      </c>
      <c r="E4911" s="115" t="s">
        <v>7430</v>
      </c>
    </row>
    <row r="4912" spans="1:5" x14ac:dyDescent="0.25">
      <c r="A4912" s="115">
        <v>3</v>
      </c>
      <c r="B4912" s="115" t="s">
        <v>7431</v>
      </c>
      <c r="D4912" s="115" t="s">
        <v>1558</v>
      </c>
      <c r="E4912" s="115" t="s">
        <v>7432</v>
      </c>
    </row>
    <row r="4913" spans="1:5" x14ac:dyDescent="0.25">
      <c r="B4913" s="115" t="s">
        <v>1303</v>
      </c>
      <c r="D4913" s="115" t="s">
        <v>1139</v>
      </c>
      <c r="E4913" s="115" t="s">
        <v>7433</v>
      </c>
    </row>
    <row r="4914" spans="1:5" x14ac:dyDescent="0.25">
      <c r="B4914" s="115" t="s">
        <v>1138</v>
      </c>
      <c r="D4914" s="115" t="s">
        <v>7434</v>
      </c>
      <c r="E4914" s="115" t="s">
        <v>7435</v>
      </c>
    </row>
    <row r="4915" spans="1:5" x14ac:dyDescent="0.25">
      <c r="B4915" s="115" t="s">
        <v>1138</v>
      </c>
      <c r="C4915" s="115" t="s">
        <v>1137</v>
      </c>
      <c r="D4915" s="115" t="s">
        <v>7436</v>
      </c>
      <c r="E4915" s="115" t="s">
        <v>7437</v>
      </c>
    </row>
    <row r="4916" spans="1:5" x14ac:dyDescent="0.25">
      <c r="A4916" s="115" t="s">
        <v>1137</v>
      </c>
      <c r="B4916" s="115" t="s">
        <v>7438</v>
      </c>
      <c r="D4916" s="115" t="s">
        <v>7439</v>
      </c>
      <c r="E4916" s="115" t="s">
        <v>7440</v>
      </c>
    </row>
    <row r="4917" spans="1:5" x14ac:dyDescent="0.25">
      <c r="B4917" s="115" t="s">
        <v>7441</v>
      </c>
      <c r="D4917" s="115" t="s">
        <v>7442</v>
      </c>
      <c r="E4917" s="115" t="s">
        <v>7443</v>
      </c>
    </row>
    <row r="4918" spans="1:5" x14ac:dyDescent="0.25">
      <c r="A4918" s="115">
        <v>1</v>
      </c>
      <c r="B4918" s="115" t="s">
        <v>7444</v>
      </c>
      <c r="C4918" s="115" t="s">
        <v>1137</v>
      </c>
      <c r="D4918" s="115" t="s">
        <v>7445</v>
      </c>
      <c r="E4918" s="115" t="s">
        <v>7446</v>
      </c>
    </row>
    <row r="4919" spans="1:5" x14ac:dyDescent="0.25">
      <c r="A4919" s="115" t="s">
        <v>1137</v>
      </c>
      <c r="B4919" s="115" t="s">
        <v>7447</v>
      </c>
      <c r="D4919" s="115" t="s">
        <v>7448</v>
      </c>
      <c r="E4919" s="115" t="s">
        <v>7449</v>
      </c>
    </row>
    <row r="4920" spans="1:5" x14ac:dyDescent="0.25">
      <c r="B4920" s="115" t="s">
        <v>7450</v>
      </c>
      <c r="D4920" s="115" t="s">
        <v>7451</v>
      </c>
      <c r="E4920" s="115" t="s">
        <v>7452</v>
      </c>
    </row>
    <row r="4921" spans="1:5" x14ac:dyDescent="0.25">
      <c r="A4921" s="115">
        <v>1</v>
      </c>
      <c r="B4921" s="115" t="s">
        <v>7453</v>
      </c>
      <c r="D4921" s="115" t="s">
        <v>7454</v>
      </c>
      <c r="E4921" s="115" t="s">
        <v>7455</v>
      </c>
    </row>
    <row r="4922" spans="1:5" x14ac:dyDescent="0.25">
      <c r="B4922" s="115" t="s">
        <v>1138</v>
      </c>
      <c r="D4922" s="115" t="s">
        <v>7456</v>
      </c>
      <c r="E4922" s="115" t="s">
        <v>7457</v>
      </c>
    </row>
    <row r="4923" spans="1:5" x14ac:dyDescent="0.25">
      <c r="B4923" s="115" t="s">
        <v>7458</v>
      </c>
      <c r="D4923" s="115" t="s">
        <v>7459</v>
      </c>
      <c r="E4923" s="115" t="s">
        <v>7460</v>
      </c>
    </row>
    <row r="4924" spans="1:5" x14ac:dyDescent="0.25">
      <c r="A4924" s="115">
        <v>-6</v>
      </c>
      <c r="B4924" s="115" t="s">
        <v>7461</v>
      </c>
      <c r="C4924" s="115" t="s">
        <v>1137</v>
      </c>
      <c r="D4924" s="115" t="s">
        <v>7462</v>
      </c>
      <c r="E4924" s="115" t="s">
        <v>7463</v>
      </c>
    </row>
    <row r="4925" spans="1:5" x14ac:dyDescent="0.25">
      <c r="B4925" s="115" t="s">
        <v>7464</v>
      </c>
      <c r="D4925" s="115" t="s">
        <v>7465</v>
      </c>
      <c r="E4925" s="115" t="s">
        <v>1140</v>
      </c>
    </row>
    <row r="4926" spans="1:5" x14ac:dyDescent="0.25">
      <c r="B4926" s="115" t="s">
        <v>7466</v>
      </c>
      <c r="C4926" s="115" t="s">
        <v>1137</v>
      </c>
      <c r="D4926" s="115" t="s">
        <v>7467</v>
      </c>
      <c r="E4926" s="115" t="s">
        <v>1140</v>
      </c>
    </row>
    <row r="4927" spans="1:5" x14ac:dyDescent="0.25">
      <c r="B4927" s="115" t="s">
        <v>7468</v>
      </c>
      <c r="C4927" s="115" t="s">
        <v>1137</v>
      </c>
      <c r="D4927" s="115" t="s">
        <v>7469</v>
      </c>
      <c r="E4927" s="115" t="s">
        <v>7470</v>
      </c>
    </row>
    <row r="4928" spans="1:5" x14ac:dyDescent="0.25">
      <c r="B4928" s="115" t="s">
        <v>1425</v>
      </c>
      <c r="D4928" s="115" t="s">
        <v>1793</v>
      </c>
      <c r="E4928" s="115" t="s">
        <v>7471</v>
      </c>
    </row>
    <row r="4929" spans="1:5" x14ac:dyDescent="0.25">
      <c r="B4929" s="115" t="s">
        <v>7472</v>
      </c>
      <c r="C4929" s="115">
        <v>1</v>
      </c>
      <c r="D4929" s="115" t="s">
        <v>7473</v>
      </c>
      <c r="E4929" s="115" t="s">
        <v>7474</v>
      </c>
    </row>
    <row r="4930" spans="1:5" x14ac:dyDescent="0.25">
      <c r="B4930" s="115" t="s">
        <v>1138</v>
      </c>
      <c r="D4930" s="115" t="s">
        <v>1139</v>
      </c>
      <c r="E4930" s="115" t="s">
        <v>7475</v>
      </c>
    </row>
    <row r="4931" spans="1:5" x14ac:dyDescent="0.25">
      <c r="B4931" s="115" t="s">
        <v>7476</v>
      </c>
      <c r="C4931" s="115">
        <v>-1</v>
      </c>
      <c r="D4931" s="115" t="s">
        <v>7477</v>
      </c>
      <c r="E4931" s="115" t="s">
        <v>7478</v>
      </c>
    </row>
    <row r="4932" spans="1:5" x14ac:dyDescent="0.25">
      <c r="B4932" s="115" t="s">
        <v>1138</v>
      </c>
      <c r="D4932" s="115" t="s">
        <v>7479</v>
      </c>
      <c r="E4932" s="115" t="s">
        <v>1818</v>
      </c>
    </row>
    <row r="4933" spans="1:5" x14ac:dyDescent="0.25">
      <c r="B4933" s="115" t="s">
        <v>1138</v>
      </c>
      <c r="D4933" s="115" t="s">
        <v>1139</v>
      </c>
      <c r="E4933" s="115" t="s">
        <v>1140</v>
      </c>
    </row>
    <row r="4934" spans="1:5" x14ac:dyDescent="0.25">
      <c r="B4934" s="115" t="s">
        <v>1473</v>
      </c>
      <c r="D4934" s="115" t="s">
        <v>1139</v>
      </c>
      <c r="E4934" s="115" t="s">
        <v>7480</v>
      </c>
    </row>
    <row r="4935" spans="1:5" x14ac:dyDescent="0.25">
      <c r="A4935" s="115">
        <v>2</v>
      </c>
      <c r="B4935" s="115" t="s">
        <v>7481</v>
      </c>
      <c r="D4935" s="115" t="s">
        <v>7482</v>
      </c>
      <c r="E4935" s="115" t="s">
        <v>7483</v>
      </c>
    </row>
    <row r="4936" spans="1:5" x14ac:dyDescent="0.25">
      <c r="B4936" s="115" t="s">
        <v>7484</v>
      </c>
      <c r="C4936" s="115" t="s">
        <v>1137</v>
      </c>
      <c r="D4936" s="115" t="s">
        <v>7485</v>
      </c>
      <c r="E4936" s="115" t="s">
        <v>7486</v>
      </c>
    </row>
    <row r="4937" spans="1:5" x14ac:dyDescent="0.25">
      <c r="A4937" s="115">
        <v>3</v>
      </c>
      <c r="B4937" s="115" t="s">
        <v>7487</v>
      </c>
      <c r="D4937" s="115" t="s">
        <v>7488</v>
      </c>
      <c r="E4937" s="115" t="s">
        <v>7489</v>
      </c>
    </row>
    <row r="4938" spans="1:5" x14ac:dyDescent="0.25">
      <c r="A4938" s="115">
        <v>1</v>
      </c>
      <c r="B4938" s="115" t="s">
        <v>7490</v>
      </c>
      <c r="D4938" s="115" t="s">
        <v>7491</v>
      </c>
      <c r="E4938" s="115" t="s">
        <v>7492</v>
      </c>
    </row>
    <row r="4939" spans="1:5" x14ac:dyDescent="0.25">
      <c r="A4939" s="115">
        <v>18</v>
      </c>
      <c r="B4939" s="115" t="s">
        <v>7493</v>
      </c>
      <c r="C4939" s="115">
        <v>2</v>
      </c>
      <c r="D4939" s="115" t="s">
        <v>7494</v>
      </c>
      <c r="E4939" s="115" t="s">
        <v>7495</v>
      </c>
    </row>
    <row r="4940" spans="1:5" x14ac:dyDescent="0.25">
      <c r="B4940" s="115" t="s">
        <v>1277</v>
      </c>
      <c r="D4940" s="115" t="s">
        <v>2099</v>
      </c>
      <c r="E4940" s="115" t="s">
        <v>7496</v>
      </c>
    </row>
    <row r="4941" spans="1:5" x14ac:dyDescent="0.25">
      <c r="B4941" s="115" t="s">
        <v>1138</v>
      </c>
      <c r="D4941" s="115" t="s">
        <v>7497</v>
      </c>
      <c r="E4941" s="115" t="s">
        <v>7498</v>
      </c>
    </row>
    <row r="4942" spans="1:5" x14ac:dyDescent="0.25">
      <c r="A4942" s="115">
        <v>-1</v>
      </c>
      <c r="B4942" s="115" t="s">
        <v>7499</v>
      </c>
      <c r="D4942" s="115" t="s">
        <v>7500</v>
      </c>
      <c r="E4942" s="115" t="s">
        <v>7501</v>
      </c>
    </row>
    <row r="4943" spans="1:5" x14ac:dyDescent="0.25">
      <c r="B4943" s="115" t="s">
        <v>1138</v>
      </c>
      <c r="D4943" s="115" t="s">
        <v>7502</v>
      </c>
      <c r="E4943" s="115" t="s">
        <v>7503</v>
      </c>
    </row>
    <row r="4944" spans="1:5" x14ac:dyDescent="0.25">
      <c r="B4944" s="115" t="s">
        <v>1138</v>
      </c>
      <c r="D4944" s="115" t="s">
        <v>1139</v>
      </c>
      <c r="E4944" s="115" t="s">
        <v>7504</v>
      </c>
    </row>
    <row r="4945" spans="1:5" x14ac:dyDescent="0.25">
      <c r="B4945" s="115" t="s">
        <v>1138</v>
      </c>
      <c r="D4945" s="115" t="s">
        <v>7505</v>
      </c>
      <c r="E4945" s="115" t="s">
        <v>7506</v>
      </c>
    </row>
    <row r="4946" spans="1:5" x14ac:dyDescent="0.25">
      <c r="A4946" s="115" t="s">
        <v>1137</v>
      </c>
      <c r="B4946" s="115" t="s">
        <v>7507</v>
      </c>
      <c r="C4946" s="115" t="s">
        <v>1137</v>
      </c>
      <c r="D4946" s="115" t="s">
        <v>7508</v>
      </c>
      <c r="E4946" s="115" t="s">
        <v>7509</v>
      </c>
    </row>
    <row r="4947" spans="1:5" x14ac:dyDescent="0.25">
      <c r="B4947" s="115" t="s">
        <v>1138</v>
      </c>
      <c r="D4947" s="115" t="s">
        <v>7510</v>
      </c>
      <c r="E4947" s="115" t="s">
        <v>7511</v>
      </c>
    </row>
    <row r="4948" spans="1:5" x14ac:dyDescent="0.25">
      <c r="A4948" s="115">
        <v>-1</v>
      </c>
      <c r="B4948" s="115" t="s">
        <v>1369</v>
      </c>
      <c r="D4948" s="115" t="s">
        <v>7512</v>
      </c>
      <c r="E4948" s="115" t="s">
        <v>7513</v>
      </c>
    </row>
    <row r="4949" spans="1:5" x14ac:dyDescent="0.25">
      <c r="B4949" s="115" t="s">
        <v>1138</v>
      </c>
      <c r="D4949" s="115" t="s">
        <v>7514</v>
      </c>
      <c r="E4949" s="115" t="s">
        <v>7515</v>
      </c>
    </row>
    <row r="4950" spans="1:5" x14ac:dyDescent="0.25">
      <c r="B4950" s="115" t="s">
        <v>1138</v>
      </c>
      <c r="D4950" s="115" t="s">
        <v>7516</v>
      </c>
      <c r="E4950" s="115" t="s">
        <v>7517</v>
      </c>
    </row>
    <row r="4951" spans="1:5" x14ac:dyDescent="0.25">
      <c r="B4951" s="115" t="s">
        <v>7518</v>
      </c>
      <c r="D4951" s="115" t="s">
        <v>7519</v>
      </c>
      <c r="E4951" s="115" t="s">
        <v>7520</v>
      </c>
    </row>
    <row r="4952" spans="1:5" x14ac:dyDescent="0.25">
      <c r="B4952" s="115" t="s">
        <v>6635</v>
      </c>
      <c r="D4952" s="115" t="s">
        <v>7521</v>
      </c>
      <c r="E4952" s="115" t="s">
        <v>7522</v>
      </c>
    </row>
    <row r="4953" spans="1:5" x14ac:dyDescent="0.25">
      <c r="B4953" s="115" t="s">
        <v>1138</v>
      </c>
      <c r="D4953" s="115" t="s">
        <v>7523</v>
      </c>
      <c r="E4953" s="115" t="s">
        <v>7524</v>
      </c>
    </row>
    <row r="4954" spans="1:5" x14ac:dyDescent="0.25">
      <c r="B4954" s="115" t="s">
        <v>1138</v>
      </c>
      <c r="D4954" s="115" t="s">
        <v>7525</v>
      </c>
      <c r="E4954" s="115" t="s">
        <v>7526</v>
      </c>
    </row>
    <row r="4955" spans="1:5" x14ac:dyDescent="0.25">
      <c r="B4955" s="115" t="s">
        <v>1257</v>
      </c>
      <c r="D4955" s="115" t="s">
        <v>7527</v>
      </c>
      <c r="E4955" s="115" t="s">
        <v>1758</v>
      </c>
    </row>
    <row r="4956" spans="1:5" x14ac:dyDescent="0.25">
      <c r="B4956" s="115" t="s">
        <v>1138</v>
      </c>
      <c r="D4956" s="115" t="s">
        <v>7528</v>
      </c>
      <c r="E4956" s="115" t="s">
        <v>7529</v>
      </c>
    </row>
    <row r="4957" spans="1:5" x14ac:dyDescent="0.25">
      <c r="B4957" s="115" t="s">
        <v>1138</v>
      </c>
      <c r="D4957" s="115" t="s">
        <v>7530</v>
      </c>
      <c r="E4957" s="115" t="s">
        <v>7531</v>
      </c>
    </row>
    <row r="4958" spans="1:5" x14ac:dyDescent="0.25">
      <c r="B4958" s="115" t="s">
        <v>1138</v>
      </c>
      <c r="D4958" s="115" t="s">
        <v>7532</v>
      </c>
      <c r="E4958" s="115" t="s">
        <v>7533</v>
      </c>
    </row>
    <row r="4959" spans="1:5" x14ac:dyDescent="0.25">
      <c r="B4959" s="115" t="s">
        <v>1138</v>
      </c>
      <c r="D4959" s="115" t="s">
        <v>7534</v>
      </c>
      <c r="E4959" s="115" t="s">
        <v>7535</v>
      </c>
    </row>
    <row r="4960" spans="1:5" x14ac:dyDescent="0.25">
      <c r="A4960" s="115">
        <v>-21</v>
      </c>
      <c r="B4960" s="115" t="s">
        <v>7536</v>
      </c>
      <c r="D4960" s="115" t="s">
        <v>1139</v>
      </c>
      <c r="E4960" s="115" t="s">
        <v>7537</v>
      </c>
    </row>
    <row r="4961" spans="1:5" x14ac:dyDescent="0.25">
      <c r="A4961" s="115">
        <v>2</v>
      </c>
      <c r="B4961" s="115" t="s">
        <v>7538</v>
      </c>
      <c r="D4961" s="115" t="s">
        <v>7539</v>
      </c>
      <c r="E4961" s="115" t="s">
        <v>7540</v>
      </c>
    </row>
    <row r="4962" spans="1:5" x14ac:dyDescent="0.25">
      <c r="A4962" s="115">
        <v>-37</v>
      </c>
      <c r="B4962" s="115" t="s">
        <v>7541</v>
      </c>
      <c r="D4962" s="115" t="s">
        <v>1139</v>
      </c>
      <c r="E4962" s="115" t="s">
        <v>7542</v>
      </c>
    </row>
    <row r="4963" spans="1:5" x14ac:dyDescent="0.25">
      <c r="B4963" s="115" t="s">
        <v>1138</v>
      </c>
      <c r="D4963" s="115" t="s">
        <v>1139</v>
      </c>
      <c r="E4963" s="115" t="s">
        <v>1140</v>
      </c>
    </row>
    <row r="4964" spans="1:5" x14ac:dyDescent="0.25">
      <c r="B4964" s="115" t="s">
        <v>1138</v>
      </c>
      <c r="D4964" s="115" t="s">
        <v>1501</v>
      </c>
      <c r="E4964" s="115" t="s">
        <v>7543</v>
      </c>
    </row>
    <row r="4965" spans="1:5" x14ac:dyDescent="0.25">
      <c r="B4965" s="115" t="s">
        <v>7544</v>
      </c>
      <c r="D4965" s="115" t="s">
        <v>7545</v>
      </c>
      <c r="E4965" s="115" t="s">
        <v>7546</v>
      </c>
    </row>
    <row r="4966" spans="1:5" x14ac:dyDescent="0.25">
      <c r="A4966" s="115">
        <v>1</v>
      </c>
      <c r="B4966" s="115" t="s">
        <v>7547</v>
      </c>
      <c r="C4966" s="115" t="s">
        <v>1137</v>
      </c>
      <c r="D4966" s="115" t="s">
        <v>7548</v>
      </c>
      <c r="E4966" s="115" t="s">
        <v>7549</v>
      </c>
    </row>
    <row r="4967" spans="1:5" x14ac:dyDescent="0.25">
      <c r="A4967" s="115">
        <v>1</v>
      </c>
      <c r="B4967" s="115" t="s">
        <v>7550</v>
      </c>
      <c r="D4967" s="115" t="s">
        <v>7551</v>
      </c>
      <c r="E4967" s="115" t="s">
        <v>7552</v>
      </c>
    </row>
    <row r="4968" spans="1:5" x14ac:dyDescent="0.25">
      <c r="A4968" s="115">
        <v>2</v>
      </c>
      <c r="B4968" s="115" t="s">
        <v>7553</v>
      </c>
      <c r="D4968" s="115" t="s">
        <v>7554</v>
      </c>
      <c r="E4968" s="115" t="s">
        <v>7555</v>
      </c>
    </row>
    <row r="4969" spans="1:5" x14ac:dyDescent="0.25">
      <c r="A4969" s="115">
        <v>23</v>
      </c>
      <c r="B4969" s="115" t="s">
        <v>7556</v>
      </c>
      <c r="C4969" s="115">
        <v>2</v>
      </c>
      <c r="D4969" s="115" t="s">
        <v>7557</v>
      </c>
      <c r="E4969" s="115" t="s">
        <v>7558</v>
      </c>
    </row>
    <row r="4970" spans="1:5" x14ac:dyDescent="0.25">
      <c r="B4970" s="115" t="s">
        <v>1138</v>
      </c>
      <c r="D4970" s="115" t="s">
        <v>7559</v>
      </c>
      <c r="E4970" s="115" t="s">
        <v>7560</v>
      </c>
    </row>
    <row r="4971" spans="1:5" x14ac:dyDescent="0.25">
      <c r="B4971" s="115" t="s">
        <v>1138</v>
      </c>
      <c r="D4971" s="115" t="s">
        <v>1139</v>
      </c>
      <c r="E4971" s="115" t="s">
        <v>7561</v>
      </c>
    </row>
    <row r="4972" spans="1:5" x14ac:dyDescent="0.25">
      <c r="B4972" s="115" t="s">
        <v>1138</v>
      </c>
      <c r="D4972" s="115" t="s">
        <v>7562</v>
      </c>
      <c r="E4972" s="115" t="s">
        <v>7563</v>
      </c>
    </row>
    <row r="4973" spans="1:5" x14ac:dyDescent="0.25">
      <c r="B4973" s="115" t="s">
        <v>7564</v>
      </c>
      <c r="D4973" s="115" t="s">
        <v>1859</v>
      </c>
      <c r="E4973" s="115" t="s">
        <v>1818</v>
      </c>
    </row>
    <row r="4974" spans="1:5" x14ac:dyDescent="0.25">
      <c r="B4974" s="115" t="s">
        <v>4949</v>
      </c>
      <c r="D4974" s="115" t="s">
        <v>1139</v>
      </c>
      <c r="E4974" s="115" t="s">
        <v>7565</v>
      </c>
    </row>
    <row r="4975" spans="1:5" x14ac:dyDescent="0.25">
      <c r="A4975" s="115">
        <v>1</v>
      </c>
      <c r="B4975" s="115" t="s">
        <v>1580</v>
      </c>
      <c r="C4975" s="115" t="s">
        <v>1137</v>
      </c>
      <c r="D4975" s="115" t="s">
        <v>7566</v>
      </c>
      <c r="E4975" s="115" t="s">
        <v>7567</v>
      </c>
    </row>
    <row r="4976" spans="1:5" x14ac:dyDescent="0.25">
      <c r="B4976" s="115" t="s">
        <v>1138</v>
      </c>
      <c r="C4976" s="115" t="s">
        <v>1137</v>
      </c>
      <c r="D4976" s="115" t="s">
        <v>7568</v>
      </c>
      <c r="E4976" s="115" t="s">
        <v>7569</v>
      </c>
    </row>
    <row r="4977" spans="1:5" x14ac:dyDescent="0.25">
      <c r="B4977" s="115" t="s">
        <v>7570</v>
      </c>
      <c r="D4977" s="115" t="s">
        <v>1139</v>
      </c>
      <c r="E4977" s="115" t="s">
        <v>7571</v>
      </c>
    </row>
    <row r="4978" spans="1:5" x14ac:dyDescent="0.25">
      <c r="B4978" s="115" t="s">
        <v>7572</v>
      </c>
      <c r="D4978" s="115" t="s">
        <v>7573</v>
      </c>
      <c r="E4978" s="115" t="s">
        <v>7574</v>
      </c>
    </row>
    <row r="4979" spans="1:5" x14ac:dyDescent="0.25">
      <c r="A4979" s="115" t="s">
        <v>1137</v>
      </c>
      <c r="B4979" s="115" t="s">
        <v>7575</v>
      </c>
      <c r="D4979" s="115" t="s">
        <v>7576</v>
      </c>
      <c r="E4979" s="115" t="s">
        <v>7577</v>
      </c>
    </row>
    <row r="4980" spans="1:5" x14ac:dyDescent="0.25">
      <c r="B4980" s="115" t="s">
        <v>7578</v>
      </c>
      <c r="D4980" s="115" t="s">
        <v>1139</v>
      </c>
      <c r="E4980" s="115" t="s">
        <v>7579</v>
      </c>
    </row>
    <row r="4981" spans="1:5" x14ac:dyDescent="0.25">
      <c r="B4981" s="115" t="s">
        <v>7580</v>
      </c>
      <c r="C4981" s="115" t="s">
        <v>1137</v>
      </c>
      <c r="D4981" s="115" t="s">
        <v>7581</v>
      </c>
      <c r="E4981" s="115" t="s">
        <v>7582</v>
      </c>
    </row>
    <row r="4982" spans="1:5" x14ac:dyDescent="0.25">
      <c r="B4982" s="115" t="s">
        <v>7583</v>
      </c>
      <c r="D4982" s="115" t="s">
        <v>7584</v>
      </c>
      <c r="E4982" s="115" t="s">
        <v>7585</v>
      </c>
    </row>
    <row r="4983" spans="1:5" x14ac:dyDescent="0.25">
      <c r="A4983" s="115" t="s">
        <v>1137</v>
      </c>
      <c r="B4983" s="115" t="s">
        <v>7586</v>
      </c>
      <c r="D4983" s="115" t="s">
        <v>1139</v>
      </c>
      <c r="E4983" s="115" t="s">
        <v>7587</v>
      </c>
    </row>
    <row r="4984" spans="1:5" x14ac:dyDescent="0.25">
      <c r="A4984" s="115" t="s">
        <v>1137</v>
      </c>
      <c r="B4984" s="115" t="s">
        <v>7588</v>
      </c>
      <c r="D4984" s="115" t="s">
        <v>6078</v>
      </c>
      <c r="E4984" s="115" t="s">
        <v>7589</v>
      </c>
    </row>
    <row r="4985" spans="1:5" x14ac:dyDescent="0.25">
      <c r="B4985" s="115" t="s">
        <v>1641</v>
      </c>
      <c r="D4985" s="115" t="s">
        <v>7590</v>
      </c>
      <c r="E4985" s="115" t="s">
        <v>7591</v>
      </c>
    </row>
    <row r="4986" spans="1:5" x14ac:dyDescent="0.25">
      <c r="B4986" s="115" t="s">
        <v>1138</v>
      </c>
      <c r="D4986" s="115" t="s">
        <v>1139</v>
      </c>
      <c r="E4986" s="115" t="s">
        <v>7592</v>
      </c>
    </row>
    <row r="4987" spans="1:5" x14ac:dyDescent="0.25">
      <c r="A4987" s="115" t="s">
        <v>1137</v>
      </c>
      <c r="B4987" s="115" t="s">
        <v>6752</v>
      </c>
      <c r="D4987" s="115" t="s">
        <v>1139</v>
      </c>
      <c r="E4987" s="115" t="s">
        <v>7593</v>
      </c>
    </row>
    <row r="4988" spans="1:5" x14ac:dyDescent="0.25">
      <c r="B4988" s="115" t="s">
        <v>7594</v>
      </c>
      <c r="D4988" s="115" t="s">
        <v>2021</v>
      </c>
      <c r="E4988" s="115" t="s">
        <v>7595</v>
      </c>
    </row>
    <row r="4989" spans="1:5" x14ac:dyDescent="0.25">
      <c r="B4989" s="115" t="s">
        <v>7596</v>
      </c>
      <c r="D4989" s="115" t="s">
        <v>1139</v>
      </c>
      <c r="E4989" s="115" t="s">
        <v>7597</v>
      </c>
    </row>
    <row r="4990" spans="1:5" x14ac:dyDescent="0.25">
      <c r="A4990" s="115">
        <v>1</v>
      </c>
      <c r="B4990" s="115" t="s">
        <v>7598</v>
      </c>
      <c r="D4990" s="115" t="s">
        <v>7599</v>
      </c>
      <c r="E4990" s="115" t="s">
        <v>1140</v>
      </c>
    </row>
    <row r="4991" spans="1:5" x14ac:dyDescent="0.25">
      <c r="B4991" s="115" t="s">
        <v>1138</v>
      </c>
      <c r="D4991" s="115" t="s">
        <v>7600</v>
      </c>
      <c r="E4991" s="115" t="s">
        <v>7601</v>
      </c>
    </row>
    <row r="4992" spans="1:5" x14ac:dyDescent="0.25">
      <c r="A4992" s="115">
        <v>-2</v>
      </c>
      <c r="B4992" s="115" t="s">
        <v>7602</v>
      </c>
      <c r="D4992" s="115" t="s">
        <v>7603</v>
      </c>
      <c r="E4992" s="115" t="s">
        <v>1511</v>
      </c>
    </row>
    <row r="4993" spans="1:5" x14ac:dyDescent="0.25">
      <c r="B4993" s="115" t="s">
        <v>1264</v>
      </c>
      <c r="D4993" s="115" t="s">
        <v>1139</v>
      </c>
      <c r="E4993" s="115" t="s">
        <v>1140</v>
      </c>
    </row>
    <row r="4994" spans="1:5" x14ac:dyDescent="0.25">
      <c r="B4994" s="115" t="s">
        <v>1138</v>
      </c>
      <c r="D4994" s="115" t="s">
        <v>1139</v>
      </c>
      <c r="E4994" s="115" t="s">
        <v>7604</v>
      </c>
    </row>
    <row r="4995" spans="1:5" x14ac:dyDescent="0.25">
      <c r="B4995" s="115" t="s">
        <v>1309</v>
      </c>
      <c r="D4995" s="115" t="s">
        <v>7605</v>
      </c>
      <c r="E4995" s="115" t="s">
        <v>7606</v>
      </c>
    </row>
    <row r="4996" spans="1:5" x14ac:dyDescent="0.25">
      <c r="B4996" s="115" t="s">
        <v>1138</v>
      </c>
      <c r="D4996" s="115" t="s">
        <v>7607</v>
      </c>
      <c r="E4996" s="115" t="s">
        <v>7608</v>
      </c>
    </row>
    <row r="4997" spans="1:5" x14ac:dyDescent="0.25">
      <c r="A4997" s="115">
        <v>-4</v>
      </c>
      <c r="B4997" s="115" t="s">
        <v>7609</v>
      </c>
      <c r="D4997" s="115" t="s">
        <v>7610</v>
      </c>
      <c r="E4997" s="115" t="s">
        <v>7611</v>
      </c>
    </row>
    <row r="4998" spans="1:5" x14ac:dyDescent="0.25">
      <c r="B4998" s="115" t="s">
        <v>7612</v>
      </c>
      <c r="D4998" s="115" t="s">
        <v>7613</v>
      </c>
      <c r="E4998" s="115" t="s">
        <v>7614</v>
      </c>
    </row>
    <row r="4999" spans="1:5" x14ac:dyDescent="0.25">
      <c r="A4999" s="115">
        <v>23</v>
      </c>
      <c r="B4999" s="115" t="s">
        <v>7615</v>
      </c>
      <c r="C4999" s="115">
        <v>1</v>
      </c>
      <c r="D4999" s="115" t="s">
        <v>7616</v>
      </c>
      <c r="E4999" s="115" t="s">
        <v>7617</v>
      </c>
    </row>
    <row r="5000" spans="1:5" x14ac:dyDescent="0.25">
      <c r="A5000" s="115">
        <v>-1</v>
      </c>
      <c r="B5000" s="115" t="s">
        <v>7618</v>
      </c>
      <c r="D5000" s="115" t="s">
        <v>7619</v>
      </c>
      <c r="E5000" s="115" t="s">
        <v>7620</v>
      </c>
    </row>
    <row r="5001" spans="1:5" x14ac:dyDescent="0.25">
      <c r="B5001" s="115" t="s">
        <v>1138</v>
      </c>
      <c r="D5001" s="115" t="s">
        <v>7621</v>
      </c>
      <c r="E5001" s="115" t="s">
        <v>1140</v>
      </c>
    </row>
    <row r="5002" spans="1:5" x14ac:dyDescent="0.25">
      <c r="B5002" s="115" t="s">
        <v>1138</v>
      </c>
      <c r="D5002" s="115" t="s">
        <v>7622</v>
      </c>
      <c r="E5002" s="115" t="s">
        <v>7623</v>
      </c>
    </row>
    <row r="5003" spans="1:5" x14ac:dyDescent="0.25">
      <c r="A5003" s="115" t="s">
        <v>1137</v>
      </c>
      <c r="B5003" s="115" t="s">
        <v>7624</v>
      </c>
      <c r="D5003" s="115" t="s">
        <v>7625</v>
      </c>
      <c r="E5003" s="115" t="s">
        <v>7626</v>
      </c>
    </row>
    <row r="5004" spans="1:5" x14ac:dyDescent="0.25">
      <c r="B5004" s="115" t="s">
        <v>1138</v>
      </c>
      <c r="D5004" s="115" t="s">
        <v>2361</v>
      </c>
      <c r="E5004" s="115" t="s">
        <v>1758</v>
      </c>
    </row>
    <row r="5005" spans="1:5" x14ac:dyDescent="0.25">
      <c r="B5005" s="115" t="s">
        <v>1138</v>
      </c>
      <c r="D5005" s="115" t="s">
        <v>7627</v>
      </c>
      <c r="E5005" s="115" t="s">
        <v>7628</v>
      </c>
    </row>
    <row r="5006" spans="1:5" x14ac:dyDescent="0.25">
      <c r="B5006" s="115" t="s">
        <v>7629</v>
      </c>
      <c r="C5006" s="115" t="s">
        <v>1137</v>
      </c>
      <c r="D5006" s="115" t="s">
        <v>7630</v>
      </c>
      <c r="E5006" s="115" t="s">
        <v>7631</v>
      </c>
    </row>
    <row r="5007" spans="1:5" x14ac:dyDescent="0.25">
      <c r="A5007" s="115">
        <v>1</v>
      </c>
      <c r="B5007" s="115" t="s">
        <v>7632</v>
      </c>
      <c r="D5007" s="115" t="s">
        <v>7633</v>
      </c>
      <c r="E5007" s="115" t="s">
        <v>1701</v>
      </c>
    </row>
    <row r="5008" spans="1:5" x14ac:dyDescent="0.25">
      <c r="A5008" s="115" t="s">
        <v>1137</v>
      </c>
      <c r="B5008" s="115" t="s">
        <v>7634</v>
      </c>
      <c r="D5008" s="115" t="s">
        <v>7635</v>
      </c>
      <c r="E5008" s="115" t="s">
        <v>7636</v>
      </c>
    </row>
    <row r="5009" spans="1:5" x14ac:dyDescent="0.25">
      <c r="A5009" s="115" t="s">
        <v>1137</v>
      </c>
      <c r="B5009" s="115" t="s">
        <v>7637</v>
      </c>
      <c r="D5009" s="115" t="s">
        <v>7638</v>
      </c>
      <c r="E5009" s="115" t="s">
        <v>7639</v>
      </c>
    </row>
    <row r="5010" spans="1:5" x14ac:dyDescent="0.25">
      <c r="A5010" s="115">
        <v>2</v>
      </c>
      <c r="B5010" s="115" t="s">
        <v>7640</v>
      </c>
      <c r="D5010" s="115" t="s">
        <v>7641</v>
      </c>
      <c r="E5010" s="115" t="s">
        <v>1893</v>
      </c>
    </row>
    <row r="5011" spans="1:5" x14ac:dyDescent="0.25">
      <c r="B5011" s="115">
        <f>-66  -3087</f>
        <v>-3153</v>
      </c>
      <c r="D5011" s="115" t="s">
        <v>7642</v>
      </c>
      <c r="E5011" s="115" t="s">
        <v>7643</v>
      </c>
    </row>
    <row r="5012" spans="1:5" x14ac:dyDescent="0.25">
      <c r="B5012" s="115" t="s">
        <v>7644</v>
      </c>
      <c r="D5012" s="115" t="s">
        <v>7645</v>
      </c>
      <c r="E5012" s="115" t="s">
        <v>7646</v>
      </c>
    </row>
    <row r="5013" spans="1:5" x14ac:dyDescent="0.25">
      <c r="B5013" s="115" t="s">
        <v>2856</v>
      </c>
      <c r="D5013" s="115" t="s">
        <v>7647</v>
      </c>
      <c r="E5013" s="115" t="s">
        <v>2689</v>
      </c>
    </row>
    <row r="5014" spans="1:5" x14ac:dyDescent="0.25">
      <c r="B5014" s="115" t="s">
        <v>7648</v>
      </c>
      <c r="D5014" s="115" t="s">
        <v>7649</v>
      </c>
      <c r="E5014" s="115" t="s">
        <v>7650</v>
      </c>
    </row>
    <row r="5015" spans="1:5" x14ac:dyDescent="0.25">
      <c r="B5015" s="115" t="s">
        <v>7651</v>
      </c>
      <c r="D5015" s="115" t="s">
        <v>7652</v>
      </c>
      <c r="E5015" s="115" t="s">
        <v>7653</v>
      </c>
    </row>
    <row r="5016" spans="1:5" x14ac:dyDescent="0.25">
      <c r="A5016" s="115">
        <v>1</v>
      </c>
      <c r="B5016" s="115" t="s">
        <v>1177</v>
      </c>
      <c r="D5016" s="115" t="s">
        <v>7654</v>
      </c>
      <c r="E5016" s="115" t="s">
        <v>1140</v>
      </c>
    </row>
    <row r="5017" spans="1:5" x14ac:dyDescent="0.25">
      <c r="B5017" s="115" t="s">
        <v>7655</v>
      </c>
      <c r="D5017" s="115" t="s">
        <v>7656</v>
      </c>
      <c r="E5017" s="115" t="s">
        <v>1140</v>
      </c>
    </row>
    <row r="5018" spans="1:5" x14ac:dyDescent="0.25">
      <c r="A5018" s="115" t="s">
        <v>1137</v>
      </c>
      <c r="B5018" s="115" t="s">
        <v>7657</v>
      </c>
      <c r="D5018" s="115" t="s">
        <v>7658</v>
      </c>
      <c r="E5018" s="115" t="s">
        <v>1192</v>
      </c>
    </row>
    <row r="5019" spans="1:5" x14ac:dyDescent="0.25">
      <c r="A5019" s="115">
        <v>5</v>
      </c>
      <c r="B5019" s="115" t="s">
        <v>1504</v>
      </c>
      <c r="D5019" s="115" t="s">
        <v>7659</v>
      </c>
      <c r="E5019" s="115" t="s">
        <v>2536</v>
      </c>
    </row>
    <row r="5020" spans="1:5" x14ac:dyDescent="0.25">
      <c r="B5020" s="115" t="s">
        <v>7660</v>
      </c>
      <c r="D5020" s="115" t="s">
        <v>7661</v>
      </c>
      <c r="E5020" s="115" t="s">
        <v>7662</v>
      </c>
    </row>
    <row r="5021" spans="1:5" x14ac:dyDescent="0.25">
      <c r="B5021" s="115" t="s">
        <v>1138</v>
      </c>
      <c r="D5021" s="115" t="s">
        <v>1139</v>
      </c>
      <c r="E5021" s="115" t="s">
        <v>7663</v>
      </c>
    </row>
    <row r="5022" spans="1:5" x14ac:dyDescent="0.25">
      <c r="A5022" s="115">
        <v>-4</v>
      </c>
      <c r="B5022" s="115" t="s">
        <v>7664</v>
      </c>
      <c r="D5022" s="115" t="s">
        <v>7665</v>
      </c>
      <c r="E5022" s="115" t="s">
        <v>7666</v>
      </c>
    </row>
    <row r="5023" spans="1:5" x14ac:dyDescent="0.25">
      <c r="B5023" s="115" t="s">
        <v>1138</v>
      </c>
      <c r="D5023" s="115" t="s">
        <v>7667</v>
      </c>
      <c r="E5023" s="115" t="s">
        <v>1140</v>
      </c>
    </row>
    <row r="5024" spans="1:5" x14ac:dyDescent="0.25">
      <c r="B5024" s="115" t="s">
        <v>1138</v>
      </c>
      <c r="D5024" s="115" t="s">
        <v>1139</v>
      </c>
      <c r="E5024" s="115" t="s">
        <v>1140</v>
      </c>
    </row>
    <row r="5025" spans="1:5" x14ac:dyDescent="0.25">
      <c r="B5025" s="115" t="s">
        <v>1275</v>
      </c>
      <c r="D5025" s="115" t="s">
        <v>3121</v>
      </c>
      <c r="E5025" s="115" t="s">
        <v>7668</v>
      </c>
    </row>
    <row r="5026" spans="1:5" x14ac:dyDescent="0.25">
      <c r="A5026" s="115">
        <v>-1</v>
      </c>
      <c r="B5026" s="115" t="s">
        <v>7669</v>
      </c>
      <c r="D5026" s="115" t="s">
        <v>7670</v>
      </c>
      <c r="E5026" s="115" t="s">
        <v>7671</v>
      </c>
    </row>
    <row r="5027" spans="1:5" x14ac:dyDescent="0.25">
      <c r="A5027" s="115" t="s">
        <v>1137</v>
      </c>
      <c r="B5027" s="115" t="s">
        <v>7672</v>
      </c>
      <c r="D5027" s="115" t="s">
        <v>7673</v>
      </c>
      <c r="E5027" s="115" t="s">
        <v>7674</v>
      </c>
    </row>
    <row r="5028" spans="1:5" x14ac:dyDescent="0.25">
      <c r="B5028" s="115" t="s">
        <v>7675</v>
      </c>
      <c r="C5028" s="115" t="s">
        <v>1137</v>
      </c>
      <c r="D5028" s="115" t="s">
        <v>7676</v>
      </c>
      <c r="E5028" s="115" t="s">
        <v>7677</v>
      </c>
    </row>
    <row r="5029" spans="1:5" x14ac:dyDescent="0.25">
      <c r="B5029" s="115">
        <f>-72   -566</f>
        <v>-638</v>
      </c>
      <c r="D5029" s="115" t="s">
        <v>7678</v>
      </c>
      <c r="E5029" s="115" t="s">
        <v>7679</v>
      </c>
    </row>
    <row r="5030" spans="1:5" x14ac:dyDescent="0.25">
      <c r="A5030" s="115">
        <v>10</v>
      </c>
      <c r="B5030" s="115" t="s">
        <v>7680</v>
      </c>
      <c r="D5030" s="115" t="s">
        <v>7681</v>
      </c>
      <c r="E5030" s="115" t="s">
        <v>7682</v>
      </c>
    </row>
    <row r="5031" spans="1:5" x14ac:dyDescent="0.25">
      <c r="B5031" s="115" t="s">
        <v>7683</v>
      </c>
      <c r="D5031" s="115" t="s">
        <v>1155</v>
      </c>
      <c r="E5031" s="115" t="s">
        <v>7684</v>
      </c>
    </row>
    <row r="5032" spans="1:5" x14ac:dyDescent="0.25">
      <c r="B5032" s="115" t="s">
        <v>1138</v>
      </c>
      <c r="D5032" s="115" t="s">
        <v>1139</v>
      </c>
      <c r="E5032" s="115" t="s">
        <v>7685</v>
      </c>
    </row>
    <row r="5033" spans="1:5" x14ac:dyDescent="0.25">
      <c r="B5033" s="115" t="s">
        <v>7686</v>
      </c>
      <c r="D5033" s="115">
        <f>-612   -178   -241   -75</f>
        <v>-1106</v>
      </c>
      <c r="E5033" s="115" t="s">
        <v>7687</v>
      </c>
    </row>
    <row r="5034" spans="1:5" x14ac:dyDescent="0.25">
      <c r="A5034" s="115">
        <v>1</v>
      </c>
      <c r="B5034" s="115" t="s">
        <v>1660</v>
      </c>
      <c r="D5034" s="115" t="s">
        <v>7688</v>
      </c>
      <c r="E5034" s="115" t="s">
        <v>1140</v>
      </c>
    </row>
    <row r="5035" spans="1:5" x14ac:dyDescent="0.25">
      <c r="B5035" s="115" t="s">
        <v>1574</v>
      </c>
      <c r="D5035" s="115" t="s">
        <v>1139</v>
      </c>
      <c r="E5035" s="115" t="s">
        <v>7689</v>
      </c>
    </row>
    <row r="5036" spans="1:5" x14ac:dyDescent="0.25">
      <c r="B5036" s="115" t="s">
        <v>7690</v>
      </c>
      <c r="D5036" s="115" t="s">
        <v>1139</v>
      </c>
      <c r="E5036" s="115" t="s">
        <v>7691</v>
      </c>
    </row>
    <row r="5037" spans="1:5" x14ac:dyDescent="0.25">
      <c r="B5037" s="115" t="s">
        <v>7692</v>
      </c>
      <c r="D5037" s="115" t="s">
        <v>7693</v>
      </c>
      <c r="E5037" s="115" t="s">
        <v>7694</v>
      </c>
    </row>
    <row r="5038" spans="1:5" x14ac:dyDescent="0.25">
      <c r="A5038" s="115" t="s">
        <v>1137</v>
      </c>
      <c r="B5038" s="115" t="s">
        <v>1499</v>
      </c>
      <c r="D5038" s="115" t="s">
        <v>7695</v>
      </c>
      <c r="E5038" s="115" t="s">
        <v>7696</v>
      </c>
    </row>
    <row r="5039" spans="1:5" x14ac:dyDescent="0.25">
      <c r="B5039" s="115">
        <f>-34   -478</f>
        <v>-512</v>
      </c>
      <c r="D5039" s="115" t="s">
        <v>7697</v>
      </c>
      <c r="E5039" s="115" t="s">
        <v>7698</v>
      </c>
    </row>
    <row r="5040" spans="1:5" x14ac:dyDescent="0.25">
      <c r="A5040" s="115" t="s">
        <v>1137</v>
      </c>
      <c r="B5040" s="115" t="s">
        <v>7699</v>
      </c>
      <c r="D5040" s="115" t="s">
        <v>7700</v>
      </c>
      <c r="E5040" s="115" t="s">
        <v>7701</v>
      </c>
    </row>
    <row r="5041" spans="1:5" x14ac:dyDescent="0.25">
      <c r="B5041" s="115" t="s">
        <v>1648</v>
      </c>
      <c r="D5041" s="115" t="s">
        <v>2982</v>
      </c>
      <c r="E5041" s="115" t="s">
        <v>7702</v>
      </c>
    </row>
    <row r="5042" spans="1:5" x14ac:dyDescent="0.25">
      <c r="B5042" s="115" t="s">
        <v>7703</v>
      </c>
      <c r="D5042" s="115" t="s">
        <v>7704</v>
      </c>
      <c r="E5042" s="115" t="s">
        <v>7705</v>
      </c>
    </row>
    <row r="5043" spans="1:5" x14ac:dyDescent="0.25">
      <c r="A5043" s="115" t="s">
        <v>1137</v>
      </c>
      <c r="B5043" s="115" t="s">
        <v>7706</v>
      </c>
      <c r="D5043" s="115" t="s">
        <v>7707</v>
      </c>
      <c r="E5043" s="115" t="s">
        <v>7708</v>
      </c>
    </row>
    <row r="5044" spans="1:5" x14ac:dyDescent="0.25">
      <c r="A5044" s="115" t="s">
        <v>1137</v>
      </c>
      <c r="B5044" s="115" t="s">
        <v>1167</v>
      </c>
      <c r="D5044" s="115" t="s">
        <v>3698</v>
      </c>
      <c r="E5044" s="115" t="s">
        <v>7709</v>
      </c>
    </row>
    <row r="5045" spans="1:5" x14ac:dyDescent="0.25">
      <c r="A5045" s="115" t="s">
        <v>1137</v>
      </c>
      <c r="B5045" s="115" t="s">
        <v>1378</v>
      </c>
      <c r="D5045" s="115" t="s">
        <v>7710</v>
      </c>
      <c r="E5045" s="115" t="s">
        <v>7711</v>
      </c>
    </row>
    <row r="5046" spans="1:5" x14ac:dyDescent="0.25">
      <c r="A5046" s="115" t="s">
        <v>1137</v>
      </c>
      <c r="B5046" s="115" t="s">
        <v>1441</v>
      </c>
      <c r="D5046" s="115" t="s">
        <v>7712</v>
      </c>
      <c r="E5046" s="115" t="s">
        <v>7713</v>
      </c>
    </row>
    <row r="5047" spans="1:5" x14ac:dyDescent="0.25">
      <c r="B5047" s="115" t="s">
        <v>1138</v>
      </c>
      <c r="D5047" s="115" t="s">
        <v>1931</v>
      </c>
      <c r="E5047" s="115" t="s">
        <v>7714</v>
      </c>
    </row>
    <row r="5048" spans="1:5" x14ac:dyDescent="0.25">
      <c r="B5048" s="115" t="s">
        <v>1138</v>
      </c>
      <c r="D5048" s="115" t="s">
        <v>7715</v>
      </c>
      <c r="E5048" s="115" t="s">
        <v>7716</v>
      </c>
    </row>
    <row r="5049" spans="1:5" x14ac:dyDescent="0.25">
      <c r="A5049" s="115">
        <v>-1</v>
      </c>
      <c r="B5049" s="115" t="s">
        <v>7717</v>
      </c>
      <c r="D5049" s="115" t="s">
        <v>7718</v>
      </c>
      <c r="E5049" s="115" t="s">
        <v>7719</v>
      </c>
    </row>
    <row r="5050" spans="1:5" x14ac:dyDescent="0.25">
      <c r="B5050" s="115" t="s">
        <v>1453</v>
      </c>
      <c r="D5050" s="115" t="s">
        <v>7720</v>
      </c>
      <c r="E5050" s="115" t="s">
        <v>7721</v>
      </c>
    </row>
    <row r="5051" spans="1:5" x14ac:dyDescent="0.25">
      <c r="A5051" s="115" t="s">
        <v>1137</v>
      </c>
      <c r="B5051" s="115" t="s">
        <v>7722</v>
      </c>
      <c r="D5051" s="115" t="s">
        <v>7723</v>
      </c>
      <c r="E5051" s="115" t="s">
        <v>1140</v>
      </c>
    </row>
    <row r="5052" spans="1:5" x14ac:dyDescent="0.25">
      <c r="B5052" s="115" t="s">
        <v>7724</v>
      </c>
      <c r="C5052" s="115" t="s">
        <v>1137</v>
      </c>
      <c r="D5052" s="115" t="s">
        <v>7725</v>
      </c>
      <c r="E5052" s="115" t="s">
        <v>7726</v>
      </c>
    </row>
    <row r="5053" spans="1:5" x14ac:dyDescent="0.25">
      <c r="B5053" s="115" t="s">
        <v>7727</v>
      </c>
      <c r="C5053" s="115">
        <v>-1</v>
      </c>
      <c r="D5053" s="115" t="s">
        <v>7728</v>
      </c>
      <c r="E5053" s="115" t="s">
        <v>7729</v>
      </c>
    </row>
    <row r="5054" spans="1:5" x14ac:dyDescent="0.25">
      <c r="B5054" s="115" t="s">
        <v>1138</v>
      </c>
      <c r="D5054" s="115" t="s">
        <v>1139</v>
      </c>
      <c r="E5054" s="115" t="s">
        <v>1140</v>
      </c>
    </row>
    <row r="5055" spans="1:5" x14ac:dyDescent="0.25">
      <c r="B5055" s="115" t="s">
        <v>1138</v>
      </c>
      <c r="D5055" s="115" t="s">
        <v>3748</v>
      </c>
      <c r="E5055" s="115" t="s">
        <v>2536</v>
      </c>
    </row>
    <row r="5056" spans="1:5" x14ac:dyDescent="0.25">
      <c r="B5056" s="115" t="s">
        <v>7730</v>
      </c>
      <c r="D5056" s="115" t="s">
        <v>7731</v>
      </c>
      <c r="E5056" s="115" t="s">
        <v>7732</v>
      </c>
    </row>
    <row r="5057" spans="1:5" x14ac:dyDescent="0.25">
      <c r="B5057" s="115" t="s">
        <v>1172</v>
      </c>
      <c r="C5057" s="115" t="s">
        <v>1137</v>
      </c>
      <c r="D5057" s="115" t="s">
        <v>7733</v>
      </c>
      <c r="E5057" s="115" t="s">
        <v>7734</v>
      </c>
    </row>
    <row r="5058" spans="1:5" x14ac:dyDescent="0.25">
      <c r="A5058" s="115">
        <v>1</v>
      </c>
      <c r="B5058" s="115" t="s">
        <v>7735</v>
      </c>
      <c r="D5058" s="115" t="s">
        <v>7736</v>
      </c>
      <c r="E5058" s="115" t="s">
        <v>7737</v>
      </c>
    </row>
    <row r="5059" spans="1:5" x14ac:dyDescent="0.25">
      <c r="A5059" s="115">
        <v>-17</v>
      </c>
      <c r="B5059" s="115" t="s">
        <v>7738</v>
      </c>
      <c r="D5059" s="115" t="s">
        <v>7739</v>
      </c>
      <c r="E5059" s="115" t="s">
        <v>7740</v>
      </c>
    </row>
    <row r="5060" spans="1:5" x14ac:dyDescent="0.25">
      <c r="A5060" s="115">
        <v>10</v>
      </c>
      <c r="B5060" s="115" t="s">
        <v>7741</v>
      </c>
      <c r="C5060" s="115">
        <v>1</v>
      </c>
      <c r="D5060" s="115" t="s">
        <v>7742</v>
      </c>
      <c r="E5060" s="115" t="s">
        <v>7743</v>
      </c>
    </row>
    <row r="5061" spans="1:5" x14ac:dyDescent="0.25">
      <c r="A5061" s="115">
        <v>23</v>
      </c>
      <c r="B5061" s="115" t="s">
        <v>7744</v>
      </c>
      <c r="D5061" s="115">
        <f>-949   -453   -137</f>
        <v>-1539</v>
      </c>
      <c r="E5061" s="115" t="s">
        <v>7745</v>
      </c>
    </row>
    <row r="5062" spans="1:5" x14ac:dyDescent="0.25">
      <c r="B5062" s="115" t="s">
        <v>1138</v>
      </c>
      <c r="D5062" s="115" t="s">
        <v>7746</v>
      </c>
      <c r="E5062" s="115" t="s">
        <v>1140</v>
      </c>
    </row>
    <row r="5063" spans="1:5" x14ac:dyDescent="0.25">
      <c r="B5063" s="115" t="s">
        <v>1138</v>
      </c>
      <c r="D5063" s="115" t="s">
        <v>7747</v>
      </c>
      <c r="E5063" s="115" t="s">
        <v>7748</v>
      </c>
    </row>
    <row r="5064" spans="1:5" x14ac:dyDescent="0.25">
      <c r="A5064" s="115" t="s">
        <v>1137</v>
      </c>
      <c r="B5064" s="115" t="s">
        <v>7749</v>
      </c>
      <c r="D5064" s="115" t="s">
        <v>7750</v>
      </c>
      <c r="E5064" s="115" t="s">
        <v>7751</v>
      </c>
    </row>
    <row r="5065" spans="1:5" x14ac:dyDescent="0.25">
      <c r="B5065" s="115" t="s">
        <v>4889</v>
      </c>
      <c r="D5065" s="115" t="s">
        <v>1139</v>
      </c>
      <c r="E5065" s="115" t="s">
        <v>7752</v>
      </c>
    </row>
    <row r="5066" spans="1:5" x14ac:dyDescent="0.25">
      <c r="B5066" s="115" t="s">
        <v>1138</v>
      </c>
      <c r="D5066" s="115" t="s">
        <v>7753</v>
      </c>
      <c r="E5066" s="115" t="s">
        <v>7754</v>
      </c>
    </row>
    <row r="5067" spans="1:5" x14ac:dyDescent="0.25">
      <c r="B5067" s="115" t="s">
        <v>1138</v>
      </c>
      <c r="D5067" s="115" t="s">
        <v>7755</v>
      </c>
      <c r="E5067" s="115" t="s">
        <v>7756</v>
      </c>
    </row>
    <row r="5068" spans="1:5" x14ac:dyDescent="0.25">
      <c r="A5068" s="115">
        <v>1</v>
      </c>
      <c r="B5068" s="115" t="s">
        <v>7757</v>
      </c>
      <c r="D5068" s="115" t="s">
        <v>7758</v>
      </c>
      <c r="E5068" s="115" t="s">
        <v>7759</v>
      </c>
    </row>
    <row r="5069" spans="1:5" x14ac:dyDescent="0.25">
      <c r="B5069" s="115" t="s">
        <v>7760</v>
      </c>
      <c r="C5069" s="115" t="s">
        <v>1137</v>
      </c>
      <c r="D5069" s="115" t="s">
        <v>7761</v>
      </c>
      <c r="E5069" s="115" t="s">
        <v>7762</v>
      </c>
    </row>
    <row r="5070" spans="1:5" x14ac:dyDescent="0.25">
      <c r="B5070" s="115" t="s">
        <v>7763</v>
      </c>
      <c r="D5070" s="115" t="s">
        <v>7764</v>
      </c>
      <c r="E5070" s="115" t="s">
        <v>7765</v>
      </c>
    </row>
    <row r="5071" spans="1:5" x14ac:dyDescent="0.25">
      <c r="B5071" s="115" t="s">
        <v>7766</v>
      </c>
      <c r="D5071" s="115" t="s">
        <v>7767</v>
      </c>
      <c r="E5071" s="115" t="s">
        <v>7768</v>
      </c>
    </row>
    <row r="5072" spans="1:5" x14ac:dyDescent="0.25">
      <c r="B5072" s="115" t="s">
        <v>1357</v>
      </c>
      <c r="C5072" s="115" t="s">
        <v>1137</v>
      </c>
      <c r="D5072" s="115" t="s">
        <v>7769</v>
      </c>
      <c r="E5072" s="115" t="s">
        <v>7770</v>
      </c>
    </row>
    <row r="5073" spans="1:5" x14ac:dyDescent="0.25">
      <c r="B5073" s="115">
        <f>-71   -613</f>
        <v>-684</v>
      </c>
      <c r="D5073" s="115" t="s">
        <v>7771</v>
      </c>
      <c r="E5073" s="115" t="s">
        <v>7772</v>
      </c>
    </row>
    <row r="5074" spans="1:5" x14ac:dyDescent="0.25">
      <c r="B5074" s="115" t="s">
        <v>1138</v>
      </c>
      <c r="D5074" s="115" t="s">
        <v>7773</v>
      </c>
      <c r="E5074" s="115" t="s">
        <v>7774</v>
      </c>
    </row>
    <row r="5075" spans="1:5" x14ac:dyDescent="0.25">
      <c r="B5075" s="115" t="s">
        <v>7775</v>
      </c>
      <c r="C5075" s="115" t="s">
        <v>1137</v>
      </c>
      <c r="D5075" s="115" t="s">
        <v>7776</v>
      </c>
      <c r="E5075" s="115" t="s">
        <v>7777</v>
      </c>
    </row>
    <row r="5076" spans="1:5" x14ac:dyDescent="0.25">
      <c r="B5076" s="115" t="s">
        <v>7778</v>
      </c>
      <c r="D5076" s="115" t="s">
        <v>7779</v>
      </c>
      <c r="E5076" s="115" t="s">
        <v>7780</v>
      </c>
    </row>
    <row r="5077" spans="1:5" x14ac:dyDescent="0.25">
      <c r="B5077" s="115" t="s">
        <v>7781</v>
      </c>
      <c r="D5077" s="115" t="s">
        <v>1589</v>
      </c>
      <c r="E5077" s="115" t="s">
        <v>1140</v>
      </c>
    </row>
    <row r="5078" spans="1:5" x14ac:dyDescent="0.25">
      <c r="B5078" s="115" t="s">
        <v>7782</v>
      </c>
      <c r="D5078" s="115" t="s">
        <v>7783</v>
      </c>
      <c r="E5078" s="115" t="s">
        <v>1818</v>
      </c>
    </row>
    <row r="5079" spans="1:5" x14ac:dyDescent="0.25">
      <c r="B5079" s="115" t="s">
        <v>7784</v>
      </c>
      <c r="C5079" s="115" t="s">
        <v>1137</v>
      </c>
      <c r="D5079" s="115" t="s">
        <v>7785</v>
      </c>
      <c r="E5079" s="115" t="s">
        <v>7786</v>
      </c>
    </row>
    <row r="5080" spans="1:5" x14ac:dyDescent="0.25">
      <c r="B5080" s="115" t="s">
        <v>7787</v>
      </c>
      <c r="D5080" s="115" t="s">
        <v>7788</v>
      </c>
      <c r="E5080" s="115" t="s">
        <v>7789</v>
      </c>
    </row>
    <row r="5081" spans="1:5" x14ac:dyDescent="0.25">
      <c r="B5081" s="115" t="s">
        <v>1451</v>
      </c>
      <c r="C5081" s="115" t="s">
        <v>1137</v>
      </c>
      <c r="D5081" s="115" t="s">
        <v>7790</v>
      </c>
      <c r="E5081" s="115" t="s">
        <v>7791</v>
      </c>
    </row>
    <row r="5082" spans="1:5" x14ac:dyDescent="0.25">
      <c r="B5082" s="115" t="s">
        <v>1138</v>
      </c>
      <c r="D5082" s="115" t="s">
        <v>1139</v>
      </c>
      <c r="E5082" s="115" t="s">
        <v>7792</v>
      </c>
    </row>
    <row r="5083" spans="1:5" x14ac:dyDescent="0.25">
      <c r="A5083" s="115">
        <v>-1</v>
      </c>
      <c r="B5083" s="115" t="s">
        <v>7793</v>
      </c>
      <c r="D5083" s="115" t="s">
        <v>7794</v>
      </c>
      <c r="E5083" s="115" t="s">
        <v>7795</v>
      </c>
    </row>
    <row r="5084" spans="1:5" x14ac:dyDescent="0.25">
      <c r="B5084" s="115" t="s">
        <v>1138</v>
      </c>
      <c r="D5084" s="115" t="s">
        <v>7796</v>
      </c>
      <c r="E5084" s="115" t="s">
        <v>1758</v>
      </c>
    </row>
    <row r="5085" spans="1:5" x14ac:dyDescent="0.25">
      <c r="B5085" s="115" t="s">
        <v>1138</v>
      </c>
      <c r="D5085" s="115" t="s">
        <v>1139</v>
      </c>
      <c r="E5085" s="115" t="s">
        <v>1140</v>
      </c>
    </row>
    <row r="5086" spans="1:5" x14ac:dyDescent="0.25">
      <c r="B5086" s="115" t="s">
        <v>7797</v>
      </c>
      <c r="D5086" s="115" t="s">
        <v>1139</v>
      </c>
      <c r="E5086" s="115" t="s">
        <v>7798</v>
      </c>
    </row>
    <row r="5087" spans="1:5" x14ac:dyDescent="0.25">
      <c r="A5087" s="115" t="s">
        <v>1137</v>
      </c>
      <c r="B5087" s="115" t="s">
        <v>7799</v>
      </c>
      <c r="D5087" s="115" t="s">
        <v>7800</v>
      </c>
      <c r="E5087" s="115" t="s">
        <v>7801</v>
      </c>
    </row>
    <row r="5088" spans="1:5" x14ac:dyDescent="0.25">
      <c r="A5088" s="115" t="s">
        <v>1137</v>
      </c>
      <c r="B5088" s="115" t="s">
        <v>7802</v>
      </c>
      <c r="D5088" s="115" t="s">
        <v>7803</v>
      </c>
      <c r="E5088" s="115" t="s">
        <v>7804</v>
      </c>
    </row>
    <row r="5089" spans="1:5" x14ac:dyDescent="0.25">
      <c r="B5089" s="115" t="s">
        <v>7805</v>
      </c>
      <c r="D5089" s="115" t="s">
        <v>7806</v>
      </c>
      <c r="E5089" s="115" t="s">
        <v>7807</v>
      </c>
    </row>
    <row r="5090" spans="1:5" x14ac:dyDescent="0.25">
      <c r="A5090" s="115">
        <v>-12</v>
      </c>
      <c r="B5090" s="115" t="s">
        <v>7808</v>
      </c>
      <c r="C5090" s="115" t="s">
        <v>1137</v>
      </c>
      <c r="D5090" s="115" t="s">
        <v>7809</v>
      </c>
      <c r="E5090" s="115" t="s">
        <v>7810</v>
      </c>
    </row>
    <row r="5091" spans="1:5" x14ac:dyDescent="0.25">
      <c r="A5091" s="115">
        <v>15</v>
      </c>
      <c r="B5091" s="115" t="s">
        <v>7811</v>
      </c>
      <c r="C5091" s="115">
        <v>1</v>
      </c>
      <c r="D5091" s="115" t="s">
        <v>7812</v>
      </c>
      <c r="E5091" s="115" t="s">
        <v>7813</v>
      </c>
    </row>
    <row r="5092" spans="1:5" x14ac:dyDescent="0.25">
      <c r="B5092" s="115" t="s">
        <v>7814</v>
      </c>
      <c r="D5092" s="115" t="s">
        <v>7815</v>
      </c>
      <c r="E5092" s="115" t="s">
        <v>7816</v>
      </c>
    </row>
    <row r="5093" spans="1:5" x14ac:dyDescent="0.25">
      <c r="B5093" s="115">
        <f>-39   -197</f>
        <v>-236</v>
      </c>
      <c r="D5093" s="115" t="s">
        <v>1139</v>
      </c>
      <c r="E5093" s="115" t="s">
        <v>1140</v>
      </c>
    </row>
    <row r="5094" spans="1:5" x14ac:dyDescent="0.25">
      <c r="A5094" s="115">
        <v>1</v>
      </c>
      <c r="B5094" s="115" t="s">
        <v>7817</v>
      </c>
      <c r="D5094" s="115" t="s">
        <v>7818</v>
      </c>
      <c r="E5094" s="115" t="s">
        <v>7819</v>
      </c>
    </row>
    <row r="5095" spans="1:5" x14ac:dyDescent="0.25">
      <c r="B5095" s="115" t="s">
        <v>1138</v>
      </c>
      <c r="D5095" s="115" t="s">
        <v>7820</v>
      </c>
      <c r="E5095" s="115" t="s">
        <v>7821</v>
      </c>
    </row>
    <row r="5096" spans="1:5" x14ac:dyDescent="0.25">
      <c r="B5096" s="115" t="s">
        <v>1138</v>
      </c>
      <c r="D5096" s="115" t="s">
        <v>7822</v>
      </c>
      <c r="E5096" s="115" t="s">
        <v>1140</v>
      </c>
    </row>
    <row r="5097" spans="1:5" x14ac:dyDescent="0.25">
      <c r="B5097" s="115" t="s">
        <v>7823</v>
      </c>
      <c r="C5097" s="115" t="s">
        <v>1137</v>
      </c>
      <c r="D5097" s="115" t="s">
        <v>7824</v>
      </c>
      <c r="E5097" s="115" t="s">
        <v>7825</v>
      </c>
    </row>
    <row r="5098" spans="1:5" x14ac:dyDescent="0.25">
      <c r="B5098" s="115" t="s">
        <v>7826</v>
      </c>
      <c r="D5098" s="115" t="s">
        <v>7827</v>
      </c>
      <c r="E5098" s="115" t="s">
        <v>7828</v>
      </c>
    </row>
    <row r="5099" spans="1:5" x14ac:dyDescent="0.25">
      <c r="B5099" s="115" t="s">
        <v>7829</v>
      </c>
      <c r="D5099" s="115" t="s">
        <v>7830</v>
      </c>
      <c r="E5099" s="115" t="s">
        <v>7831</v>
      </c>
    </row>
    <row r="5100" spans="1:5" x14ac:dyDescent="0.25">
      <c r="A5100" s="115" t="s">
        <v>1137</v>
      </c>
      <c r="B5100" s="115" t="s">
        <v>7832</v>
      </c>
      <c r="D5100" s="115" t="s">
        <v>7833</v>
      </c>
      <c r="E5100" s="115" t="s">
        <v>7834</v>
      </c>
    </row>
    <row r="5101" spans="1:5" x14ac:dyDescent="0.25">
      <c r="A5101" s="115">
        <v>-1</v>
      </c>
      <c r="B5101" s="115" t="s">
        <v>7835</v>
      </c>
      <c r="D5101" s="115">
        <f>-659   -844  -1746</f>
        <v>-3249</v>
      </c>
      <c r="E5101" s="115" t="s">
        <v>7836</v>
      </c>
    </row>
    <row r="5102" spans="1:5" x14ac:dyDescent="0.25">
      <c r="A5102" s="115" t="s">
        <v>1137</v>
      </c>
      <c r="B5102" s="115" t="s">
        <v>7837</v>
      </c>
      <c r="D5102" s="115" t="s">
        <v>7838</v>
      </c>
      <c r="E5102" s="115" t="s">
        <v>7839</v>
      </c>
    </row>
    <row r="5103" spans="1:5" x14ac:dyDescent="0.25">
      <c r="B5103" s="115" t="s">
        <v>7840</v>
      </c>
      <c r="D5103" s="115" t="s">
        <v>7841</v>
      </c>
      <c r="E5103" s="115" t="s">
        <v>7842</v>
      </c>
    </row>
    <row r="5104" spans="1:5" x14ac:dyDescent="0.25">
      <c r="A5104" s="115" t="s">
        <v>1137</v>
      </c>
      <c r="B5104" s="115" t="s">
        <v>1625</v>
      </c>
      <c r="D5104" s="115" t="s">
        <v>7843</v>
      </c>
      <c r="E5104" s="115" t="s">
        <v>7844</v>
      </c>
    </row>
    <row r="5105" spans="1:5" x14ac:dyDescent="0.25">
      <c r="B5105" s="115" t="s">
        <v>4797</v>
      </c>
      <c r="D5105" s="115" t="s">
        <v>7845</v>
      </c>
      <c r="E5105" s="115" t="s">
        <v>7846</v>
      </c>
    </row>
    <row r="5106" spans="1:5" x14ac:dyDescent="0.25">
      <c r="B5106" s="115" t="s">
        <v>7847</v>
      </c>
      <c r="C5106" s="115" t="s">
        <v>1137</v>
      </c>
      <c r="D5106" s="115" t="s">
        <v>7848</v>
      </c>
      <c r="E5106" s="115" t="s">
        <v>7849</v>
      </c>
    </row>
    <row r="5107" spans="1:5" x14ac:dyDescent="0.25">
      <c r="A5107" s="115" t="s">
        <v>1137</v>
      </c>
      <c r="B5107" s="115" t="s">
        <v>7850</v>
      </c>
      <c r="D5107" s="115" t="s">
        <v>7851</v>
      </c>
      <c r="E5107" s="115" t="s">
        <v>7852</v>
      </c>
    </row>
    <row r="5108" spans="1:5" x14ac:dyDescent="0.25">
      <c r="A5108" s="115" t="s">
        <v>1137</v>
      </c>
      <c r="B5108" s="115" t="s">
        <v>1189</v>
      </c>
      <c r="D5108" s="115" t="s">
        <v>1139</v>
      </c>
      <c r="E5108" s="115" t="s">
        <v>7853</v>
      </c>
    </row>
    <row r="5109" spans="1:5" x14ac:dyDescent="0.25">
      <c r="B5109" s="115" t="s">
        <v>7854</v>
      </c>
      <c r="D5109" s="115" t="s">
        <v>1609</v>
      </c>
      <c r="E5109" s="115" t="s">
        <v>7855</v>
      </c>
    </row>
    <row r="5110" spans="1:5" x14ac:dyDescent="0.25">
      <c r="B5110" s="115" t="s">
        <v>7856</v>
      </c>
      <c r="D5110" s="115" t="s">
        <v>7857</v>
      </c>
      <c r="E5110" s="115" t="s">
        <v>7858</v>
      </c>
    </row>
    <row r="5111" spans="1:5" x14ac:dyDescent="0.25">
      <c r="B5111" s="115" t="s">
        <v>1203</v>
      </c>
      <c r="D5111" s="115" t="s">
        <v>7859</v>
      </c>
      <c r="E5111" s="115" t="s">
        <v>7860</v>
      </c>
    </row>
    <row r="5112" spans="1:5" x14ac:dyDescent="0.25">
      <c r="A5112" s="115">
        <v>-1</v>
      </c>
      <c r="B5112" s="115" t="s">
        <v>7861</v>
      </c>
      <c r="C5112" s="115" t="s">
        <v>1137</v>
      </c>
      <c r="D5112" s="115" t="s">
        <v>7862</v>
      </c>
      <c r="E5112" s="115" t="s">
        <v>7863</v>
      </c>
    </row>
    <row r="5113" spans="1:5" x14ac:dyDescent="0.25">
      <c r="B5113" s="115" t="s">
        <v>1138</v>
      </c>
      <c r="D5113" s="115" t="s">
        <v>7864</v>
      </c>
      <c r="E5113" s="115" t="s">
        <v>7865</v>
      </c>
    </row>
    <row r="5114" spans="1:5" x14ac:dyDescent="0.25">
      <c r="B5114" s="115" t="s">
        <v>1138</v>
      </c>
      <c r="C5114" s="115" t="s">
        <v>1137</v>
      </c>
      <c r="D5114" s="115" t="s">
        <v>7866</v>
      </c>
      <c r="E5114" s="115" t="s">
        <v>1818</v>
      </c>
    </row>
    <row r="5115" spans="1:5" x14ac:dyDescent="0.25">
      <c r="B5115" s="115" t="s">
        <v>1637</v>
      </c>
      <c r="D5115" s="115" t="s">
        <v>7867</v>
      </c>
      <c r="E5115" s="115" t="s">
        <v>1140</v>
      </c>
    </row>
    <row r="5116" spans="1:5" x14ac:dyDescent="0.25">
      <c r="B5116" s="115" t="s">
        <v>1138</v>
      </c>
      <c r="D5116" s="115" t="s">
        <v>1139</v>
      </c>
      <c r="E5116" s="115" t="s">
        <v>7868</v>
      </c>
    </row>
    <row r="5117" spans="1:5" x14ac:dyDescent="0.25">
      <c r="B5117" s="115" t="s">
        <v>1138</v>
      </c>
      <c r="D5117" s="115" t="s">
        <v>7869</v>
      </c>
      <c r="E5117" s="115" t="s">
        <v>7870</v>
      </c>
    </row>
    <row r="5118" spans="1:5" x14ac:dyDescent="0.25">
      <c r="A5118" s="115">
        <v>1</v>
      </c>
      <c r="B5118" s="115" t="s">
        <v>7871</v>
      </c>
      <c r="D5118" s="115" t="s">
        <v>7872</v>
      </c>
      <c r="E5118" s="115" t="s">
        <v>7873</v>
      </c>
    </row>
    <row r="5119" spans="1:5" x14ac:dyDescent="0.25">
      <c r="B5119" s="115" t="s">
        <v>7874</v>
      </c>
      <c r="D5119" s="115" t="s">
        <v>7875</v>
      </c>
      <c r="E5119" s="115" t="s">
        <v>7876</v>
      </c>
    </row>
    <row r="5120" spans="1:5" x14ac:dyDescent="0.25">
      <c r="A5120" s="115">
        <v>-3</v>
      </c>
      <c r="B5120" s="115" t="s">
        <v>7877</v>
      </c>
      <c r="D5120" s="115" t="s">
        <v>7878</v>
      </c>
      <c r="E5120" s="115" t="s">
        <v>7879</v>
      </c>
    </row>
    <row r="5121" spans="1:5" x14ac:dyDescent="0.25">
      <c r="B5121" s="115" t="s">
        <v>7880</v>
      </c>
      <c r="C5121" s="115">
        <v>1</v>
      </c>
      <c r="D5121" s="115" t="s">
        <v>7881</v>
      </c>
      <c r="E5121" s="115" t="s">
        <v>7882</v>
      </c>
    </row>
    <row r="5122" spans="1:5" x14ac:dyDescent="0.25">
      <c r="A5122" s="115">
        <v>6</v>
      </c>
      <c r="B5122" s="115" t="s">
        <v>7883</v>
      </c>
      <c r="C5122" s="115">
        <v>3</v>
      </c>
      <c r="D5122" s="115" t="s">
        <v>7884</v>
      </c>
      <c r="E5122" s="115" t="s">
        <v>7885</v>
      </c>
    </row>
    <row r="5123" spans="1:5" x14ac:dyDescent="0.25">
      <c r="B5123" s="115" t="s">
        <v>1138</v>
      </c>
      <c r="D5123" s="115" t="s">
        <v>7886</v>
      </c>
      <c r="E5123" s="115" t="s">
        <v>7887</v>
      </c>
    </row>
    <row r="5124" spans="1:5" x14ac:dyDescent="0.25">
      <c r="B5124" s="115" t="s">
        <v>1138</v>
      </c>
      <c r="D5124" s="115" t="s">
        <v>1139</v>
      </c>
      <c r="E5124" s="115" t="s">
        <v>7888</v>
      </c>
    </row>
    <row r="5125" spans="1:5" x14ac:dyDescent="0.25">
      <c r="B5125" s="115" t="s">
        <v>1138</v>
      </c>
      <c r="D5125" s="115">
        <f>-252   -822   -104   -23</f>
        <v>-1201</v>
      </c>
      <c r="E5125" s="115" t="s">
        <v>7889</v>
      </c>
    </row>
    <row r="5126" spans="1:5" x14ac:dyDescent="0.25">
      <c r="B5126" s="115" t="s">
        <v>7890</v>
      </c>
      <c r="D5126" s="115" t="s">
        <v>6815</v>
      </c>
      <c r="E5126" s="115" t="s">
        <v>1818</v>
      </c>
    </row>
    <row r="5127" spans="1:5" x14ac:dyDescent="0.25">
      <c r="B5127" s="115" t="s">
        <v>7891</v>
      </c>
      <c r="D5127" s="115" t="s">
        <v>1139</v>
      </c>
      <c r="E5127" s="115" t="s">
        <v>7892</v>
      </c>
    </row>
    <row r="5128" spans="1:5" x14ac:dyDescent="0.25">
      <c r="A5128" s="115" t="s">
        <v>1137</v>
      </c>
      <c r="B5128" s="115" t="s">
        <v>1193</v>
      </c>
      <c r="D5128" s="115" t="s">
        <v>7893</v>
      </c>
      <c r="E5128" s="115" t="s">
        <v>7894</v>
      </c>
    </row>
    <row r="5129" spans="1:5" x14ac:dyDescent="0.25">
      <c r="B5129" s="115" t="s">
        <v>1138</v>
      </c>
      <c r="D5129" s="115" t="s">
        <v>7895</v>
      </c>
      <c r="E5129" s="115" t="s">
        <v>7896</v>
      </c>
    </row>
    <row r="5130" spans="1:5" x14ac:dyDescent="0.25">
      <c r="B5130" s="115">
        <f>-6    -81</f>
        <v>-87</v>
      </c>
      <c r="D5130" s="115" t="s">
        <v>1139</v>
      </c>
      <c r="E5130" s="115" t="s">
        <v>7897</v>
      </c>
    </row>
    <row r="5131" spans="1:5" x14ac:dyDescent="0.25">
      <c r="A5131" s="115" t="s">
        <v>1137</v>
      </c>
      <c r="B5131" s="115" t="s">
        <v>7898</v>
      </c>
      <c r="D5131" s="115" t="s">
        <v>7899</v>
      </c>
      <c r="E5131" s="115" t="s">
        <v>7900</v>
      </c>
    </row>
    <row r="5132" spans="1:5" x14ac:dyDescent="0.25">
      <c r="A5132" s="115" t="s">
        <v>1137</v>
      </c>
      <c r="B5132" s="115" t="s">
        <v>7901</v>
      </c>
      <c r="D5132" s="115" t="s">
        <v>7902</v>
      </c>
      <c r="E5132" s="115" t="s">
        <v>7903</v>
      </c>
    </row>
    <row r="5133" spans="1:5" x14ac:dyDescent="0.25">
      <c r="A5133" s="115" t="s">
        <v>1137</v>
      </c>
      <c r="B5133" s="115" t="s">
        <v>7904</v>
      </c>
      <c r="D5133" s="115" t="s">
        <v>1139</v>
      </c>
      <c r="E5133" s="115" t="s">
        <v>7905</v>
      </c>
    </row>
    <row r="5134" spans="1:5" x14ac:dyDescent="0.25">
      <c r="A5134" s="115" t="s">
        <v>1137</v>
      </c>
      <c r="B5134" s="115" t="s">
        <v>7906</v>
      </c>
      <c r="D5134" s="115" t="s">
        <v>7907</v>
      </c>
      <c r="E5134" s="115" t="s">
        <v>7908</v>
      </c>
    </row>
    <row r="5135" spans="1:5" x14ac:dyDescent="0.25">
      <c r="B5135" s="115" t="s">
        <v>7909</v>
      </c>
      <c r="D5135" s="115" t="s">
        <v>7910</v>
      </c>
      <c r="E5135" s="115" t="s">
        <v>7911</v>
      </c>
    </row>
    <row r="5136" spans="1:5" x14ac:dyDescent="0.25">
      <c r="B5136" s="115" t="s">
        <v>7912</v>
      </c>
      <c r="D5136" s="115" t="s">
        <v>1139</v>
      </c>
      <c r="E5136" s="115" t="s">
        <v>7913</v>
      </c>
    </row>
    <row r="5137" spans="1:5" x14ac:dyDescent="0.25">
      <c r="A5137" s="115" t="s">
        <v>1137</v>
      </c>
      <c r="B5137" s="115" t="s">
        <v>7914</v>
      </c>
      <c r="D5137" s="115" t="s">
        <v>6615</v>
      </c>
      <c r="E5137" s="115" t="s">
        <v>7915</v>
      </c>
    </row>
    <row r="5138" spans="1:5" x14ac:dyDescent="0.25">
      <c r="B5138" s="115" t="s">
        <v>7916</v>
      </c>
      <c r="D5138" s="115" t="s">
        <v>7917</v>
      </c>
      <c r="E5138" s="115" t="s">
        <v>7918</v>
      </c>
    </row>
    <row r="5139" spans="1:5" x14ac:dyDescent="0.25">
      <c r="B5139" s="115" t="s">
        <v>1138</v>
      </c>
      <c r="D5139" s="115" t="s">
        <v>1139</v>
      </c>
      <c r="E5139" s="115" t="s">
        <v>7919</v>
      </c>
    </row>
    <row r="5140" spans="1:5" x14ac:dyDescent="0.25">
      <c r="A5140" s="115" t="s">
        <v>1137</v>
      </c>
      <c r="B5140" s="115" t="s">
        <v>1469</v>
      </c>
      <c r="D5140" s="115" t="s">
        <v>1139</v>
      </c>
      <c r="E5140" s="115" t="s">
        <v>7920</v>
      </c>
    </row>
    <row r="5141" spans="1:5" x14ac:dyDescent="0.25">
      <c r="B5141" s="115" t="s">
        <v>7921</v>
      </c>
      <c r="D5141" s="115" t="s">
        <v>7922</v>
      </c>
      <c r="E5141" s="115" t="s">
        <v>7923</v>
      </c>
    </row>
    <row r="5142" spans="1:5" x14ac:dyDescent="0.25">
      <c r="B5142" s="115" t="s">
        <v>1915</v>
      </c>
      <c r="D5142" s="115" t="s">
        <v>1139</v>
      </c>
      <c r="E5142" s="115" t="s">
        <v>7924</v>
      </c>
    </row>
    <row r="5143" spans="1:5" x14ac:dyDescent="0.25">
      <c r="A5143" s="115">
        <v>-4</v>
      </c>
      <c r="B5143" s="115" t="s">
        <v>7925</v>
      </c>
      <c r="D5143" s="115" t="s">
        <v>7926</v>
      </c>
      <c r="E5143" s="115" t="s">
        <v>1140</v>
      </c>
    </row>
    <row r="5144" spans="1:5" x14ac:dyDescent="0.25">
      <c r="B5144" s="115" t="s">
        <v>1138</v>
      </c>
      <c r="D5144" s="115" t="s">
        <v>7927</v>
      </c>
      <c r="E5144" s="115" t="s">
        <v>7928</v>
      </c>
    </row>
    <row r="5145" spans="1:5" x14ac:dyDescent="0.25">
      <c r="A5145" s="115">
        <v>-3</v>
      </c>
      <c r="B5145" s="115" t="s">
        <v>1670</v>
      </c>
      <c r="D5145" s="115" t="s">
        <v>7929</v>
      </c>
      <c r="E5145" s="115" t="s">
        <v>6832</v>
      </c>
    </row>
    <row r="5146" spans="1:5" x14ac:dyDescent="0.25">
      <c r="B5146" s="115" t="s">
        <v>4218</v>
      </c>
      <c r="D5146" s="115" t="s">
        <v>1139</v>
      </c>
      <c r="E5146" s="115" t="s">
        <v>1140</v>
      </c>
    </row>
    <row r="5147" spans="1:5" x14ac:dyDescent="0.25">
      <c r="B5147" s="115" t="s">
        <v>1138</v>
      </c>
      <c r="D5147" s="115" t="s">
        <v>1139</v>
      </c>
      <c r="E5147" s="115" t="s">
        <v>7930</v>
      </c>
    </row>
    <row r="5148" spans="1:5" x14ac:dyDescent="0.25">
      <c r="B5148" s="115" t="s">
        <v>1247</v>
      </c>
      <c r="D5148" s="115" t="s">
        <v>7931</v>
      </c>
      <c r="E5148" s="115" t="s">
        <v>7932</v>
      </c>
    </row>
    <row r="5149" spans="1:5" x14ac:dyDescent="0.25">
      <c r="B5149" s="115" t="s">
        <v>1138</v>
      </c>
      <c r="D5149" s="115" t="s">
        <v>7933</v>
      </c>
      <c r="E5149" s="115" t="s">
        <v>7934</v>
      </c>
    </row>
    <row r="5150" spans="1:5" x14ac:dyDescent="0.25">
      <c r="B5150" s="115" t="s">
        <v>7935</v>
      </c>
      <c r="D5150" s="115" t="s">
        <v>7936</v>
      </c>
      <c r="E5150" s="115" t="s">
        <v>7937</v>
      </c>
    </row>
    <row r="5151" spans="1:5" x14ac:dyDescent="0.25">
      <c r="B5151" s="115" t="s">
        <v>7938</v>
      </c>
      <c r="C5151" s="115" t="s">
        <v>1137</v>
      </c>
      <c r="D5151" s="115" t="s">
        <v>7939</v>
      </c>
      <c r="E5151" s="115" t="s">
        <v>7940</v>
      </c>
    </row>
    <row r="5152" spans="1:5" x14ac:dyDescent="0.25">
      <c r="A5152" s="115">
        <v>8</v>
      </c>
      <c r="B5152" s="115" t="s">
        <v>7941</v>
      </c>
      <c r="C5152" s="115">
        <v>1</v>
      </c>
      <c r="D5152" s="115" t="s">
        <v>7942</v>
      </c>
      <c r="E5152" s="115" t="s">
        <v>7943</v>
      </c>
    </row>
    <row r="5153" spans="1:5" x14ac:dyDescent="0.25">
      <c r="A5153" s="115">
        <v>26</v>
      </c>
      <c r="B5153" s="115" t="s">
        <v>7944</v>
      </c>
      <c r="C5153" s="115">
        <v>2</v>
      </c>
      <c r="D5153" s="115" t="s">
        <v>7945</v>
      </c>
      <c r="E5153" s="115" t="s">
        <v>7946</v>
      </c>
    </row>
    <row r="5154" spans="1:5" x14ac:dyDescent="0.25">
      <c r="B5154" s="115" t="s">
        <v>1215</v>
      </c>
      <c r="D5154" s="115" t="s">
        <v>7947</v>
      </c>
      <c r="E5154" s="115" t="s">
        <v>7948</v>
      </c>
    </row>
    <row r="5155" spans="1:5" x14ac:dyDescent="0.25">
      <c r="B5155" s="115" t="s">
        <v>1138</v>
      </c>
      <c r="D5155" s="115" t="s">
        <v>1139</v>
      </c>
      <c r="E5155" s="115" t="s">
        <v>7949</v>
      </c>
    </row>
    <row r="5156" spans="1:5" x14ac:dyDescent="0.25">
      <c r="B5156" s="115" t="s">
        <v>7950</v>
      </c>
      <c r="C5156" s="115" t="s">
        <v>1137</v>
      </c>
      <c r="D5156" s="115" t="s">
        <v>7951</v>
      </c>
      <c r="E5156" s="115" t="s">
        <v>7952</v>
      </c>
    </row>
    <row r="5157" spans="1:5" x14ac:dyDescent="0.25">
      <c r="A5157" s="115">
        <v>1</v>
      </c>
      <c r="B5157" s="115" t="s">
        <v>1621</v>
      </c>
      <c r="D5157" s="115" t="s">
        <v>1426</v>
      </c>
      <c r="E5157" s="115" t="s">
        <v>1140</v>
      </c>
    </row>
    <row r="5158" spans="1:5" x14ac:dyDescent="0.25">
      <c r="A5158" s="115" t="s">
        <v>1137</v>
      </c>
      <c r="B5158" s="115" t="s">
        <v>1232</v>
      </c>
      <c r="D5158" s="115" t="s">
        <v>1139</v>
      </c>
      <c r="E5158" s="115" t="s">
        <v>7953</v>
      </c>
    </row>
    <row r="5159" spans="1:5" x14ac:dyDescent="0.25">
      <c r="B5159" s="115" t="s">
        <v>7954</v>
      </c>
      <c r="D5159" s="115" t="s">
        <v>1139</v>
      </c>
      <c r="E5159" s="115" t="s">
        <v>7955</v>
      </c>
    </row>
    <row r="5160" spans="1:5" x14ac:dyDescent="0.25">
      <c r="B5160" s="115" t="s">
        <v>7956</v>
      </c>
      <c r="D5160" s="115" t="s">
        <v>7957</v>
      </c>
      <c r="E5160" s="115" t="s">
        <v>7958</v>
      </c>
    </row>
    <row r="5161" spans="1:5" x14ac:dyDescent="0.25">
      <c r="A5161" s="115" t="s">
        <v>1137</v>
      </c>
      <c r="B5161" s="115" t="s">
        <v>1468</v>
      </c>
      <c r="D5161" s="115" t="s">
        <v>6078</v>
      </c>
      <c r="E5161" s="115" t="s">
        <v>7959</v>
      </c>
    </row>
    <row r="5162" spans="1:5" x14ac:dyDescent="0.25">
      <c r="A5162" s="115">
        <v>-1</v>
      </c>
      <c r="B5162" s="115" t="s">
        <v>7960</v>
      </c>
      <c r="D5162" s="115" t="s">
        <v>7961</v>
      </c>
      <c r="E5162" s="115" t="s">
        <v>7962</v>
      </c>
    </row>
    <row r="5163" spans="1:5" x14ac:dyDescent="0.25">
      <c r="A5163" s="115">
        <v>-2</v>
      </c>
      <c r="B5163" s="115" t="s">
        <v>7963</v>
      </c>
      <c r="D5163" s="115" t="s">
        <v>7964</v>
      </c>
      <c r="E5163" s="115" t="s">
        <v>7965</v>
      </c>
    </row>
    <row r="5164" spans="1:5" x14ac:dyDescent="0.25">
      <c r="B5164" s="115" t="s">
        <v>7966</v>
      </c>
      <c r="D5164" s="115" t="s">
        <v>4884</v>
      </c>
      <c r="E5164" s="115" t="s">
        <v>7967</v>
      </c>
    </row>
    <row r="5165" spans="1:5" x14ac:dyDescent="0.25">
      <c r="B5165" s="115" t="s">
        <v>7968</v>
      </c>
      <c r="D5165" s="115" t="s">
        <v>7969</v>
      </c>
      <c r="E5165" s="115" t="s">
        <v>7970</v>
      </c>
    </row>
    <row r="5166" spans="1:5" x14ac:dyDescent="0.25">
      <c r="A5166" s="115">
        <v>-1</v>
      </c>
      <c r="B5166" s="115" t="s">
        <v>7971</v>
      </c>
      <c r="D5166" s="115" t="s">
        <v>1410</v>
      </c>
      <c r="E5166" s="115" t="s">
        <v>7972</v>
      </c>
    </row>
    <row r="5167" spans="1:5" x14ac:dyDescent="0.25">
      <c r="B5167" s="115" t="s">
        <v>1538</v>
      </c>
      <c r="D5167" s="115" t="s">
        <v>3875</v>
      </c>
      <c r="E5167" s="115" t="s">
        <v>7973</v>
      </c>
    </row>
    <row r="5168" spans="1:5" x14ac:dyDescent="0.25">
      <c r="A5168" s="115">
        <v>1</v>
      </c>
      <c r="B5168" s="115" t="s">
        <v>7974</v>
      </c>
      <c r="D5168" s="115" t="s">
        <v>7975</v>
      </c>
      <c r="E5168" s="115" t="s">
        <v>7976</v>
      </c>
    </row>
    <row r="5169" spans="1:5" x14ac:dyDescent="0.25">
      <c r="A5169" s="115" t="s">
        <v>1137</v>
      </c>
      <c r="B5169" s="115" t="s">
        <v>1460</v>
      </c>
      <c r="D5169" s="115" t="s">
        <v>7977</v>
      </c>
      <c r="E5169" s="115" t="s">
        <v>7978</v>
      </c>
    </row>
    <row r="5170" spans="1:5" x14ac:dyDescent="0.25">
      <c r="B5170" s="115" t="s">
        <v>1138</v>
      </c>
      <c r="D5170" s="115" t="s">
        <v>4204</v>
      </c>
      <c r="E5170" s="115" t="s">
        <v>7979</v>
      </c>
    </row>
    <row r="5171" spans="1:5" x14ac:dyDescent="0.25">
      <c r="B5171" s="115" t="s">
        <v>1138</v>
      </c>
      <c r="D5171" s="115" t="s">
        <v>7980</v>
      </c>
      <c r="E5171" s="115" t="s">
        <v>7981</v>
      </c>
    </row>
    <row r="5172" spans="1:5" x14ac:dyDescent="0.25">
      <c r="A5172" s="115">
        <v>-4</v>
      </c>
      <c r="B5172" s="115" t="s">
        <v>7982</v>
      </c>
      <c r="D5172" s="115" t="s">
        <v>7983</v>
      </c>
      <c r="E5172" s="115" t="s">
        <v>7984</v>
      </c>
    </row>
    <row r="5173" spans="1:5" x14ac:dyDescent="0.25">
      <c r="A5173" s="115" t="s">
        <v>1137</v>
      </c>
      <c r="B5173" s="115" t="s">
        <v>7985</v>
      </c>
      <c r="D5173" s="115" t="s">
        <v>7031</v>
      </c>
      <c r="E5173" s="115" t="s">
        <v>7986</v>
      </c>
    </row>
    <row r="5174" spans="1:5" x14ac:dyDescent="0.25">
      <c r="A5174" s="115">
        <v>-1</v>
      </c>
      <c r="B5174" s="115" t="s">
        <v>7987</v>
      </c>
      <c r="D5174" s="115" t="s">
        <v>7988</v>
      </c>
      <c r="E5174" s="115" t="s">
        <v>1140</v>
      </c>
    </row>
    <row r="5175" spans="1:5" x14ac:dyDescent="0.25">
      <c r="B5175" s="115" t="s">
        <v>1285</v>
      </c>
      <c r="D5175" s="115" t="s">
        <v>7989</v>
      </c>
      <c r="E5175" s="115" t="s">
        <v>7990</v>
      </c>
    </row>
    <row r="5176" spans="1:5" x14ac:dyDescent="0.25">
      <c r="B5176" s="115" t="s">
        <v>7991</v>
      </c>
      <c r="C5176" s="115">
        <v>-2</v>
      </c>
      <c r="D5176" s="115" t="s">
        <v>7992</v>
      </c>
      <c r="E5176" s="115" t="s">
        <v>7993</v>
      </c>
    </row>
    <row r="5177" spans="1:5" x14ac:dyDescent="0.25">
      <c r="B5177" s="115" t="s">
        <v>1138</v>
      </c>
      <c r="D5177" s="115" t="s">
        <v>1139</v>
      </c>
      <c r="E5177" s="115" t="s">
        <v>1140</v>
      </c>
    </row>
    <row r="5178" spans="1:5" x14ac:dyDescent="0.25">
      <c r="B5178" s="115" t="s">
        <v>1138</v>
      </c>
      <c r="D5178" s="115" t="s">
        <v>2776</v>
      </c>
      <c r="E5178" s="115" t="s">
        <v>2259</v>
      </c>
    </row>
    <row r="5179" spans="1:5" x14ac:dyDescent="0.25">
      <c r="B5179" s="115" t="s">
        <v>7994</v>
      </c>
      <c r="D5179" s="115" t="s">
        <v>7995</v>
      </c>
      <c r="E5179" s="115" t="s">
        <v>7996</v>
      </c>
    </row>
    <row r="5180" spans="1:5" x14ac:dyDescent="0.25">
      <c r="B5180" s="115" t="s">
        <v>5417</v>
      </c>
      <c r="D5180" s="115" t="s">
        <v>7997</v>
      </c>
      <c r="E5180" s="115" t="s">
        <v>7998</v>
      </c>
    </row>
    <row r="5181" spans="1:5" x14ac:dyDescent="0.25">
      <c r="B5181" s="115" t="s">
        <v>7999</v>
      </c>
      <c r="D5181" s="115" t="s">
        <v>8000</v>
      </c>
      <c r="E5181" s="115" t="s">
        <v>8001</v>
      </c>
    </row>
    <row r="5182" spans="1:5" x14ac:dyDescent="0.25">
      <c r="A5182" s="115" t="s">
        <v>1137</v>
      </c>
      <c r="B5182" s="115" t="s">
        <v>8002</v>
      </c>
      <c r="D5182" s="115" t="s">
        <v>8003</v>
      </c>
      <c r="E5182" s="115" t="s">
        <v>8004</v>
      </c>
    </row>
    <row r="5183" spans="1:5" x14ac:dyDescent="0.25">
      <c r="A5183" s="115">
        <v>21</v>
      </c>
      <c r="B5183" s="115" t="s">
        <v>8005</v>
      </c>
      <c r="D5183" s="115" t="s">
        <v>8006</v>
      </c>
      <c r="E5183" s="115" t="s">
        <v>8007</v>
      </c>
    </row>
    <row r="5184" spans="1:5" x14ac:dyDescent="0.25">
      <c r="A5184" s="115">
        <v>35</v>
      </c>
      <c r="B5184" s="115" t="s">
        <v>8008</v>
      </c>
      <c r="C5184" s="115">
        <v>4</v>
      </c>
      <c r="D5184" s="115" t="s">
        <v>8009</v>
      </c>
      <c r="E5184" s="115" t="s">
        <v>8010</v>
      </c>
    </row>
    <row r="5185" spans="1:5" x14ac:dyDescent="0.25">
      <c r="B5185" s="115" t="s">
        <v>6566</v>
      </c>
      <c r="D5185" s="115" t="s">
        <v>1479</v>
      </c>
      <c r="E5185" s="115" t="s">
        <v>8011</v>
      </c>
    </row>
    <row r="5186" spans="1:5" x14ac:dyDescent="0.25">
      <c r="B5186" s="115" t="s">
        <v>1138</v>
      </c>
      <c r="D5186" s="115" t="s">
        <v>1139</v>
      </c>
      <c r="E5186" s="115" t="s">
        <v>8012</v>
      </c>
    </row>
    <row r="5187" spans="1:5" x14ac:dyDescent="0.25">
      <c r="B5187" s="115" t="s">
        <v>1571</v>
      </c>
      <c r="D5187" s="115">
        <f>-898    -34   -175   -70</f>
        <v>-1177</v>
      </c>
      <c r="E5187" s="115" t="s">
        <v>8013</v>
      </c>
    </row>
    <row r="5188" spans="1:5" x14ac:dyDescent="0.25">
      <c r="A5188" s="115">
        <v>1</v>
      </c>
      <c r="B5188" s="115" t="s">
        <v>8014</v>
      </c>
      <c r="D5188" s="115" t="s">
        <v>2767</v>
      </c>
      <c r="E5188" s="115" t="s">
        <v>1140</v>
      </c>
    </row>
    <row r="5189" spans="1:5" x14ac:dyDescent="0.25">
      <c r="B5189" s="115" t="s">
        <v>1606</v>
      </c>
      <c r="D5189" s="115" t="s">
        <v>1139</v>
      </c>
      <c r="E5189" s="115" t="s">
        <v>8015</v>
      </c>
    </row>
    <row r="5190" spans="1:5" x14ac:dyDescent="0.25">
      <c r="B5190" s="115" t="s">
        <v>8016</v>
      </c>
      <c r="D5190" s="115" t="s">
        <v>1139</v>
      </c>
      <c r="E5190" s="115" t="s">
        <v>8017</v>
      </c>
    </row>
    <row r="5191" spans="1:5" x14ac:dyDescent="0.25">
      <c r="B5191" s="115" t="s">
        <v>8018</v>
      </c>
      <c r="D5191" s="115" t="s">
        <v>8019</v>
      </c>
      <c r="E5191" s="115" t="s">
        <v>8020</v>
      </c>
    </row>
    <row r="5192" spans="1:5" x14ac:dyDescent="0.25">
      <c r="A5192" s="115" t="s">
        <v>1137</v>
      </c>
      <c r="B5192" s="115" t="s">
        <v>1168</v>
      </c>
      <c r="D5192" s="115" t="s">
        <v>3620</v>
      </c>
      <c r="E5192" s="115" t="s">
        <v>8021</v>
      </c>
    </row>
    <row r="5193" spans="1:5" x14ac:dyDescent="0.25">
      <c r="B5193" s="115" t="s">
        <v>8022</v>
      </c>
      <c r="D5193" s="115" t="s">
        <v>8023</v>
      </c>
      <c r="E5193" s="115" t="s">
        <v>8024</v>
      </c>
    </row>
    <row r="5194" spans="1:5" x14ac:dyDescent="0.25">
      <c r="A5194" s="115" t="s">
        <v>1137</v>
      </c>
      <c r="B5194" s="115" t="s">
        <v>8025</v>
      </c>
      <c r="D5194" s="115" t="s">
        <v>8026</v>
      </c>
      <c r="E5194" s="115" t="s">
        <v>8027</v>
      </c>
    </row>
    <row r="5195" spans="1:5" x14ac:dyDescent="0.25">
      <c r="B5195" s="115" t="s">
        <v>8028</v>
      </c>
      <c r="D5195" s="115" t="s">
        <v>1990</v>
      </c>
      <c r="E5195" s="115" t="s">
        <v>8029</v>
      </c>
    </row>
    <row r="5196" spans="1:5" x14ac:dyDescent="0.25">
      <c r="A5196" s="115" t="s">
        <v>1137</v>
      </c>
      <c r="B5196" s="115" t="s">
        <v>8030</v>
      </c>
      <c r="D5196" s="115" t="s">
        <v>8031</v>
      </c>
      <c r="E5196" s="115" t="s">
        <v>8032</v>
      </c>
    </row>
    <row r="5197" spans="1:5" x14ac:dyDescent="0.25">
      <c r="A5197" s="115">
        <v>1</v>
      </c>
      <c r="B5197" s="115" t="s">
        <v>8033</v>
      </c>
      <c r="D5197" s="115" t="s">
        <v>8034</v>
      </c>
      <c r="E5197" s="115" t="s">
        <v>8035</v>
      </c>
    </row>
    <row r="5198" spans="1:5" x14ac:dyDescent="0.25">
      <c r="A5198" s="115" t="s">
        <v>1137</v>
      </c>
      <c r="B5198" s="115" t="s">
        <v>1352</v>
      </c>
      <c r="D5198" s="115" t="s">
        <v>6764</v>
      </c>
      <c r="E5198" s="115" t="s">
        <v>8036</v>
      </c>
    </row>
    <row r="5199" spans="1:5" x14ac:dyDescent="0.25">
      <c r="A5199" s="115" t="s">
        <v>1137</v>
      </c>
      <c r="B5199" s="115" t="s">
        <v>1489</v>
      </c>
      <c r="D5199" s="115" t="s">
        <v>8037</v>
      </c>
      <c r="E5199" s="115" t="s">
        <v>8038</v>
      </c>
    </row>
    <row r="5200" spans="1:5" x14ac:dyDescent="0.25">
      <c r="B5200" s="115" t="s">
        <v>1471</v>
      </c>
      <c r="D5200" s="115" t="s">
        <v>8039</v>
      </c>
      <c r="E5200" s="115" t="s">
        <v>8040</v>
      </c>
    </row>
    <row r="5201" spans="1:5" x14ac:dyDescent="0.25">
      <c r="B5201" s="115" t="s">
        <v>1138</v>
      </c>
      <c r="D5201" s="115" t="s">
        <v>2337</v>
      </c>
      <c r="E5201" s="115" t="s">
        <v>8041</v>
      </c>
    </row>
    <row r="5202" spans="1:5" x14ac:dyDescent="0.25">
      <c r="B5202" s="115" t="s">
        <v>1138</v>
      </c>
      <c r="D5202" s="115" t="s">
        <v>4320</v>
      </c>
      <c r="E5202" s="115" t="s">
        <v>8042</v>
      </c>
    </row>
    <row r="5203" spans="1:5" x14ac:dyDescent="0.25">
      <c r="A5203" s="115">
        <v>-1</v>
      </c>
      <c r="B5203" s="115" t="s">
        <v>8043</v>
      </c>
      <c r="D5203" s="115" t="s">
        <v>3946</v>
      </c>
      <c r="E5203" s="115" t="s">
        <v>8044</v>
      </c>
    </row>
    <row r="5204" spans="1:5" x14ac:dyDescent="0.25">
      <c r="B5204" s="115" t="s">
        <v>1378</v>
      </c>
      <c r="D5204" s="115" t="s">
        <v>5009</v>
      </c>
      <c r="E5204" s="115" t="s">
        <v>8045</v>
      </c>
    </row>
    <row r="5205" spans="1:5" x14ac:dyDescent="0.25">
      <c r="A5205" s="115">
        <v>-1</v>
      </c>
      <c r="B5205" s="115" t="s">
        <v>8046</v>
      </c>
      <c r="D5205" s="115" t="s">
        <v>8047</v>
      </c>
      <c r="E5205" s="115" t="s">
        <v>1140</v>
      </c>
    </row>
    <row r="5206" spans="1:5" x14ac:dyDescent="0.25">
      <c r="B5206" s="115" t="s">
        <v>8048</v>
      </c>
      <c r="D5206" s="115" t="s">
        <v>8049</v>
      </c>
      <c r="E5206" s="115" t="s">
        <v>8050</v>
      </c>
    </row>
    <row r="5207" spans="1:5" x14ac:dyDescent="0.25">
      <c r="B5207" s="115" t="s">
        <v>8051</v>
      </c>
      <c r="C5207" s="115">
        <v>-1</v>
      </c>
      <c r="D5207" s="115" t="s">
        <v>8052</v>
      </c>
      <c r="E5207" s="115" t="s">
        <v>8053</v>
      </c>
    </row>
    <row r="5208" spans="1:5" x14ac:dyDescent="0.25">
      <c r="B5208" s="115" t="s">
        <v>1138</v>
      </c>
      <c r="D5208" s="115" t="s">
        <v>1139</v>
      </c>
      <c r="E5208" s="115" t="s">
        <v>1140</v>
      </c>
    </row>
    <row r="5209" spans="1:5" x14ac:dyDescent="0.25">
      <c r="B5209" s="115" t="s">
        <v>1138</v>
      </c>
      <c r="D5209" s="115" t="s">
        <v>6676</v>
      </c>
      <c r="E5209" s="115" t="s">
        <v>1758</v>
      </c>
    </row>
    <row r="5210" spans="1:5" x14ac:dyDescent="0.25">
      <c r="B5210" s="115" t="s">
        <v>8054</v>
      </c>
      <c r="D5210" s="115" t="s">
        <v>8055</v>
      </c>
      <c r="E5210" s="115" t="s">
        <v>8056</v>
      </c>
    </row>
    <row r="5211" spans="1:5" x14ac:dyDescent="0.25">
      <c r="B5211" s="115" t="s">
        <v>1607</v>
      </c>
      <c r="D5211" s="115" t="s">
        <v>8057</v>
      </c>
      <c r="E5211" s="115" t="s">
        <v>8058</v>
      </c>
    </row>
    <row r="5212" spans="1:5" x14ac:dyDescent="0.25">
      <c r="B5212" s="115" t="s">
        <v>8059</v>
      </c>
      <c r="D5212" s="115" t="s">
        <v>8060</v>
      </c>
      <c r="E5212" s="115" t="s">
        <v>8061</v>
      </c>
    </row>
    <row r="5213" spans="1:5" x14ac:dyDescent="0.25">
      <c r="A5213" s="115">
        <v>1</v>
      </c>
      <c r="B5213" s="115" t="s">
        <v>8062</v>
      </c>
      <c r="D5213" s="115" t="s">
        <v>8063</v>
      </c>
      <c r="E5213" s="115" t="s">
        <v>8064</v>
      </c>
    </row>
    <row r="5214" spans="1:5" x14ac:dyDescent="0.25">
      <c r="A5214" s="115">
        <v>11</v>
      </c>
      <c r="B5214" s="115" t="s">
        <v>8065</v>
      </c>
      <c r="C5214" s="115">
        <v>2</v>
      </c>
      <c r="D5214" s="115" t="s">
        <v>8066</v>
      </c>
      <c r="E5214" s="115" t="s">
        <v>8067</v>
      </c>
    </row>
    <row r="5215" spans="1:5" x14ac:dyDescent="0.25">
      <c r="A5215" s="115">
        <v>26</v>
      </c>
      <c r="B5215" s="115" t="s">
        <v>8068</v>
      </c>
      <c r="C5215" s="115">
        <v>2</v>
      </c>
      <c r="D5215" s="115" t="s">
        <v>8069</v>
      </c>
      <c r="E5215" s="115" t="s">
        <v>8070</v>
      </c>
    </row>
    <row r="5216" spans="1:5" x14ac:dyDescent="0.25">
      <c r="B5216" s="115" t="s">
        <v>1138</v>
      </c>
      <c r="D5216" s="115" t="s">
        <v>8071</v>
      </c>
      <c r="E5216" s="115" t="s">
        <v>8072</v>
      </c>
    </row>
    <row r="5217" spans="1:5" x14ac:dyDescent="0.25">
      <c r="B5217" s="115" t="s">
        <v>1138</v>
      </c>
      <c r="D5217" s="115" t="s">
        <v>1139</v>
      </c>
      <c r="E5217" s="115" t="s">
        <v>8073</v>
      </c>
    </row>
    <row r="5218" spans="1:5" x14ac:dyDescent="0.25">
      <c r="B5218" s="115" t="s">
        <v>1138</v>
      </c>
      <c r="D5218" s="115" t="s">
        <v>8074</v>
      </c>
      <c r="E5218" s="115" t="s">
        <v>8075</v>
      </c>
    </row>
    <row r="5219" spans="1:5" x14ac:dyDescent="0.25">
      <c r="B5219" s="115" t="s">
        <v>8076</v>
      </c>
      <c r="D5219" s="115" t="s">
        <v>3698</v>
      </c>
      <c r="E5219" s="115" t="s">
        <v>2536</v>
      </c>
    </row>
    <row r="5220" spans="1:5" x14ac:dyDescent="0.25">
      <c r="B5220" s="115" t="s">
        <v>8077</v>
      </c>
      <c r="D5220" s="115" t="s">
        <v>1139</v>
      </c>
      <c r="E5220" s="115" t="s">
        <v>8078</v>
      </c>
    </row>
    <row r="5221" spans="1:5" x14ac:dyDescent="0.25">
      <c r="A5221" s="115">
        <v>-1</v>
      </c>
      <c r="B5221" s="115" t="s">
        <v>1657</v>
      </c>
      <c r="D5221" s="115" t="s">
        <v>8079</v>
      </c>
      <c r="E5221" s="115" t="s">
        <v>8080</v>
      </c>
    </row>
    <row r="5222" spans="1:5" x14ac:dyDescent="0.25">
      <c r="B5222" s="115" t="s">
        <v>1138</v>
      </c>
      <c r="D5222" s="115" t="s">
        <v>8081</v>
      </c>
      <c r="E5222" s="115" t="s">
        <v>8082</v>
      </c>
    </row>
    <row r="5223" spans="1:5" x14ac:dyDescent="0.25">
      <c r="B5223" s="115" t="s">
        <v>8083</v>
      </c>
      <c r="D5223" s="115" t="s">
        <v>1139</v>
      </c>
      <c r="E5223" s="115" t="s">
        <v>8084</v>
      </c>
    </row>
    <row r="5224" spans="1:5" x14ac:dyDescent="0.25">
      <c r="A5224" s="115" t="s">
        <v>1137</v>
      </c>
      <c r="B5224" s="115" t="s">
        <v>8085</v>
      </c>
      <c r="D5224" s="115" t="s">
        <v>8086</v>
      </c>
      <c r="E5224" s="115" t="s">
        <v>8087</v>
      </c>
    </row>
    <row r="5225" spans="1:5" x14ac:dyDescent="0.25">
      <c r="A5225" s="115" t="s">
        <v>1137</v>
      </c>
      <c r="B5225" s="115" t="s">
        <v>8088</v>
      </c>
      <c r="D5225" s="115" t="s">
        <v>8089</v>
      </c>
      <c r="E5225" s="115" t="s">
        <v>8090</v>
      </c>
    </row>
    <row r="5226" spans="1:5" x14ac:dyDescent="0.25">
      <c r="B5226" s="115">
        <f>-20    -35</f>
        <v>-55</v>
      </c>
      <c r="D5226" s="115" t="s">
        <v>1139</v>
      </c>
      <c r="E5226" s="115" t="s">
        <v>8091</v>
      </c>
    </row>
    <row r="5227" spans="1:5" x14ac:dyDescent="0.25">
      <c r="B5227" s="115" t="s">
        <v>8092</v>
      </c>
      <c r="D5227" s="115" t="s">
        <v>8093</v>
      </c>
      <c r="E5227" s="115" t="s">
        <v>8094</v>
      </c>
    </row>
    <row r="5228" spans="1:5" x14ac:dyDescent="0.25">
      <c r="B5228" s="115" t="s">
        <v>8095</v>
      </c>
      <c r="C5228" s="115" t="s">
        <v>1137</v>
      </c>
      <c r="D5228" s="115" t="s">
        <v>8096</v>
      </c>
      <c r="E5228" s="115" t="s">
        <v>8097</v>
      </c>
    </row>
    <row r="5229" spans="1:5" x14ac:dyDescent="0.25">
      <c r="A5229" s="115" t="s">
        <v>1137</v>
      </c>
      <c r="B5229" s="115" t="s">
        <v>8098</v>
      </c>
      <c r="D5229" s="115" t="s">
        <v>1139</v>
      </c>
      <c r="E5229" s="115" t="s">
        <v>8099</v>
      </c>
    </row>
    <row r="5230" spans="1:5" x14ac:dyDescent="0.25">
      <c r="A5230" s="115" t="s">
        <v>1137</v>
      </c>
      <c r="B5230" s="115" t="s">
        <v>8100</v>
      </c>
      <c r="D5230" s="115" t="s">
        <v>2982</v>
      </c>
      <c r="E5230" s="115" t="s">
        <v>8101</v>
      </c>
    </row>
    <row r="5231" spans="1:5" x14ac:dyDescent="0.25">
      <c r="B5231" s="115" t="s">
        <v>8102</v>
      </c>
      <c r="D5231" s="115" t="s">
        <v>1918</v>
      </c>
      <c r="E5231" s="115" t="s">
        <v>8103</v>
      </c>
    </row>
    <row r="5232" spans="1:5" x14ac:dyDescent="0.25">
      <c r="B5232" s="115" t="s">
        <v>1138</v>
      </c>
      <c r="D5232" s="115" t="s">
        <v>1139</v>
      </c>
      <c r="E5232" s="115" t="s">
        <v>8104</v>
      </c>
    </row>
    <row r="5233" spans="1:5" x14ac:dyDescent="0.25">
      <c r="A5233" s="115" t="s">
        <v>1137</v>
      </c>
      <c r="B5233" s="115" t="s">
        <v>1214</v>
      </c>
      <c r="D5233" s="115" t="s">
        <v>1139</v>
      </c>
      <c r="E5233" s="115" t="s">
        <v>8105</v>
      </c>
    </row>
    <row r="5234" spans="1:5" x14ac:dyDescent="0.25">
      <c r="B5234" s="115" t="s">
        <v>8106</v>
      </c>
      <c r="D5234" s="115" t="s">
        <v>8107</v>
      </c>
      <c r="E5234" s="115" t="s">
        <v>8108</v>
      </c>
    </row>
    <row r="5235" spans="1:5" x14ac:dyDescent="0.25">
      <c r="B5235" s="115" t="s">
        <v>8109</v>
      </c>
      <c r="D5235" s="115" t="s">
        <v>1139</v>
      </c>
      <c r="E5235" s="115" t="s">
        <v>8110</v>
      </c>
    </row>
    <row r="5236" spans="1:5" x14ac:dyDescent="0.25">
      <c r="A5236" s="115">
        <v>-1</v>
      </c>
      <c r="B5236" s="115" t="s">
        <v>8111</v>
      </c>
      <c r="D5236" s="115" t="s">
        <v>8112</v>
      </c>
      <c r="E5236" s="115" t="s">
        <v>1140</v>
      </c>
    </row>
    <row r="5237" spans="1:5" x14ac:dyDescent="0.25">
      <c r="B5237" s="115" t="s">
        <v>1138</v>
      </c>
      <c r="C5237" s="115" t="s">
        <v>1137</v>
      </c>
      <c r="D5237" s="115" t="s">
        <v>8113</v>
      </c>
      <c r="E5237" s="115" t="s">
        <v>8114</v>
      </c>
    </row>
    <row r="5238" spans="1:5" x14ac:dyDescent="0.25">
      <c r="B5238" s="115" t="s">
        <v>8115</v>
      </c>
      <c r="D5238" s="115" t="s">
        <v>8116</v>
      </c>
      <c r="E5238" s="115" t="s">
        <v>8117</v>
      </c>
    </row>
    <row r="5239" spans="1:5" x14ac:dyDescent="0.25">
      <c r="B5239" s="115" t="s">
        <v>1666</v>
      </c>
      <c r="D5239" s="115" t="s">
        <v>1139</v>
      </c>
      <c r="E5239" s="115" t="s">
        <v>1140</v>
      </c>
    </row>
    <row r="5240" spans="1:5" x14ac:dyDescent="0.25">
      <c r="B5240" s="115" t="s">
        <v>1138</v>
      </c>
      <c r="D5240" s="115" t="s">
        <v>1139</v>
      </c>
      <c r="E5240" s="115" t="s">
        <v>8118</v>
      </c>
    </row>
    <row r="5241" spans="1:5" x14ac:dyDescent="0.25">
      <c r="B5241" s="115" t="s">
        <v>1309</v>
      </c>
      <c r="D5241" s="115" t="s">
        <v>8119</v>
      </c>
      <c r="E5241" s="115" t="s">
        <v>8120</v>
      </c>
    </row>
    <row r="5242" spans="1:5" x14ac:dyDescent="0.25">
      <c r="B5242" s="115" t="s">
        <v>1138</v>
      </c>
      <c r="D5242" s="115" t="s">
        <v>8121</v>
      </c>
      <c r="E5242" s="115" t="s">
        <v>8122</v>
      </c>
    </row>
    <row r="5243" spans="1:5" x14ac:dyDescent="0.25">
      <c r="B5243" s="115" t="s">
        <v>8123</v>
      </c>
      <c r="D5243" s="115" t="s">
        <v>8124</v>
      </c>
      <c r="E5243" s="115" t="s">
        <v>8125</v>
      </c>
    </row>
    <row r="5244" spans="1:5" x14ac:dyDescent="0.25">
      <c r="B5244" s="115" t="s">
        <v>8126</v>
      </c>
      <c r="D5244" s="115" t="s">
        <v>8127</v>
      </c>
      <c r="E5244" s="115" t="s">
        <v>8128</v>
      </c>
    </row>
    <row r="5245" spans="1:5" x14ac:dyDescent="0.25">
      <c r="A5245" s="115">
        <v>11</v>
      </c>
      <c r="B5245" s="115" t="s">
        <v>8129</v>
      </c>
      <c r="C5245" s="115">
        <v>2</v>
      </c>
      <c r="D5245" s="115" t="s">
        <v>8130</v>
      </c>
      <c r="E5245" s="115" t="s">
        <v>8131</v>
      </c>
    </row>
    <row r="5246" spans="1:5" x14ac:dyDescent="0.25">
      <c r="A5246" s="115">
        <v>37</v>
      </c>
      <c r="B5246" s="115" t="s">
        <v>8132</v>
      </c>
      <c r="C5246" s="115">
        <v>2</v>
      </c>
      <c r="D5246" s="115" t="s">
        <v>8133</v>
      </c>
      <c r="E5246" s="115" t="s">
        <v>8134</v>
      </c>
    </row>
    <row r="5247" spans="1:5" x14ac:dyDescent="0.25">
      <c r="A5247" s="115" t="s">
        <v>1137</v>
      </c>
      <c r="B5247" s="115" t="s">
        <v>8135</v>
      </c>
      <c r="D5247" s="115" t="s">
        <v>8136</v>
      </c>
      <c r="E5247" s="115" t="s">
        <v>8137</v>
      </c>
    </row>
    <row r="5248" spans="1:5" x14ac:dyDescent="0.25">
      <c r="A5248" s="115" t="s">
        <v>1137</v>
      </c>
      <c r="B5248" s="115" t="s">
        <v>8138</v>
      </c>
      <c r="D5248" s="115" t="s">
        <v>1139</v>
      </c>
      <c r="E5248" s="115" t="s">
        <v>1140</v>
      </c>
    </row>
    <row r="5249" spans="1:5" x14ac:dyDescent="0.25">
      <c r="A5249" s="115" t="s">
        <v>1137</v>
      </c>
      <c r="B5249" s="115" t="s">
        <v>8139</v>
      </c>
      <c r="D5249" s="115" t="s">
        <v>8140</v>
      </c>
      <c r="E5249" s="115" t="s">
        <v>8141</v>
      </c>
    </row>
    <row r="5250" spans="1:5" x14ac:dyDescent="0.25">
      <c r="B5250" s="115" t="s">
        <v>1138</v>
      </c>
      <c r="D5250" s="115" t="s">
        <v>8142</v>
      </c>
      <c r="E5250" s="115" t="s">
        <v>8143</v>
      </c>
    </row>
    <row r="5251" spans="1:5" x14ac:dyDescent="0.25">
      <c r="B5251" s="115" t="s">
        <v>1138</v>
      </c>
      <c r="D5251" s="115" t="s">
        <v>8144</v>
      </c>
      <c r="E5251" s="115" t="s">
        <v>1140</v>
      </c>
    </row>
    <row r="5252" spans="1:5" x14ac:dyDescent="0.25">
      <c r="B5252" s="115" t="s">
        <v>1367</v>
      </c>
      <c r="C5252" s="115">
        <v>-3</v>
      </c>
      <c r="D5252" s="115" t="s">
        <v>8145</v>
      </c>
      <c r="E5252" s="115" t="s">
        <v>1472</v>
      </c>
    </row>
    <row r="5253" spans="1:5" x14ac:dyDescent="0.25">
      <c r="A5253" s="115" t="s">
        <v>1137</v>
      </c>
      <c r="B5253" s="115" t="s">
        <v>8146</v>
      </c>
      <c r="D5253" s="115" t="s">
        <v>8147</v>
      </c>
      <c r="E5253" s="115" t="s">
        <v>8148</v>
      </c>
    </row>
    <row r="5254" spans="1:5" x14ac:dyDescent="0.25">
      <c r="A5254" s="115" t="s">
        <v>1137</v>
      </c>
      <c r="B5254" s="115" t="s">
        <v>8149</v>
      </c>
      <c r="D5254" s="115" t="s">
        <v>8150</v>
      </c>
      <c r="E5254" s="115" t="s">
        <v>8151</v>
      </c>
    </row>
    <row r="5255" spans="1:5" x14ac:dyDescent="0.25">
      <c r="B5255" s="115">
        <f>-54  -3039</f>
        <v>-3093</v>
      </c>
      <c r="C5255" s="115">
        <v>-4</v>
      </c>
      <c r="D5255" s="115" t="s">
        <v>8152</v>
      </c>
      <c r="E5255" s="115" t="s">
        <v>8153</v>
      </c>
    </row>
    <row r="5256" spans="1:5" x14ac:dyDescent="0.25">
      <c r="B5256" s="115">
        <f>-42     -5</f>
        <v>-47</v>
      </c>
      <c r="D5256" s="115" t="s">
        <v>8154</v>
      </c>
      <c r="E5256" s="115" t="s">
        <v>8155</v>
      </c>
    </row>
    <row r="5257" spans="1:5" x14ac:dyDescent="0.25">
      <c r="A5257" s="115" t="s">
        <v>1137</v>
      </c>
      <c r="B5257" s="115" t="s">
        <v>8156</v>
      </c>
      <c r="D5257" s="115" t="s">
        <v>8157</v>
      </c>
      <c r="E5257" s="115" t="s">
        <v>8158</v>
      </c>
    </row>
    <row r="5258" spans="1:5" x14ac:dyDescent="0.25">
      <c r="B5258" s="115" t="s">
        <v>8159</v>
      </c>
      <c r="C5258" s="115">
        <v>-4</v>
      </c>
      <c r="D5258" s="115" t="s">
        <v>8160</v>
      </c>
      <c r="E5258" s="115" t="s">
        <v>8161</v>
      </c>
    </row>
    <row r="5259" spans="1:5" x14ac:dyDescent="0.25">
      <c r="A5259" s="115" t="s">
        <v>1137</v>
      </c>
      <c r="B5259" s="115" t="s">
        <v>8162</v>
      </c>
      <c r="D5259" s="115" t="s">
        <v>8163</v>
      </c>
      <c r="E5259" s="115" t="s">
        <v>8164</v>
      </c>
    </row>
    <row r="5260" spans="1:5" x14ac:dyDescent="0.25">
      <c r="B5260" s="115" t="s">
        <v>1861</v>
      </c>
      <c r="D5260" s="115" t="s">
        <v>8165</v>
      </c>
      <c r="E5260" s="115" t="s">
        <v>8166</v>
      </c>
    </row>
    <row r="5261" spans="1:5" x14ac:dyDescent="0.25">
      <c r="B5261" s="115" t="s">
        <v>8167</v>
      </c>
      <c r="C5261" s="115">
        <v>-4</v>
      </c>
      <c r="D5261" s="115" t="s">
        <v>8168</v>
      </c>
      <c r="E5261" s="115" t="s">
        <v>8169</v>
      </c>
    </row>
    <row r="5262" spans="1:5" x14ac:dyDescent="0.25">
      <c r="A5262" s="115">
        <v>-1</v>
      </c>
      <c r="B5262" s="115" t="s">
        <v>8170</v>
      </c>
      <c r="D5262" s="115" t="s">
        <v>8171</v>
      </c>
      <c r="E5262" s="115" t="s">
        <v>8172</v>
      </c>
    </row>
    <row r="5263" spans="1:5" x14ac:dyDescent="0.25">
      <c r="A5263" s="115">
        <v>-1</v>
      </c>
      <c r="B5263" s="115" t="s">
        <v>3806</v>
      </c>
      <c r="D5263" s="115" t="s">
        <v>1139</v>
      </c>
      <c r="E5263" s="115" t="s">
        <v>8173</v>
      </c>
    </row>
    <row r="5264" spans="1:5" x14ac:dyDescent="0.25">
      <c r="B5264" s="115" t="s">
        <v>8174</v>
      </c>
      <c r="C5264" s="115">
        <v>-4</v>
      </c>
      <c r="D5264" s="115" t="s">
        <v>8175</v>
      </c>
      <c r="E5264" s="115" t="s">
        <v>8176</v>
      </c>
    </row>
    <row r="5265" spans="1:5" x14ac:dyDescent="0.25">
      <c r="A5265" s="115">
        <v>-1</v>
      </c>
      <c r="B5265" s="115" t="s">
        <v>8177</v>
      </c>
      <c r="D5265" s="115" t="s">
        <v>8178</v>
      </c>
      <c r="E5265" s="115" t="s">
        <v>8179</v>
      </c>
    </row>
    <row r="5266" spans="1:5" x14ac:dyDescent="0.25">
      <c r="A5266" s="115">
        <v>-1</v>
      </c>
      <c r="B5266" s="115" t="s">
        <v>1366</v>
      </c>
      <c r="D5266" s="115" t="s">
        <v>8180</v>
      </c>
      <c r="E5266" s="115" t="s">
        <v>8181</v>
      </c>
    </row>
    <row r="5267" spans="1:5" x14ac:dyDescent="0.25">
      <c r="A5267" s="115" t="s">
        <v>1137</v>
      </c>
      <c r="B5267" s="115" t="s">
        <v>8182</v>
      </c>
      <c r="D5267" s="115" t="s">
        <v>8183</v>
      </c>
      <c r="E5267" s="115" t="s">
        <v>8184</v>
      </c>
    </row>
    <row r="5268" spans="1:5" x14ac:dyDescent="0.25">
      <c r="B5268" s="115" t="s">
        <v>1138</v>
      </c>
      <c r="D5268" s="115" t="s">
        <v>8185</v>
      </c>
      <c r="E5268" s="115" t="s">
        <v>8186</v>
      </c>
    </row>
    <row r="5269" spans="1:5" x14ac:dyDescent="0.25">
      <c r="B5269" s="115" t="s">
        <v>1138</v>
      </c>
      <c r="D5269" s="115" t="s">
        <v>8187</v>
      </c>
      <c r="E5269" s="115" t="s">
        <v>2259</v>
      </c>
    </row>
    <row r="5270" spans="1:5" x14ac:dyDescent="0.25">
      <c r="B5270" s="115" t="s">
        <v>8188</v>
      </c>
      <c r="D5270" s="115" t="s">
        <v>8189</v>
      </c>
      <c r="E5270" s="115" t="s">
        <v>1140</v>
      </c>
    </row>
    <row r="5271" spans="1:5" x14ac:dyDescent="0.25">
      <c r="B5271" s="115" t="s">
        <v>1138</v>
      </c>
      <c r="D5271" s="115" t="s">
        <v>1139</v>
      </c>
      <c r="E5271" s="115" t="s">
        <v>8190</v>
      </c>
    </row>
    <row r="5272" spans="1:5" x14ac:dyDescent="0.25">
      <c r="B5272" s="115" t="s">
        <v>1138</v>
      </c>
      <c r="D5272" s="115" t="s">
        <v>8191</v>
      </c>
      <c r="E5272" s="115" t="s">
        <v>8192</v>
      </c>
    </row>
    <row r="5273" spans="1:5" x14ac:dyDescent="0.25">
      <c r="A5273" s="115">
        <v>12</v>
      </c>
      <c r="B5273" s="115" t="s">
        <v>8193</v>
      </c>
      <c r="D5273" s="115" t="s">
        <v>8194</v>
      </c>
      <c r="E5273" s="115" t="s">
        <v>8195</v>
      </c>
    </row>
    <row r="5274" spans="1:5" x14ac:dyDescent="0.25">
      <c r="B5274" s="115" t="s">
        <v>8196</v>
      </c>
      <c r="D5274" s="115" t="s">
        <v>8197</v>
      </c>
      <c r="E5274" s="115" t="s">
        <v>8198</v>
      </c>
    </row>
    <row r="5275" spans="1:5" x14ac:dyDescent="0.25">
      <c r="B5275" s="115" t="s">
        <v>8199</v>
      </c>
      <c r="C5275" s="115" t="s">
        <v>1137</v>
      </c>
      <c r="D5275" s="115" t="s">
        <v>8200</v>
      </c>
      <c r="E5275" s="115" t="s">
        <v>8201</v>
      </c>
    </row>
    <row r="5276" spans="1:5" x14ac:dyDescent="0.25">
      <c r="A5276" s="115">
        <v>-1</v>
      </c>
      <c r="B5276" s="115" t="s">
        <v>8202</v>
      </c>
      <c r="D5276" s="115" t="s">
        <v>8203</v>
      </c>
      <c r="E5276" s="115" t="s">
        <v>8204</v>
      </c>
    </row>
    <row r="5277" spans="1:5" x14ac:dyDescent="0.25">
      <c r="B5277" s="115" t="s">
        <v>8205</v>
      </c>
      <c r="D5277" s="115" t="s">
        <v>8206</v>
      </c>
      <c r="E5277" s="115" t="s">
        <v>8207</v>
      </c>
    </row>
    <row r="5278" spans="1:5" x14ac:dyDescent="0.25">
      <c r="A5278" s="115">
        <v>1</v>
      </c>
      <c r="B5278" s="115" t="s">
        <v>8208</v>
      </c>
      <c r="C5278" s="115">
        <v>-3</v>
      </c>
      <c r="D5278" s="115" t="s">
        <v>8209</v>
      </c>
      <c r="E5278" s="115" t="s">
        <v>8210</v>
      </c>
    </row>
    <row r="5279" spans="1:5" x14ac:dyDescent="0.25">
      <c r="B5279" s="115" t="s">
        <v>1138</v>
      </c>
      <c r="D5279" s="115" t="s">
        <v>8211</v>
      </c>
      <c r="E5279" s="115" t="s">
        <v>1140</v>
      </c>
    </row>
    <row r="5280" spans="1:5" x14ac:dyDescent="0.25">
      <c r="B5280" s="115" t="s">
        <v>1138</v>
      </c>
      <c r="D5280" s="115" t="s">
        <v>8212</v>
      </c>
      <c r="E5280" s="115" t="s">
        <v>8213</v>
      </c>
    </row>
    <row r="5281" spans="1:5" x14ac:dyDescent="0.25">
      <c r="B5281" s="115">
        <f>-72   -748</f>
        <v>-820</v>
      </c>
      <c r="D5281" s="115" t="s">
        <v>8214</v>
      </c>
      <c r="E5281" s="115" t="s">
        <v>8215</v>
      </c>
    </row>
    <row r="5282" spans="1:5" x14ac:dyDescent="0.25">
      <c r="B5282" s="115" t="s">
        <v>8216</v>
      </c>
      <c r="D5282" s="115" t="s">
        <v>1139</v>
      </c>
      <c r="E5282" s="115" t="s">
        <v>8217</v>
      </c>
    </row>
    <row r="5283" spans="1:5" x14ac:dyDescent="0.25">
      <c r="B5283" s="115" t="s">
        <v>1138</v>
      </c>
      <c r="D5283" s="115" t="s">
        <v>8218</v>
      </c>
      <c r="E5283" s="115" t="s">
        <v>8219</v>
      </c>
    </row>
    <row r="5284" spans="1:5" x14ac:dyDescent="0.25">
      <c r="B5284" s="115" t="s">
        <v>1138</v>
      </c>
      <c r="D5284" s="115">
        <f>-692   -765   -371</f>
        <v>-1828</v>
      </c>
      <c r="E5284" s="115" t="s">
        <v>8220</v>
      </c>
    </row>
    <row r="5285" spans="1:5" x14ac:dyDescent="0.25">
      <c r="B5285" s="115" t="s">
        <v>8221</v>
      </c>
      <c r="D5285" s="115" t="s">
        <v>8222</v>
      </c>
      <c r="E5285" s="115" t="s">
        <v>8223</v>
      </c>
    </row>
    <row r="5286" spans="1:5" x14ac:dyDescent="0.25">
      <c r="B5286" s="115" t="s">
        <v>4017</v>
      </c>
      <c r="D5286" s="115" t="s">
        <v>8224</v>
      </c>
      <c r="E5286" s="115" t="s">
        <v>8225</v>
      </c>
    </row>
    <row r="5287" spans="1:5" x14ac:dyDescent="0.25">
      <c r="B5287" s="115" t="s">
        <v>8226</v>
      </c>
      <c r="D5287" s="115">
        <f>-896   -200   -148    -7</f>
        <v>-1251</v>
      </c>
      <c r="E5287" s="115" t="s">
        <v>8227</v>
      </c>
    </row>
    <row r="5288" spans="1:5" x14ac:dyDescent="0.25">
      <c r="A5288" s="115" t="s">
        <v>1137</v>
      </c>
      <c r="B5288" s="115" t="s">
        <v>8228</v>
      </c>
      <c r="D5288" s="115" t="s">
        <v>8229</v>
      </c>
      <c r="E5288" s="115" t="s">
        <v>8230</v>
      </c>
    </row>
    <row r="5289" spans="1:5" x14ac:dyDescent="0.25">
      <c r="B5289" s="115" t="s">
        <v>1280</v>
      </c>
      <c r="D5289" s="115" t="s">
        <v>8231</v>
      </c>
      <c r="E5289" s="115" t="s">
        <v>8232</v>
      </c>
    </row>
    <row r="5290" spans="1:5" x14ac:dyDescent="0.25">
      <c r="B5290" s="115" t="s">
        <v>8233</v>
      </c>
      <c r="D5290" s="115" t="s">
        <v>8234</v>
      </c>
      <c r="E5290" s="115" t="s">
        <v>8235</v>
      </c>
    </row>
    <row r="5291" spans="1:5" x14ac:dyDescent="0.25">
      <c r="B5291" s="115" t="s">
        <v>1138</v>
      </c>
      <c r="D5291" s="115" t="s">
        <v>8236</v>
      </c>
      <c r="E5291" s="115" t="s">
        <v>8237</v>
      </c>
    </row>
    <row r="5292" spans="1:5" x14ac:dyDescent="0.25">
      <c r="B5292" s="115" t="s">
        <v>1294</v>
      </c>
      <c r="D5292" s="115" t="s">
        <v>8238</v>
      </c>
      <c r="E5292" s="115" t="s">
        <v>8239</v>
      </c>
    </row>
    <row r="5293" spans="1:5" x14ac:dyDescent="0.25">
      <c r="A5293" s="115" t="s">
        <v>1137</v>
      </c>
      <c r="B5293" s="115" t="s">
        <v>8240</v>
      </c>
      <c r="D5293" s="115">
        <f>-624  -1340   -880</f>
        <v>-2844</v>
      </c>
      <c r="E5293" s="115" t="s">
        <v>8241</v>
      </c>
    </row>
    <row r="5294" spans="1:5" x14ac:dyDescent="0.25">
      <c r="B5294" s="115" t="s">
        <v>8242</v>
      </c>
      <c r="D5294" s="115" t="s">
        <v>8243</v>
      </c>
      <c r="E5294" s="115" t="s">
        <v>1140</v>
      </c>
    </row>
    <row r="5295" spans="1:5" x14ac:dyDescent="0.25">
      <c r="B5295" s="115" t="s">
        <v>8244</v>
      </c>
      <c r="D5295" s="115" t="s">
        <v>8245</v>
      </c>
      <c r="E5295" s="115" t="s">
        <v>2081</v>
      </c>
    </row>
    <row r="5296" spans="1:5" x14ac:dyDescent="0.25">
      <c r="B5296" s="115" t="s">
        <v>8246</v>
      </c>
      <c r="C5296" s="115" t="s">
        <v>1137</v>
      </c>
      <c r="D5296" s="115" t="s">
        <v>8247</v>
      </c>
      <c r="E5296" s="115" t="s">
        <v>8248</v>
      </c>
    </row>
    <row r="5297" spans="1:5" x14ac:dyDescent="0.25">
      <c r="B5297" s="115" t="s">
        <v>8249</v>
      </c>
      <c r="D5297" s="115" t="s">
        <v>8250</v>
      </c>
      <c r="E5297" s="115" t="s">
        <v>8251</v>
      </c>
    </row>
    <row r="5298" spans="1:5" x14ac:dyDescent="0.25">
      <c r="B5298" s="115" t="s">
        <v>8252</v>
      </c>
      <c r="D5298" s="115" t="s">
        <v>8253</v>
      </c>
      <c r="E5298" s="115" t="s">
        <v>8254</v>
      </c>
    </row>
    <row r="5299" spans="1:5" x14ac:dyDescent="0.25">
      <c r="B5299" s="115" t="s">
        <v>1138</v>
      </c>
      <c r="D5299" s="115" t="s">
        <v>1139</v>
      </c>
      <c r="E5299" s="115" t="s">
        <v>8255</v>
      </c>
    </row>
    <row r="5300" spans="1:5" x14ac:dyDescent="0.25">
      <c r="B5300" s="115" t="s">
        <v>8256</v>
      </c>
      <c r="D5300" s="115" t="s">
        <v>8257</v>
      </c>
      <c r="E5300" s="115" t="s">
        <v>8258</v>
      </c>
    </row>
    <row r="5301" spans="1:5" x14ac:dyDescent="0.25">
      <c r="B5301" s="115" t="s">
        <v>1138</v>
      </c>
      <c r="D5301" s="115" t="s">
        <v>8259</v>
      </c>
      <c r="E5301" s="115" t="s">
        <v>1893</v>
      </c>
    </row>
    <row r="5302" spans="1:5" x14ac:dyDescent="0.25">
      <c r="B5302" s="115" t="s">
        <v>1138</v>
      </c>
      <c r="D5302" s="115" t="s">
        <v>1139</v>
      </c>
      <c r="E5302" s="115" t="s">
        <v>1140</v>
      </c>
    </row>
    <row r="5303" spans="1:5" x14ac:dyDescent="0.25">
      <c r="B5303" s="115" t="s">
        <v>8260</v>
      </c>
      <c r="D5303" s="115" t="s">
        <v>1139</v>
      </c>
      <c r="E5303" s="115" t="s">
        <v>8261</v>
      </c>
    </row>
    <row r="5304" spans="1:5" x14ac:dyDescent="0.25">
      <c r="A5304" s="115">
        <v>-18</v>
      </c>
      <c r="B5304" s="115" t="s">
        <v>8262</v>
      </c>
      <c r="C5304" s="115" t="s">
        <v>1137</v>
      </c>
      <c r="D5304" s="115" t="s">
        <v>8263</v>
      </c>
      <c r="E5304" s="115" t="s">
        <v>8264</v>
      </c>
    </row>
    <row r="5305" spans="1:5" x14ac:dyDescent="0.25">
      <c r="A5305" s="115">
        <v>-1</v>
      </c>
      <c r="B5305" s="115" t="s">
        <v>8265</v>
      </c>
      <c r="D5305" s="115" t="s">
        <v>8266</v>
      </c>
      <c r="E5305" s="115" t="s">
        <v>8267</v>
      </c>
    </row>
    <row r="5306" spans="1:5" x14ac:dyDescent="0.25">
      <c r="B5306" s="115" t="s">
        <v>8268</v>
      </c>
      <c r="D5306" s="115" t="s">
        <v>8269</v>
      </c>
      <c r="E5306" s="115" t="s">
        <v>8270</v>
      </c>
    </row>
    <row r="5307" spans="1:5" x14ac:dyDescent="0.25">
      <c r="B5307" s="115" t="s">
        <v>8271</v>
      </c>
      <c r="D5307" s="115" t="s">
        <v>8272</v>
      </c>
      <c r="E5307" s="115" t="s">
        <v>8273</v>
      </c>
    </row>
    <row r="5308" spans="1:5" x14ac:dyDescent="0.25">
      <c r="A5308" s="115" t="s">
        <v>1137</v>
      </c>
      <c r="B5308" s="115" t="s">
        <v>8274</v>
      </c>
      <c r="D5308" s="115" t="s">
        <v>8275</v>
      </c>
      <c r="E5308" s="115" t="s">
        <v>8276</v>
      </c>
    </row>
    <row r="5309" spans="1:5" x14ac:dyDescent="0.25">
      <c r="B5309" s="115" t="s">
        <v>8277</v>
      </c>
      <c r="D5309" s="115" t="s">
        <v>8278</v>
      </c>
      <c r="E5309" s="115" t="s">
        <v>8279</v>
      </c>
    </row>
    <row r="5310" spans="1:5" x14ac:dyDescent="0.25">
      <c r="B5310" s="115" t="s">
        <v>5006</v>
      </c>
      <c r="D5310" s="115" t="s">
        <v>8280</v>
      </c>
      <c r="E5310" s="115" t="s">
        <v>8281</v>
      </c>
    </row>
    <row r="5311" spans="1:5" x14ac:dyDescent="0.25">
      <c r="B5311" s="115" t="s">
        <v>1138</v>
      </c>
      <c r="D5311" s="115" t="s">
        <v>1139</v>
      </c>
      <c r="E5311" s="115" t="s">
        <v>8282</v>
      </c>
    </row>
    <row r="5312" spans="1:5" x14ac:dyDescent="0.25">
      <c r="B5312" s="115" t="s">
        <v>8283</v>
      </c>
      <c r="C5312" s="115">
        <v>-4</v>
      </c>
      <c r="D5312" s="115" t="s">
        <v>8284</v>
      </c>
      <c r="E5312" s="115" t="s">
        <v>8285</v>
      </c>
    </row>
    <row r="5313" spans="1:5" x14ac:dyDescent="0.25">
      <c r="A5313" s="115">
        <v>1</v>
      </c>
      <c r="B5313" s="115" t="s">
        <v>1488</v>
      </c>
      <c r="D5313" s="115" t="s">
        <v>1242</v>
      </c>
      <c r="E5313" s="115" t="s">
        <v>1140</v>
      </c>
    </row>
    <row r="5314" spans="1:5" x14ac:dyDescent="0.25">
      <c r="A5314" s="115" t="s">
        <v>1137</v>
      </c>
      <c r="B5314" s="115" t="s">
        <v>1564</v>
      </c>
      <c r="D5314" s="115" t="s">
        <v>1139</v>
      </c>
      <c r="E5314" s="115" t="s">
        <v>8286</v>
      </c>
    </row>
    <row r="5315" spans="1:5" x14ac:dyDescent="0.25">
      <c r="B5315" s="115" t="s">
        <v>6138</v>
      </c>
      <c r="D5315" s="115" t="s">
        <v>1139</v>
      </c>
      <c r="E5315" s="115" t="s">
        <v>8287</v>
      </c>
    </row>
    <row r="5316" spans="1:5" x14ac:dyDescent="0.25">
      <c r="B5316" s="115" t="s">
        <v>8288</v>
      </c>
      <c r="D5316" s="115" t="s">
        <v>8289</v>
      </c>
      <c r="E5316" s="115" t="s">
        <v>8290</v>
      </c>
    </row>
    <row r="5317" spans="1:5" x14ac:dyDescent="0.25">
      <c r="B5317" s="115" t="s">
        <v>1250</v>
      </c>
      <c r="D5317" s="115" t="s">
        <v>6078</v>
      </c>
      <c r="E5317" s="115" t="s">
        <v>8291</v>
      </c>
    </row>
    <row r="5318" spans="1:5" x14ac:dyDescent="0.25">
      <c r="B5318" s="115">
        <f>-39   -356</f>
        <v>-395</v>
      </c>
      <c r="D5318" s="115" t="s">
        <v>8292</v>
      </c>
      <c r="E5318" s="115" t="s">
        <v>8293</v>
      </c>
    </row>
    <row r="5319" spans="1:5" x14ac:dyDescent="0.25">
      <c r="A5319" s="115">
        <v>3</v>
      </c>
      <c r="B5319" s="115" t="s">
        <v>8294</v>
      </c>
      <c r="D5319" s="115" t="s">
        <v>8295</v>
      </c>
      <c r="E5319" s="115" t="s">
        <v>8296</v>
      </c>
    </row>
    <row r="5320" spans="1:5" x14ac:dyDescent="0.25">
      <c r="A5320" s="115" t="s">
        <v>1137</v>
      </c>
      <c r="B5320" s="115" t="s">
        <v>3448</v>
      </c>
      <c r="D5320" s="115" t="s">
        <v>5009</v>
      </c>
      <c r="E5320" s="115" t="s">
        <v>8297</v>
      </c>
    </row>
    <row r="5321" spans="1:5" x14ac:dyDescent="0.25">
      <c r="B5321" s="115" t="s">
        <v>8298</v>
      </c>
      <c r="D5321" s="115" t="s">
        <v>8299</v>
      </c>
      <c r="E5321" s="115" t="s">
        <v>8300</v>
      </c>
    </row>
    <row r="5322" spans="1:5" x14ac:dyDescent="0.25">
      <c r="A5322" s="115">
        <v>3</v>
      </c>
      <c r="B5322" s="115" t="s">
        <v>8301</v>
      </c>
      <c r="D5322" s="115" t="s">
        <v>8302</v>
      </c>
      <c r="E5322" s="115" t="s">
        <v>8303</v>
      </c>
    </row>
    <row r="5323" spans="1:5" x14ac:dyDescent="0.25">
      <c r="A5323" s="115" t="s">
        <v>1137</v>
      </c>
      <c r="B5323" s="115" t="s">
        <v>1221</v>
      </c>
      <c r="D5323" s="115" t="s">
        <v>8304</v>
      </c>
      <c r="E5323" s="115" t="s">
        <v>8305</v>
      </c>
    </row>
    <row r="5324" spans="1:5" x14ac:dyDescent="0.25">
      <c r="B5324" s="115" t="s">
        <v>1565</v>
      </c>
      <c r="D5324" s="115" t="s">
        <v>8306</v>
      </c>
      <c r="E5324" s="115" t="s">
        <v>8307</v>
      </c>
    </row>
    <row r="5325" spans="1:5" x14ac:dyDescent="0.25">
      <c r="A5325" s="115">
        <v>4</v>
      </c>
      <c r="B5325" s="115" t="s">
        <v>1665</v>
      </c>
      <c r="D5325" s="115" t="s">
        <v>8308</v>
      </c>
      <c r="E5325" s="115" t="s">
        <v>8309</v>
      </c>
    </row>
    <row r="5326" spans="1:5" x14ac:dyDescent="0.25">
      <c r="B5326" s="115" t="s">
        <v>1138</v>
      </c>
      <c r="D5326" s="115" t="s">
        <v>8310</v>
      </c>
      <c r="E5326" s="115" t="s">
        <v>8311</v>
      </c>
    </row>
    <row r="5327" spans="1:5" x14ac:dyDescent="0.25">
      <c r="B5327" s="115" t="s">
        <v>1138</v>
      </c>
      <c r="D5327" s="115" t="s">
        <v>8312</v>
      </c>
      <c r="E5327" s="115" t="s">
        <v>8313</v>
      </c>
    </row>
    <row r="5328" spans="1:5" x14ac:dyDescent="0.25">
      <c r="A5328" s="115">
        <v>1</v>
      </c>
      <c r="B5328" s="115" t="s">
        <v>8314</v>
      </c>
      <c r="D5328" s="115" t="s">
        <v>8315</v>
      </c>
      <c r="E5328" s="115" t="s">
        <v>8316</v>
      </c>
    </row>
    <row r="5329" spans="1:5" x14ac:dyDescent="0.25">
      <c r="A5329" s="115" t="s">
        <v>1137</v>
      </c>
      <c r="B5329" s="115" t="s">
        <v>8317</v>
      </c>
      <c r="D5329" s="115" t="s">
        <v>8318</v>
      </c>
      <c r="E5329" s="115" t="s">
        <v>8319</v>
      </c>
    </row>
    <row r="5330" spans="1:5" x14ac:dyDescent="0.25">
      <c r="B5330" s="115">
        <f>-27   -791</f>
        <v>-818</v>
      </c>
      <c r="D5330" s="115" t="s">
        <v>8320</v>
      </c>
      <c r="E5330" s="115" t="s">
        <v>1140</v>
      </c>
    </row>
    <row r="5331" spans="1:5" x14ac:dyDescent="0.25">
      <c r="B5331" s="115" t="s">
        <v>8321</v>
      </c>
      <c r="D5331" s="115" t="s">
        <v>8322</v>
      </c>
      <c r="E5331" s="115" t="s">
        <v>8323</v>
      </c>
    </row>
    <row r="5332" spans="1:5" x14ac:dyDescent="0.25">
      <c r="B5332" s="115" t="s">
        <v>8324</v>
      </c>
      <c r="D5332" s="115" t="s">
        <v>8325</v>
      </c>
      <c r="E5332" s="115" t="s">
        <v>8326</v>
      </c>
    </row>
    <row r="5333" spans="1:5" x14ac:dyDescent="0.25">
      <c r="B5333" s="115" t="s">
        <v>1138</v>
      </c>
      <c r="D5333" s="115" t="s">
        <v>1139</v>
      </c>
      <c r="E5333" s="115" t="s">
        <v>1140</v>
      </c>
    </row>
    <row r="5334" spans="1:5" x14ac:dyDescent="0.25">
      <c r="B5334" s="115" t="s">
        <v>1138</v>
      </c>
      <c r="D5334" s="115" t="s">
        <v>8327</v>
      </c>
      <c r="E5334" s="115" t="s">
        <v>1701</v>
      </c>
    </row>
    <row r="5335" spans="1:5" x14ac:dyDescent="0.25">
      <c r="A5335" s="115">
        <v>1</v>
      </c>
      <c r="B5335" s="115" t="s">
        <v>8328</v>
      </c>
      <c r="D5335" s="115" t="s">
        <v>8329</v>
      </c>
      <c r="E5335" s="115" t="s">
        <v>8330</v>
      </c>
    </row>
    <row r="5336" spans="1:5" x14ac:dyDescent="0.25">
      <c r="B5336" s="115" t="s">
        <v>8331</v>
      </c>
      <c r="D5336" s="115">
        <f>-898  -1701  -2436  -278</f>
        <v>-5313</v>
      </c>
      <c r="E5336" s="115" t="s">
        <v>8332</v>
      </c>
    </row>
    <row r="5337" spans="1:5" x14ac:dyDescent="0.25">
      <c r="B5337" s="115" t="s">
        <v>8333</v>
      </c>
      <c r="D5337" s="115" t="s">
        <v>8334</v>
      </c>
      <c r="E5337" s="115" t="s">
        <v>8335</v>
      </c>
    </row>
    <row r="5338" spans="1:5" x14ac:dyDescent="0.25">
      <c r="B5338" s="115" t="s">
        <v>8336</v>
      </c>
      <c r="D5338" s="115" t="s">
        <v>8337</v>
      </c>
      <c r="E5338" s="115" t="s">
        <v>8338</v>
      </c>
    </row>
    <row r="5339" spans="1:5" x14ac:dyDescent="0.25">
      <c r="A5339" s="115" t="s">
        <v>1137</v>
      </c>
      <c r="B5339" s="115" t="s">
        <v>8339</v>
      </c>
      <c r="D5339" s="115" t="s">
        <v>8340</v>
      </c>
      <c r="E5339" s="115" t="s">
        <v>8341</v>
      </c>
    </row>
    <row r="5340" spans="1:5" x14ac:dyDescent="0.25">
      <c r="B5340" s="115" t="s">
        <v>8342</v>
      </c>
      <c r="D5340" s="115" t="s">
        <v>8343</v>
      </c>
      <c r="E5340" s="115" t="s">
        <v>8344</v>
      </c>
    </row>
    <row r="5341" spans="1:5" x14ac:dyDescent="0.25">
      <c r="A5341" s="115" t="s">
        <v>1137</v>
      </c>
      <c r="B5341" s="115" t="s">
        <v>8345</v>
      </c>
      <c r="D5341" s="115" t="s">
        <v>8346</v>
      </c>
      <c r="E5341" s="115" t="s">
        <v>8347</v>
      </c>
    </row>
    <row r="5342" spans="1:5" x14ac:dyDescent="0.25">
      <c r="B5342" s="115" t="s">
        <v>1138</v>
      </c>
      <c r="D5342" s="115" t="s">
        <v>8348</v>
      </c>
      <c r="E5342" s="115" t="s">
        <v>1140</v>
      </c>
    </row>
    <row r="5343" spans="1:5" x14ac:dyDescent="0.25">
      <c r="B5343" s="115" t="s">
        <v>1138</v>
      </c>
      <c r="D5343" s="115" t="s">
        <v>8349</v>
      </c>
      <c r="E5343" s="115" t="s">
        <v>8350</v>
      </c>
    </row>
    <row r="5344" spans="1:5" x14ac:dyDescent="0.25">
      <c r="A5344" s="115" t="s">
        <v>1137</v>
      </c>
      <c r="B5344" s="115" t="s">
        <v>8351</v>
      </c>
      <c r="D5344" s="115" t="s">
        <v>4179</v>
      </c>
      <c r="E5344" s="115" t="s">
        <v>8352</v>
      </c>
    </row>
    <row r="5345" spans="1:5" x14ac:dyDescent="0.25">
      <c r="B5345" s="115" t="s">
        <v>1138</v>
      </c>
      <c r="D5345" s="115" t="s">
        <v>3698</v>
      </c>
      <c r="E5345" s="115" t="s">
        <v>2536</v>
      </c>
    </row>
    <row r="5346" spans="1:5" x14ac:dyDescent="0.25">
      <c r="B5346" s="115" t="s">
        <v>1138</v>
      </c>
      <c r="D5346" s="115" t="s">
        <v>8353</v>
      </c>
      <c r="E5346" s="115" t="s">
        <v>8354</v>
      </c>
    </row>
    <row r="5347" spans="1:5" x14ac:dyDescent="0.25">
      <c r="B5347" s="115" t="s">
        <v>1183</v>
      </c>
      <c r="D5347" s="115" t="s">
        <v>8355</v>
      </c>
      <c r="E5347" s="115" t="s">
        <v>8356</v>
      </c>
    </row>
    <row r="5348" spans="1:5" x14ac:dyDescent="0.25">
      <c r="B5348" s="115" t="s">
        <v>8357</v>
      </c>
      <c r="D5348" s="115" t="s">
        <v>8358</v>
      </c>
      <c r="E5348" s="115" t="s">
        <v>1858</v>
      </c>
    </row>
    <row r="5349" spans="1:5" x14ac:dyDescent="0.25">
      <c r="B5349" s="115" t="s">
        <v>8359</v>
      </c>
      <c r="D5349" s="115" t="s">
        <v>8360</v>
      </c>
      <c r="E5349" s="115" t="s">
        <v>8361</v>
      </c>
    </row>
    <row r="5350" spans="1:5" x14ac:dyDescent="0.25">
      <c r="A5350" s="115">
        <v>-1</v>
      </c>
      <c r="B5350" s="115" t="s">
        <v>8362</v>
      </c>
      <c r="D5350" s="115" t="s">
        <v>8363</v>
      </c>
      <c r="E5350" s="115" t="s">
        <v>8364</v>
      </c>
    </row>
    <row r="5351" spans="1:5" x14ac:dyDescent="0.25">
      <c r="A5351" s="115" t="s">
        <v>1137</v>
      </c>
      <c r="B5351" s="115" t="s">
        <v>1188</v>
      </c>
      <c r="D5351" s="115" t="s">
        <v>8365</v>
      </c>
      <c r="E5351" s="115" t="s">
        <v>1140</v>
      </c>
    </row>
    <row r="5352" spans="1:5" x14ac:dyDescent="0.25">
      <c r="B5352" s="115" t="s">
        <v>8366</v>
      </c>
      <c r="D5352" s="115" t="s">
        <v>8367</v>
      </c>
      <c r="E5352" s="115" t="s">
        <v>8368</v>
      </c>
    </row>
    <row r="5353" spans="1:5" x14ac:dyDescent="0.25">
      <c r="A5353" s="115" t="s">
        <v>1137</v>
      </c>
      <c r="B5353" s="115" t="s">
        <v>8369</v>
      </c>
      <c r="D5353" s="115" t="s">
        <v>8370</v>
      </c>
      <c r="E5353" s="115" t="s">
        <v>8371</v>
      </c>
    </row>
    <row r="5354" spans="1:5" x14ac:dyDescent="0.25">
      <c r="B5354" s="115" t="s">
        <v>1846</v>
      </c>
      <c r="D5354" s="115" t="s">
        <v>8372</v>
      </c>
      <c r="E5354" s="115" t="s">
        <v>1818</v>
      </c>
    </row>
    <row r="5355" spans="1:5" x14ac:dyDescent="0.25">
      <c r="B5355" s="115" t="s">
        <v>8373</v>
      </c>
      <c r="D5355" s="115" t="s">
        <v>8374</v>
      </c>
      <c r="E5355" s="115" t="s">
        <v>8375</v>
      </c>
    </row>
    <row r="5356" spans="1:5" x14ac:dyDescent="0.25">
      <c r="A5356" s="115">
        <v>-1</v>
      </c>
      <c r="B5356" s="115" t="s">
        <v>8376</v>
      </c>
      <c r="C5356" s="115" t="s">
        <v>1137</v>
      </c>
      <c r="D5356" s="115" t="s">
        <v>8377</v>
      </c>
      <c r="E5356" s="115" t="s">
        <v>8378</v>
      </c>
    </row>
    <row r="5357" spans="1:5" x14ac:dyDescent="0.25">
      <c r="A5357" s="115" t="s">
        <v>1137</v>
      </c>
      <c r="B5357" s="115" t="s">
        <v>8379</v>
      </c>
      <c r="C5357" s="115" t="s">
        <v>1137</v>
      </c>
      <c r="D5357" s="115" t="s">
        <v>8380</v>
      </c>
      <c r="E5357" s="115" t="s">
        <v>1140</v>
      </c>
    </row>
    <row r="5358" spans="1:5" x14ac:dyDescent="0.25">
      <c r="A5358" s="115">
        <v>1</v>
      </c>
      <c r="B5358" s="115" t="s">
        <v>8381</v>
      </c>
      <c r="D5358" s="115" t="s">
        <v>8382</v>
      </c>
      <c r="E5358" s="115" t="s">
        <v>1140</v>
      </c>
    </row>
    <row r="5359" spans="1:5" x14ac:dyDescent="0.25">
      <c r="A5359" s="115">
        <v>-3</v>
      </c>
      <c r="B5359" s="115" t="s">
        <v>8383</v>
      </c>
      <c r="C5359" s="115" t="s">
        <v>1137</v>
      </c>
      <c r="D5359" s="115" t="s">
        <v>8384</v>
      </c>
      <c r="E5359" s="115" t="s">
        <v>8385</v>
      </c>
    </row>
    <row r="5360" spans="1:5" x14ac:dyDescent="0.25">
      <c r="A5360" s="115">
        <v>-1</v>
      </c>
      <c r="B5360" s="115" t="s">
        <v>8386</v>
      </c>
      <c r="C5360" s="115" t="s">
        <v>1137</v>
      </c>
      <c r="D5360" s="115" t="s">
        <v>8387</v>
      </c>
      <c r="E5360" s="115" t="s">
        <v>2081</v>
      </c>
    </row>
    <row r="5361" spans="1:5" x14ac:dyDescent="0.25">
      <c r="B5361" s="115" t="s">
        <v>8388</v>
      </c>
      <c r="C5361" s="115" t="s">
        <v>1137</v>
      </c>
      <c r="D5361" s="115" t="s">
        <v>8389</v>
      </c>
      <c r="E5361" s="115" t="s">
        <v>8390</v>
      </c>
    </row>
    <row r="5362" spans="1:5" x14ac:dyDescent="0.25">
      <c r="B5362" s="115" t="s">
        <v>1138</v>
      </c>
      <c r="D5362" s="115" t="s">
        <v>1139</v>
      </c>
      <c r="E5362" s="115" t="s">
        <v>8391</v>
      </c>
    </row>
    <row r="5363" spans="1:5" x14ac:dyDescent="0.25">
      <c r="A5363" s="115">
        <v>1</v>
      </c>
      <c r="B5363" s="115" t="s">
        <v>8392</v>
      </c>
      <c r="D5363" s="115" t="s">
        <v>1492</v>
      </c>
      <c r="E5363" s="115" t="s">
        <v>8393</v>
      </c>
    </row>
    <row r="5364" spans="1:5" x14ac:dyDescent="0.25">
      <c r="B5364" s="115" t="s">
        <v>1138</v>
      </c>
      <c r="D5364" s="115" t="s">
        <v>8394</v>
      </c>
      <c r="E5364" s="115" t="s">
        <v>1140</v>
      </c>
    </row>
    <row r="5365" spans="1:5" x14ac:dyDescent="0.25">
      <c r="B5365" s="115" t="s">
        <v>1138</v>
      </c>
      <c r="D5365" s="115" t="s">
        <v>1139</v>
      </c>
      <c r="E5365" s="115" t="s">
        <v>1140</v>
      </c>
    </row>
    <row r="5366" spans="1:5" x14ac:dyDescent="0.25">
      <c r="A5366" s="115">
        <v>-1</v>
      </c>
      <c r="B5366" s="115" t="s">
        <v>5336</v>
      </c>
      <c r="D5366" s="115" t="s">
        <v>8395</v>
      </c>
      <c r="E5366" s="115" t="s">
        <v>8396</v>
      </c>
    </row>
    <row r="5367" spans="1:5" x14ac:dyDescent="0.25">
      <c r="A5367" s="115">
        <v>-7</v>
      </c>
      <c r="B5367" s="115" t="s">
        <v>8397</v>
      </c>
      <c r="C5367" s="115">
        <v>1</v>
      </c>
      <c r="D5367" s="115" t="s">
        <v>8398</v>
      </c>
      <c r="E5367" s="115" t="s">
        <v>8399</v>
      </c>
    </row>
    <row r="5368" spans="1:5" x14ac:dyDescent="0.25">
      <c r="A5368" s="115">
        <v>-2</v>
      </c>
      <c r="B5368" s="115" t="s">
        <v>8400</v>
      </c>
      <c r="D5368" s="115" t="s">
        <v>8401</v>
      </c>
      <c r="E5368" s="115" t="s">
        <v>8402</v>
      </c>
    </row>
    <row r="5369" spans="1:5" x14ac:dyDescent="0.25">
      <c r="A5369" s="115" t="s">
        <v>1137</v>
      </c>
      <c r="B5369" s="115" t="s">
        <v>8403</v>
      </c>
      <c r="D5369" s="115" t="s">
        <v>8404</v>
      </c>
      <c r="E5369" s="115" t="s">
        <v>8405</v>
      </c>
    </row>
    <row r="5370" spans="1:5" x14ac:dyDescent="0.25">
      <c r="B5370" s="115" t="s">
        <v>8406</v>
      </c>
      <c r="D5370" s="115">
        <f>-691   -488   -280   -70</f>
        <v>-1529</v>
      </c>
      <c r="E5370" s="115" t="s">
        <v>8407</v>
      </c>
    </row>
    <row r="5371" spans="1:5" x14ac:dyDescent="0.25">
      <c r="A5371" s="115" t="s">
        <v>1137</v>
      </c>
      <c r="B5371" s="115" t="s">
        <v>8408</v>
      </c>
      <c r="D5371" s="115" t="s">
        <v>8409</v>
      </c>
      <c r="E5371" s="115" t="s">
        <v>8410</v>
      </c>
    </row>
    <row r="5372" spans="1:5" x14ac:dyDescent="0.25">
      <c r="A5372" s="115">
        <v>1</v>
      </c>
      <c r="B5372" s="115" t="s">
        <v>8411</v>
      </c>
      <c r="D5372" s="115" t="s">
        <v>8412</v>
      </c>
      <c r="E5372" s="115" t="s">
        <v>8413</v>
      </c>
    </row>
    <row r="5373" spans="1:5" x14ac:dyDescent="0.25">
      <c r="B5373" s="115" t="s">
        <v>1138</v>
      </c>
      <c r="D5373" s="115" t="s">
        <v>8414</v>
      </c>
      <c r="E5373" s="115" t="s">
        <v>8415</v>
      </c>
    </row>
    <row r="5374" spans="1:5" x14ac:dyDescent="0.25">
      <c r="B5374" s="115" t="s">
        <v>1138</v>
      </c>
      <c r="D5374" s="115" t="s">
        <v>1139</v>
      </c>
      <c r="E5374" s="115" t="s">
        <v>8416</v>
      </c>
    </row>
    <row r="5375" spans="1:5" x14ac:dyDescent="0.25">
      <c r="B5375" s="115" t="s">
        <v>1138</v>
      </c>
      <c r="D5375" s="115" t="s">
        <v>8417</v>
      </c>
      <c r="E5375" s="115" t="s">
        <v>8418</v>
      </c>
    </row>
    <row r="5376" spans="1:5" x14ac:dyDescent="0.25">
      <c r="B5376" s="115" t="s">
        <v>1617</v>
      </c>
      <c r="D5376" s="115" t="s">
        <v>3121</v>
      </c>
      <c r="E5376" s="115" t="s">
        <v>1701</v>
      </c>
    </row>
    <row r="5377" spans="1:5" x14ac:dyDescent="0.25">
      <c r="B5377" s="115" t="s">
        <v>8419</v>
      </c>
      <c r="D5377" s="115" t="s">
        <v>1139</v>
      </c>
      <c r="E5377" s="115" t="s">
        <v>8420</v>
      </c>
    </row>
    <row r="5378" spans="1:5" x14ac:dyDescent="0.25">
      <c r="A5378" s="115">
        <v>-46</v>
      </c>
      <c r="B5378" s="115" t="s">
        <v>1523</v>
      </c>
      <c r="D5378" s="115" t="s">
        <v>8421</v>
      </c>
      <c r="E5378" s="115" t="s">
        <v>8422</v>
      </c>
    </row>
    <row r="5379" spans="1:5" x14ac:dyDescent="0.25">
      <c r="B5379" s="115" t="s">
        <v>1138</v>
      </c>
      <c r="D5379" s="115" t="s">
        <v>8423</v>
      </c>
      <c r="E5379" s="115" t="s">
        <v>8424</v>
      </c>
    </row>
    <row r="5380" spans="1:5" x14ac:dyDescent="0.25">
      <c r="B5380" s="115" t="s">
        <v>8425</v>
      </c>
      <c r="D5380" s="115" t="s">
        <v>1139</v>
      </c>
      <c r="E5380" s="115" t="s">
        <v>8426</v>
      </c>
    </row>
    <row r="5381" spans="1:5" x14ac:dyDescent="0.25">
      <c r="A5381" s="115">
        <v>-50</v>
      </c>
      <c r="B5381" s="115" t="s">
        <v>8427</v>
      </c>
      <c r="D5381" s="115" t="s">
        <v>8428</v>
      </c>
      <c r="E5381" s="115" t="s">
        <v>8429</v>
      </c>
    </row>
    <row r="5382" spans="1:5" x14ac:dyDescent="0.25">
      <c r="B5382" s="115" t="s">
        <v>8430</v>
      </c>
      <c r="D5382" s="115" t="s">
        <v>8431</v>
      </c>
      <c r="E5382" s="115" t="s">
        <v>8432</v>
      </c>
    </row>
    <row r="5383" spans="1:5" x14ac:dyDescent="0.25">
      <c r="B5383" s="115" t="s">
        <v>8433</v>
      </c>
      <c r="D5383" s="115" t="s">
        <v>1139</v>
      </c>
      <c r="E5383" s="115" t="s">
        <v>8434</v>
      </c>
    </row>
    <row r="5384" spans="1:5" x14ac:dyDescent="0.25">
      <c r="A5384" s="115">
        <v>-51</v>
      </c>
      <c r="B5384" s="115" t="s">
        <v>8435</v>
      </c>
      <c r="D5384" s="115" t="s">
        <v>8436</v>
      </c>
      <c r="E5384" s="115" t="s">
        <v>8437</v>
      </c>
    </row>
    <row r="5385" spans="1:5" x14ac:dyDescent="0.25">
      <c r="B5385" s="115" t="s">
        <v>8438</v>
      </c>
      <c r="D5385" s="115" t="s">
        <v>8439</v>
      </c>
      <c r="E5385" s="115" t="s">
        <v>8440</v>
      </c>
    </row>
    <row r="5386" spans="1:5" x14ac:dyDescent="0.25">
      <c r="B5386" s="115" t="s">
        <v>8441</v>
      </c>
      <c r="D5386" s="115" t="s">
        <v>1139</v>
      </c>
      <c r="E5386" s="115" t="s">
        <v>8442</v>
      </c>
    </row>
    <row r="5387" spans="1:5" x14ac:dyDescent="0.25">
      <c r="A5387" s="115">
        <v>-48</v>
      </c>
      <c r="B5387" s="115" t="s">
        <v>8443</v>
      </c>
      <c r="D5387" s="115" t="s">
        <v>5840</v>
      </c>
      <c r="E5387" s="115" t="s">
        <v>8444</v>
      </c>
    </row>
    <row r="5388" spans="1:5" x14ac:dyDescent="0.25">
      <c r="B5388" s="115" t="s">
        <v>8445</v>
      </c>
      <c r="D5388" s="115" t="s">
        <v>8446</v>
      </c>
      <c r="E5388" s="115" t="s">
        <v>8447</v>
      </c>
    </row>
    <row r="5389" spans="1:5" x14ac:dyDescent="0.25">
      <c r="B5389" s="115" t="s">
        <v>1138</v>
      </c>
      <c r="D5389" s="115" t="s">
        <v>1139</v>
      </c>
      <c r="E5389" s="115" t="s">
        <v>8448</v>
      </c>
    </row>
    <row r="5390" spans="1:5" x14ac:dyDescent="0.25">
      <c r="A5390" s="115">
        <v>-57</v>
      </c>
      <c r="B5390" s="115" t="s">
        <v>8449</v>
      </c>
      <c r="D5390" s="115" t="s">
        <v>1139</v>
      </c>
      <c r="E5390" s="115" t="s">
        <v>8450</v>
      </c>
    </row>
    <row r="5391" spans="1:5" x14ac:dyDescent="0.25">
      <c r="A5391" s="115">
        <v>-1</v>
      </c>
      <c r="B5391" s="115" t="s">
        <v>8451</v>
      </c>
      <c r="D5391" s="115" t="s">
        <v>8452</v>
      </c>
      <c r="E5391" s="115" t="s">
        <v>8453</v>
      </c>
    </row>
    <row r="5392" spans="1:5" x14ac:dyDescent="0.25">
      <c r="B5392" s="115" t="s">
        <v>8454</v>
      </c>
      <c r="D5392" s="115" t="s">
        <v>1139</v>
      </c>
      <c r="E5392" s="115" t="s">
        <v>8455</v>
      </c>
    </row>
    <row r="5393" spans="1:5" x14ac:dyDescent="0.25">
      <c r="A5393" s="115">
        <v>-1</v>
      </c>
      <c r="B5393" s="115" t="s">
        <v>8456</v>
      </c>
      <c r="C5393" s="115" t="s">
        <v>1137</v>
      </c>
      <c r="D5393" s="115" t="s">
        <v>8457</v>
      </c>
      <c r="E5393" s="115" t="s">
        <v>1140</v>
      </c>
    </row>
    <row r="5394" spans="1:5" x14ac:dyDescent="0.25">
      <c r="B5394" s="115" t="s">
        <v>1138</v>
      </c>
      <c r="D5394" s="115" t="s">
        <v>8458</v>
      </c>
      <c r="E5394" s="115" t="s">
        <v>8459</v>
      </c>
    </row>
    <row r="5395" spans="1:5" x14ac:dyDescent="0.25">
      <c r="B5395" s="115" t="s">
        <v>1458</v>
      </c>
      <c r="D5395" s="115" t="s">
        <v>8460</v>
      </c>
      <c r="E5395" s="115" t="s">
        <v>8461</v>
      </c>
    </row>
    <row r="5396" spans="1:5" x14ac:dyDescent="0.25">
      <c r="B5396" s="115" t="s">
        <v>1657</v>
      </c>
      <c r="D5396" s="115" t="s">
        <v>1139</v>
      </c>
      <c r="E5396" s="115" t="s">
        <v>1140</v>
      </c>
    </row>
    <row r="5397" spans="1:5" x14ac:dyDescent="0.25">
      <c r="B5397" s="115" t="s">
        <v>1138</v>
      </c>
      <c r="D5397" s="115" t="s">
        <v>1139</v>
      </c>
      <c r="E5397" s="115" t="s">
        <v>8462</v>
      </c>
    </row>
    <row r="5398" spans="1:5" x14ac:dyDescent="0.25">
      <c r="B5398" s="115" t="s">
        <v>8463</v>
      </c>
      <c r="D5398" s="115" t="s">
        <v>8464</v>
      </c>
      <c r="E5398" s="115" t="s">
        <v>8465</v>
      </c>
    </row>
    <row r="5399" spans="1:5" x14ac:dyDescent="0.25">
      <c r="B5399" s="115" t="s">
        <v>1138</v>
      </c>
      <c r="D5399" s="115" t="s">
        <v>8466</v>
      </c>
      <c r="E5399" s="115" t="s">
        <v>8467</v>
      </c>
    </row>
    <row r="5400" spans="1:5" x14ac:dyDescent="0.25">
      <c r="A5400" s="115" t="s">
        <v>1137</v>
      </c>
      <c r="B5400" s="115" t="s">
        <v>8468</v>
      </c>
      <c r="C5400" s="115" t="s">
        <v>1137</v>
      </c>
      <c r="D5400" s="115" t="s">
        <v>8469</v>
      </c>
      <c r="E5400" s="115" t="s">
        <v>8470</v>
      </c>
    </row>
    <row r="5401" spans="1:5" x14ac:dyDescent="0.25">
      <c r="A5401" s="115">
        <v>-2</v>
      </c>
      <c r="B5401" s="115" t="s">
        <v>8471</v>
      </c>
      <c r="D5401" s="115">
        <f>-265   -292   -519   -58</f>
        <v>-1134</v>
      </c>
      <c r="E5401" s="115" t="s">
        <v>8472</v>
      </c>
    </row>
    <row r="5402" spans="1:5" x14ac:dyDescent="0.25">
      <c r="A5402" s="115" t="s">
        <v>1137</v>
      </c>
      <c r="B5402" s="115" t="s">
        <v>8473</v>
      </c>
      <c r="C5402" s="115" t="s">
        <v>1137</v>
      </c>
      <c r="D5402" s="115" t="s">
        <v>8474</v>
      </c>
      <c r="E5402" s="115" t="s">
        <v>8475</v>
      </c>
    </row>
    <row r="5403" spans="1:5" x14ac:dyDescent="0.25">
      <c r="B5403" s="115" t="s">
        <v>8476</v>
      </c>
      <c r="D5403" s="115" t="s">
        <v>8477</v>
      </c>
      <c r="E5403" s="115" t="s">
        <v>8478</v>
      </c>
    </row>
    <row r="5404" spans="1:5" x14ac:dyDescent="0.25">
      <c r="A5404" s="115">
        <v>44</v>
      </c>
      <c r="B5404" s="115" t="s">
        <v>8479</v>
      </c>
      <c r="C5404" s="115">
        <v>4</v>
      </c>
      <c r="D5404" s="115" t="s">
        <v>8480</v>
      </c>
      <c r="E5404" s="115" t="s">
        <v>8481</v>
      </c>
    </row>
    <row r="5405" spans="1:5" x14ac:dyDescent="0.25">
      <c r="B5405" s="115" t="s">
        <v>8482</v>
      </c>
      <c r="D5405" s="115" t="s">
        <v>2301</v>
      </c>
      <c r="E5405" s="115" t="s">
        <v>8483</v>
      </c>
    </row>
    <row r="5406" spans="1:5" x14ac:dyDescent="0.25">
      <c r="B5406" s="115" t="s">
        <v>1138</v>
      </c>
      <c r="D5406" s="115" t="s">
        <v>8484</v>
      </c>
      <c r="E5406" s="115" t="s">
        <v>8485</v>
      </c>
    </row>
    <row r="5407" spans="1:5" x14ac:dyDescent="0.25">
      <c r="A5407" s="115">
        <v>-23</v>
      </c>
      <c r="B5407" s="115" t="s">
        <v>8486</v>
      </c>
      <c r="D5407" s="115" t="s">
        <v>8487</v>
      </c>
      <c r="E5407" s="115" t="s">
        <v>8488</v>
      </c>
    </row>
    <row r="5408" spans="1:5" x14ac:dyDescent="0.25">
      <c r="B5408" s="115" t="s">
        <v>1138</v>
      </c>
      <c r="D5408" s="115" t="s">
        <v>8489</v>
      </c>
      <c r="E5408" s="115" t="s">
        <v>8490</v>
      </c>
    </row>
    <row r="5409" spans="1:5" x14ac:dyDescent="0.25">
      <c r="B5409" s="115" t="s">
        <v>1138</v>
      </c>
      <c r="D5409" s="115" t="s">
        <v>1139</v>
      </c>
      <c r="E5409" s="115" t="s">
        <v>8491</v>
      </c>
    </row>
    <row r="5410" spans="1:5" x14ac:dyDescent="0.25">
      <c r="B5410" s="115" t="s">
        <v>1138</v>
      </c>
      <c r="D5410" s="115" t="s">
        <v>8492</v>
      </c>
      <c r="E5410" s="115" t="s">
        <v>8493</v>
      </c>
    </row>
    <row r="5411" spans="1:5" x14ac:dyDescent="0.25">
      <c r="B5411" s="115" t="s">
        <v>8494</v>
      </c>
      <c r="D5411" s="115" t="s">
        <v>8495</v>
      </c>
      <c r="E5411" s="115" t="s">
        <v>8496</v>
      </c>
    </row>
    <row r="5412" spans="1:5" x14ac:dyDescent="0.25">
      <c r="B5412" s="115" t="s">
        <v>1138</v>
      </c>
      <c r="D5412" s="115" t="s">
        <v>8497</v>
      </c>
      <c r="E5412" s="115" t="s">
        <v>8498</v>
      </c>
    </row>
    <row r="5413" spans="1:5" x14ac:dyDescent="0.25">
      <c r="B5413" s="115" t="s">
        <v>1648</v>
      </c>
      <c r="D5413" s="115" t="s">
        <v>8499</v>
      </c>
      <c r="E5413" s="115" t="s">
        <v>8500</v>
      </c>
    </row>
    <row r="5414" spans="1:5" x14ac:dyDescent="0.25">
      <c r="B5414" s="115" t="s">
        <v>1138</v>
      </c>
      <c r="D5414" s="115" t="s">
        <v>8501</v>
      </c>
      <c r="E5414" s="115" t="s">
        <v>8502</v>
      </c>
    </row>
    <row r="5415" spans="1:5" x14ac:dyDescent="0.25">
      <c r="B5415" s="115" t="s">
        <v>1138</v>
      </c>
      <c r="D5415" s="115" t="s">
        <v>8503</v>
      </c>
      <c r="E5415" s="115" t="s">
        <v>8504</v>
      </c>
    </row>
    <row r="5416" spans="1:5" x14ac:dyDescent="0.25">
      <c r="A5416" s="115" t="s">
        <v>1137</v>
      </c>
      <c r="B5416" s="115" t="s">
        <v>8505</v>
      </c>
      <c r="D5416" s="115" t="s">
        <v>8506</v>
      </c>
      <c r="E5416" s="115" t="s">
        <v>8507</v>
      </c>
    </row>
    <row r="5417" spans="1:5" x14ac:dyDescent="0.25">
      <c r="B5417" s="115" t="s">
        <v>2659</v>
      </c>
      <c r="D5417" s="115" t="s">
        <v>8508</v>
      </c>
      <c r="E5417" s="115" t="s">
        <v>8509</v>
      </c>
    </row>
    <row r="5418" spans="1:5" x14ac:dyDescent="0.25">
      <c r="B5418" s="115" t="s">
        <v>1138</v>
      </c>
      <c r="D5418" s="115" t="s">
        <v>8510</v>
      </c>
      <c r="E5418" s="115" t="s">
        <v>8511</v>
      </c>
    </row>
    <row r="5419" spans="1:5" x14ac:dyDescent="0.25">
      <c r="B5419" s="115" t="s">
        <v>1138</v>
      </c>
      <c r="D5419" s="115" t="s">
        <v>8512</v>
      </c>
      <c r="E5419" s="115" t="s">
        <v>8513</v>
      </c>
    </row>
    <row r="5420" spans="1:5" x14ac:dyDescent="0.25">
      <c r="B5420" s="115" t="s">
        <v>8514</v>
      </c>
      <c r="D5420" s="115" t="s">
        <v>8515</v>
      </c>
      <c r="E5420" s="115" t="s">
        <v>1893</v>
      </c>
    </row>
    <row r="5421" spans="1:5" x14ac:dyDescent="0.25">
      <c r="B5421" s="115" t="s">
        <v>1138</v>
      </c>
      <c r="D5421" s="115" t="s">
        <v>8516</v>
      </c>
      <c r="E5421" s="115" t="s">
        <v>8517</v>
      </c>
    </row>
    <row r="5422" spans="1:5" x14ac:dyDescent="0.25">
      <c r="B5422" s="115" t="s">
        <v>1138</v>
      </c>
      <c r="D5422" s="115" t="s">
        <v>8518</v>
      </c>
      <c r="E5422" s="115" t="s">
        <v>8519</v>
      </c>
    </row>
    <row r="5423" spans="1:5" x14ac:dyDescent="0.25">
      <c r="B5423" s="115" t="s">
        <v>1138</v>
      </c>
      <c r="D5423" s="115" t="s">
        <v>8520</v>
      </c>
      <c r="E5423" s="115" t="s">
        <v>8521</v>
      </c>
    </row>
    <row r="5424" spans="1:5" x14ac:dyDescent="0.25">
      <c r="B5424" s="115" t="s">
        <v>1138</v>
      </c>
      <c r="D5424" s="115" t="s">
        <v>8522</v>
      </c>
      <c r="E5424" s="115" t="s">
        <v>8523</v>
      </c>
    </row>
    <row r="5425" spans="1:5" x14ac:dyDescent="0.25">
      <c r="B5425" s="115" t="s">
        <v>8524</v>
      </c>
      <c r="D5425" s="115" t="s">
        <v>1139</v>
      </c>
      <c r="E5425" s="115" t="s">
        <v>8525</v>
      </c>
    </row>
    <row r="5426" spans="1:5" x14ac:dyDescent="0.25">
      <c r="A5426" s="115" t="s">
        <v>1137</v>
      </c>
      <c r="B5426" s="115" t="s">
        <v>8526</v>
      </c>
      <c r="D5426" s="115" t="s">
        <v>8527</v>
      </c>
      <c r="E5426" s="115" t="s">
        <v>8528</v>
      </c>
    </row>
    <row r="5427" spans="1:5" x14ac:dyDescent="0.25">
      <c r="A5427" s="115" t="s">
        <v>1137</v>
      </c>
      <c r="B5427" s="115" t="s">
        <v>1467</v>
      </c>
      <c r="D5427" s="115" t="s">
        <v>1139</v>
      </c>
      <c r="E5427" s="115" t="s">
        <v>8529</v>
      </c>
    </row>
    <row r="5428" spans="1:5" x14ac:dyDescent="0.25">
      <c r="B5428" s="115" t="s">
        <v>1138</v>
      </c>
      <c r="D5428" s="115" t="s">
        <v>1139</v>
      </c>
      <c r="E5428" s="115" t="s">
        <v>1140</v>
      </c>
    </row>
    <row r="5429" spans="1:5" x14ac:dyDescent="0.25">
      <c r="B5429" s="115" t="s">
        <v>1138</v>
      </c>
      <c r="D5429" s="115" t="s">
        <v>8530</v>
      </c>
      <c r="E5429" s="115" t="s">
        <v>8531</v>
      </c>
    </row>
    <row r="5430" spans="1:5" x14ac:dyDescent="0.25">
      <c r="B5430" s="115" t="s">
        <v>1554</v>
      </c>
      <c r="D5430" s="115" t="s">
        <v>8532</v>
      </c>
      <c r="E5430" s="115" t="s">
        <v>8533</v>
      </c>
    </row>
    <row r="5431" spans="1:5" x14ac:dyDescent="0.25">
      <c r="A5431" s="115">
        <v>-18</v>
      </c>
      <c r="B5431" s="115" t="s">
        <v>8534</v>
      </c>
      <c r="C5431" s="115" t="s">
        <v>1137</v>
      </c>
      <c r="D5431" s="115" t="s">
        <v>8535</v>
      </c>
      <c r="E5431" s="115" t="s">
        <v>8536</v>
      </c>
    </row>
    <row r="5432" spans="1:5" x14ac:dyDescent="0.25">
      <c r="B5432" s="115" t="s">
        <v>8537</v>
      </c>
      <c r="D5432" s="115" t="s">
        <v>8538</v>
      </c>
      <c r="E5432" s="115" t="s">
        <v>8539</v>
      </c>
    </row>
    <row r="5433" spans="1:5" x14ac:dyDescent="0.25">
      <c r="B5433" s="115" t="s">
        <v>8540</v>
      </c>
      <c r="D5433" s="115" t="s">
        <v>8541</v>
      </c>
      <c r="E5433" s="115" t="s">
        <v>8542</v>
      </c>
    </row>
    <row r="5434" spans="1:5" x14ac:dyDescent="0.25">
      <c r="A5434" s="115" t="s">
        <v>1137</v>
      </c>
      <c r="B5434" s="115" t="s">
        <v>8543</v>
      </c>
      <c r="D5434" s="115" t="s">
        <v>8544</v>
      </c>
      <c r="E5434" s="115" t="s">
        <v>8545</v>
      </c>
    </row>
    <row r="5435" spans="1:5" x14ac:dyDescent="0.25">
      <c r="B5435" s="115" t="s">
        <v>8546</v>
      </c>
      <c r="D5435" s="115" t="s">
        <v>8547</v>
      </c>
      <c r="E5435" s="115" t="s">
        <v>8548</v>
      </c>
    </row>
    <row r="5436" spans="1:5" x14ac:dyDescent="0.25">
      <c r="A5436" s="115">
        <v>18</v>
      </c>
      <c r="B5436" s="115" t="s">
        <v>8549</v>
      </c>
      <c r="C5436" s="115">
        <v>-2</v>
      </c>
      <c r="D5436" s="115" t="s">
        <v>8550</v>
      </c>
      <c r="E5436" s="115" t="s">
        <v>8551</v>
      </c>
    </row>
    <row r="5437" spans="1:5" x14ac:dyDescent="0.25">
      <c r="B5437" s="115" t="s">
        <v>1138</v>
      </c>
      <c r="D5437" s="115" t="s">
        <v>8552</v>
      </c>
      <c r="E5437" s="115" t="s">
        <v>1140</v>
      </c>
    </row>
    <row r="5438" spans="1:5" x14ac:dyDescent="0.25">
      <c r="B5438" s="115" t="s">
        <v>1138</v>
      </c>
      <c r="D5438" s="115" t="s">
        <v>8553</v>
      </c>
      <c r="E5438" s="115" t="s">
        <v>8554</v>
      </c>
    </row>
    <row r="5439" spans="1:5" x14ac:dyDescent="0.25">
      <c r="A5439" s="115">
        <v>1</v>
      </c>
      <c r="B5439" s="115" t="s">
        <v>8555</v>
      </c>
      <c r="D5439" s="115" t="s">
        <v>4987</v>
      </c>
      <c r="E5439" s="115" t="s">
        <v>8556</v>
      </c>
    </row>
    <row r="5440" spans="1:5" x14ac:dyDescent="0.25">
      <c r="B5440" s="115" t="s">
        <v>1380</v>
      </c>
      <c r="D5440" s="115" t="s">
        <v>1139</v>
      </c>
      <c r="E5440" s="115" t="s">
        <v>8557</v>
      </c>
    </row>
    <row r="5441" spans="1:5" x14ac:dyDescent="0.25">
      <c r="B5441" s="115" t="s">
        <v>1138</v>
      </c>
      <c r="D5441" s="115" t="s">
        <v>8558</v>
      </c>
      <c r="E5441" s="115" t="s">
        <v>8559</v>
      </c>
    </row>
    <row r="5442" spans="1:5" x14ac:dyDescent="0.25">
      <c r="B5442" s="115" t="s">
        <v>1138</v>
      </c>
      <c r="D5442" s="115">
        <f>-882   -512   -261</f>
        <v>-1655</v>
      </c>
      <c r="E5442" s="115" t="s">
        <v>8560</v>
      </c>
    </row>
    <row r="5443" spans="1:5" x14ac:dyDescent="0.25">
      <c r="B5443" s="115" t="s">
        <v>8561</v>
      </c>
      <c r="D5443" s="115" t="s">
        <v>8562</v>
      </c>
      <c r="E5443" s="115" t="s">
        <v>8563</v>
      </c>
    </row>
    <row r="5444" spans="1:5" x14ac:dyDescent="0.25">
      <c r="B5444" s="115" t="s">
        <v>8564</v>
      </c>
      <c r="D5444" s="115" t="s">
        <v>8565</v>
      </c>
      <c r="E5444" s="115" t="s">
        <v>8566</v>
      </c>
    </row>
    <row r="5445" spans="1:5" x14ac:dyDescent="0.25">
      <c r="A5445" s="115">
        <v>2</v>
      </c>
      <c r="B5445" s="115" t="s">
        <v>8567</v>
      </c>
      <c r="D5445" s="115" t="s">
        <v>8568</v>
      </c>
      <c r="E5445" s="115" t="s">
        <v>8569</v>
      </c>
    </row>
    <row r="5446" spans="1:5" x14ac:dyDescent="0.25">
      <c r="B5446" s="115" t="s">
        <v>8570</v>
      </c>
      <c r="D5446" s="115" t="s">
        <v>8571</v>
      </c>
      <c r="E5446" s="115" t="s">
        <v>8572</v>
      </c>
    </row>
    <row r="5447" spans="1:5" x14ac:dyDescent="0.25">
      <c r="B5447" s="115" t="s">
        <v>8573</v>
      </c>
      <c r="D5447" s="115" t="s">
        <v>8574</v>
      </c>
      <c r="E5447" s="115" t="s">
        <v>8575</v>
      </c>
    </row>
    <row r="5448" spans="1:5" x14ac:dyDescent="0.25">
      <c r="B5448" s="115" t="s">
        <v>8576</v>
      </c>
      <c r="D5448" s="115" t="s">
        <v>8577</v>
      </c>
      <c r="E5448" s="115" t="s">
        <v>8578</v>
      </c>
    </row>
    <row r="5449" spans="1:5" x14ac:dyDescent="0.25">
      <c r="B5449" s="115" t="s">
        <v>1138</v>
      </c>
      <c r="D5449" s="115" t="s">
        <v>8579</v>
      </c>
      <c r="E5449" s="115" t="s">
        <v>8580</v>
      </c>
    </row>
    <row r="5450" spans="1:5" x14ac:dyDescent="0.25">
      <c r="B5450" s="115" t="s">
        <v>8581</v>
      </c>
      <c r="D5450" s="115" t="s">
        <v>8582</v>
      </c>
      <c r="E5450" s="115" t="s">
        <v>8583</v>
      </c>
    </row>
    <row r="5451" spans="1:5" x14ac:dyDescent="0.25">
      <c r="B5451" s="115" t="s">
        <v>8584</v>
      </c>
      <c r="D5451" s="115">
        <f>-171  -1078   -555</f>
        <v>-1804</v>
      </c>
      <c r="E5451" s="115" t="s">
        <v>8585</v>
      </c>
    </row>
    <row r="5452" spans="1:5" x14ac:dyDescent="0.25">
      <c r="B5452" s="115" t="s">
        <v>8586</v>
      </c>
      <c r="D5452" s="115" t="s">
        <v>8587</v>
      </c>
      <c r="E5452" s="115" t="s">
        <v>1140</v>
      </c>
    </row>
    <row r="5453" spans="1:5" x14ac:dyDescent="0.25">
      <c r="B5453" s="115" t="s">
        <v>8588</v>
      </c>
      <c r="D5453" s="115" t="s">
        <v>8589</v>
      </c>
      <c r="E5453" s="115" t="s">
        <v>2536</v>
      </c>
    </row>
    <row r="5454" spans="1:5" x14ac:dyDescent="0.25">
      <c r="B5454" s="115" t="s">
        <v>8590</v>
      </c>
      <c r="C5454" s="115" t="s">
        <v>1137</v>
      </c>
      <c r="D5454" s="115" t="s">
        <v>8591</v>
      </c>
      <c r="E5454" s="115" t="s">
        <v>8592</v>
      </c>
    </row>
    <row r="5455" spans="1:5" x14ac:dyDescent="0.25">
      <c r="B5455" s="115" t="s">
        <v>8593</v>
      </c>
      <c r="D5455" s="115" t="s">
        <v>8594</v>
      </c>
      <c r="E5455" s="115" t="s">
        <v>8595</v>
      </c>
    </row>
    <row r="5456" spans="1:5" x14ac:dyDescent="0.25">
      <c r="B5456" s="115" t="s">
        <v>8596</v>
      </c>
      <c r="D5456" s="115" t="s">
        <v>8597</v>
      </c>
      <c r="E5456" s="115" t="s">
        <v>8598</v>
      </c>
    </row>
    <row r="5457" spans="1:5" x14ac:dyDescent="0.25">
      <c r="B5457" s="115" t="s">
        <v>1138</v>
      </c>
      <c r="D5457" s="115" t="s">
        <v>1139</v>
      </c>
      <c r="E5457" s="115" t="s">
        <v>8599</v>
      </c>
    </row>
    <row r="5458" spans="1:5" x14ac:dyDescent="0.25">
      <c r="B5458" s="115" t="s">
        <v>8600</v>
      </c>
      <c r="D5458" s="115" t="s">
        <v>8601</v>
      </c>
      <c r="E5458" s="115" t="s">
        <v>8602</v>
      </c>
    </row>
    <row r="5459" spans="1:5" x14ac:dyDescent="0.25">
      <c r="B5459" s="115" t="s">
        <v>1138</v>
      </c>
      <c r="D5459" s="115" t="s">
        <v>8603</v>
      </c>
      <c r="E5459" s="115" t="s">
        <v>1140</v>
      </c>
    </row>
    <row r="5460" spans="1:5" x14ac:dyDescent="0.25">
      <c r="B5460" s="115" t="s">
        <v>1138</v>
      </c>
      <c r="D5460" s="115" t="s">
        <v>1139</v>
      </c>
      <c r="E5460" s="115" t="s">
        <v>1140</v>
      </c>
    </row>
    <row r="5461" spans="1:5" x14ac:dyDescent="0.25">
      <c r="B5461" s="115" t="s">
        <v>8604</v>
      </c>
      <c r="D5461" s="115" t="s">
        <v>1139</v>
      </c>
      <c r="E5461" s="115" t="s">
        <v>8605</v>
      </c>
    </row>
    <row r="5462" spans="1:5" x14ac:dyDescent="0.25">
      <c r="A5462" s="115">
        <v>-1</v>
      </c>
      <c r="B5462" s="115" t="s">
        <v>8606</v>
      </c>
      <c r="C5462" s="115" t="s">
        <v>1137</v>
      </c>
      <c r="D5462" s="115" t="s">
        <v>8607</v>
      </c>
      <c r="E5462" s="115" t="s">
        <v>8608</v>
      </c>
    </row>
    <row r="5463" spans="1:5" x14ac:dyDescent="0.25">
      <c r="A5463" s="115">
        <v>-7</v>
      </c>
      <c r="B5463" s="115" t="s">
        <v>8609</v>
      </c>
      <c r="C5463" s="115">
        <v>2</v>
      </c>
      <c r="D5463" s="115" t="s">
        <v>8610</v>
      </c>
      <c r="E5463" s="115" t="s">
        <v>8611</v>
      </c>
    </row>
    <row r="5464" spans="1:5" x14ac:dyDescent="0.25">
      <c r="B5464" s="115" t="s">
        <v>8612</v>
      </c>
      <c r="D5464" s="115" t="s">
        <v>8613</v>
      </c>
      <c r="E5464" s="115" t="s">
        <v>8614</v>
      </c>
    </row>
    <row r="5465" spans="1:5" x14ac:dyDescent="0.25">
      <c r="B5465" s="115" t="s">
        <v>8615</v>
      </c>
      <c r="D5465" s="115" t="s">
        <v>8616</v>
      </c>
      <c r="E5465" s="115" t="s">
        <v>8617</v>
      </c>
    </row>
    <row r="5466" spans="1:5" x14ac:dyDescent="0.25">
      <c r="B5466" s="115" t="s">
        <v>8618</v>
      </c>
      <c r="D5466" s="115" t="s">
        <v>8619</v>
      </c>
      <c r="E5466" s="115" t="s">
        <v>8620</v>
      </c>
    </row>
    <row r="5467" spans="1:5" x14ac:dyDescent="0.25">
      <c r="B5467" s="115" t="s">
        <v>8621</v>
      </c>
      <c r="D5467" s="115" t="s">
        <v>8622</v>
      </c>
      <c r="E5467" s="115" t="s">
        <v>8623</v>
      </c>
    </row>
    <row r="5468" spans="1:5" x14ac:dyDescent="0.25">
      <c r="B5468" s="115">
        <f>-70 -26273</f>
        <v>-26343</v>
      </c>
      <c r="D5468" s="115" t="s">
        <v>8624</v>
      </c>
      <c r="E5468" s="115" t="s">
        <v>8625</v>
      </c>
    </row>
    <row r="5469" spans="1:5" x14ac:dyDescent="0.25">
      <c r="B5469" s="115" t="s">
        <v>1138</v>
      </c>
      <c r="D5469" s="115" t="s">
        <v>8626</v>
      </c>
      <c r="E5469" s="115" t="s">
        <v>1140</v>
      </c>
    </row>
    <row r="5470" spans="1:5" x14ac:dyDescent="0.25">
      <c r="B5470" s="115" t="s">
        <v>1138</v>
      </c>
      <c r="D5470" s="115" t="s">
        <v>8627</v>
      </c>
      <c r="E5470" s="115" t="s">
        <v>8628</v>
      </c>
    </row>
    <row r="5471" spans="1:5" x14ac:dyDescent="0.25">
      <c r="A5471" s="115">
        <v>1</v>
      </c>
      <c r="B5471" s="115" t="s">
        <v>8629</v>
      </c>
      <c r="D5471" s="115" t="s">
        <v>4884</v>
      </c>
      <c r="E5471" s="115" t="s">
        <v>8630</v>
      </c>
    </row>
    <row r="5472" spans="1:5" x14ac:dyDescent="0.25">
      <c r="B5472" s="115" t="s">
        <v>1138</v>
      </c>
      <c r="D5472" s="115" t="s">
        <v>2361</v>
      </c>
      <c r="E5472" s="115" t="s">
        <v>2081</v>
      </c>
    </row>
    <row r="5473" spans="1:5" x14ac:dyDescent="0.25">
      <c r="B5473" s="115" t="s">
        <v>1138</v>
      </c>
      <c r="D5473" s="115" t="s">
        <v>8631</v>
      </c>
      <c r="E5473" s="115" t="s">
        <v>8632</v>
      </c>
    </row>
    <row r="5474" spans="1:5" x14ac:dyDescent="0.25">
      <c r="B5474" s="115" t="s">
        <v>1206</v>
      </c>
      <c r="D5474" s="115" t="s">
        <v>8633</v>
      </c>
      <c r="E5474" s="115" t="s">
        <v>8634</v>
      </c>
    </row>
    <row r="5475" spans="1:5" x14ac:dyDescent="0.25">
      <c r="B5475" s="115" t="s">
        <v>8635</v>
      </c>
      <c r="D5475" s="115" t="s">
        <v>8636</v>
      </c>
      <c r="E5475" s="115" t="s">
        <v>1140</v>
      </c>
    </row>
    <row r="5476" spans="1:5" x14ac:dyDescent="0.25">
      <c r="B5476" s="115" t="s">
        <v>8637</v>
      </c>
      <c r="D5476" s="115" t="s">
        <v>8638</v>
      </c>
      <c r="E5476" s="115" t="s">
        <v>8639</v>
      </c>
    </row>
    <row r="5477" spans="1:5" x14ac:dyDescent="0.25">
      <c r="A5477" s="115" t="s">
        <v>1137</v>
      </c>
      <c r="B5477" s="115" t="s">
        <v>8640</v>
      </c>
      <c r="D5477" s="115" t="s">
        <v>8641</v>
      </c>
      <c r="E5477" s="115" t="s">
        <v>8642</v>
      </c>
    </row>
    <row r="5478" spans="1:5" x14ac:dyDescent="0.25">
      <c r="A5478" s="115" t="s">
        <v>1137</v>
      </c>
      <c r="B5478" s="115" t="s">
        <v>8643</v>
      </c>
      <c r="D5478" s="115" t="s">
        <v>8644</v>
      </c>
      <c r="E5478" s="115" t="s">
        <v>1140</v>
      </c>
    </row>
    <row r="5479" spans="1:5" x14ac:dyDescent="0.25">
      <c r="B5479" s="115" t="s">
        <v>8645</v>
      </c>
      <c r="D5479" s="115" t="s">
        <v>8646</v>
      </c>
      <c r="E5479" s="115" t="s">
        <v>8647</v>
      </c>
    </row>
    <row r="5480" spans="1:5" x14ac:dyDescent="0.25">
      <c r="A5480" s="115">
        <v>2</v>
      </c>
      <c r="B5480" s="115" t="s">
        <v>1576</v>
      </c>
      <c r="D5480" s="115" t="s">
        <v>8648</v>
      </c>
      <c r="E5480" s="115" t="s">
        <v>8649</v>
      </c>
    </row>
    <row r="5481" spans="1:5" x14ac:dyDescent="0.25">
      <c r="B5481" s="115" t="s">
        <v>5193</v>
      </c>
      <c r="D5481" s="115" t="s">
        <v>8650</v>
      </c>
      <c r="E5481" s="115" t="s">
        <v>1858</v>
      </c>
    </row>
    <row r="5482" spans="1:5" x14ac:dyDescent="0.25">
      <c r="B5482" s="115" t="s">
        <v>8651</v>
      </c>
      <c r="D5482" s="115" t="s">
        <v>8652</v>
      </c>
      <c r="E5482" s="115" t="s">
        <v>8653</v>
      </c>
    </row>
    <row r="5483" spans="1:5" x14ac:dyDescent="0.25">
      <c r="B5483" s="115" t="s">
        <v>8654</v>
      </c>
      <c r="C5483" s="115" t="s">
        <v>1137</v>
      </c>
      <c r="D5483" s="115" t="s">
        <v>8655</v>
      </c>
      <c r="E5483" s="115" t="s">
        <v>8656</v>
      </c>
    </row>
    <row r="5484" spans="1:5" x14ac:dyDescent="0.25">
      <c r="A5484" s="115" t="s">
        <v>1137</v>
      </c>
      <c r="B5484" s="115" t="s">
        <v>8657</v>
      </c>
      <c r="C5484" s="115" t="s">
        <v>1137</v>
      </c>
      <c r="D5484" s="115" t="s">
        <v>8658</v>
      </c>
      <c r="E5484" s="115" t="s">
        <v>1140</v>
      </c>
    </row>
    <row r="5485" spans="1:5" x14ac:dyDescent="0.25">
      <c r="A5485" s="115">
        <v>1</v>
      </c>
      <c r="B5485" s="115" t="s">
        <v>8659</v>
      </c>
      <c r="D5485" s="115" t="s">
        <v>8660</v>
      </c>
      <c r="E5485" s="115" t="s">
        <v>1140</v>
      </c>
    </row>
    <row r="5486" spans="1:5" x14ac:dyDescent="0.25">
      <c r="A5486" s="115">
        <v>-4</v>
      </c>
      <c r="B5486" s="115" t="s">
        <v>8661</v>
      </c>
      <c r="D5486" s="115" t="s">
        <v>8662</v>
      </c>
      <c r="E5486" s="115" t="s">
        <v>8663</v>
      </c>
    </row>
    <row r="5487" spans="1:5" x14ac:dyDescent="0.25">
      <c r="A5487" s="115">
        <v>-1</v>
      </c>
      <c r="B5487" s="115" t="s">
        <v>8664</v>
      </c>
      <c r="C5487" s="115" t="s">
        <v>1137</v>
      </c>
      <c r="D5487" s="115" t="s">
        <v>8665</v>
      </c>
      <c r="E5487" s="115" t="s">
        <v>1818</v>
      </c>
    </row>
    <row r="5488" spans="1:5" x14ac:dyDescent="0.25">
      <c r="A5488" s="115">
        <v>1</v>
      </c>
      <c r="B5488" s="115" t="s">
        <v>8666</v>
      </c>
      <c r="D5488" s="115" t="s">
        <v>8667</v>
      </c>
      <c r="E5488" s="115" t="s">
        <v>8668</v>
      </c>
    </row>
    <row r="5489" spans="1:5" x14ac:dyDescent="0.25">
      <c r="B5489" s="115" t="s">
        <v>1138</v>
      </c>
      <c r="D5489" s="115" t="s">
        <v>1139</v>
      </c>
      <c r="E5489" s="115" t="s">
        <v>8669</v>
      </c>
    </row>
    <row r="5490" spans="1:5" x14ac:dyDescent="0.25">
      <c r="B5490" s="115" t="s">
        <v>8670</v>
      </c>
      <c r="D5490" s="115" t="s">
        <v>8671</v>
      </c>
      <c r="E5490" s="115" t="s">
        <v>8672</v>
      </c>
    </row>
    <row r="5491" spans="1:5" x14ac:dyDescent="0.25">
      <c r="B5491" s="115" t="s">
        <v>1138</v>
      </c>
      <c r="D5491" s="115" t="s">
        <v>8673</v>
      </c>
      <c r="E5491" s="115" t="s">
        <v>1140</v>
      </c>
    </row>
    <row r="5492" spans="1:5" x14ac:dyDescent="0.25">
      <c r="B5492" s="115" t="s">
        <v>1138</v>
      </c>
      <c r="D5492" s="115" t="s">
        <v>1139</v>
      </c>
      <c r="E5492" s="115" t="s">
        <v>1140</v>
      </c>
    </row>
    <row r="5493" spans="1:5" x14ac:dyDescent="0.25">
      <c r="A5493" s="115">
        <v>-1</v>
      </c>
      <c r="B5493" s="115" t="s">
        <v>1329</v>
      </c>
      <c r="D5493" s="115" t="s">
        <v>8674</v>
      </c>
      <c r="E5493" s="115" t="s">
        <v>8675</v>
      </c>
    </row>
    <row r="5494" spans="1:5" x14ac:dyDescent="0.25">
      <c r="A5494" s="115">
        <v>-2</v>
      </c>
      <c r="B5494" s="115" t="s">
        <v>8676</v>
      </c>
      <c r="D5494" s="115" t="s">
        <v>8677</v>
      </c>
      <c r="E5494" s="115" t="s">
        <v>8678</v>
      </c>
    </row>
    <row r="5495" spans="1:5" x14ac:dyDescent="0.25">
      <c r="A5495" s="115">
        <v>-10</v>
      </c>
      <c r="B5495" s="115" t="s">
        <v>8679</v>
      </c>
      <c r="D5495" s="115" t="s">
        <v>8680</v>
      </c>
      <c r="E5495" s="115" t="s">
        <v>8681</v>
      </c>
    </row>
    <row r="5496" spans="1:5" x14ac:dyDescent="0.25">
      <c r="A5496" s="115">
        <v>-1</v>
      </c>
      <c r="B5496" s="115" t="s">
        <v>8682</v>
      </c>
      <c r="D5496" s="115" t="s">
        <v>8683</v>
      </c>
      <c r="E5496" s="115" t="s">
        <v>8684</v>
      </c>
    </row>
    <row r="5497" spans="1:5" x14ac:dyDescent="0.25">
      <c r="B5497" s="115" t="s">
        <v>8685</v>
      </c>
      <c r="C5497" s="115" t="s">
        <v>1137</v>
      </c>
      <c r="D5497" s="115" t="s">
        <v>8686</v>
      </c>
      <c r="E5497" s="115" t="s">
        <v>8687</v>
      </c>
    </row>
    <row r="5498" spans="1:5" x14ac:dyDescent="0.25">
      <c r="A5498" s="115" t="s">
        <v>1137</v>
      </c>
      <c r="B5498" s="115" t="s">
        <v>8688</v>
      </c>
      <c r="D5498" s="115" t="s">
        <v>8689</v>
      </c>
      <c r="E5498" s="115" t="s">
        <v>8690</v>
      </c>
    </row>
    <row r="5499" spans="1:5" x14ac:dyDescent="0.25">
      <c r="A5499" s="115">
        <v>1</v>
      </c>
      <c r="B5499" s="115" t="s">
        <v>8691</v>
      </c>
      <c r="D5499" s="115" t="s">
        <v>8692</v>
      </c>
      <c r="E5499" s="115" t="s">
        <v>8693</v>
      </c>
    </row>
    <row r="5500" spans="1:5" x14ac:dyDescent="0.25">
      <c r="A5500" s="115" t="s">
        <v>1137</v>
      </c>
      <c r="B5500" s="115" t="s">
        <v>8694</v>
      </c>
      <c r="D5500" s="115" t="s">
        <v>8695</v>
      </c>
      <c r="E5500" s="115" t="s">
        <v>8696</v>
      </c>
    </row>
    <row r="5501" spans="1:5" x14ac:dyDescent="0.25">
      <c r="B5501" s="115" t="s">
        <v>1138</v>
      </c>
      <c r="D5501" s="115" t="s">
        <v>8697</v>
      </c>
      <c r="E5501" s="115" t="s">
        <v>1140</v>
      </c>
    </row>
    <row r="5502" spans="1:5" x14ac:dyDescent="0.25">
      <c r="B5502" s="115" t="s">
        <v>1138</v>
      </c>
      <c r="D5502" s="115" t="s">
        <v>8698</v>
      </c>
      <c r="E5502" s="115" t="s">
        <v>8699</v>
      </c>
    </row>
    <row r="5503" spans="1:5" x14ac:dyDescent="0.25">
      <c r="B5503" s="115" t="s">
        <v>8700</v>
      </c>
      <c r="D5503" s="115" t="s">
        <v>5507</v>
      </c>
      <c r="E5503" s="115" t="s">
        <v>8701</v>
      </c>
    </row>
    <row r="5504" spans="1:5" x14ac:dyDescent="0.25">
      <c r="B5504" s="115" t="s">
        <v>1138</v>
      </c>
      <c r="D5504" s="115" t="s">
        <v>2057</v>
      </c>
      <c r="E5504" s="115" t="s">
        <v>2081</v>
      </c>
    </row>
    <row r="5505" spans="1:5" x14ac:dyDescent="0.25">
      <c r="B5505" s="115" t="s">
        <v>1138</v>
      </c>
      <c r="D5505" s="115" t="s">
        <v>8702</v>
      </c>
      <c r="E5505" s="115" t="s">
        <v>8703</v>
      </c>
    </row>
    <row r="5506" spans="1:5" x14ac:dyDescent="0.25">
      <c r="B5506" s="115" t="s">
        <v>8704</v>
      </c>
      <c r="D5506" s="115" t="s">
        <v>8705</v>
      </c>
      <c r="E5506" s="115" t="s">
        <v>8706</v>
      </c>
    </row>
    <row r="5507" spans="1:5" x14ac:dyDescent="0.25">
      <c r="B5507" s="115" t="s">
        <v>8707</v>
      </c>
      <c r="D5507" s="115" t="s">
        <v>8708</v>
      </c>
      <c r="E5507" s="115" t="s">
        <v>1701</v>
      </c>
    </row>
    <row r="5508" spans="1:5" x14ac:dyDescent="0.25">
      <c r="B5508" s="115" t="s">
        <v>8709</v>
      </c>
      <c r="D5508" s="115" t="s">
        <v>8710</v>
      </c>
      <c r="E5508" s="115" t="s">
        <v>8711</v>
      </c>
    </row>
    <row r="5509" spans="1:5" x14ac:dyDescent="0.25">
      <c r="A5509" s="115">
        <v>-2</v>
      </c>
      <c r="B5509" s="115" t="s">
        <v>8712</v>
      </c>
      <c r="D5509" s="115" t="s">
        <v>8713</v>
      </c>
      <c r="E5509" s="115" t="s">
        <v>8714</v>
      </c>
    </row>
    <row r="5510" spans="1:5" x14ac:dyDescent="0.25">
      <c r="A5510" s="115" t="s">
        <v>1137</v>
      </c>
      <c r="B5510" s="115" t="s">
        <v>1427</v>
      </c>
      <c r="D5510" s="115" t="s">
        <v>8715</v>
      </c>
      <c r="E5510" s="115" t="s">
        <v>1701</v>
      </c>
    </row>
    <row r="5511" spans="1:5" x14ac:dyDescent="0.25">
      <c r="B5511" s="115" t="s">
        <v>8716</v>
      </c>
      <c r="D5511" s="115" t="s">
        <v>8717</v>
      </c>
      <c r="E5511" s="115" t="s">
        <v>8718</v>
      </c>
    </row>
    <row r="5512" spans="1:5" x14ac:dyDescent="0.25">
      <c r="A5512" s="115">
        <v>-1</v>
      </c>
      <c r="B5512" s="115" t="s">
        <v>1279</v>
      </c>
      <c r="D5512" s="115" t="s">
        <v>8719</v>
      </c>
      <c r="E5512" s="115" t="s">
        <v>8720</v>
      </c>
    </row>
    <row r="5513" spans="1:5" x14ac:dyDescent="0.25">
      <c r="B5513" s="115" t="s">
        <v>8721</v>
      </c>
      <c r="D5513" s="115" t="s">
        <v>8722</v>
      </c>
      <c r="E5513" s="115" t="s">
        <v>1818</v>
      </c>
    </row>
    <row r="5514" spans="1:5" x14ac:dyDescent="0.25">
      <c r="B5514" s="115" t="s">
        <v>8723</v>
      </c>
      <c r="D5514" s="115" t="s">
        <v>8724</v>
      </c>
      <c r="E5514" s="115" t="s">
        <v>8725</v>
      </c>
    </row>
    <row r="5515" spans="1:5" x14ac:dyDescent="0.25">
      <c r="A5515" s="115" t="s">
        <v>1137</v>
      </c>
      <c r="B5515" s="115" t="s">
        <v>8726</v>
      </c>
      <c r="C5515" s="115" t="s">
        <v>1137</v>
      </c>
      <c r="D5515" s="115" t="s">
        <v>8727</v>
      </c>
      <c r="E5515" s="115" t="s">
        <v>8728</v>
      </c>
    </row>
    <row r="5516" spans="1:5" x14ac:dyDescent="0.25">
      <c r="A5516" s="115">
        <v>-1</v>
      </c>
      <c r="B5516" s="115" t="s">
        <v>1408</v>
      </c>
      <c r="C5516" s="115" t="s">
        <v>1137</v>
      </c>
      <c r="D5516" s="115" t="s">
        <v>8729</v>
      </c>
      <c r="E5516" s="115" t="s">
        <v>1140</v>
      </c>
    </row>
    <row r="5517" spans="1:5" x14ac:dyDescent="0.25">
      <c r="A5517" s="115">
        <v>2</v>
      </c>
      <c r="B5517" s="115" t="s">
        <v>8730</v>
      </c>
      <c r="D5517" s="115" t="s">
        <v>8731</v>
      </c>
      <c r="E5517" s="115" t="s">
        <v>1140</v>
      </c>
    </row>
    <row r="5518" spans="1:5" x14ac:dyDescent="0.25">
      <c r="A5518" s="115">
        <v>-6</v>
      </c>
      <c r="B5518" s="115" t="s">
        <v>8732</v>
      </c>
      <c r="D5518" s="115" t="s">
        <v>8733</v>
      </c>
      <c r="E5518" s="115" t="s">
        <v>8734</v>
      </c>
    </row>
    <row r="5519" spans="1:5" x14ac:dyDescent="0.25">
      <c r="A5519" s="115">
        <v>-1</v>
      </c>
      <c r="B5519" s="115" t="s">
        <v>3292</v>
      </c>
      <c r="C5519" s="115" t="s">
        <v>1137</v>
      </c>
      <c r="D5519" s="115" t="s">
        <v>8735</v>
      </c>
      <c r="E5519" s="115" t="s">
        <v>2081</v>
      </c>
    </row>
    <row r="5520" spans="1:5" x14ac:dyDescent="0.25">
      <c r="A5520" s="115">
        <v>1</v>
      </c>
      <c r="B5520" s="115" t="s">
        <v>8736</v>
      </c>
      <c r="D5520" s="115" t="s">
        <v>8737</v>
      </c>
      <c r="E5520" s="115" t="s">
        <v>8738</v>
      </c>
    </row>
    <row r="5521" spans="1:5" x14ac:dyDescent="0.25">
      <c r="B5521" s="115" t="s">
        <v>1138</v>
      </c>
      <c r="D5521" s="115" t="s">
        <v>1139</v>
      </c>
      <c r="E5521" s="115" t="s">
        <v>8739</v>
      </c>
    </row>
    <row r="5522" spans="1:5" x14ac:dyDescent="0.25">
      <c r="B5522" s="115" t="s">
        <v>8740</v>
      </c>
      <c r="D5522" s="115" t="s">
        <v>1145</v>
      </c>
      <c r="E5522" s="115" t="s">
        <v>8741</v>
      </c>
    </row>
    <row r="5523" spans="1:5" x14ac:dyDescent="0.25">
      <c r="B5523" s="115" t="s">
        <v>1138</v>
      </c>
      <c r="D5523" s="115" t="s">
        <v>8742</v>
      </c>
      <c r="E5523" s="115" t="s">
        <v>1140</v>
      </c>
    </row>
    <row r="5524" spans="1:5" x14ac:dyDescent="0.25">
      <c r="B5524" s="115" t="s">
        <v>1138</v>
      </c>
      <c r="D5524" s="115" t="s">
        <v>1139</v>
      </c>
      <c r="E5524" s="115" t="s">
        <v>1140</v>
      </c>
    </row>
    <row r="5525" spans="1:5" x14ac:dyDescent="0.25">
      <c r="A5525" s="115" t="s">
        <v>1137</v>
      </c>
      <c r="B5525" s="115" t="s">
        <v>1397</v>
      </c>
      <c r="D5525" s="115" t="s">
        <v>8743</v>
      </c>
      <c r="E5525" s="115" t="s">
        <v>8744</v>
      </c>
    </row>
    <row r="5526" spans="1:5" x14ac:dyDescent="0.25">
      <c r="A5526" s="115">
        <v>-2</v>
      </c>
      <c r="B5526" s="115" t="s">
        <v>8745</v>
      </c>
      <c r="D5526" s="115" t="s">
        <v>8746</v>
      </c>
      <c r="E5526" s="115" t="s">
        <v>8747</v>
      </c>
    </row>
    <row r="5527" spans="1:5" x14ac:dyDescent="0.25">
      <c r="A5527" s="115">
        <v>-40</v>
      </c>
      <c r="B5527" s="115" t="s">
        <v>8748</v>
      </c>
      <c r="D5527" s="115" t="s">
        <v>8749</v>
      </c>
      <c r="E5527" s="115" t="s">
        <v>8750</v>
      </c>
    </row>
    <row r="5528" spans="1:5" x14ac:dyDescent="0.25">
      <c r="A5528" s="115" t="s">
        <v>1137</v>
      </c>
      <c r="B5528" s="115" t="s">
        <v>8751</v>
      </c>
      <c r="D5528" s="115" t="s">
        <v>8752</v>
      </c>
      <c r="E5528" s="115" t="s">
        <v>8753</v>
      </c>
    </row>
    <row r="5529" spans="1:5" x14ac:dyDescent="0.25">
      <c r="A5529" s="115" t="s">
        <v>1137</v>
      </c>
      <c r="B5529" s="115" t="s">
        <v>8754</v>
      </c>
      <c r="D5529" s="115">
        <f>-893   -532   -128   -33</f>
        <v>-1586</v>
      </c>
      <c r="E5529" s="115" t="s">
        <v>8755</v>
      </c>
    </row>
    <row r="5530" spans="1:5" x14ac:dyDescent="0.25">
      <c r="A5530" s="115">
        <v>-1</v>
      </c>
      <c r="B5530" s="115" t="s">
        <v>8756</v>
      </c>
      <c r="D5530" s="115" t="s">
        <v>8757</v>
      </c>
      <c r="E5530" s="115" t="s">
        <v>8758</v>
      </c>
    </row>
    <row r="5531" spans="1:5" x14ac:dyDescent="0.25">
      <c r="A5531" s="115">
        <v>1</v>
      </c>
      <c r="B5531" s="115" t="s">
        <v>8759</v>
      </c>
      <c r="D5531" s="115" t="s">
        <v>8760</v>
      </c>
      <c r="E5531" s="115" t="s">
        <v>8761</v>
      </c>
    </row>
    <row r="5532" spans="1:5" x14ac:dyDescent="0.25">
      <c r="A5532" s="115">
        <v>34</v>
      </c>
      <c r="B5532" s="115" t="s">
        <v>8762</v>
      </c>
      <c r="C5532" s="115">
        <v>-3</v>
      </c>
      <c r="D5532" s="115" t="s">
        <v>8763</v>
      </c>
      <c r="E5532" s="115" t="s">
        <v>8764</v>
      </c>
    </row>
    <row r="5533" spans="1:5" x14ac:dyDescent="0.25">
      <c r="B5533" s="115" t="s">
        <v>1138</v>
      </c>
      <c r="D5533" s="115" t="s">
        <v>8765</v>
      </c>
      <c r="E5533" s="115" t="s">
        <v>1140</v>
      </c>
    </row>
    <row r="5534" spans="1:5" x14ac:dyDescent="0.25">
      <c r="B5534" s="115" t="s">
        <v>1138</v>
      </c>
      <c r="D5534" s="115" t="s">
        <v>8766</v>
      </c>
      <c r="E5534" s="115" t="s">
        <v>8767</v>
      </c>
    </row>
    <row r="5535" spans="1:5" x14ac:dyDescent="0.25">
      <c r="B5535" s="115" t="s">
        <v>8768</v>
      </c>
      <c r="D5535" s="115" t="s">
        <v>8769</v>
      </c>
      <c r="E5535" s="115" t="s">
        <v>8770</v>
      </c>
    </row>
    <row r="5536" spans="1:5" x14ac:dyDescent="0.25">
      <c r="A5536" s="115" t="s">
        <v>1137</v>
      </c>
      <c r="B5536" s="115" t="s">
        <v>1507</v>
      </c>
      <c r="D5536" s="115" t="s">
        <v>1139</v>
      </c>
      <c r="E5536" s="115" t="s">
        <v>8771</v>
      </c>
    </row>
    <row r="5537" spans="1:5" x14ac:dyDescent="0.25">
      <c r="B5537" s="115" t="s">
        <v>1138</v>
      </c>
      <c r="D5537" s="115" t="s">
        <v>8772</v>
      </c>
      <c r="E5537" s="115" t="s">
        <v>8773</v>
      </c>
    </row>
    <row r="5538" spans="1:5" x14ac:dyDescent="0.25">
      <c r="B5538" s="115" t="s">
        <v>1138</v>
      </c>
      <c r="D5538" s="115">
        <f>-937   -601   -254</f>
        <v>-1792</v>
      </c>
      <c r="E5538" s="115" t="s">
        <v>8774</v>
      </c>
    </row>
    <row r="5539" spans="1:5" x14ac:dyDescent="0.25">
      <c r="B5539" s="115" t="s">
        <v>8775</v>
      </c>
      <c r="D5539" s="115">
        <f>-21   -296   -789   -33</f>
        <v>-1139</v>
      </c>
      <c r="E5539" s="115" t="s">
        <v>8776</v>
      </c>
    </row>
    <row r="5540" spans="1:5" x14ac:dyDescent="0.25">
      <c r="B5540" s="115" t="s">
        <v>1623</v>
      </c>
      <c r="D5540" s="115" t="s">
        <v>8777</v>
      </c>
      <c r="E5540" s="115" t="s">
        <v>8778</v>
      </c>
    </row>
    <row r="5541" spans="1:5" x14ac:dyDescent="0.25">
      <c r="A5541" s="115">
        <v>1</v>
      </c>
      <c r="B5541" s="115" t="s">
        <v>8779</v>
      </c>
      <c r="D5541" s="115" t="s">
        <v>8780</v>
      </c>
      <c r="E5541" s="115" t="s">
        <v>8781</v>
      </c>
    </row>
    <row r="5542" spans="1:5" x14ac:dyDescent="0.25">
      <c r="B5542" s="115">
        <f>-33   -328</f>
        <v>-361</v>
      </c>
      <c r="D5542" s="115" t="s">
        <v>8782</v>
      </c>
      <c r="E5542" s="115" t="s">
        <v>8783</v>
      </c>
    </row>
    <row r="5543" spans="1:5" x14ac:dyDescent="0.25">
      <c r="B5543" s="115" t="s">
        <v>8784</v>
      </c>
      <c r="D5543" s="115" t="s">
        <v>8785</v>
      </c>
      <c r="E5543" s="115" t="s">
        <v>8786</v>
      </c>
    </row>
    <row r="5544" spans="1:5" x14ac:dyDescent="0.25">
      <c r="B5544" s="115" t="s">
        <v>8787</v>
      </c>
      <c r="D5544" s="115" t="s">
        <v>8788</v>
      </c>
      <c r="E5544" s="115" t="s">
        <v>8789</v>
      </c>
    </row>
    <row r="5545" spans="1:5" x14ac:dyDescent="0.25">
      <c r="B5545" s="115" t="s">
        <v>1138</v>
      </c>
      <c r="D5545" s="115" t="s">
        <v>8790</v>
      </c>
      <c r="E5545" s="115" t="s">
        <v>8791</v>
      </c>
    </row>
    <row r="5546" spans="1:5" x14ac:dyDescent="0.25">
      <c r="B5546" s="115" t="s">
        <v>8792</v>
      </c>
      <c r="D5546" s="115" t="s">
        <v>8793</v>
      </c>
      <c r="E5546" s="115" t="s">
        <v>8794</v>
      </c>
    </row>
    <row r="5547" spans="1:5" x14ac:dyDescent="0.25">
      <c r="A5547" s="115">
        <v>1</v>
      </c>
      <c r="B5547" s="115" t="s">
        <v>8795</v>
      </c>
      <c r="D5547" s="115">
        <f>-207  -1202   -818</f>
        <v>-2227</v>
      </c>
      <c r="E5547" s="115" t="s">
        <v>8796</v>
      </c>
    </row>
    <row r="5548" spans="1:5" x14ac:dyDescent="0.25">
      <c r="B5548" s="115" t="s">
        <v>8797</v>
      </c>
      <c r="D5548" s="115" t="s">
        <v>8798</v>
      </c>
      <c r="E5548" s="115" t="s">
        <v>1140</v>
      </c>
    </row>
    <row r="5549" spans="1:5" x14ac:dyDescent="0.25">
      <c r="B5549" s="115" t="s">
        <v>8799</v>
      </c>
      <c r="D5549" s="115" t="s">
        <v>8800</v>
      </c>
      <c r="E5549" s="115" t="s">
        <v>1140</v>
      </c>
    </row>
    <row r="5550" spans="1:5" x14ac:dyDescent="0.25">
      <c r="B5550" s="115" t="s">
        <v>8801</v>
      </c>
      <c r="C5550" s="115" t="s">
        <v>1137</v>
      </c>
      <c r="D5550" s="115" t="s">
        <v>8802</v>
      </c>
      <c r="E5550" s="115" t="s">
        <v>8803</v>
      </c>
    </row>
    <row r="5551" spans="1:5" x14ac:dyDescent="0.25">
      <c r="B5551" s="115" t="s">
        <v>8804</v>
      </c>
      <c r="D5551" s="115" t="s">
        <v>8805</v>
      </c>
      <c r="E5551" s="115" t="s">
        <v>8806</v>
      </c>
    </row>
    <row r="5552" spans="1:5" x14ac:dyDescent="0.25">
      <c r="B5552" s="115" t="s">
        <v>8807</v>
      </c>
      <c r="D5552" s="115" t="s">
        <v>8808</v>
      </c>
      <c r="E5552" s="115" t="s">
        <v>8809</v>
      </c>
    </row>
    <row r="5553" spans="1:5" x14ac:dyDescent="0.25">
      <c r="B5553" s="115" t="s">
        <v>1138</v>
      </c>
      <c r="D5553" s="115" t="s">
        <v>1139</v>
      </c>
      <c r="E5553" s="115" t="s">
        <v>8810</v>
      </c>
    </row>
    <row r="5554" spans="1:5" x14ac:dyDescent="0.25">
      <c r="A5554" s="115" t="s">
        <v>1137</v>
      </c>
      <c r="B5554" s="115" t="s">
        <v>8811</v>
      </c>
      <c r="D5554" s="115" t="s">
        <v>8812</v>
      </c>
      <c r="E5554" s="115" t="s">
        <v>8813</v>
      </c>
    </row>
    <row r="5555" spans="1:5" x14ac:dyDescent="0.25">
      <c r="B5555" s="115" t="s">
        <v>1138</v>
      </c>
      <c r="D5555" s="115" t="s">
        <v>8814</v>
      </c>
      <c r="E5555" s="115" t="s">
        <v>2081</v>
      </c>
    </row>
    <row r="5556" spans="1:5" x14ac:dyDescent="0.25">
      <c r="B5556" s="115" t="s">
        <v>1138</v>
      </c>
      <c r="D5556" s="115" t="s">
        <v>1139</v>
      </c>
      <c r="E5556" s="115" t="s">
        <v>1140</v>
      </c>
    </row>
    <row r="5557" spans="1:5" x14ac:dyDescent="0.25">
      <c r="B5557" s="115" t="s">
        <v>3111</v>
      </c>
      <c r="D5557" s="115" t="s">
        <v>1139</v>
      </c>
      <c r="E5557" s="115" t="s">
        <v>8815</v>
      </c>
    </row>
    <row r="5558" spans="1:5" x14ac:dyDescent="0.25">
      <c r="A5558" s="115">
        <v>-2</v>
      </c>
      <c r="B5558" s="115" t="s">
        <v>8816</v>
      </c>
      <c r="C5558" s="115" t="s">
        <v>1137</v>
      </c>
      <c r="D5558" s="115" t="s">
        <v>8817</v>
      </c>
      <c r="E5558" s="115" t="s">
        <v>8818</v>
      </c>
    </row>
    <row r="5559" spans="1:5" x14ac:dyDescent="0.25">
      <c r="A5559" s="115">
        <v>-3</v>
      </c>
      <c r="B5559" s="115" t="s">
        <v>8819</v>
      </c>
      <c r="D5559" s="115" t="s">
        <v>8820</v>
      </c>
      <c r="E5559" s="115" t="s">
        <v>8821</v>
      </c>
    </row>
    <row r="5560" spans="1:5" x14ac:dyDescent="0.25">
      <c r="A5560" s="115">
        <v>-2</v>
      </c>
      <c r="B5560" s="115" t="s">
        <v>8822</v>
      </c>
      <c r="C5560" s="115" t="s">
        <v>1137</v>
      </c>
      <c r="D5560" s="115" t="s">
        <v>8823</v>
      </c>
      <c r="E5560" s="115" t="s">
        <v>8824</v>
      </c>
    </row>
    <row r="5561" spans="1:5" x14ac:dyDescent="0.25">
      <c r="A5561" s="115">
        <v>-1</v>
      </c>
      <c r="B5561" s="115" t="s">
        <v>8825</v>
      </c>
      <c r="C5561" s="115" t="s">
        <v>1137</v>
      </c>
      <c r="D5561" s="115" t="s">
        <v>8826</v>
      </c>
      <c r="E5561" s="115" t="s">
        <v>8827</v>
      </c>
    </row>
    <row r="5562" spans="1:5" x14ac:dyDescent="0.25">
      <c r="A5562" s="115" t="s">
        <v>1137</v>
      </c>
      <c r="B5562" s="115" t="s">
        <v>8828</v>
      </c>
      <c r="C5562" s="115" t="s">
        <v>1137</v>
      </c>
      <c r="D5562" s="115" t="s">
        <v>8829</v>
      </c>
      <c r="E5562" s="115" t="s">
        <v>8830</v>
      </c>
    </row>
    <row r="5563" spans="1:5" x14ac:dyDescent="0.25">
      <c r="B5563" s="115" t="s">
        <v>8831</v>
      </c>
      <c r="D5563" s="115" t="s">
        <v>8832</v>
      </c>
      <c r="E5563" s="115" t="s">
        <v>8833</v>
      </c>
    </row>
    <row r="5564" spans="1:5" x14ac:dyDescent="0.25">
      <c r="A5564" s="115">
        <v>33</v>
      </c>
      <c r="B5564" s="115" t="s">
        <v>8834</v>
      </c>
      <c r="C5564" s="115">
        <v>3</v>
      </c>
      <c r="D5564" s="115" t="s">
        <v>8835</v>
      </c>
      <c r="E5564" s="115" t="s">
        <v>8836</v>
      </c>
    </row>
    <row r="5565" spans="1:5" x14ac:dyDescent="0.25">
      <c r="B5565" s="115" t="s">
        <v>1247</v>
      </c>
      <c r="D5565" s="115" t="s">
        <v>6815</v>
      </c>
      <c r="E5565" s="115" t="s">
        <v>8837</v>
      </c>
    </row>
    <row r="5566" spans="1:5" x14ac:dyDescent="0.25">
      <c r="B5566" s="115" t="s">
        <v>1138</v>
      </c>
      <c r="D5566" s="115" t="s">
        <v>2624</v>
      </c>
      <c r="E5566" s="115" t="s">
        <v>8838</v>
      </c>
    </row>
    <row r="5567" spans="1:5" x14ac:dyDescent="0.25">
      <c r="A5567" s="115">
        <v>-39</v>
      </c>
      <c r="B5567" s="115" t="s">
        <v>1600</v>
      </c>
      <c r="D5567" s="115" t="s">
        <v>8839</v>
      </c>
      <c r="E5567" s="115" t="s">
        <v>8840</v>
      </c>
    </row>
    <row r="5568" spans="1:5" x14ac:dyDescent="0.25">
      <c r="B5568" s="115" t="s">
        <v>1138</v>
      </c>
      <c r="D5568" s="115" t="s">
        <v>6618</v>
      </c>
      <c r="E5568" s="115" t="s">
        <v>1855</v>
      </c>
    </row>
    <row r="5569" spans="1:5" x14ac:dyDescent="0.25">
      <c r="B5569" s="115" t="s">
        <v>1138</v>
      </c>
      <c r="D5569" s="115" t="s">
        <v>1139</v>
      </c>
      <c r="E5569" s="115" t="s">
        <v>8841</v>
      </c>
    </row>
    <row r="5570" spans="1:5" x14ac:dyDescent="0.25">
      <c r="B5570" s="115" t="s">
        <v>1138</v>
      </c>
      <c r="D5570" s="115" t="s">
        <v>8842</v>
      </c>
      <c r="E5570" s="115" t="s">
        <v>8843</v>
      </c>
    </row>
    <row r="5571" spans="1:5" x14ac:dyDescent="0.25">
      <c r="A5571" s="115" t="s">
        <v>1137</v>
      </c>
      <c r="B5571" s="115" t="s">
        <v>8844</v>
      </c>
      <c r="D5571" s="115" t="s">
        <v>8845</v>
      </c>
      <c r="E5571" s="115" t="s">
        <v>8846</v>
      </c>
    </row>
    <row r="5572" spans="1:5" x14ac:dyDescent="0.25">
      <c r="B5572" s="115" t="s">
        <v>1138</v>
      </c>
      <c r="D5572" s="115" t="s">
        <v>8847</v>
      </c>
      <c r="E5572" s="115" t="s">
        <v>8848</v>
      </c>
    </row>
    <row r="5573" spans="1:5" x14ac:dyDescent="0.25">
      <c r="B5573" s="115" t="s">
        <v>8849</v>
      </c>
      <c r="D5573" s="115" t="s">
        <v>8850</v>
      </c>
      <c r="E5573" s="115" t="s">
        <v>8851</v>
      </c>
    </row>
    <row r="5574" spans="1:5" x14ac:dyDescent="0.25">
      <c r="B5574" s="115" t="s">
        <v>1138</v>
      </c>
      <c r="C5574" s="115" t="s">
        <v>1137</v>
      </c>
      <c r="D5574" s="115" t="s">
        <v>8852</v>
      </c>
      <c r="E5574" s="115" t="s">
        <v>8853</v>
      </c>
    </row>
    <row r="5575" spans="1:5" x14ac:dyDescent="0.25">
      <c r="B5575" s="115" t="s">
        <v>1138</v>
      </c>
      <c r="D5575" s="115" t="s">
        <v>8854</v>
      </c>
      <c r="E5575" s="115" t="s">
        <v>8855</v>
      </c>
    </row>
    <row r="5576" spans="1:5" x14ac:dyDescent="0.25">
      <c r="B5576" s="115" t="s">
        <v>8856</v>
      </c>
      <c r="D5576" s="115" t="s">
        <v>8857</v>
      </c>
      <c r="E5576" s="115" t="s">
        <v>8858</v>
      </c>
    </row>
    <row r="5577" spans="1:5" x14ac:dyDescent="0.25">
      <c r="B5577" s="115" t="s">
        <v>3490</v>
      </c>
      <c r="D5577" s="115" t="s">
        <v>8859</v>
      </c>
      <c r="E5577" s="115" t="s">
        <v>8860</v>
      </c>
    </row>
    <row r="5578" spans="1:5" x14ac:dyDescent="0.25">
      <c r="B5578" s="115" t="s">
        <v>1138</v>
      </c>
      <c r="D5578" s="115" t="s">
        <v>8861</v>
      </c>
      <c r="E5578" s="115" t="s">
        <v>8862</v>
      </c>
    </row>
    <row r="5579" spans="1:5" x14ac:dyDescent="0.25">
      <c r="B5579" s="115" t="s">
        <v>1138</v>
      </c>
      <c r="D5579" s="115" t="s">
        <v>8863</v>
      </c>
      <c r="E5579" s="115" t="s">
        <v>8864</v>
      </c>
    </row>
    <row r="5580" spans="1:5" x14ac:dyDescent="0.25">
      <c r="B5580" s="115" t="s">
        <v>5558</v>
      </c>
      <c r="D5580" s="115" t="s">
        <v>8865</v>
      </c>
      <c r="E5580" s="115" t="s">
        <v>2536</v>
      </c>
    </row>
    <row r="5581" spans="1:5" x14ac:dyDescent="0.25">
      <c r="B5581" s="115" t="s">
        <v>1138</v>
      </c>
      <c r="D5581" s="115" t="s">
        <v>8866</v>
      </c>
      <c r="E5581" s="115" t="s">
        <v>8867</v>
      </c>
    </row>
    <row r="5582" spans="1:5" x14ac:dyDescent="0.25">
      <c r="B5582" s="115" t="s">
        <v>1138</v>
      </c>
      <c r="D5582" s="115" t="s">
        <v>8868</v>
      </c>
      <c r="E5582" s="115" t="s">
        <v>8869</v>
      </c>
    </row>
    <row r="5583" spans="1:5" x14ac:dyDescent="0.25">
      <c r="B5583" s="115" t="s">
        <v>1138</v>
      </c>
      <c r="D5583" s="115" t="s">
        <v>8870</v>
      </c>
      <c r="E5583" s="115" t="s">
        <v>8871</v>
      </c>
    </row>
    <row r="5584" spans="1:5" x14ac:dyDescent="0.25">
      <c r="B5584" s="115" t="s">
        <v>1138</v>
      </c>
      <c r="D5584" s="115" t="s">
        <v>8872</v>
      </c>
      <c r="E5584" s="115" t="s">
        <v>8873</v>
      </c>
    </row>
    <row r="5585" spans="1:5" x14ac:dyDescent="0.25">
      <c r="A5585" s="115" t="s">
        <v>1137</v>
      </c>
      <c r="B5585" s="115" t="s">
        <v>8874</v>
      </c>
      <c r="D5585" s="115" t="s">
        <v>1139</v>
      </c>
      <c r="E5585" s="115" t="s">
        <v>8875</v>
      </c>
    </row>
    <row r="5586" spans="1:5" x14ac:dyDescent="0.25">
      <c r="B5586" s="115" t="s">
        <v>8876</v>
      </c>
      <c r="D5586" s="115" t="s">
        <v>8877</v>
      </c>
      <c r="E5586" s="115" t="s">
        <v>8878</v>
      </c>
    </row>
    <row r="5587" spans="1:5" x14ac:dyDescent="0.25">
      <c r="B5587" s="115" t="s">
        <v>1258</v>
      </c>
      <c r="D5587" s="115" t="s">
        <v>1139</v>
      </c>
      <c r="E5587" s="115" t="s">
        <v>8879</v>
      </c>
    </row>
    <row r="5588" spans="1:5" x14ac:dyDescent="0.25">
      <c r="B5588" s="115" t="s">
        <v>1138</v>
      </c>
      <c r="D5588" s="115" t="s">
        <v>1139</v>
      </c>
      <c r="E5588" s="115" t="s">
        <v>1140</v>
      </c>
    </row>
    <row r="5589" spans="1:5" x14ac:dyDescent="0.25">
      <c r="B5589" s="115" t="s">
        <v>1138</v>
      </c>
      <c r="D5589" s="115" t="s">
        <v>8880</v>
      </c>
      <c r="E5589" s="115" t="s">
        <v>8881</v>
      </c>
    </row>
    <row r="5590" spans="1:5" x14ac:dyDescent="0.25">
      <c r="B5590" s="115" t="s">
        <v>8882</v>
      </c>
      <c r="C5590" s="115" t="s">
        <v>1137</v>
      </c>
      <c r="D5590" s="115" t="s">
        <v>8883</v>
      </c>
      <c r="E5590" s="115" t="s">
        <v>8884</v>
      </c>
    </row>
    <row r="5591" spans="1:5" x14ac:dyDescent="0.25">
      <c r="A5591" s="115">
        <v>7</v>
      </c>
      <c r="B5591" s="115" t="s">
        <v>8885</v>
      </c>
      <c r="D5591" s="115" t="s">
        <v>8886</v>
      </c>
      <c r="E5591" s="115" t="s">
        <v>8887</v>
      </c>
    </row>
    <row r="5592" spans="1:5" x14ac:dyDescent="0.25">
      <c r="A5592" s="115">
        <v>-2</v>
      </c>
      <c r="B5592" s="115" t="s">
        <v>8888</v>
      </c>
      <c r="D5592" s="115" t="s">
        <v>8889</v>
      </c>
      <c r="E5592" s="115" t="s">
        <v>8890</v>
      </c>
    </row>
    <row r="5593" spans="1:5" x14ac:dyDescent="0.25">
      <c r="B5593" s="115" t="s">
        <v>8891</v>
      </c>
      <c r="D5593" s="115" t="s">
        <v>8892</v>
      </c>
      <c r="E5593" s="115" t="s">
        <v>8893</v>
      </c>
    </row>
    <row r="5594" spans="1:5" x14ac:dyDescent="0.25">
      <c r="A5594" s="115" t="s">
        <v>1137</v>
      </c>
      <c r="B5594" s="115" t="s">
        <v>8894</v>
      </c>
      <c r="D5594" s="115">
        <f>-789   -697    -52    -5</f>
        <v>-1543</v>
      </c>
      <c r="E5594" s="115" t="s">
        <v>8895</v>
      </c>
    </row>
    <row r="5595" spans="1:5" x14ac:dyDescent="0.25">
      <c r="B5595" s="115" t="s">
        <v>8896</v>
      </c>
      <c r="D5595" s="115" t="s">
        <v>8897</v>
      </c>
      <c r="E5595" s="115" t="s">
        <v>8898</v>
      </c>
    </row>
    <row r="5596" spans="1:5" x14ac:dyDescent="0.25">
      <c r="A5596" s="115">
        <v>37</v>
      </c>
      <c r="B5596" s="115" t="s">
        <v>8899</v>
      </c>
      <c r="C5596" s="115">
        <v>3</v>
      </c>
      <c r="D5596" s="115" t="s">
        <v>8900</v>
      </c>
      <c r="E5596" s="115" t="s">
        <v>8901</v>
      </c>
    </row>
    <row r="5597" spans="1:5" x14ac:dyDescent="0.25">
      <c r="B5597" s="115" t="s">
        <v>1138</v>
      </c>
      <c r="D5597" s="115" t="s">
        <v>8902</v>
      </c>
      <c r="E5597" s="115" t="s">
        <v>8903</v>
      </c>
    </row>
    <row r="5598" spans="1:5" x14ac:dyDescent="0.25">
      <c r="B5598" s="115" t="s">
        <v>1138</v>
      </c>
      <c r="D5598" s="115" t="s">
        <v>1139</v>
      </c>
      <c r="E5598" s="115" t="s">
        <v>8904</v>
      </c>
    </row>
    <row r="5599" spans="1:5" x14ac:dyDescent="0.25">
      <c r="B5599" s="115" t="s">
        <v>1138</v>
      </c>
      <c r="D5599" s="115" t="s">
        <v>8905</v>
      </c>
      <c r="E5599" s="115" t="s">
        <v>8906</v>
      </c>
    </row>
    <row r="5600" spans="1:5" x14ac:dyDescent="0.25">
      <c r="B5600" s="115" t="s">
        <v>1546</v>
      </c>
      <c r="D5600" s="115" t="s">
        <v>4123</v>
      </c>
      <c r="E5600" s="115" t="s">
        <v>1818</v>
      </c>
    </row>
    <row r="5601" spans="1:5" x14ac:dyDescent="0.25">
      <c r="B5601" s="115" t="s">
        <v>1872</v>
      </c>
      <c r="D5601" s="115" t="s">
        <v>1139</v>
      </c>
      <c r="E5601" s="115" t="s">
        <v>8907</v>
      </c>
    </row>
    <row r="5602" spans="1:5" x14ac:dyDescent="0.25">
      <c r="A5602" s="115">
        <v>-57</v>
      </c>
      <c r="B5602" s="115" t="s">
        <v>1490</v>
      </c>
      <c r="D5602" s="115" t="s">
        <v>8908</v>
      </c>
      <c r="E5602" s="115" t="s">
        <v>8909</v>
      </c>
    </row>
    <row r="5603" spans="1:5" x14ac:dyDescent="0.25">
      <c r="B5603" s="115" t="s">
        <v>1138</v>
      </c>
      <c r="C5603" s="115" t="s">
        <v>1137</v>
      </c>
      <c r="D5603" s="115" t="s">
        <v>8910</v>
      </c>
      <c r="E5603" s="115" t="s">
        <v>8911</v>
      </c>
    </row>
    <row r="5604" spans="1:5" x14ac:dyDescent="0.25">
      <c r="B5604" s="115">
        <f>-66  -1083</f>
        <v>-1149</v>
      </c>
      <c r="D5604" s="115" t="s">
        <v>1139</v>
      </c>
      <c r="E5604" s="115" t="s">
        <v>8912</v>
      </c>
    </row>
    <row r="5605" spans="1:5" x14ac:dyDescent="0.25">
      <c r="A5605" s="115">
        <v>-51</v>
      </c>
      <c r="B5605" s="115" t="s">
        <v>8913</v>
      </c>
      <c r="D5605" s="115" t="s">
        <v>8914</v>
      </c>
      <c r="E5605" s="115" t="s">
        <v>8915</v>
      </c>
    </row>
    <row r="5606" spans="1:5" x14ac:dyDescent="0.25">
      <c r="B5606" s="115">
        <f>-10   -774</f>
        <v>-784</v>
      </c>
      <c r="D5606" s="115" t="s">
        <v>8916</v>
      </c>
      <c r="E5606" s="115" t="s">
        <v>8917</v>
      </c>
    </row>
    <row r="5607" spans="1:5" x14ac:dyDescent="0.25">
      <c r="A5607" s="115" t="s">
        <v>1137</v>
      </c>
      <c r="B5607" s="115" t="s">
        <v>8918</v>
      </c>
      <c r="D5607" s="115" t="s">
        <v>1139</v>
      </c>
      <c r="E5607" s="115" t="s">
        <v>8919</v>
      </c>
    </row>
    <row r="5608" spans="1:5" x14ac:dyDescent="0.25">
      <c r="A5608" s="115">
        <v>-54</v>
      </c>
      <c r="B5608" s="115" t="s">
        <v>8920</v>
      </c>
      <c r="D5608" s="115" t="s">
        <v>8921</v>
      </c>
      <c r="E5608" s="115" t="s">
        <v>8922</v>
      </c>
    </row>
    <row r="5609" spans="1:5" x14ac:dyDescent="0.25">
      <c r="B5609" s="115" t="s">
        <v>8923</v>
      </c>
      <c r="D5609" s="115" t="s">
        <v>8924</v>
      </c>
      <c r="E5609" s="115" t="s">
        <v>8925</v>
      </c>
    </row>
    <row r="5610" spans="1:5" x14ac:dyDescent="0.25">
      <c r="A5610" s="115">
        <v>3</v>
      </c>
      <c r="B5610" s="115" t="s">
        <v>8926</v>
      </c>
      <c r="D5610" s="115" t="s">
        <v>1139</v>
      </c>
      <c r="E5610" s="115" t="s">
        <v>8927</v>
      </c>
    </row>
    <row r="5611" spans="1:5" x14ac:dyDescent="0.25">
      <c r="A5611" s="115">
        <v>-50</v>
      </c>
      <c r="B5611" s="115" t="s">
        <v>8928</v>
      </c>
      <c r="D5611" s="115" t="s">
        <v>3854</v>
      </c>
      <c r="E5611" s="115" t="s">
        <v>8929</v>
      </c>
    </row>
    <row r="5612" spans="1:5" x14ac:dyDescent="0.25">
      <c r="B5612" s="115" t="s">
        <v>8930</v>
      </c>
      <c r="D5612" s="115" t="s">
        <v>8931</v>
      </c>
      <c r="E5612" s="115" t="s">
        <v>8932</v>
      </c>
    </row>
    <row r="5613" spans="1:5" x14ac:dyDescent="0.25">
      <c r="B5613" s="115" t="s">
        <v>1138</v>
      </c>
      <c r="D5613" s="115" t="s">
        <v>1139</v>
      </c>
      <c r="E5613" s="115" t="s">
        <v>8933</v>
      </c>
    </row>
    <row r="5614" spans="1:5" x14ac:dyDescent="0.25">
      <c r="A5614" s="115">
        <v>-54</v>
      </c>
      <c r="B5614" s="115" t="s">
        <v>1630</v>
      </c>
      <c r="D5614" s="115" t="s">
        <v>1139</v>
      </c>
      <c r="E5614" s="115" t="s">
        <v>8934</v>
      </c>
    </row>
    <row r="5615" spans="1:5" x14ac:dyDescent="0.25">
      <c r="B5615" s="115" t="s">
        <v>8935</v>
      </c>
      <c r="D5615" s="115" t="s">
        <v>8936</v>
      </c>
      <c r="E5615" s="115" t="s">
        <v>8937</v>
      </c>
    </row>
    <row r="5616" spans="1:5" x14ac:dyDescent="0.25">
      <c r="B5616" s="115" t="s">
        <v>8938</v>
      </c>
      <c r="D5616" s="115" t="s">
        <v>1139</v>
      </c>
      <c r="E5616" s="115" t="s">
        <v>8939</v>
      </c>
    </row>
    <row r="5617" spans="1:5" x14ac:dyDescent="0.25">
      <c r="B5617" s="115" t="s">
        <v>8940</v>
      </c>
      <c r="D5617" s="115" t="s">
        <v>8941</v>
      </c>
      <c r="E5617" s="115" t="s">
        <v>1140</v>
      </c>
    </row>
    <row r="5618" spans="1:5" x14ac:dyDescent="0.25">
      <c r="B5618" s="115" t="s">
        <v>1138</v>
      </c>
      <c r="C5618" s="115" t="s">
        <v>1137</v>
      </c>
      <c r="D5618" s="115" t="s">
        <v>8942</v>
      </c>
      <c r="E5618" s="115" t="s">
        <v>8943</v>
      </c>
    </row>
    <row r="5619" spans="1:5" x14ac:dyDescent="0.25">
      <c r="B5619" s="115" t="s">
        <v>1250</v>
      </c>
      <c r="D5619" s="115" t="s">
        <v>8944</v>
      </c>
      <c r="E5619" s="115" t="s">
        <v>8945</v>
      </c>
    </row>
    <row r="5620" spans="1:5" x14ac:dyDescent="0.25">
      <c r="A5620" s="115">
        <v>-1</v>
      </c>
      <c r="B5620" s="115" t="s">
        <v>1496</v>
      </c>
      <c r="D5620" s="115" t="s">
        <v>1139</v>
      </c>
      <c r="E5620" s="115" t="s">
        <v>1140</v>
      </c>
    </row>
    <row r="5621" spans="1:5" x14ac:dyDescent="0.25">
      <c r="B5621" s="115" t="s">
        <v>1138</v>
      </c>
      <c r="D5621" s="115" t="s">
        <v>1139</v>
      </c>
      <c r="E5621" s="115" t="s">
        <v>8946</v>
      </c>
    </row>
    <row r="5622" spans="1:5" x14ac:dyDescent="0.25">
      <c r="B5622" s="115" t="s">
        <v>1313</v>
      </c>
      <c r="D5622" s="115" t="s">
        <v>8947</v>
      </c>
      <c r="E5622" s="115" t="s">
        <v>8948</v>
      </c>
    </row>
    <row r="5623" spans="1:5" x14ac:dyDescent="0.25">
      <c r="B5623" s="115" t="s">
        <v>1138</v>
      </c>
      <c r="D5623" s="115" t="s">
        <v>8949</v>
      </c>
      <c r="E5623" s="115" t="s">
        <v>8950</v>
      </c>
    </row>
    <row r="5624" spans="1:5" x14ac:dyDescent="0.25">
      <c r="A5624" s="115">
        <v>3</v>
      </c>
      <c r="B5624" s="115" t="s">
        <v>8951</v>
      </c>
      <c r="D5624" s="115" t="s">
        <v>8952</v>
      </c>
      <c r="E5624" s="115" t="s">
        <v>8953</v>
      </c>
    </row>
    <row r="5625" spans="1:5" x14ac:dyDescent="0.25">
      <c r="A5625" s="115" t="s">
        <v>1137</v>
      </c>
      <c r="B5625" s="115" t="s">
        <v>8954</v>
      </c>
      <c r="D5625" s="115" t="s">
        <v>8955</v>
      </c>
      <c r="E5625" s="115" t="s">
        <v>8956</v>
      </c>
    </row>
    <row r="5626" spans="1:5" x14ac:dyDescent="0.25">
      <c r="A5626" s="115">
        <v>-1</v>
      </c>
      <c r="B5626" s="115" t="s">
        <v>8957</v>
      </c>
      <c r="D5626" s="115">
        <f>-32   -362   -454  -161</f>
        <v>-1009</v>
      </c>
      <c r="E5626" s="115" t="s">
        <v>8958</v>
      </c>
    </row>
    <row r="5627" spans="1:5" x14ac:dyDescent="0.25">
      <c r="B5627" s="115" t="s">
        <v>8959</v>
      </c>
      <c r="D5627" s="115" t="s">
        <v>8960</v>
      </c>
      <c r="E5627" s="115" t="s">
        <v>8961</v>
      </c>
    </row>
    <row r="5628" spans="1:5" x14ac:dyDescent="0.25">
      <c r="A5628" s="115">
        <v>36</v>
      </c>
      <c r="B5628" s="115" t="s">
        <v>8962</v>
      </c>
      <c r="C5628" s="115">
        <v>3</v>
      </c>
      <c r="D5628" s="115" t="s">
        <v>8963</v>
      </c>
      <c r="E5628" s="115" t="s">
        <v>8964</v>
      </c>
    </row>
    <row r="5629" spans="1:5" x14ac:dyDescent="0.25">
      <c r="B5629" s="115" t="s">
        <v>8965</v>
      </c>
      <c r="D5629" s="115" t="s">
        <v>8966</v>
      </c>
      <c r="E5629" s="115" t="s">
        <v>8967</v>
      </c>
    </row>
    <row r="5630" spans="1:5" x14ac:dyDescent="0.25">
      <c r="B5630" s="115" t="s">
        <v>1138</v>
      </c>
      <c r="D5630" s="115" t="s">
        <v>8968</v>
      </c>
      <c r="E5630" s="115" t="s">
        <v>1140</v>
      </c>
    </row>
    <row r="5631" spans="1:5" x14ac:dyDescent="0.25">
      <c r="B5631" s="115" t="s">
        <v>1138</v>
      </c>
      <c r="D5631" s="115" t="s">
        <v>8969</v>
      </c>
      <c r="E5631" s="115" t="s">
        <v>8970</v>
      </c>
    </row>
    <row r="5632" spans="1:5" x14ac:dyDescent="0.25">
      <c r="B5632" s="115" t="s">
        <v>8971</v>
      </c>
      <c r="D5632" s="115" t="s">
        <v>2892</v>
      </c>
      <c r="E5632" s="115" t="s">
        <v>8972</v>
      </c>
    </row>
    <row r="5633" spans="1:5" x14ac:dyDescent="0.25">
      <c r="B5633" s="115" t="s">
        <v>1138</v>
      </c>
      <c r="D5633" s="115" t="s">
        <v>2776</v>
      </c>
      <c r="E5633" s="115" t="s">
        <v>1140</v>
      </c>
    </row>
    <row r="5634" spans="1:5" x14ac:dyDescent="0.25">
      <c r="B5634" s="115" t="s">
        <v>1138</v>
      </c>
      <c r="D5634" s="115" t="s">
        <v>8973</v>
      </c>
      <c r="E5634" s="115" t="s">
        <v>5265</v>
      </c>
    </row>
    <row r="5635" spans="1:5" x14ac:dyDescent="0.25">
      <c r="B5635" s="115" t="s">
        <v>1419</v>
      </c>
      <c r="D5635" s="115" t="s">
        <v>8974</v>
      </c>
      <c r="E5635" s="115" t="s">
        <v>8975</v>
      </c>
    </row>
    <row r="5636" spans="1:5" x14ac:dyDescent="0.25">
      <c r="A5636" s="115">
        <v>2</v>
      </c>
      <c r="B5636" s="115" t="s">
        <v>8976</v>
      </c>
      <c r="D5636" s="115" t="s">
        <v>8977</v>
      </c>
      <c r="E5636" s="115" t="s">
        <v>1858</v>
      </c>
    </row>
    <row r="5637" spans="1:5" x14ac:dyDescent="0.25">
      <c r="A5637" s="115">
        <v>-2</v>
      </c>
      <c r="B5637" s="115" t="s">
        <v>8978</v>
      </c>
      <c r="D5637" s="115">
        <f>-394   -510 -49374    -6</f>
        <v>-50284</v>
      </c>
      <c r="E5637" s="115" t="s">
        <v>8979</v>
      </c>
    </row>
    <row r="5638" spans="1:5" x14ac:dyDescent="0.25">
      <c r="A5638" s="115" t="s">
        <v>1137</v>
      </c>
      <c r="B5638" s="115" t="s">
        <v>8980</v>
      </c>
      <c r="D5638" s="115" t="s">
        <v>8981</v>
      </c>
      <c r="E5638" s="115" t="s">
        <v>8982</v>
      </c>
    </row>
    <row r="5639" spans="1:5" x14ac:dyDescent="0.25">
      <c r="B5639" s="115" t="s">
        <v>5002</v>
      </c>
      <c r="D5639" s="115" t="s">
        <v>8983</v>
      </c>
      <c r="E5639" s="115" t="s">
        <v>1758</v>
      </c>
    </row>
    <row r="5640" spans="1:5" x14ac:dyDescent="0.25">
      <c r="B5640" s="115" t="s">
        <v>8984</v>
      </c>
      <c r="D5640" s="115" t="s">
        <v>8985</v>
      </c>
      <c r="E5640" s="115" t="s">
        <v>8986</v>
      </c>
    </row>
    <row r="5641" spans="1:5" x14ac:dyDescent="0.25">
      <c r="A5641" s="115" t="s">
        <v>1137</v>
      </c>
      <c r="B5641" s="115" t="s">
        <v>1658</v>
      </c>
      <c r="D5641" s="115" t="s">
        <v>8987</v>
      </c>
      <c r="E5641" s="115" t="s">
        <v>8988</v>
      </c>
    </row>
    <row r="5642" spans="1:5" x14ac:dyDescent="0.25">
      <c r="B5642" s="115" t="s">
        <v>8989</v>
      </c>
      <c r="D5642" s="115" t="s">
        <v>8990</v>
      </c>
      <c r="E5642" s="115" t="s">
        <v>1893</v>
      </c>
    </row>
    <row r="5643" spans="1:5" x14ac:dyDescent="0.25">
      <c r="B5643" s="115" t="s">
        <v>8991</v>
      </c>
      <c r="D5643" s="115" t="s">
        <v>8992</v>
      </c>
      <c r="E5643" s="115" t="s">
        <v>8993</v>
      </c>
    </row>
    <row r="5644" spans="1:5" x14ac:dyDescent="0.25">
      <c r="A5644" s="115" t="s">
        <v>1137</v>
      </c>
      <c r="B5644" s="115" t="s">
        <v>8994</v>
      </c>
      <c r="D5644" s="115" t="s">
        <v>8995</v>
      </c>
      <c r="E5644" s="115" t="s">
        <v>8996</v>
      </c>
    </row>
    <row r="5645" spans="1:5" x14ac:dyDescent="0.25">
      <c r="A5645" s="115">
        <v>-9</v>
      </c>
      <c r="B5645" s="115" t="s">
        <v>8997</v>
      </c>
      <c r="C5645" s="115" t="s">
        <v>1137</v>
      </c>
      <c r="D5645" s="115" t="s">
        <v>8998</v>
      </c>
      <c r="E5645" s="115" t="s">
        <v>1140</v>
      </c>
    </row>
    <row r="5646" spans="1:5" x14ac:dyDescent="0.25">
      <c r="A5646" s="115">
        <v>2</v>
      </c>
      <c r="B5646" s="115" t="s">
        <v>8999</v>
      </c>
      <c r="D5646" s="115" t="s">
        <v>9000</v>
      </c>
      <c r="E5646" s="115" t="s">
        <v>1140</v>
      </c>
    </row>
    <row r="5647" spans="1:5" x14ac:dyDescent="0.25">
      <c r="A5647" s="115">
        <v>-2</v>
      </c>
      <c r="B5647" s="115" t="s">
        <v>9001</v>
      </c>
      <c r="C5647" s="115" t="s">
        <v>1137</v>
      </c>
      <c r="D5647" s="115" t="s">
        <v>9002</v>
      </c>
      <c r="E5647" s="115" t="s">
        <v>9003</v>
      </c>
    </row>
    <row r="5648" spans="1:5" x14ac:dyDescent="0.25">
      <c r="A5648" s="115">
        <v>-1</v>
      </c>
      <c r="B5648" s="115" t="s">
        <v>9004</v>
      </c>
      <c r="C5648" s="115" t="s">
        <v>1137</v>
      </c>
      <c r="D5648" s="115" t="s">
        <v>9005</v>
      </c>
      <c r="E5648" s="115" t="s">
        <v>2536</v>
      </c>
    </row>
    <row r="5649" spans="1:5" x14ac:dyDescent="0.25">
      <c r="A5649" s="115">
        <v>1</v>
      </c>
      <c r="B5649" s="115" t="s">
        <v>9006</v>
      </c>
      <c r="D5649" s="115" t="s">
        <v>9007</v>
      </c>
      <c r="E5649" s="115" t="s">
        <v>9008</v>
      </c>
    </row>
    <row r="5650" spans="1:5" x14ac:dyDescent="0.25">
      <c r="B5650" s="115" t="s">
        <v>1138</v>
      </c>
      <c r="D5650" s="115" t="s">
        <v>1139</v>
      </c>
      <c r="E5650" s="115" t="s">
        <v>9009</v>
      </c>
    </row>
    <row r="5651" spans="1:5" x14ac:dyDescent="0.25">
      <c r="B5651" s="115" t="s">
        <v>9010</v>
      </c>
      <c r="D5651" s="115" t="s">
        <v>9011</v>
      </c>
      <c r="E5651" s="115" t="s">
        <v>9012</v>
      </c>
    </row>
    <row r="5652" spans="1:5" x14ac:dyDescent="0.25">
      <c r="B5652" s="115" t="s">
        <v>1138</v>
      </c>
      <c r="D5652" s="115" t="s">
        <v>9013</v>
      </c>
      <c r="E5652" s="115" t="s">
        <v>1140</v>
      </c>
    </row>
    <row r="5653" spans="1:5" x14ac:dyDescent="0.25">
      <c r="B5653" s="115" t="s">
        <v>1138</v>
      </c>
      <c r="D5653" s="115" t="s">
        <v>1139</v>
      </c>
      <c r="E5653" s="115" t="s">
        <v>1140</v>
      </c>
    </row>
    <row r="5654" spans="1:5" x14ac:dyDescent="0.25">
      <c r="A5654" s="115">
        <v>-1</v>
      </c>
      <c r="B5654" s="115" t="s">
        <v>1217</v>
      </c>
      <c r="D5654" s="115" t="s">
        <v>3129</v>
      </c>
      <c r="E5654" s="115" t="s">
        <v>9014</v>
      </c>
    </row>
    <row r="5655" spans="1:5" x14ac:dyDescent="0.25">
      <c r="A5655" s="115">
        <v>-1</v>
      </c>
      <c r="B5655" s="115" t="s">
        <v>9015</v>
      </c>
      <c r="D5655" s="115" t="s">
        <v>9016</v>
      </c>
      <c r="E5655" s="115" t="s">
        <v>9017</v>
      </c>
    </row>
    <row r="5656" spans="1:5" x14ac:dyDescent="0.25">
      <c r="A5656" s="115">
        <v>-2</v>
      </c>
      <c r="B5656" s="115" t="s">
        <v>9018</v>
      </c>
      <c r="D5656" s="115" t="s">
        <v>9019</v>
      </c>
      <c r="E5656" s="115" t="s">
        <v>9020</v>
      </c>
    </row>
    <row r="5657" spans="1:5" x14ac:dyDescent="0.25">
      <c r="A5657" s="115">
        <v>1</v>
      </c>
      <c r="B5657" s="115" t="s">
        <v>9021</v>
      </c>
      <c r="D5657" s="115" t="s">
        <v>9022</v>
      </c>
      <c r="E5657" s="115" t="s">
        <v>9023</v>
      </c>
    </row>
    <row r="5658" spans="1:5" x14ac:dyDescent="0.25">
      <c r="B5658" s="115" t="s">
        <v>9024</v>
      </c>
      <c r="D5658" s="115" t="s">
        <v>9025</v>
      </c>
      <c r="E5658" s="115" t="s">
        <v>9026</v>
      </c>
    </row>
    <row r="5659" spans="1:5" x14ac:dyDescent="0.25">
      <c r="A5659" s="115" t="s">
        <v>1137</v>
      </c>
      <c r="B5659" s="115" t="s">
        <v>9027</v>
      </c>
      <c r="D5659" s="115" t="s">
        <v>9028</v>
      </c>
      <c r="E5659" s="115" t="s">
        <v>9029</v>
      </c>
    </row>
    <row r="5660" spans="1:5" x14ac:dyDescent="0.25">
      <c r="B5660" s="115" t="s">
        <v>9030</v>
      </c>
      <c r="D5660" s="115" t="s">
        <v>9031</v>
      </c>
      <c r="E5660" s="115" t="s">
        <v>9032</v>
      </c>
    </row>
    <row r="5661" spans="1:5" x14ac:dyDescent="0.25">
      <c r="A5661" s="115">
        <v>25</v>
      </c>
      <c r="B5661" s="115" t="s">
        <v>9033</v>
      </c>
      <c r="C5661" s="115">
        <v>3</v>
      </c>
      <c r="D5661" s="115" t="s">
        <v>9034</v>
      </c>
      <c r="E5661" s="115" t="s">
        <v>9035</v>
      </c>
    </row>
    <row r="5662" spans="1:5" x14ac:dyDescent="0.25">
      <c r="B5662" s="115" t="s">
        <v>1209</v>
      </c>
      <c r="D5662" s="115" t="s">
        <v>9036</v>
      </c>
      <c r="E5662" s="115" t="s">
        <v>9037</v>
      </c>
    </row>
    <row r="5663" spans="1:5" x14ac:dyDescent="0.25">
      <c r="B5663" s="115" t="s">
        <v>1138</v>
      </c>
      <c r="D5663" s="115" t="s">
        <v>1139</v>
      </c>
      <c r="E5663" s="115" t="s">
        <v>9038</v>
      </c>
    </row>
    <row r="5664" spans="1:5" x14ac:dyDescent="0.25">
      <c r="B5664" s="115" t="s">
        <v>9039</v>
      </c>
      <c r="C5664" s="115">
        <v>-3</v>
      </c>
      <c r="D5664" s="115" t="s">
        <v>9040</v>
      </c>
      <c r="E5664" s="115" t="s">
        <v>9041</v>
      </c>
    </row>
    <row r="5665" spans="1:5" x14ac:dyDescent="0.25">
      <c r="B5665" s="115" t="s">
        <v>1586</v>
      </c>
      <c r="D5665" s="115" t="s">
        <v>9042</v>
      </c>
      <c r="E5665" s="115" t="s">
        <v>1140</v>
      </c>
    </row>
    <row r="5666" spans="1:5" x14ac:dyDescent="0.25">
      <c r="B5666" s="115" t="s">
        <v>5066</v>
      </c>
      <c r="D5666" s="115" t="s">
        <v>1139</v>
      </c>
      <c r="E5666" s="115" t="s">
        <v>9043</v>
      </c>
    </row>
    <row r="5667" spans="1:5" x14ac:dyDescent="0.25">
      <c r="B5667" s="115" t="s">
        <v>9044</v>
      </c>
      <c r="D5667" s="115" t="s">
        <v>1139</v>
      </c>
      <c r="E5667" s="115" t="s">
        <v>9045</v>
      </c>
    </row>
    <row r="5668" spans="1:5" x14ac:dyDescent="0.25">
      <c r="B5668" s="115" t="s">
        <v>1375</v>
      </c>
      <c r="D5668" s="115" t="s">
        <v>9046</v>
      </c>
      <c r="E5668" s="115" t="s">
        <v>9047</v>
      </c>
    </row>
    <row r="5669" spans="1:5" x14ac:dyDescent="0.25">
      <c r="B5669" s="115" t="s">
        <v>1238</v>
      </c>
      <c r="D5669" s="115" t="s">
        <v>9048</v>
      </c>
      <c r="E5669" s="115" t="s">
        <v>9049</v>
      </c>
    </row>
    <row r="5670" spans="1:5" x14ac:dyDescent="0.25">
      <c r="B5670" s="115" t="s">
        <v>9050</v>
      </c>
      <c r="D5670" s="115" t="s">
        <v>9051</v>
      </c>
      <c r="E5670" s="115" t="s">
        <v>9052</v>
      </c>
    </row>
    <row r="5671" spans="1:5" x14ac:dyDescent="0.25">
      <c r="A5671" s="115" t="s">
        <v>1137</v>
      </c>
      <c r="B5671" s="115" t="s">
        <v>9053</v>
      </c>
      <c r="D5671" s="115" t="s">
        <v>9054</v>
      </c>
      <c r="E5671" s="115" t="s">
        <v>9055</v>
      </c>
    </row>
    <row r="5672" spans="1:5" x14ac:dyDescent="0.25">
      <c r="A5672" s="115" t="s">
        <v>1137</v>
      </c>
      <c r="B5672" s="115" t="s">
        <v>9056</v>
      </c>
      <c r="D5672" s="115" t="s">
        <v>1990</v>
      </c>
      <c r="E5672" s="115" t="s">
        <v>9057</v>
      </c>
    </row>
    <row r="5673" spans="1:5" x14ac:dyDescent="0.25">
      <c r="B5673" s="126">
        <v>12419</v>
      </c>
      <c r="D5673" s="115" t="s">
        <v>9058</v>
      </c>
      <c r="E5673" s="115" t="s">
        <v>9059</v>
      </c>
    </row>
    <row r="5674" spans="1:5" x14ac:dyDescent="0.25">
      <c r="A5674" s="115" t="s">
        <v>1137</v>
      </c>
      <c r="B5674" s="115" t="s">
        <v>9060</v>
      </c>
      <c r="D5674" s="115" t="s">
        <v>9061</v>
      </c>
      <c r="E5674" s="115" t="s">
        <v>9062</v>
      </c>
    </row>
    <row r="5675" spans="1:5" x14ac:dyDescent="0.25">
      <c r="B5675" s="115" t="s">
        <v>1674</v>
      </c>
      <c r="D5675" s="115" t="s">
        <v>3274</v>
      </c>
      <c r="E5675" s="115" t="s">
        <v>9063</v>
      </c>
    </row>
    <row r="5676" spans="1:5" x14ac:dyDescent="0.25">
      <c r="B5676" s="115" t="s">
        <v>1488</v>
      </c>
      <c r="D5676" s="115" t="s">
        <v>9064</v>
      </c>
      <c r="E5676" s="115" t="s">
        <v>9065</v>
      </c>
    </row>
    <row r="5677" spans="1:5" x14ac:dyDescent="0.25">
      <c r="B5677" s="115" t="s">
        <v>1143</v>
      </c>
      <c r="D5677" s="115" t="s">
        <v>9066</v>
      </c>
      <c r="E5677" s="115" t="s">
        <v>9067</v>
      </c>
    </row>
    <row r="5678" spans="1:5" x14ac:dyDescent="0.25">
      <c r="B5678" s="115" t="s">
        <v>1138</v>
      </c>
      <c r="D5678" s="115" t="s">
        <v>9068</v>
      </c>
      <c r="E5678" s="115" t="s">
        <v>9069</v>
      </c>
    </row>
    <row r="5679" spans="1:5" x14ac:dyDescent="0.25">
      <c r="B5679" s="115" t="s">
        <v>1138</v>
      </c>
      <c r="D5679" s="115" t="s">
        <v>9070</v>
      </c>
      <c r="E5679" s="115" t="s">
        <v>9071</v>
      </c>
    </row>
    <row r="5680" spans="1:5" x14ac:dyDescent="0.25">
      <c r="A5680" s="115">
        <v>-3</v>
      </c>
      <c r="B5680" s="115" t="s">
        <v>9072</v>
      </c>
      <c r="D5680" s="115" t="s">
        <v>9073</v>
      </c>
      <c r="E5680" s="115" t="s">
        <v>9074</v>
      </c>
    </row>
    <row r="5681" spans="1:5" x14ac:dyDescent="0.25">
      <c r="A5681" s="115">
        <v>1</v>
      </c>
      <c r="B5681" s="115" t="s">
        <v>1157</v>
      </c>
      <c r="D5681" s="115" t="s">
        <v>9075</v>
      </c>
      <c r="E5681" s="115" t="s">
        <v>9076</v>
      </c>
    </row>
    <row r="5682" spans="1:5" x14ac:dyDescent="0.25">
      <c r="A5682" s="115">
        <v>-1</v>
      </c>
      <c r="B5682" s="115" t="s">
        <v>9077</v>
      </c>
      <c r="D5682" s="115" t="s">
        <v>9078</v>
      </c>
      <c r="E5682" s="115" t="s">
        <v>1140</v>
      </c>
    </row>
    <row r="5683" spans="1:5" x14ac:dyDescent="0.25">
      <c r="B5683" s="115" t="s">
        <v>9079</v>
      </c>
      <c r="D5683" s="115" t="s">
        <v>9080</v>
      </c>
      <c r="E5683" s="115" t="s">
        <v>9081</v>
      </c>
    </row>
    <row r="5684" spans="1:5" x14ac:dyDescent="0.25">
      <c r="B5684" s="115" t="s">
        <v>7797</v>
      </c>
      <c r="D5684" s="115" t="s">
        <v>1524</v>
      </c>
      <c r="E5684" s="115" t="s">
        <v>9082</v>
      </c>
    </row>
    <row r="5685" spans="1:5" x14ac:dyDescent="0.25">
      <c r="B5685" s="115" t="s">
        <v>1138</v>
      </c>
      <c r="D5685" s="115" t="s">
        <v>1139</v>
      </c>
      <c r="E5685" s="115" t="s">
        <v>1140</v>
      </c>
    </row>
    <row r="5686" spans="1:5" x14ac:dyDescent="0.25">
      <c r="B5686" s="115" t="s">
        <v>1138</v>
      </c>
      <c r="D5686" s="115" t="s">
        <v>2681</v>
      </c>
      <c r="E5686" s="115" t="s">
        <v>2536</v>
      </c>
    </row>
    <row r="5687" spans="1:5" x14ac:dyDescent="0.25">
      <c r="B5687" s="115" t="s">
        <v>9083</v>
      </c>
      <c r="D5687" s="115" t="s">
        <v>9084</v>
      </c>
      <c r="E5687" s="115" t="s">
        <v>9085</v>
      </c>
    </row>
    <row r="5688" spans="1:5" x14ac:dyDescent="0.25">
      <c r="B5688" s="115" t="s">
        <v>4490</v>
      </c>
      <c r="D5688" s="115" t="s">
        <v>9086</v>
      </c>
      <c r="E5688" s="115" t="s">
        <v>9087</v>
      </c>
    </row>
    <row r="5689" spans="1:5" x14ac:dyDescent="0.25">
      <c r="A5689" s="115">
        <v>1</v>
      </c>
      <c r="B5689" s="115" t="s">
        <v>9088</v>
      </c>
      <c r="D5689" s="115" t="s">
        <v>9089</v>
      </c>
      <c r="E5689" s="115" t="s">
        <v>9090</v>
      </c>
    </row>
    <row r="5690" spans="1:5" x14ac:dyDescent="0.25">
      <c r="A5690" s="115">
        <v>2</v>
      </c>
      <c r="B5690" s="115" t="s">
        <v>9091</v>
      </c>
      <c r="D5690" s="115" t="s">
        <v>9092</v>
      </c>
      <c r="E5690" s="115" t="s">
        <v>9093</v>
      </c>
    </row>
    <row r="5691" spans="1:5" x14ac:dyDescent="0.25">
      <c r="A5691" s="115" t="s">
        <v>1137</v>
      </c>
      <c r="B5691" s="115" t="s">
        <v>9094</v>
      </c>
      <c r="D5691" s="115" t="s">
        <v>9095</v>
      </c>
      <c r="E5691" s="115" t="s">
        <v>9096</v>
      </c>
    </row>
    <row r="5692" spans="1:5" x14ac:dyDescent="0.25">
      <c r="A5692" s="115" t="s">
        <v>1137</v>
      </c>
      <c r="B5692" s="115" t="s">
        <v>9097</v>
      </c>
      <c r="D5692" s="115" t="s">
        <v>9098</v>
      </c>
      <c r="E5692" s="115" t="s">
        <v>9099</v>
      </c>
    </row>
    <row r="5693" spans="1:5" x14ac:dyDescent="0.25">
      <c r="A5693" s="115">
        <v>35</v>
      </c>
      <c r="B5693" s="115" t="s">
        <v>9100</v>
      </c>
      <c r="C5693" s="115">
        <v>3</v>
      </c>
      <c r="D5693" s="115" t="s">
        <v>9101</v>
      </c>
      <c r="E5693" s="115" t="s">
        <v>9102</v>
      </c>
    </row>
    <row r="5694" spans="1:5" x14ac:dyDescent="0.25">
      <c r="A5694" s="115">
        <v>34</v>
      </c>
      <c r="B5694" s="115" t="s">
        <v>9103</v>
      </c>
      <c r="C5694" s="115">
        <v>-3</v>
      </c>
      <c r="D5694" s="115" t="s">
        <v>9104</v>
      </c>
      <c r="E5694" s="115" t="s">
        <v>9105</v>
      </c>
    </row>
    <row r="5695" spans="1:5" x14ac:dyDescent="0.25">
      <c r="B5695" s="115" t="s">
        <v>1138</v>
      </c>
      <c r="D5695" s="115" t="s">
        <v>9106</v>
      </c>
      <c r="E5695" s="115" t="s">
        <v>1140</v>
      </c>
    </row>
    <row r="5696" spans="1:5" x14ac:dyDescent="0.25">
      <c r="B5696" s="115" t="s">
        <v>1138</v>
      </c>
      <c r="D5696" s="115" t="s">
        <v>9107</v>
      </c>
      <c r="E5696" s="115" t="s">
        <v>9108</v>
      </c>
    </row>
    <row r="5697" spans="1:5" x14ac:dyDescent="0.25">
      <c r="B5697" s="115" t="s">
        <v>9109</v>
      </c>
      <c r="D5697" s="115" t="s">
        <v>9110</v>
      </c>
      <c r="E5697" s="115" t="s">
        <v>9111</v>
      </c>
    </row>
    <row r="5698" spans="1:5" x14ac:dyDescent="0.25">
      <c r="B5698" s="115" t="s">
        <v>1156</v>
      </c>
      <c r="D5698" s="115" t="s">
        <v>1139</v>
      </c>
      <c r="E5698" s="115" t="s">
        <v>9112</v>
      </c>
    </row>
    <row r="5699" spans="1:5" x14ac:dyDescent="0.25">
      <c r="B5699" s="115" t="s">
        <v>1138</v>
      </c>
      <c r="D5699" s="115" t="s">
        <v>9113</v>
      </c>
      <c r="E5699" s="115" t="s">
        <v>9114</v>
      </c>
    </row>
    <row r="5700" spans="1:5" x14ac:dyDescent="0.25">
      <c r="B5700" s="115" t="s">
        <v>1138</v>
      </c>
      <c r="D5700" s="115" t="s">
        <v>9115</v>
      </c>
      <c r="E5700" s="115" t="s">
        <v>9116</v>
      </c>
    </row>
    <row r="5701" spans="1:5" x14ac:dyDescent="0.25">
      <c r="B5701" s="115" t="s">
        <v>9117</v>
      </c>
      <c r="D5701" s="115" t="s">
        <v>9118</v>
      </c>
      <c r="E5701" s="115" t="s">
        <v>9119</v>
      </c>
    </row>
    <row r="5702" spans="1:5" x14ac:dyDescent="0.25">
      <c r="B5702" s="115" t="s">
        <v>9120</v>
      </c>
      <c r="D5702" s="115" t="s">
        <v>9121</v>
      </c>
      <c r="E5702" s="115" t="s">
        <v>9122</v>
      </c>
    </row>
    <row r="5703" spans="1:5" x14ac:dyDescent="0.25">
      <c r="A5703" s="115">
        <v>1</v>
      </c>
      <c r="B5703" s="115" t="s">
        <v>9123</v>
      </c>
      <c r="D5703" s="115" t="s">
        <v>9124</v>
      </c>
      <c r="E5703" s="115" t="s">
        <v>9125</v>
      </c>
    </row>
    <row r="5704" spans="1:5" x14ac:dyDescent="0.25">
      <c r="A5704" s="115" t="s">
        <v>1137</v>
      </c>
      <c r="B5704" s="115" t="s">
        <v>9126</v>
      </c>
      <c r="D5704" s="115" t="s">
        <v>9127</v>
      </c>
      <c r="E5704" s="115" t="s">
        <v>9128</v>
      </c>
    </row>
    <row r="5705" spans="1:5" x14ac:dyDescent="0.25">
      <c r="B5705" s="115" t="s">
        <v>1915</v>
      </c>
      <c r="D5705" s="115" t="s">
        <v>9129</v>
      </c>
      <c r="E5705" s="115" t="s">
        <v>9130</v>
      </c>
    </row>
    <row r="5706" spans="1:5" x14ac:dyDescent="0.25">
      <c r="B5706" s="115" t="s">
        <v>9131</v>
      </c>
      <c r="D5706" s="115" t="s">
        <v>9132</v>
      </c>
      <c r="E5706" s="115" t="s">
        <v>9133</v>
      </c>
    </row>
    <row r="5707" spans="1:5" x14ac:dyDescent="0.25">
      <c r="B5707" s="115" t="s">
        <v>1138</v>
      </c>
      <c r="D5707" s="115" t="s">
        <v>9134</v>
      </c>
      <c r="E5707" s="115" t="s">
        <v>9135</v>
      </c>
    </row>
    <row r="5708" spans="1:5" x14ac:dyDescent="0.25">
      <c r="B5708" s="115" t="s">
        <v>9136</v>
      </c>
      <c r="D5708" s="115" t="s">
        <v>9137</v>
      </c>
      <c r="E5708" s="115" t="s">
        <v>9138</v>
      </c>
    </row>
    <row r="5709" spans="1:5" x14ac:dyDescent="0.25">
      <c r="A5709" s="115" t="s">
        <v>1137</v>
      </c>
      <c r="B5709" s="115" t="s">
        <v>9139</v>
      </c>
      <c r="D5709" s="115" t="s">
        <v>9140</v>
      </c>
      <c r="E5709" s="115" t="s">
        <v>9141</v>
      </c>
    </row>
    <row r="5710" spans="1:5" x14ac:dyDescent="0.25">
      <c r="B5710" s="115" t="s">
        <v>8188</v>
      </c>
      <c r="D5710" s="115" t="s">
        <v>9142</v>
      </c>
      <c r="E5710" s="115" t="s">
        <v>1140</v>
      </c>
    </row>
    <row r="5711" spans="1:5" x14ac:dyDescent="0.25">
      <c r="B5711" s="115" t="s">
        <v>9143</v>
      </c>
      <c r="D5711" s="115" t="s">
        <v>9144</v>
      </c>
      <c r="E5711" s="115" t="s">
        <v>2536</v>
      </c>
    </row>
    <row r="5712" spans="1:5" x14ac:dyDescent="0.25">
      <c r="B5712" s="115" t="s">
        <v>9145</v>
      </c>
      <c r="C5712" s="115" t="s">
        <v>1137</v>
      </c>
      <c r="D5712" s="115" t="s">
        <v>9146</v>
      </c>
      <c r="E5712" s="115" t="s">
        <v>9147</v>
      </c>
    </row>
    <row r="5713" spans="1:5" x14ac:dyDescent="0.25">
      <c r="B5713" s="115" t="s">
        <v>9148</v>
      </c>
      <c r="D5713" s="115" t="s">
        <v>9149</v>
      </c>
      <c r="E5713" s="115" t="s">
        <v>9150</v>
      </c>
    </row>
    <row r="5714" spans="1:5" x14ac:dyDescent="0.25">
      <c r="B5714" s="115" t="s">
        <v>9151</v>
      </c>
      <c r="C5714" s="115" t="s">
        <v>1137</v>
      </c>
      <c r="D5714" s="115" t="s">
        <v>9152</v>
      </c>
      <c r="E5714" s="115" t="s">
        <v>9153</v>
      </c>
    </row>
    <row r="5715" spans="1:5" x14ac:dyDescent="0.25">
      <c r="B5715" s="115" t="s">
        <v>1138</v>
      </c>
      <c r="D5715" s="115" t="s">
        <v>1139</v>
      </c>
      <c r="E5715" s="115" t="s">
        <v>9154</v>
      </c>
    </row>
    <row r="5716" spans="1:5" x14ac:dyDescent="0.25">
      <c r="A5716" s="115" t="s">
        <v>1137</v>
      </c>
      <c r="B5716" s="115" t="s">
        <v>9155</v>
      </c>
      <c r="D5716" s="115" t="s">
        <v>9156</v>
      </c>
      <c r="E5716" s="115" t="s">
        <v>9157</v>
      </c>
    </row>
    <row r="5717" spans="1:5" x14ac:dyDescent="0.25">
      <c r="B5717" s="115" t="s">
        <v>1138</v>
      </c>
      <c r="D5717" s="115" t="s">
        <v>9158</v>
      </c>
      <c r="E5717" s="115" t="s">
        <v>1818</v>
      </c>
    </row>
    <row r="5718" spans="1:5" x14ac:dyDescent="0.25">
      <c r="B5718" s="115" t="s">
        <v>1138</v>
      </c>
      <c r="D5718" s="115" t="s">
        <v>1139</v>
      </c>
      <c r="E5718" s="115" t="s">
        <v>1140</v>
      </c>
    </row>
    <row r="5719" spans="1:5" x14ac:dyDescent="0.25">
      <c r="B5719" s="115" t="s">
        <v>9159</v>
      </c>
      <c r="D5719" s="115" t="s">
        <v>1139</v>
      </c>
      <c r="E5719" s="115" t="s">
        <v>9160</v>
      </c>
    </row>
    <row r="5720" spans="1:5" x14ac:dyDescent="0.25">
      <c r="A5720" s="115">
        <v>8</v>
      </c>
      <c r="B5720" s="115" t="s">
        <v>9161</v>
      </c>
      <c r="D5720" s="115" t="s">
        <v>9162</v>
      </c>
      <c r="E5720" s="115" t="s">
        <v>9163</v>
      </c>
    </row>
    <row r="5721" spans="1:5" x14ac:dyDescent="0.25">
      <c r="A5721" s="115">
        <v>7</v>
      </c>
      <c r="B5721" s="115" t="s">
        <v>9164</v>
      </c>
      <c r="C5721" s="115" t="s">
        <v>1137</v>
      </c>
      <c r="D5721" s="115" t="s">
        <v>9165</v>
      </c>
      <c r="E5721" s="115" t="s">
        <v>9166</v>
      </c>
    </row>
    <row r="5722" spans="1:5" x14ac:dyDescent="0.25">
      <c r="A5722" s="115">
        <v>-1</v>
      </c>
      <c r="B5722" s="115" t="s">
        <v>9167</v>
      </c>
      <c r="D5722" s="115" t="s">
        <v>9168</v>
      </c>
      <c r="E5722" s="115" t="s">
        <v>9169</v>
      </c>
    </row>
    <row r="5723" spans="1:5" x14ac:dyDescent="0.25">
      <c r="B5723" s="115" t="s">
        <v>9170</v>
      </c>
      <c r="D5723" s="115" t="s">
        <v>9171</v>
      </c>
      <c r="E5723" s="115" t="s">
        <v>9172</v>
      </c>
    </row>
    <row r="5724" spans="1:5" x14ac:dyDescent="0.25">
      <c r="A5724" s="115" t="s">
        <v>1137</v>
      </c>
      <c r="B5724" s="115" t="s">
        <v>9173</v>
      </c>
      <c r="D5724" s="115" t="s">
        <v>9174</v>
      </c>
      <c r="E5724" s="115" t="s">
        <v>9175</v>
      </c>
    </row>
    <row r="5725" spans="1:5" x14ac:dyDescent="0.25">
      <c r="B5725" s="115" t="s">
        <v>9176</v>
      </c>
      <c r="D5725" s="115" t="s">
        <v>9177</v>
      </c>
      <c r="E5725" s="115" t="s">
        <v>9178</v>
      </c>
    </row>
    <row r="5726" spans="1:5" x14ac:dyDescent="0.25">
      <c r="A5726" s="115">
        <v>33</v>
      </c>
      <c r="B5726" s="115" t="s">
        <v>9179</v>
      </c>
      <c r="C5726" s="115">
        <v>3</v>
      </c>
      <c r="D5726" s="115" t="s">
        <v>9180</v>
      </c>
      <c r="E5726" s="115" t="s">
        <v>9181</v>
      </c>
    </row>
    <row r="5727" spans="1:5" x14ac:dyDescent="0.25">
      <c r="B5727" s="127">
        <v>41545</v>
      </c>
      <c r="D5727" s="115" t="s">
        <v>4857</v>
      </c>
      <c r="E5727" s="115" t="s">
        <v>9182</v>
      </c>
    </row>
    <row r="5728" spans="1:5" x14ac:dyDescent="0.25">
      <c r="B5728" s="115" t="s">
        <v>9183</v>
      </c>
      <c r="D5728" s="115" t="s">
        <v>1139</v>
      </c>
      <c r="E5728" s="115" t="s">
        <v>1140</v>
      </c>
    </row>
    <row r="5729" spans="1:5" x14ac:dyDescent="0.25">
      <c r="B5729" s="115" t="s">
        <v>9184</v>
      </c>
      <c r="D5729" s="115" t="s">
        <v>9185</v>
      </c>
      <c r="E5729" s="115" t="s">
        <v>9186</v>
      </c>
    </row>
    <row r="5730" spans="1:5" x14ac:dyDescent="0.25">
      <c r="B5730" s="115" t="s">
        <v>1138</v>
      </c>
      <c r="D5730" s="115" t="s">
        <v>9187</v>
      </c>
      <c r="E5730" s="115" t="s">
        <v>9188</v>
      </c>
    </row>
    <row r="5731" spans="1:5" x14ac:dyDescent="0.25">
      <c r="B5731" s="115" t="s">
        <v>1138</v>
      </c>
      <c r="D5731" s="115" t="s">
        <v>9189</v>
      </c>
      <c r="E5731" s="115" t="s">
        <v>1140</v>
      </c>
    </row>
    <row r="5732" spans="1:5" x14ac:dyDescent="0.25">
      <c r="B5732" s="115" t="s">
        <v>1385</v>
      </c>
      <c r="C5732" s="115">
        <v>-5</v>
      </c>
      <c r="D5732" s="115" t="s">
        <v>9190</v>
      </c>
      <c r="E5732" s="115" t="s">
        <v>9191</v>
      </c>
    </row>
    <row r="5733" spans="1:5" x14ac:dyDescent="0.25">
      <c r="B5733" s="115" t="s">
        <v>9192</v>
      </c>
      <c r="D5733" s="115" t="s">
        <v>9193</v>
      </c>
      <c r="E5733" s="115" t="s">
        <v>9194</v>
      </c>
    </row>
    <row r="5734" spans="1:5" x14ac:dyDescent="0.25">
      <c r="A5734" s="115" t="s">
        <v>1137</v>
      </c>
      <c r="B5734" s="115" t="s">
        <v>9195</v>
      </c>
      <c r="D5734" s="115" t="s">
        <v>9196</v>
      </c>
      <c r="E5734" s="115" t="s">
        <v>9197</v>
      </c>
    </row>
    <row r="5735" spans="1:5" x14ac:dyDescent="0.25">
      <c r="B5735" s="115" t="s">
        <v>9198</v>
      </c>
      <c r="C5735" s="115">
        <v>-6</v>
      </c>
      <c r="D5735" s="115" t="s">
        <v>9199</v>
      </c>
      <c r="E5735" s="115" t="s">
        <v>9200</v>
      </c>
    </row>
    <row r="5736" spans="1:5" x14ac:dyDescent="0.25">
      <c r="A5736" s="115">
        <v>1</v>
      </c>
      <c r="B5736" s="115" t="s">
        <v>9201</v>
      </c>
      <c r="D5736" s="115" t="s">
        <v>9202</v>
      </c>
      <c r="E5736" s="115" t="s">
        <v>9203</v>
      </c>
    </row>
    <row r="5737" spans="1:5" x14ac:dyDescent="0.25">
      <c r="A5737" s="115">
        <v>1</v>
      </c>
      <c r="B5737" s="115" t="s">
        <v>9204</v>
      </c>
      <c r="D5737" s="115" t="s">
        <v>9205</v>
      </c>
      <c r="E5737" s="115" t="s">
        <v>9206</v>
      </c>
    </row>
    <row r="5738" spans="1:5" x14ac:dyDescent="0.25">
      <c r="B5738" s="115" t="s">
        <v>1529</v>
      </c>
      <c r="C5738" s="115">
        <v>-6</v>
      </c>
      <c r="D5738" s="115" t="s">
        <v>9207</v>
      </c>
      <c r="E5738" s="115" t="s">
        <v>9208</v>
      </c>
    </row>
    <row r="5739" spans="1:5" x14ac:dyDescent="0.25">
      <c r="B5739" s="115" t="s">
        <v>1362</v>
      </c>
      <c r="D5739" s="115" t="s">
        <v>9209</v>
      </c>
      <c r="E5739" s="115" t="s">
        <v>9210</v>
      </c>
    </row>
    <row r="5740" spans="1:5" x14ac:dyDescent="0.25">
      <c r="B5740" s="115" t="s">
        <v>1172</v>
      </c>
      <c r="D5740" s="115" t="s">
        <v>9211</v>
      </c>
      <c r="E5740" s="115" t="s">
        <v>9212</v>
      </c>
    </row>
    <row r="5741" spans="1:5" x14ac:dyDescent="0.25">
      <c r="B5741" s="115" t="s">
        <v>9213</v>
      </c>
      <c r="C5741" s="115">
        <v>-6</v>
      </c>
      <c r="D5741" s="115" t="s">
        <v>9214</v>
      </c>
      <c r="E5741" s="115" t="s">
        <v>9215</v>
      </c>
    </row>
    <row r="5742" spans="1:5" x14ac:dyDescent="0.25">
      <c r="A5742" s="115">
        <v>-3</v>
      </c>
      <c r="B5742" s="115" t="s">
        <v>9216</v>
      </c>
      <c r="D5742" s="115" t="s">
        <v>9217</v>
      </c>
      <c r="E5742" s="115" t="s">
        <v>9218</v>
      </c>
    </row>
    <row r="5743" spans="1:5" x14ac:dyDescent="0.25">
      <c r="A5743" s="115" t="s">
        <v>1137</v>
      </c>
      <c r="B5743" s="115" t="s">
        <v>1231</v>
      </c>
      <c r="D5743" s="115" t="s">
        <v>1139</v>
      </c>
      <c r="E5743" s="115" t="s">
        <v>9219</v>
      </c>
    </row>
    <row r="5744" spans="1:5" x14ac:dyDescent="0.25">
      <c r="B5744" s="115" t="s">
        <v>9220</v>
      </c>
      <c r="C5744" s="115">
        <v>-6</v>
      </c>
      <c r="D5744" s="115" t="s">
        <v>9221</v>
      </c>
      <c r="E5744" s="115" t="s">
        <v>9222</v>
      </c>
    </row>
    <row r="5745" spans="1:5" x14ac:dyDescent="0.25">
      <c r="A5745" s="115">
        <v>-1</v>
      </c>
      <c r="B5745" s="115" t="s">
        <v>9223</v>
      </c>
      <c r="D5745" s="115" t="s">
        <v>9224</v>
      </c>
      <c r="E5745" s="115" t="s">
        <v>9225</v>
      </c>
    </row>
    <row r="5746" spans="1:5" x14ac:dyDescent="0.25">
      <c r="A5746" s="115">
        <v>-1</v>
      </c>
      <c r="B5746" s="115" t="s">
        <v>1235</v>
      </c>
      <c r="D5746" s="115" t="s">
        <v>9226</v>
      </c>
      <c r="E5746" s="115" t="s">
        <v>9227</v>
      </c>
    </row>
    <row r="5747" spans="1:5" x14ac:dyDescent="0.25">
      <c r="A5747" s="115">
        <v>1</v>
      </c>
      <c r="B5747" s="115" t="s">
        <v>9228</v>
      </c>
      <c r="D5747" s="115" t="s">
        <v>9229</v>
      </c>
      <c r="E5747" s="115" t="s">
        <v>9230</v>
      </c>
    </row>
    <row r="5748" spans="1:5" x14ac:dyDescent="0.25">
      <c r="B5748" s="115" t="s">
        <v>1138</v>
      </c>
      <c r="D5748" s="115" t="s">
        <v>9231</v>
      </c>
      <c r="E5748" s="115" t="s">
        <v>9232</v>
      </c>
    </row>
    <row r="5749" spans="1:5" x14ac:dyDescent="0.25">
      <c r="B5749" s="115" t="s">
        <v>1138</v>
      </c>
      <c r="D5749" s="115" t="s">
        <v>9233</v>
      </c>
      <c r="E5749" s="115" t="s">
        <v>1893</v>
      </c>
    </row>
    <row r="5750" spans="1:5" x14ac:dyDescent="0.25">
      <c r="B5750" s="115" t="s">
        <v>9234</v>
      </c>
      <c r="D5750" s="115" t="s">
        <v>9235</v>
      </c>
      <c r="E5750" s="115" t="s">
        <v>1140</v>
      </c>
    </row>
    <row r="5751" spans="1:5" x14ac:dyDescent="0.25">
      <c r="B5751" s="115" t="s">
        <v>1138</v>
      </c>
      <c r="D5751" s="115" t="s">
        <v>1139</v>
      </c>
      <c r="E5751" s="115" t="s">
        <v>9236</v>
      </c>
    </row>
    <row r="5752" spans="1:5" x14ac:dyDescent="0.25">
      <c r="B5752" s="115" t="s">
        <v>1138</v>
      </c>
      <c r="D5752" s="115" t="s">
        <v>9237</v>
      </c>
      <c r="E5752" s="115" t="s">
        <v>9238</v>
      </c>
    </row>
    <row r="5753" spans="1:5" x14ac:dyDescent="0.25">
      <c r="A5753" s="115">
        <v>-2</v>
      </c>
      <c r="B5753" s="115" t="s">
        <v>9239</v>
      </c>
      <c r="D5753" s="115" t="s">
        <v>9240</v>
      </c>
      <c r="E5753" s="115" t="s">
        <v>9241</v>
      </c>
    </row>
    <row r="5754" spans="1:5" x14ac:dyDescent="0.25">
      <c r="B5754" s="115" t="s">
        <v>9242</v>
      </c>
      <c r="D5754" s="115" t="s">
        <v>9243</v>
      </c>
      <c r="E5754" s="115" t="s">
        <v>9244</v>
      </c>
    </row>
    <row r="5755" spans="1:5" x14ac:dyDescent="0.25">
      <c r="A5755" s="115">
        <v>2</v>
      </c>
      <c r="B5755" s="115" t="s">
        <v>9245</v>
      </c>
      <c r="C5755" s="115" t="s">
        <v>1137</v>
      </c>
      <c r="D5755" s="115" t="s">
        <v>9246</v>
      </c>
      <c r="E5755" s="115" t="s">
        <v>9247</v>
      </c>
    </row>
    <row r="5756" spans="1:5" x14ac:dyDescent="0.25">
      <c r="B5756" s="115" t="s">
        <v>9248</v>
      </c>
      <c r="D5756" s="115" t="s">
        <v>9249</v>
      </c>
      <c r="E5756" s="115" t="s">
        <v>9250</v>
      </c>
    </row>
    <row r="5757" spans="1:5" x14ac:dyDescent="0.25">
      <c r="A5757" s="115" t="s">
        <v>1137</v>
      </c>
      <c r="B5757" s="115" t="s">
        <v>9251</v>
      </c>
      <c r="D5757" s="115" t="s">
        <v>9252</v>
      </c>
      <c r="E5757" s="115" t="s">
        <v>9253</v>
      </c>
    </row>
    <row r="5758" spans="1:5" x14ac:dyDescent="0.25">
      <c r="B5758" s="115" t="s">
        <v>9254</v>
      </c>
      <c r="C5758" s="115">
        <v>3</v>
      </c>
      <c r="D5758" s="115" t="s">
        <v>9255</v>
      </c>
      <c r="E5758" s="115" t="s">
        <v>9256</v>
      </c>
    </row>
    <row r="5759" spans="1:5" x14ac:dyDescent="0.25">
      <c r="A5759" s="115">
        <v>40</v>
      </c>
      <c r="B5759" s="115" t="s">
        <v>9257</v>
      </c>
      <c r="C5759" s="115">
        <v>4</v>
      </c>
      <c r="D5759" s="115" t="s">
        <v>9258</v>
      </c>
      <c r="E5759" s="115" t="s">
        <v>9259</v>
      </c>
    </row>
    <row r="5760" spans="1:5" x14ac:dyDescent="0.25">
      <c r="B5760" s="115" t="s">
        <v>1138</v>
      </c>
      <c r="D5760" s="115" t="s">
        <v>9260</v>
      </c>
      <c r="E5760" s="115" t="s">
        <v>9261</v>
      </c>
    </row>
    <row r="5761" spans="1:5" x14ac:dyDescent="0.25">
      <c r="B5761" s="115" t="s">
        <v>1138</v>
      </c>
      <c r="D5761" s="115" t="s">
        <v>1139</v>
      </c>
      <c r="E5761" s="115" t="s">
        <v>9262</v>
      </c>
    </row>
    <row r="5762" spans="1:5" x14ac:dyDescent="0.25">
      <c r="B5762" s="115" t="s">
        <v>1138</v>
      </c>
      <c r="D5762" s="115" t="s">
        <v>9263</v>
      </c>
      <c r="E5762" s="115" t="s">
        <v>9264</v>
      </c>
    </row>
    <row r="5763" spans="1:5" x14ac:dyDescent="0.25">
      <c r="B5763" s="115" t="s">
        <v>9265</v>
      </c>
      <c r="D5763" s="115" t="s">
        <v>3121</v>
      </c>
      <c r="E5763" s="115" t="s">
        <v>1758</v>
      </c>
    </row>
    <row r="5764" spans="1:5" x14ac:dyDescent="0.25">
      <c r="B5764" s="115" t="s">
        <v>5006</v>
      </c>
      <c r="D5764" s="115" t="s">
        <v>1139</v>
      </c>
      <c r="E5764" s="115" t="s">
        <v>9266</v>
      </c>
    </row>
    <row r="5765" spans="1:5" x14ac:dyDescent="0.25">
      <c r="A5765" s="115">
        <v>-55</v>
      </c>
      <c r="B5765" s="115" t="s">
        <v>1146</v>
      </c>
      <c r="D5765" s="115" t="s">
        <v>1273</v>
      </c>
      <c r="E5765" s="115" t="s">
        <v>9267</v>
      </c>
    </row>
    <row r="5766" spans="1:5" x14ac:dyDescent="0.25">
      <c r="B5766" s="115" t="s">
        <v>1138</v>
      </c>
      <c r="D5766" s="115" t="s">
        <v>9268</v>
      </c>
      <c r="E5766" s="115" t="s">
        <v>9269</v>
      </c>
    </row>
    <row r="5767" spans="1:5" x14ac:dyDescent="0.25">
      <c r="B5767" s="115">
        <f>-6    -50</f>
        <v>-56</v>
      </c>
      <c r="D5767" s="115" t="s">
        <v>1139</v>
      </c>
      <c r="E5767" s="115" t="s">
        <v>9270</v>
      </c>
    </row>
    <row r="5768" spans="1:5" x14ac:dyDescent="0.25">
      <c r="A5768" s="115">
        <v>-62</v>
      </c>
      <c r="B5768" s="115" t="s">
        <v>9271</v>
      </c>
      <c r="D5768" s="115" t="s">
        <v>9272</v>
      </c>
      <c r="E5768" s="115" t="s">
        <v>9273</v>
      </c>
    </row>
    <row r="5769" spans="1:5" x14ac:dyDescent="0.25">
      <c r="A5769" s="115" t="s">
        <v>1137</v>
      </c>
      <c r="B5769" s="115" t="s">
        <v>9274</v>
      </c>
      <c r="D5769" s="115" t="s">
        <v>9275</v>
      </c>
      <c r="E5769" s="115" t="s">
        <v>9276</v>
      </c>
    </row>
    <row r="5770" spans="1:5" x14ac:dyDescent="0.25">
      <c r="B5770" s="115" t="s">
        <v>9277</v>
      </c>
      <c r="D5770" s="115" t="s">
        <v>1139</v>
      </c>
      <c r="E5770" s="115" t="s">
        <v>9278</v>
      </c>
    </row>
    <row r="5771" spans="1:5" x14ac:dyDescent="0.25">
      <c r="A5771" s="115">
        <v>-60</v>
      </c>
      <c r="B5771" s="115" t="s">
        <v>9279</v>
      </c>
      <c r="D5771" s="115" t="s">
        <v>9280</v>
      </c>
      <c r="E5771" s="115" t="s">
        <v>9281</v>
      </c>
    </row>
    <row r="5772" spans="1:5" x14ac:dyDescent="0.25">
      <c r="B5772" s="115" t="s">
        <v>1664</v>
      </c>
      <c r="D5772" s="115" t="s">
        <v>9282</v>
      </c>
      <c r="E5772" s="115" t="s">
        <v>9283</v>
      </c>
    </row>
    <row r="5773" spans="1:5" x14ac:dyDescent="0.25">
      <c r="B5773" s="115" t="s">
        <v>9284</v>
      </c>
      <c r="D5773" s="115" t="s">
        <v>1139</v>
      </c>
      <c r="E5773" s="115" t="s">
        <v>9285</v>
      </c>
    </row>
    <row r="5774" spans="1:5" x14ac:dyDescent="0.25">
      <c r="A5774" s="115">
        <v>-57</v>
      </c>
      <c r="B5774" s="115" t="s">
        <v>9286</v>
      </c>
      <c r="D5774" s="115" t="s">
        <v>2301</v>
      </c>
      <c r="E5774" s="115" t="s">
        <v>9287</v>
      </c>
    </row>
    <row r="5775" spans="1:5" x14ac:dyDescent="0.25">
      <c r="B5775" s="115" t="s">
        <v>9288</v>
      </c>
      <c r="D5775" s="115" t="s">
        <v>9289</v>
      </c>
      <c r="E5775" s="115" t="s">
        <v>9290</v>
      </c>
    </row>
    <row r="5776" spans="1:5" x14ac:dyDescent="0.25">
      <c r="B5776" s="115" t="s">
        <v>1138</v>
      </c>
      <c r="D5776" s="115" t="s">
        <v>1139</v>
      </c>
      <c r="E5776" s="115" t="s">
        <v>9291</v>
      </c>
    </row>
    <row r="5777" spans="1:5" x14ac:dyDescent="0.25">
      <c r="A5777" s="115">
        <v>-68</v>
      </c>
      <c r="B5777" s="115" t="s">
        <v>1290</v>
      </c>
      <c r="D5777" s="115" t="s">
        <v>1139</v>
      </c>
      <c r="E5777" s="115" t="s">
        <v>9292</v>
      </c>
    </row>
    <row r="5778" spans="1:5" x14ac:dyDescent="0.25">
      <c r="A5778" s="115" t="s">
        <v>1137</v>
      </c>
      <c r="B5778" s="115" t="s">
        <v>9293</v>
      </c>
      <c r="D5778" s="115" t="s">
        <v>9294</v>
      </c>
      <c r="E5778" s="115" t="s">
        <v>9295</v>
      </c>
    </row>
    <row r="5779" spans="1:5" x14ac:dyDescent="0.25">
      <c r="B5779" s="115" t="s">
        <v>9296</v>
      </c>
      <c r="D5779" s="115" t="s">
        <v>1139</v>
      </c>
      <c r="E5779" s="115" t="s">
        <v>9297</v>
      </c>
    </row>
    <row r="5780" spans="1:5" x14ac:dyDescent="0.25">
      <c r="A5780" s="115">
        <v>1</v>
      </c>
      <c r="B5780" s="115" t="s">
        <v>9298</v>
      </c>
      <c r="D5780" s="115" t="s">
        <v>9299</v>
      </c>
      <c r="E5780" s="115" t="s">
        <v>1140</v>
      </c>
    </row>
    <row r="5781" spans="1:5" x14ac:dyDescent="0.25">
      <c r="B5781" s="115" t="s">
        <v>1138</v>
      </c>
      <c r="D5781" s="115" t="s">
        <v>9300</v>
      </c>
      <c r="E5781" s="115" t="s">
        <v>9301</v>
      </c>
    </row>
    <row r="5782" spans="1:5" x14ac:dyDescent="0.25">
      <c r="B5782" s="115" t="s">
        <v>6730</v>
      </c>
      <c r="D5782" s="115" t="s">
        <v>9302</v>
      </c>
      <c r="E5782" s="115" t="s">
        <v>9303</v>
      </c>
    </row>
    <row r="5783" spans="1:5" x14ac:dyDescent="0.25">
      <c r="A5783" s="115">
        <v>-2</v>
      </c>
      <c r="B5783" s="115" t="s">
        <v>1584</v>
      </c>
      <c r="D5783" s="115" t="s">
        <v>1139</v>
      </c>
      <c r="E5783" s="115" t="s">
        <v>1140</v>
      </c>
    </row>
    <row r="5784" spans="1:5" x14ac:dyDescent="0.25">
      <c r="B5784" s="115" t="s">
        <v>1138</v>
      </c>
      <c r="D5784" s="115" t="s">
        <v>1139</v>
      </c>
      <c r="E5784" s="115" t="s">
        <v>9304</v>
      </c>
    </row>
    <row r="5785" spans="1:5" x14ac:dyDescent="0.25">
      <c r="B5785" s="115" t="s">
        <v>1610</v>
      </c>
      <c r="D5785" s="115" t="s">
        <v>9305</v>
      </c>
      <c r="E5785" s="115" t="s">
        <v>9306</v>
      </c>
    </row>
    <row r="5786" spans="1:5" x14ac:dyDescent="0.25">
      <c r="B5786" s="115" t="s">
        <v>1138</v>
      </c>
      <c r="D5786" s="115" t="s">
        <v>9307</v>
      </c>
      <c r="E5786" s="115" t="s">
        <v>9308</v>
      </c>
    </row>
    <row r="5787" spans="1:5" x14ac:dyDescent="0.25">
      <c r="A5787" s="115">
        <v>2</v>
      </c>
      <c r="B5787" s="115" t="s">
        <v>9309</v>
      </c>
      <c r="D5787" s="115" t="s">
        <v>9310</v>
      </c>
      <c r="E5787" s="115" t="s">
        <v>9311</v>
      </c>
    </row>
    <row r="5788" spans="1:5" x14ac:dyDescent="0.25">
      <c r="A5788" s="115" t="s">
        <v>1137</v>
      </c>
      <c r="B5788" s="115" t="s">
        <v>9312</v>
      </c>
      <c r="D5788" s="115" t="s">
        <v>9313</v>
      </c>
      <c r="E5788" s="115" t="s">
        <v>9314</v>
      </c>
    </row>
    <row r="5789" spans="1:5" x14ac:dyDescent="0.25">
      <c r="B5789" s="115" t="s">
        <v>9315</v>
      </c>
      <c r="D5789" s="115" t="s">
        <v>9316</v>
      </c>
      <c r="E5789" s="115" t="s">
        <v>9317</v>
      </c>
    </row>
    <row r="5790" spans="1:5" x14ac:dyDescent="0.25">
      <c r="B5790" s="115" t="s">
        <v>9318</v>
      </c>
      <c r="D5790" s="115" t="s">
        <v>9319</v>
      </c>
      <c r="E5790" s="115" t="s">
        <v>9320</v>
      </c>
    </row>
    <row r="5791" spans="1:5" x14ac:dyDescent="0.25">
      <c r="A5791" s="115">
        <v>42</v>
      </c>
      <c r="B5791" s="115" t="s">
        <v>9321</v>
      </c>
      <c r="C5791" s="115">
        <v>4</v>
      </c>
      <c r="D5791" s="115" t="s">
        <v>9322</v>
      </c>
      <c r="E5791" s="115" t="s">
        <v>9323</v>
      </c>
    </row>
    <row r="5792" spans="1:5" x14ac:dyDescent="0.25">
      <c r="A5792" s="115">
        <v>47</v>
      </c>
      <c r="B5792" s="115" t="s">
        <v>9324</v>
      </c>
      <c r="C5792" s="115">
        <v>4</v>
      </c>
      <c r="D5792" s="115" t="s">
        <v>9325</v>
      </c>
      <c r="E5792" s="115" t="s">
        <v>9326</v>
      </c>
    </row>
    <row r="5793" spans="1:5" x14ac:dyDescent="0.25">
      <c r="B5793" s="115" t="s">
        <v>1368</v>
      </c>
      <c r="D5793" s="115" t="s">
        <v>9327</v>
      </c>
      <c r="E5793" s="115" t="s">
        <v>9328</v>
      </c>
    </row>
    <row r="5794" spans="1:5" x14ac:dyDescent="0.25">
      <c r="B5794" s="115" t="s">
        <v>1138</v>
      </c>
      <c r="D5794" s="115" t="s">
        <v>1139</v>
      </c>
      <c r="E5794" s="115" t="s">
        <v>9329</v>
      </c>
    </row>
    <row r="5795" spans="1:5" x14ac:dyDescent="0.25">
      <c r="B5795" s="115" t="s">
        <v>9330</v>
      </c>
      <c r="C5795" s="115">
        <v>-4</v>
      </c>
      <c r="D5795" s="115" t="s">
        <v>9331</v>
      </c>
      <c r="E5795" s="115" t="s">
        <v>9332</v>
      </c>
    </row>
    <row r="5796" spans="1:5" x14ac:dyDescent="0.25">
      <c r="B5796" s="115" t="s">
        <v>1251</v>
      </c>
      <c r="D5796" s="115" t="s">
        <v>1245</v>
      </c>
      <c r="E5796" s="115" t="s">
        <v>1140</v>
      </c>
    </row>
    <row r="5797" spans="1:5" x14ac:dyDescent="0.25">
      <c r="B5797" s="115" t="s">
        <v>1527</v>
      </c>
      <c r="D5797" s="115" t="s">
        <v>1139</v>
      </c>
      <c r="E5797" s="115" t="s">
        <v>9333</v>
      </c>
    </row>
    <row r="5798" spans="1:5" x14ac:dyDescent="0.25">
      <c r="B5798" s="115" t="s">
        <v>1215</v>
      </c>
      <c r="D5798" s="115" t="s">
        <v>1139</v>
      </c>
      <c r="E5798" s="115" t="s">
        <v>9334</v>
      </c>
    </row>
    <row r="5799" spans="1:5" x14ac:dyDescent="0.25">
      <c r="B5799" s="115" t="s">
        <v>9335</v>
      </c>
      <c r="D5799" s="115" t="s">
        <v>9336</v>
      </c>
      <c r="E5799" s="115" t="s">
        <v>9337</v>
      </c>
    </row>
    <row r="5800" spans="1:5" x14ac:dyDescent="0.25">
      <c r="A5800" s="115" t="s">
        <v>1137</v>
      </c>
      <c r="B5800" s="115" t="s">
        <v>1627</v>
      </c>
      <c r="D5800" s="115" t="s">
        <v>2624</v>
      </c>
      <c r="E5800" s="115" t="s">
        <v>9338</v>
      </c>
    </row>
    <row r="5801" spans="1:5" x14ac:dyDescent="0.25">
      <c r="B5801" s="115" t="s">
        <v>9339</v>
      </c>
      <c r="D5801" s="115" t="s">
        <v>9340</v>
      </c>
      <c r="E5801" s="115" t="s">
        <v>9341</v>
      </c>
    </row>
    <row r="5802" spans="1:5" x14ac:dyDescent="0.25">
      <c r="B5802" s="115" t="s">
        <v>9342</v>
      </c>
      <c r="D5802" s="115" t="s">
        <v>9343</v>
      </c>
      <c r="E5802" s="115" t="s">
        <v>9344</v>
      </c>
    </row>
    <row r="5803" spans="1:5" x14ac:dyDescent="0.25">
      <c r="B5803" s="115" t="s">
        <v>1320</v>
      </c>
      <c r="D5803" s="115" t="s">
        <v>1990</v>
      </c>
      <c r="E5803" s="115" t="s">
        <v>9345</v>
      </c>
    </row>
    <row r="5804" spans="1:5" x14ac:dyDescent="0.25">
      <c r="B5804" s="115" t="s">
        <v>9346</v>
      </c>
      <c r="D5804" s="115" t="s">
        <v>9347</v>
      </c>
      <c r="E5804" s="115" t="s">
        <v>9348</v>
      </c>
    </row>
    <row r="5805" spans="1:5" x14ac:dyDescent="0.25">
      <c r="A5805" s="115">
        <v>2</v>
      </c>
      <c r="B5805" s="115" t="s">
        <v>9349</v>
      </c>
      <c r="D5805" s="115" t="s">
        <v>5559</v>
      </c>
      <c r="E5805" s="115" t="s">
        <v>9350</v>
      </c>
    </row>
    <row r="5806" spans="1:5" x14ac:dyDescent="0.25">
      <c r="A5806" s="115" t="s">
        <v>1137</v>
      </c>
      <c r="B5806" s="115" t="s">
        <v>1414</v>
      </c>
      <c r="D5806" s="115" t="s">
        <v>9351</v>
      </c>
      <c r="E5806" s="115" t="s">
        <v>9352</v>
      </c>
    </row>
    <row r="5807" spans="1:5" x14ac:dyDescent="0.25">
      <c r="A5807" s="115" t="s">
        <v>1137</v>
      </c>
      <c r="B5807" s="115" t="s">
        <v>1301</v>
      </c>
      <c r="D5807" s="115" t="s">
        <v>9353</v>
      </c>
      <c r="E5807" s="115" t="s">
        <v>9354</v>
      </c>
    </row>
    <row r="5808" spans="1:5" x14ac:dyDescent="0.25">
      <c r="A5808" s="115">
        <v>1</v>
      </c>
      <c r="B5808" s="115" t="s">
        <v>1562</v>
      </c>
      <c r="D5808" s="115" t="s">
        <v>9355</v>
      </c>
      <c r="E5808" s="115" t="s">
        <v>9356</v>
      </c>
    </row>
    <row r="5809" spans="1:5" x14ac:dyDescent="0.25">
      <c r="B5809" s="115" t="s">
        <v>1138</v>
      </c>
      <c r="D5809" s="115" t="s">
        <v>9357</v>
      </c>
      <c r="E5809" s="115" t="s">
        <v>9358</v>
      </c>
    </row>
    <row r="5810" spans="1:5" x14ac:dyDescent="0.25">
      <c r="B5810" s="115" t="s">
        <v>1138</v>
      </c>
      <c r="D5810" s="115" t="s">
        <v>9359</v>
      </c>
      <c r="E5810" s="115" t="s">
        <v>9360</v>
      </c>
    </row>
    <row r="5811" spans="1:5" x14ac:dyDescent="0.25">
      <c r="A5811" s="115">
        <v>-1</v>
      </c>
      <c r="B5811" s="115" t="s">
        <v>9361</v>
      </c>
      <c r="D5811" s="115" t="s">
        <v>9362</v>
      </c>
      <c r="E5811" s="115" t="s">
        <v>9363</v>
      </c>
    </row>
    <row r="5812" spans="1:5" x14ac:dyDescent="0.25">
      <c r="A5812" s="115" t="s">
        <v>1137</v>
      </c>
      <c r="B5812" s="115" t="s">
        <v>1243</v>
      </c>
      <c r="D5812" s="115" t="s">
        <v>9364</v>
      </c>
      <c r="E5812" s="115" t="s">
        <v>9365</v>
      </c>
    </row>
    <row r="5813" spans="1:5" x14ac:dyDescent="0.25">
      <c r="B5813" s="115" t="s">
        <v>9366</v>
      </c>
      <c r="D5813" s="115" t="s">
        <v>9367</v>
      </c>
      <c r="E5813" s="115" t="s">
        <v>1140</v>
      </c>
    </row>
    <row r="5814" spans="1:5" x14ac:dyDescent="0.25">
      <c r="B5814" s="115" t="s">
        <v>9368</v>
      </c>
      <c r="D5814" s="115" t="s">
        <v>9369</v>
      </c>
      <c r="E5814" s="115" t="s">
        <v>9370</v>
      </c>
    </row>
    <row r="5815" spans="1:5" x14ac:dyDescent="0.25">
      <c r="B5815" s="115" t="s">
        <v>9371</v>
      </c>
      <c r="D5815" s="115" t="s">
        <v>9372</v>
      </c>
      <c r="E5815" s="115" t="s">
        <v>9373</v>
      </c>
    </row>
    <row r="5816" spans="1:5" x14ac:dyDescent="0.25">
      <c r="B5816" s="115" t="s">
        <v>1138</v>
      </c>
      <c r="D5816" s="115" t="s">
        <v>1139</v>
      </c>
      <c r="E5816" s="115" t="s">
        <v>1140</v>
      </c>
    </row>
    <row r="5817" spans="1:5" x14ac:dyDescent="0.25">
      <c r="B5817" s="115" t="s">
        <v>1138</v>
      </c>
      <c r="D5817" s="115" t="s">
        <v>9374</v>
      </c>
      <c r="E5817" s="115" t="s">
        <v>1818</v>
      </c>
    </row>
    <row r="5818" spans="1:5" x14ac:dyDescent="0.25">
      <c r="B5818" s="115" t="s">
        <v>9375</v>
      </c>
      <c r="D5818" s="115" t="s">
        <v>9376</v>
      </c>
      <c r="E5818" s="115" t="s">
        <v>9377</v>
      </c>
    </row>
    <row r="5819" spans="1:5" x14ac:dyDescent="0.25">
      <c r="B5819" s="115" t="s">
        <v>1383</v>
      </c>
      <c r="D5819" s="115" t="s">
        <v>9378</v>
      </c>
      <c r="E5819" s="115" t="s">
        <v>9379</v>
      </c>
    </row>
    <row r="5820" spans="1:5" x14ac:dyDescent="0.25">
      <c r="A5820" s="115">
        <v>1</v>
      </c>
      <c r="B5820" s="115" t="s">
        <v>9380</v>
      </c>
      <c r="D5820" s="115" t="s">
        <v>9381</v>
      </c>
      <c r="E5820" s="115" t="s">
        <v>9382</v>
      </c>
    </row>
    <row r="5821" spans="1:5" x14ac:dyDescent="0.25">
      <c r="B5821" s="115" t="s">
        <v>9383</v>
      </c>
      <c r="D5821" s="115" t="s">
        <v>9384</v>
      </c>
      <c r="E5821" s="115" t="s">
        <v>9385</v>
      </c>
    </row>
    <row r="5822" spans="1:5" x14ac:dyDescent="0.25">
      <c r="B5822" s="115" t="s">
        <v>9386</v>
      </c>
      <c r="D5822" s="115">
        <f>-358   -857    -73   -18</f>
        <v>-1306</v>
      </c>
      <c r="E5822" s="115" t="s">
        <v>9387</v>
      </c>
    </row>
    <row r="5823" spans="1:5" x14ac:dyDescent="0.25">
      <c r="B5823" s="115" t="s">
        <v>9388</v>
      </c>
      <c r="D5823" s="115" t="s">
        <v>9389</v>
      </c>
      <c r="E5823" s="115" t="s">
        <v>9390</v>
      </c>
    </row>
    <row r="5824" spans="1:5" x14ac:dyDescent="0.25">
      <c r="A5824" s="115">
        <v>38</v>
      </c>
      <c r="B5824" s="115" t="s">
        <v>9391</v>
      </c>
      <c r="C5824" s="115">
        <v>4</v>
      </c>
      <c r="D5824" s="115" t="s">
        <v>9392</v>
      </c>
      <c r="E5824" s="115" t="s">
        <v>9393</v>
      </c>
    </row>
    <row r="5825" spans="1:5" x14ac:dyDescent="0.25">
      <c r="A5825" s="115">
        <v>46</v>
      </c>
      <c r="B5825" s="115" t="s">
        <v>9394</v>
      </c>
      <c r="C5825" s="115">
        <v>5</v>
      </c>
      <c r="D5825" s="115" t="s">
        <v>9395</v>
      </c>
      <c r="E5825" s="115" t="s">
        <v>9396</v>
      </c>
    </row>
    <row r="5826" spans="1:5" x14ac:dyDescent="0.25">
      <c r="B5826" s="115" t="s">
        <v>1596</v>
      </c>
      <c r="D5826" s="115" t="s">
        <v>9397</v>
      </c>
      <c r="E5826" s="115" t="s">
        <v>9398</v>
      </c>
    </row>
    <row r="5827" spans="1:5" x14ac:dyDescent="0.25">
      <c r="B5827" s="115" t="s">
        <v>1138</v>
      </c>
      <c r="D5827" s="115" t="s">
        <v>1139</v>
      </c>
      <c r="E5827" s="115" t="s">
        <v>9399</v>
      </c>
    </row>
    <row r="5828" spans="1:5" x14ac:dyDescent="0.25">
      <c r="B5828" s="115" t="s">
        <v>1664</v>
      </c>
      <c r="C5828" s="115">
        <v>-4</v>
      </c>
      <c r="D5828" s="115" t="s">
        <v>9400</v>
      </c>
      <c r="E5828" s="115" t="s">
        <v>9401</v>
      </c>
    </row>
    <row r="5829" spans="1:5" x14ac:dyDescent="0.25">
      <c r="B5829" s="115" t="s">
        <v>1586</v>
      </c>
      <c r="D5829" s="115" t="s">
        <v>9402</v>
      </c>
      <c r="E5829" s="115" t="s">
        <v>1140</v>
      </c>
    </row>
    <row r="5830" spans="1:5" x14ac:dyDescent="0.25">
      <c r="B5830" s="115" t="s">
        <v>9403</v>
      </c>
      <c r="D5830" s="115" t="s">
        <v>1139</v>
      </c>
      <c r="E5830" s="115" t="s">
        <v>9404</v>
      </c>
    </row>
    <row r="5831" spans="1:5" x14ac:dyDescent="0.25">
      <c r="B5831" s="115" t="s">
        <v>1368</v>
      </c>
      <c r="D5831" s="115" t="s">
        <v>1139</v>
      </c>
      <c r="E5831" s="115" t="s">
        <v>9405</v>
      </c>
    </row>
    <row r="5832" spans="1:5" x14ac:dyDescent="0.25">
      <c r="B5832" s="115" t="s">
        <v>1268</v>
      </c>
      <c r="D5832" s="115" t="s">
        <v>9406</v>
      </c>
      <c r="E5832" s="115" t="s">
        <v>9407</v>
      </c>
    </row>
    <row r="5833" spans="1:5" x14ac:dyDescent="0.25">
      <c r="B5833" s="115" t="s">
        <v>9408</v>
      </c>
      <c r="D5833" s="115" t="s">
        <v>3821</v>
      </c>
      <c r="E5833" s="115" t="s">
        <v>9409</v>
      </c>
    </row>
    <row r="5834" spans="1:5" x14ac:dyDescent="0.25">
      <c r="A5834" s="115" t="s">
        <v>1137</v>
      </c>
      <c r="B5834" s="115" t="s">
        <v>9410</v>
      </c>
      <c r="D5834" s="115" t="s">
        <v>9411</v>
      </c>
      <c r="E5834" s="115" t="s">
        <v>9412</v>
      </c>
    </row>
    <row r="5835" spans="1:5" x14ac:dyDescent="0.25">
      <c r="A5835" s="115" t="s">
        <v>1137</v>
      </c>
      <c r="B5835" s="115" t="s">
        <v>9413</v>
      </c>
      <c r="D5835" s="115" t="s">
        <v>9414</v>
      </c>
      <c r="E5835" s="115" t="s">
        <v>9415</v>
      </c>
    </row>
    <row r="5836" spans="1:5" x14ac:dyDescent="0.25">
      <c r="B5836" s="115" t="s">
        <v>9416</v>
      </c>
      <c r="D5836" s="115" t="s">
        <v>2057</v>
      </c>
      <c r="E5836" s="115" t="s">
        <v>9417</v>
      </c>
    </row>
    <row r="5837" spans="1:5" x14ac:dyDescent="0.25">
      <c r="A5837" s="115" t="s">
        <v>1137</v>
      </c>
      <c r="B5837" s="115" t="s">
        <v>9418</v>
      </c>
      <c r="D5837" s="115" t="s">
        <v>9419</v>
      </c>
      <c r="E5837" s="115" t="s">
        <v>9420</v>
      </c>
    </row>
    <row r="5838" spans="1:5" x14ac:dyDescent="0.25">
      <c r="A5838" s="115">
        <v>-1</v>
      </c>
      <c r="B5838" s="115" t="s">
        <v>9421</v>
      </c>
      <c r="D5838" s="115" t="s">
        <v>9422</v>
      </c>
      <c r="E5838" s="115" t="s">
        <v>9423</v>
      </c>
    </row>
    <row r="5839" spans="1:5" x14ac:dyDescent="0.25">
      <c r="B5839" s="115" t="s">
        <v>7316</v>
      </c>
      <c r="D5839" s="115" t="s">
        <v>9424</v>
      </c>
      <c r="E5839" s="115" t="s">
        <v>9425</v>
      </c>
    </row>
    <row r="5840" spans="1:5" x14ac:dyDescent="0.25">
      <c r="B5840" s="115" t="s">
        <v>1338</v>
      </c>
      <c r="D5840" s="115" t="s">
        <v>9426</v>
      </c>
      <c r="E5840" s="115" t="s">
        <v>9427</v>
      </c>
    </row>
    <row r="5841" spans="1:5" x14ac:dyDescent="0.25">
      <c r="A5841" s="115">
        <v>1</v>
      </c>
      <c r="B5841" s="115" t="s">
        <v>1356</v>
      </c>
      <c r="D5841" s="115" t="s">
        <v>9428</v>
      </c>
      <c r="E5841" s="115" t="s">
        <v>9429</v>
      </c>
    </row>
    <row r="5842" spans="1:5" x14ac:dyDescent="0.25">
      <c r="B5842" s="115" t="s">
        <v>1138</v>
      </c>
      <c r="D5842" s="115" t="s">
        <v>5594</v>
      </c>
      <c r="E5842" s="115" t="s">
        <v>9430</v>
      </c>
    </row>
    <row r="5843" spans="1:5" x14ac:dyDescent="0.25">
      <c r="B5843" s="115" t="s">
        <v>1138</v>
      </c>
      <c r="D5843" s="115" t="s">
        <v>9431</v>
      </c>
      <c r="E5843" s="115" t="s">
        <v>9432</v>
      </c>
    </row>
    <row r="5844" spans="1:5" x14ac:dyDescent="0.25">
      <c r="A5844" s="115">
        <v>-1</v>
      </c>
      <c r="B5844" s="115" t="s">
        <v>9433</v>
      </c>
      <c r="D5844" s="115" t="s">
        <v>9434</v>
      </c>
      <c r="E5844" s="115" t="s">
        <v>9435</v>
      </c>
    </row>
    <row r="5845" spans="1:5" x14ac:dyDescent="0.25">
      <c r="A5845" s="115">
        <v>-1</v>
      </c>
      <c r="B5845" s="115" t="s">
        <v>9436</v>
      </c>
      <c r="D5845" s="115" t="s">
        <v>9437</v>
      </c>
      <c r="E5845" s="115" t="s">
        <v>9438</v>
      </c>
    </row>
    <row r="5846" spans="1:5" x14ac:dyDescent="0.25">
      <c r="A5846" s="115">
        <v>1</v>
      </c>
      <c r="B5846" s="115" t="s">
        <v>9439</v>
      </c>
      <c r="D5846" s="115" t="s">
        <v>9440</v>
      </c>
      <c r="E5846" s="115" t="s">
        <v>1140</v>
      </c>
    </row>
    <row r="5847" spans="1:5" x14ac:dyDescent="0.25">
      <c r="B5847" s="115" t="s">
        <v>1270</v>
      </c>
      <c r="D5847" s="115" t="s">
        <v>9441</v>
      </c>
      <c r="E5847" s="115" t="s">
        <v>9442</v>
      </c>
    </row>
    <row r="5848" spans="1:5" x14ac:dyDescent="0.25">
      <c r="B5848" s="115" t="s">
        <v>1542</v>
      </c>
      <c r="D5848" s="115" t="s">
        <v>9443</v>
      </c>
      <c r="E5848" s="115" t="s">
        <v>9444</v>
      </c>
    </row>
    <row r="5849" spans="1:5" x14ac:dyDescent="0.25">
      <c r="B5849" s="115" t="s">
        <v>1138</v>
      </c>
      <c r="D5849" s="115" t="s">
        <v>1139</v>
      </c>
      <c r="E5849" s="115" t="s">
        <v>1140</v>
      </c>
    </row>
    <row r="5850" spans="1:5" x14ac:dyDescent="0.25">
      <c r="B5850" s="115" t="s">
        <v>1138</v>
      </c>
      <c r="D5850" s="115" t="s">
        <v>3821</v>
      </c>
      <c r="E5850" s="115" t="s">
        <v>2259</v>
      </c>
    </row>
    <row r="5851" spans="1:5" x14ac:dyDescent="0.25">
      <c r="B5851" s="115" t="s">
        <v>9445</v>
      </c>
      <c r="D5851" s="115" t="s">
        <v>9446</v>
      </c>
      <c r="E5851" s="115" t="s">
        <v>9447</v>
      </c>
    </row>
    <row r="5852" spans="1:5" x14ac:dyDescent="0.25">
      <c r="B5852" s="115" t="s">
        <v>1326</v>
      </c>
      <c r="D5852" s="115" t="s">
        <v>9448</v>
      </c>
      <c r="E5852" s="115" t="s">
        <v>9449</v>
      </c>
    </row>
    <row r="5853" spans="1:5" x14ac:dyDescent="0.25">
      <c r="A5853" s="115">
        <v>1</v>
      </c>
      <c r="B5853" s="115" t="s">
        <v>9450</v>
      </c>
      <c r="D5853" s="115" t="s">
        <v>9451</v>
      </c>
      <c r="E5853" s="115" t="s">
        <v>9452</v>
      </c>
    </row>
    <row r="5854" spans="1:5" x14ac:dyDescent="0.25">
      <c r="B5854" s="115" t="s">
        <v>9453</v>
      </c>
      <c r="D5854" s="115" t="s">
        <v>9454</v>
      </c>
      <c r="E5854" s="115" t="s">
        <v>9455</v>
      </c>
    </row>
    <row r="5855" spans="1:5" x14ac:dyDescent="0.25">
      <c r="B5855" s="115" t="s">
        <v>9456</v>
      </c>
      <c r="D5855" s="115">
        <f>-1  -1574   -127   -19</f>
        <v>-1721</v>
      </c>
      <c r="E5855" s="115" t="s">
        <v>9457</v>
      </c>
    </row>
    <row r="5856" spans="1:5" x14ac:dyDescent="0.25">
      <c r="B5856" s="115" t="s">
        <v>9458</v>
      </c>
      <c r="D5856" s="115" t="s">
        <v>9459</v>
      </c>
      <c r="E5856" s="115" t="s">
        <v>9460</v>
      </c>
    </row>
    <row r="5857" spans="1:5" x14ac:dyDescent="0.25">
      <c r="A5857" s="115">
        <v>43</v>
      </c>
      <c r="B5857" s="115" t="s">
        <v>9461</v>
      </c>
      <c r="C5857" s="115">
        <v>4</v>
      </c>
      <c r="D5857" s="115" t="s">
        <v>9462</v>
      </c>
      <c r="E5857" s="115" t="s">
        <v>9463</v>
      </c>
    </row>
    <row r="5858" spans="1:5" x14ac:dyDescent="0.25">
      <c r="A5858" s="115">
        <v>43</v>
      </c>
      <c r="B5858" s="115" t="s">
        <v>9464</v>
      </c>
      <c r="C5858" s="115">
        <v>5</v>
      </c>
      <c r="D5858" s="115" t="s">
        <v>9465</v>
      </c>
      <c r="E5858" s="115" t="s">
        <v>9466</v>
      </c>
    </row>
    <row r="5859" spans="1:5" x14ac:dyDescent="0.25">
      <c r="B5859" s="115" t="s">
        <v>1138</v>
      </c>
      <c r="D5859" s="115" t="s">
        <v>9467</v>
      </c>
      <c r="E5859" s="115" t="s">
        <v>9468</v>
      </c>
    </row>
    <row r="5860" spans="1:5" x14ac:dyDescent="0.25">
      <c r="B5860" s="115" t="s">
        <v>1138</v>
      </c>
      <c r="D5860" s="115" t="s">
        <v>1139</v>
      </c>
      <c r="E5860" s="115" t="s">
        <v>9469</v>
      </c>
    </row>
    <row r="5861" spans="1:5" x14ac:dyDescent="0.25">
      <c r="B5861" s="115" t="s">
        <v>1138</v>
      </c>
      <c r="C5861" s="115" t="s">
        <v>1137</v>
      </c>
      <c r="D5861" s="115" t="s">
        <v>9470</v>
      </c>
      <c r="E5861" s="115" t="s">
        <v>9471</v>
      </c>
    </row>
    <row r="5862" spans="1:5" x14ac:dyDescent="0.25">
      <c r="B5862" s="115" t="s">
        <v>9472</v>
      </c>
      <c r="D5862" s="115" t="s">
        <v>2681</v>
      </c>
      <c r="E5862" s="115" t="s">
        <v>1893</v>
      </c>
    </row>
    <row r="5863" spans="1:5" x14ac:dyDescent="0.25">
      <c r="B5863" s="115" t="s">
        <v>9473</v>
      </c>
      <c r="D5863" s="115" t="s">
        <v>1139</v>
      </c>
      <c r="E5863" s="115" t="s">
        <v>9474</v>
      </c>
    </row>
    <row r="5864" spans="1:5" x14ac:dyDescent="0.25">
      <c r="A5864" s="115">
        <v>-78</v>
      </c>
      <c r="B5864" s="115" t="s">
        <v>9475</v>
      </c>
      <c r="D5864" s="115" t="s">
        <v>9476</v>
      </c>
      <c r="E5864" s="115" t="s">
        <v>9477</v>
      </c>
    </row>
    <row r="5865" spans="1:5" x14ac:dyDescent="0.25">
      <c r="B5865" s="115" t="s">
        <v>1138</v>
      </c>
      <c r="D5865" s="115" t="s">
        <v>9478</v>
      </c>
      <c r="E5865" s="115" t="s">
        <v>9479</v>
      </c>
    </row>
    <row r="5866" spans="1:5" x14ac:dyDescent="0.25">
      <c r="B5866" s="115" t="s">
        <v>9480</v>
      </c>
      <c r="D5866" s="115" t="s">
        <v>1139</v>
      </c>
      <c r="E5866" s="115" t="s">
        <v>9481</v>
      </c>
    </row>
    <row r="5867" spans="1:5" x14ac:dyDescent="0.25">
      <c r="A5867" s="115">
        <v>-85</v>
      </c>
      <c r="B5867" s="115" t="s">
        <v>9482</v>
      </c>
      <c r="D5867" s="115" t="s">
        <v>9483</v>
      </c>
      <c r="E5867" s="115" t="s">
        <v>9484</v>
      </c>
    </row>
    <row r="5868" spans="1:5" x14ac:dyDescent="0.25">
      <c r="B5868" s="115" t="s">
        <v>9485</v>
      </c>
      <c r="D5868" s="115" t="s">
        <v>9486</v>
      </c>
      <c r="E5868" s="115" t="s">
        <v>9487</v>
      </c>
    </row>
    <row r="5869" spans="1:5" x14ac:dyDescent="0.25">
      <c r="B5869" s="115" t="s">
        <v>9488</v>
      </c>
      <c r="D5869" s="115" t="s">
        <v>1139</v>
      </c>
      <c r="E5869" s="115" t="s">
        <v>9489</v>
      </c>
    </row>
    <row r="5870" spans="1:5" x14ac:dyDescent="0.25">
      <c r="A5870" s="115">
        <v>-87</v>
      </c>
      <c r="B5870" s="115" t="s">
        <v>9490</v>
      </c>
      <c r="D5870" s="115" t="s">
        <v>9491</v>
      </c>
      <c r="E5870" s="115" t="s">
        <v>9492</v>
      </c>
    </row>
    <row r="5871" spans="1:5" x14ac:dyDescent="0.25">
      <c r="B5871" s="115" t="s">
        <v>9493</v>
      </c>
      <c r="D5871" s="115" t="s">
        <v>9494</v>
      </c>
      <c r="E5871" s="115" t="s">
        <v>9495</v>
      </c>
    </row>
    <row r="5872" spans="1:5" x14ac:dyDescent="0.25">
      <c r="A5872" s="115">
        <v>1</v>
      </c>
      <c r="B5872" s="115" t="s">
        <v>9496</v>
      </c>
      <c r="D5872" s="115" t="s">
        <v>1139</v>
      </c>
      <c r="E5872" s="115" t="s">
        <v>9497</v>
      </c>
    </row>
    <row r="5873" spans="1:5" x14ac:dyDescent="0.25">
      <c r="A5873" s="115">
        <v>-83</v>
      </c>
      <c r="B5873" s="115" t="s">
        <v>9498</v>
      </c>
      <c r="D5873" s="115" t="s">
        <v>7715</v>
      </c>
      <c r="E5873" s="115" t="s">
        <v>9499</v>
      </c>
    </row>
    <row r="5874" spans="1:5" x14ac:dyDescent="0.25">
      <c r="B5874" s="115" t="s">
        <v>9500</v>
      </c>
      <c r="D5874" s="115" t="s">
        <v>9501</v>
      </c>
      <c r="E5874" s="115" t="s">
        <v>9502</v>
      </c>
    </row>
    <row r="5875" spans="1:5" x14ac:dyDescent="0.25">
      <c r="B5875" s="115" t="s">
        <v>1138</v>
      </c>
      <c r="D5875" s="115" t="s">
        <v>1139</v>
      </c>
      <c r="E5875" s="115" t="s">
        <v>9503</v>
      </c>
    </row>
    <row r="5876" spans="1:5" x14ac:dyDescent="0.25">
      <c r="A5876" s="115">
        <v>-91</v>
      </c>
      <c r="B5876" s="115" t="s">
        <v>7151</v>
      </c>
      <c r="D5876" s="115" t="s">
        <v>1139</v>
      </c>
      <c r="E5876" s="115" t="s">
        <v>9504</v>
      </c>
    </row>
    <row r="5877" spans="1:5" x14ac:dyDescent="0.25">
      <c r="B5877" s="115" t="s">
        <v>9505</v>
      </c>
      <c r="D5877" s="115" t="s">
        <v>9506</v>
      </c>
      <c r="E5877" s="115" t="s">
        <v>9507</v>
      </c>
    </row>
    <row r="5878" spans="1:5" x14ac:dyDescent="0.25">
      <c r="B5878" s="115" t="s">
        <v>9508</v>
      </c>
      <c r="D5878" s="115" t="s">
        <v>1139</v>
      </c>
      <c r="E5878" s="115" t="s">
        <v>9509</v>
      </c>
    </row>
    <row r="5879" spans="1:5" x14ac:dyDescent="0.25">
      <c r="B5879" s="115" t="s">
        <v>9510</v>
      </c>
      <c r="D5879" s="115" t="s">
        <v>9511</v>
      </c>
      <c r="E5879" s="115" t="s">
        <v>1140</v>
      </c>
    </row>
    <row r="5880" spans="1:5" x14ac:dyDescent="0.25">
      <c r="B5880" s="115" t="s">
        <v>1138</v>
      </c>
      <c r="D5880" s="115" t="s">
        <v>9512</v>
      </c>
      <c r="E5880" s="115" t="s">
        <v>9513</v>
      </c>
    </row>
    <row r="5881" spans="1:5" x14ac:dyDescent="0.25">
      <c r="B5881" s="115" t="s">
        <v>1563</v>
      </c>
      <c r="D5881" s="115" t="s">
        <v>9514</v>
      </c>
      <c r="E5881" s="115" t="s">
        <v>9515</v>
      </c>
    </row>
    <row r="5882" spans="1:5" x14ac:dyDescent="0.25">
      <c r="A5882" s="115" t="s">
        <v>1137</v>
      </c>
      <c r="B5882" s="115" t="s">
        <v>1274</v>
      </c>
      <c r="D5882" s="115" t="s">
        <v>1139</v>
      </c>
      <c r="E5882" s="115" t="s">
        <v>1140</v>
      </c>
    </row>
    <row r="5883" spans="1:5" x14ac:dyDescent="0.25">
      <c r="B5883" s="115" t="s">
        <v>1138</v>
      </c>
      <c r="D5883" s="115" t="s">
        <v>1139</v>
      </c>
      <c r="E5883" s="115" t="s">
        <v>9516</v>
      </c>
    </row>
    <row r="5884" spans="1:5" x14ac:dyDescent="0.25">
      <c r="B5884" s="115" t="s">
        <v>9517</v>
      </c>
      <c r="D5884" s="115" t="s">
        <v>9518</v>
      </c>
      <c r="E5884" s="115" t="s">
        <v>9519</v>
      </c>
    </row>
    <row r="5885" spans="1:5" x14ac:dyDescent="0.25">
      <c r="B5885" s="115" t="s">
        <v>1138</v>
      </c>
      <c r="D5885" s="115" t="s">
        <v>9520</v>
      </c>
      <c r="E5885" s="115" t="s">
        <v>9521</v>
      </c>
    </row>
    <row r="5886" spans="1:5" x14ac:dyDescent="0.25">
      <c r="B5886" s="115" t="s">
        <v>9522</v>
      </c>
      <c r="C5886" s="115" t="s">
        <v>1137</v>
      </c>
      <c r="D5886" s="115" t="s">
        <v>9523</v>
      </c>
      <c r="E5886" s="115" t="s">
        <v>9524</v>
      </c>
    </row>
    <row r="5887" spans="1:5" x14ac:dyDescent="0.25">
      <c r="A5887" s="115">
        <v>-1</v>
      </c>
      <c r="B5887" s="115" t="s">
        <v>9525</v>
      </c>
      <c r="D5887" s="115" t="s">
        <v>9526</v>
      </c>
      <c r="E5887" s="115" t="s">
        <v>9527</v>
      </c>
    </row>
    <row r="5888" spans="1:5" x14ac:dyDescent="0.25">
      <c r="A5888" s="115" t="s">
        <v>1137</v>
      </c>
      <c r="B5888" s="115" t="s">
        <v>9528</v>
      </c>
      <c r="D5888" s="115" t="s">
        <v>9529</v>
      </c>
      <c r="E5888" s="115" t="s">
        <v>9530</v>
      </c>
    </row>
    <row r="5889" spans="1:5" x14ac:dyDescent="0.25">
      <c r="B5889" s="115" t="s">
        <v>9531</v>
      </c>
      <c r="D5889" s="115" t="s">
        <v>9532</v>
      </c>
      <c r="E5889" s="115" t="s">
        <v>9533</v>
      </c>
    </row>
    <row r="5890" spans="1:5" x14ac:dyDescent="0.25">
      <c r="A5890" s="115">
        <v>58</v>
      </c>
      <c r="B5890" s="115" t="s">
        <v>9534</v>
      </c>
      <c r="C5890" s="115">
        <v>6</v>
      </c>
      <c r="D5890" s="115" t="s">
        <v>9535</v>
      </c>
      <c r="E5890" s="115" t="s">
        <v>9536</v>
      </c>
    </row>
    <row r="5891" spans="1:5" x14ac:dyDescent="0.25">
      <c r="A5891" s="115">
        <v>53</v>
      </c>
      <c r="B5891" s="115" t="s">
        <v>9537</v>
      </c>
      <c r="C5891" s="115">
        <v>5</v>
      </c>
      <c r="D5891" s="115" t="s">
        <v>9538</v>
      </c>
      <c r="E5891" s="115" t="s">
        <v>9539</v>
      </c>
    </row>
    <row r="5892" spans="1:5" x14ac:dyDescent="0.25">
      <c r="A5892" s="115" t="s">
        <v>1137</v>
      </c>
      <c r="B5892" s="115" t="s">
        <v>9540</v>
      </c>
      <c r="D5892" s="115" t="s">
        <v>8136</v>
      </c>
      <c r="E5892" s="115" t="s">
        <v>6920</v>
      </c>
    </row>
    <row r="5893" spans="1:5" x14ac:dyDescent="0.25">
      <c r="B5893" s="115">
        <f>-8   -434</f>
        <v>-442</v>
      </c>
      <c r="D5893" s="115" t="s">
        <v>1139</v>
      </c>
      <c r="E5893" s="115" t="s">
        <v>1140</v>
      </c>
    </row>
    <row r="5894" spans="1:5" x14ac:dyDescent="0.25">
      <c r="A5894" s="115" t="s">
        <v>1137</v>
      </c>
      <c r="B5894" s="115" t="s">
        <v>9541</v>
      </c>
      <c r="D5894" s="115" t="s">
        <v>9542</v>
      </c>
      <c r="E5894" s="115" t="s">
        <v>9543</v>
      </c>
    </row>
    <row r="5895" spans="1:5" x14ac:dyDescent="0.25">
      <c r="B5895" s="115" t="s">
        <v>1138</v>
      </c>
      <c r="D5895" s="115" t="s">
        <v>9544</v>
      </c>
      <c r="E5895" s="115" t="s">
        <v>9545</v>
      </c>
    </row>
    <row r="5896" spans="1:5" x14ac:dyDescent="0.25">
      <c r="B5896" s="115" t="s">
        <v>1138</v>
      </c>
      <c r="D5896" s="115" t="s">
        <v>9546</v>
      </c>
      <c r="E5896" s="115" t="s">
        <v>1140</v>
      </c>
    </row>
    <row r="5897" spans="1:5" x14ac:dyDescent="0.25">
      <c r="B5897" s="115" t="s">
        <v>9547</v>
      </c>
      <c r="C5897" s="115">
        <v>-8</v>
      </c>
      <c r="D5897" s="115" t="s">
        <v>9548</v>
      </c>
      <c r="E5897" s="115" t="s">
        <v>9549</v>
      </c>
    </row>
    <row r="5898" spans="1:5" x14ac:dyDescent="0.25">
      <c r="A5898" s="115" t="s">
        <v>1137</v>
      </c>
      <c r="B5898" s="115" t="s">
        <v>9550</v>
      </c>
      <c r="D5898" s="115" t="s">
        <v>9551</v>
      </c>
      <c r="E5898" s="115" t="s">
        <v>9552</v>
      </c>
    </row>
    <row r="5899" spans="1:5" x14ac:dyDescent="0.25">
      <c r="A5899" s="115" t="s">
        <v>1137</v>
      </c>
      <c r="B5899" s="115" t="s">
        <v>9553</v>
      </c>
      <c r="D5899" s="115" t="s">
        <v>9554</v>
      </c>
      <c r="E5899" s="115" t="s">
        <v>9555</v>
      </c>
    </row>
    <row r="5900" spans="1:5" x14ac:dyDescent="0.25">
      <c r="B5900" s="115" t="s">
        <v>9556</v>
      </c>
      <c r="C5900" s="115">
        <v>-8</v>
      </c>
      <c r="D5900" s="115" t="s">
        <v>9557</v>
      </c>
      <c r="E5900" s="115" t="s">
        <v>9558</v>
      </c>
    </row>
    <row r="5901" spans="1:5" x14ac:dyDescent="0.25">
      <c r="B5901" s="115" t="s">
        <v>9559</v>
      </c>
      <c r="D5901" s="115" t="s">
        <v>9560</v>
      </c>
      <c r="E5901" s="115" t="s">
        <v>9561</v>
      </c>
    </row>
    <row r="5902" spans="1:5" x14ac:dyDescent="0.25">
      <c r="A5902" s="115" t="s">
        <v>1137</v>
      </c>
      <c r="B5902" s="115" t="s">
        <v>9562</v>
      </c>
      <c r="D5902" s="115" t="s">
        <v>9563</v>
      </c>
      <c r="E5902" s="115" t="s">
        <v>9564</v>
      </c>
    </row>
    <row r="5903" spans="1:5" x14ac:dyDescent="0.25">
      <c r="B5903" s="115" t="s">
        <v>9565</v>
      </c>
      <c r="C5903" s="115">
        <v>-8</v>
      </c>
      <c r="D5903" s="115" t="s">
        <v>9566</v>
      </c>
      <c r="E5903" s="115" t="s">
        <v>9567</v>
      </c>
    </row>
    <row r="5904" spans="1:5" x14ac:dyDescent="0.25">
      <c r="A5904" s="115" t="s">
        <v>1137</v>
      </c>
      <c r="B5904" s="115" t="s">
        <v>1292</v>
      </c>
      <c r="D5904" s="115" t="s">
        <v>9568</v>
      </c>
      <c r="E5904" s="115" t="s">
        <v>9569</v>
      </c>
    </row>
    <row r="5905" spans="1:5" x14ac:dyDescent="0.25">
      <c r="B5905" s="115" t="s">
        <v>9570</v>
      </c>
      <c r="D5905" s="115" t="s">
        <v>9571</v>
      </c>
      <c r="E5905" s="115" t="s">
        <v>9572</v>
      </c>
    </row>
    <row r="5906" spans="1:5" x14ac:dyDescent="0.25">
      <c r="B5906" s="115" t="s">
        <v>9573</v>
      </c>
      <c r="C5906" s="115">
        <v>-8</v>
      </c>
      <c r="D5906" s="115" t="s">
        <v>9574</v>
      </c>
      <c r="E5906" s="115" t="s">
        <v>9575</v>
      </c>
    </row>
    <row r="5907" spans="1:5" x14ac:dyDescent="0.25">
      <c r="A5907" s="115">
        <v>-1</v>
      </c>
      <c r="B5907" s="115" t="s">
        <v>9576</v>
      </c>
      <c r="D5907" s="115" t="s">
        <v>9577</v>
      </c>
      <c r="E5907" s="115" t="s">
        <v>9578</v>
      </c>
    </row>
    <row r="5908" spans="1:5" x14ac:dyDescent="0.25">
      <c r="A5908" s="115">
        <v>-2</v>
      </c>
      <c r="B5908" s="115" t="s">
        <v>4928</v>
      </c>
      <c r="D5908" s="115" t="s">
        <v>1139</v>
      </c>
      <c r="E5908" s="115" t="s">
        <v>9579</v>
      </c>
    </row>
    <row r="5909" spans="1:5" x14ac:dyDescent="0.25">
      <c r="B5909" s="115" t="s">
        <v>5039</v>
      </c>
      <c r="C5909" s="115">
        <v>-9</v>
      </c>
      <c r="D5909" s="115" t="s">
        <v>9580</v>
      </c>
      <c r="E5909" s="115" t="s">
        <v>9581</v>
      </c>
    </row>
    <row r="5910" spans="1:5" x14ac:dyDescent="0.25">
      <c r="A5910" s="115">
        <v>-1</v>
      </c>
      <c r="B5910" s="115" t="s">
        <v>9582</v>
      </c>
      <c r="D5910" s="115" t="s">
        <v>9583</v>
      </c>
      <c r="E5910" s="115" t="s">
        <v>9584</v>
      </c>
    </row>
    <row r="5911" spans="1:5" x14ac:dyDescent="0.25">
      <c r="A5911" s="115">
        <v>-2</v>
      </c>
      <c r="B5911" s="115" t="s">
        <v>1677</v>
      </c>
      <c r="D5911" s="115" t="s">
        <v>9585</v>
      </c>
      <c r="E5911" s="115" t="s">
        <v>9586</v>
      </c>
    </row>
    <row r="5912" spans="1:5" x14ac:dyDescent="0.25">
      <c r="A5912" s="115">
        <v>1</v>
      </c>
      <c r="B5912" s="115" t="s">
        <v>9587</v>
      </c>
      <c r="D5912" s="115" t="s">
        <v>9588</v>
      </c>
      <c r="E5912" s="115" t="s">
        <v>9589</v>
      </c>
    </row>
    <row r="5913" spans="1:5" x14ac:dyDescent="0.25">
      <c r="B5913" s="115" t="s">
        <v>1138</v>
      </c>
      <c r="D5913" s="115" t="s">
        <v>9590</v>
      </c>
      <c r="E5913" s="115" t="s">
        <v>9591</v>
      </c>
    </row>
    <row r="5914" spans="1:5" x14ac:dyDescent="0.25">
      <c r="B5914" s="115" t="s">
        <v>1138</v>
      </c>
      <c r="D5914" s="115" t="s">
        <v>9592</v>
      </c>
      <c r="E5914" s="115" t="s">
        <v>2259</v>
      </c>
    </row>
    <row r="5915" spans="1:5" x14ac:dyDescent="0.25">
      <c r="B5915" s="115" t="s">
        <v>9593</v>
      </c>
      <c r="C5915" s="115" t="s">
        <v>1137</v>
      </c>
      <c r="D5915" s="115" t="s">
        <v>9594</v>
      </c>
      <c r="E5915" s="115" t="s">
        <v>1140</v>
      </c>
    </row>
    <row r="5916" spans="1:5" x14ac:dyDescent="0.25">
      <c r="B5916" s="115" t="s">
        <v>1138</v>
      </c>
      <c r="D5916" s="115" t="s">
        <v>1139</v>
      </c>
      <c r="E5916" s="115" t="s">
        <v>9595</v>
      </c>
    </row>
    <row r="5917" spans="1:5" x14ac:dyDescent="0.25">
      <c r="B5917" s="115" t="s">
        <v>1138</v>
      </c>
      <c r="D5917" s="115" t="s">
        <v>9596</v>
      </c>
      <c r="E5917" s="115" t="s">
        <v>9597</v>
      </c>
    </row>
    <row r="5918" spans="1:5" x14ac:dyDescent="0.25">
      <c r="A5918" s="115">
        <v>2</v>
      </c>
      <c r="B5918" s="115" t="s">
        <v>9598</v>
      </c>
      <c r="D5918" s="115" t="s">
        <v>9599</v>
      </c>
      <c r="E5918" s="115" t="s">
        <v>9600</v>
      </c>
    </row>
    <row r="5919" spans="1:5" x14ac:dyDescent="0.25">
      <c r="B5919" s="115" t="s">
        <v>9601</v>
      </c>
      <c r="D5919" s="115" t="s">
        <v>9602</v>
      </c>
      <c r="E5919" s="115" t="s">
        <v>9603</v>
      </c>
    </row>
    <row r="5920" spans="1:5" x14ac:dyDescent="0.25">
      <c r="B5920" s="115" t="s">
        <v>9604</v>
      </c>
      <c r="C5920" s="115" t="s">
        <v>1137</v>
      </c>
      <c r="D5920" s="115" t="s">
        <v>9605</v>
      </c>
      <c r="E5920" s="115" t="s">
        <v>9606</v>
      </c>
    </row>
    <row r="5921" spans="1:5" x14ac:dyDescent="0.25">
      <c r="A5921" s="115">
        <v>-1</v>
      </c>
      <c r="B5921" s="115" t="s">
        <v>9607</v>
      </c>
      <c r="D5921" s="115">
        <f>-253   -184   -183   -39</f>
        <v>-659</v>
      </c>
      <c r="E5921" s="115" t="s">
        <v>9608</v>
      </c>
    </row>
    <row r="5922" spans="1:5" x14ac:dyDescent="0.25">
      <c r="B5922" s="115" t="s">
        <v>9609</v>
      </c>
      <c r="D5922" s="115" t="s">
        <v>9610</v>
      </c>
      <c r="E5922" s="115" t="s">
        <v>9611</v>
      </c>
    </row>
    <row r="5923" spans="1:5" x14ac:dyDescent="0.25">
      <c r="B5923" s="115" t="s">
        <v>9612</v>
      </c>
      <c r="C5923" s="115">
        <v>5</v>
      </c>
      <c r="D5923" s="115" t="s">
        <v>9613</v>
      </c>
      <c r="E5923" s="115" t="s">
        <v>9614</v>
      </c>
    </row>
    <row r="5924" spans="1:5" x14ac:dyDescent="0.25">
      <c r="A5924" s="115">
        <v>54</v>
      </c>
      <c r="B5924" s="115" t="s">
        <v>9615</v>
      </c>
      <c r="C5924" s="115">
        <v>5</v>
      </c>
      <c r="D5924" s="115" t="s">
        <v>9616</v>
      </c>
      <c r="E5924" s="115" t="s">
        <v>9617</v>
      </c>
    </row>
    <row r="5925" spans="1:5" x14ac:dyDescent="0.25">
      <c r="A5925" s="115">
        <v>98</v>
      </c>
      <c r="B5925" s="115" t="s">
        <v>9618</v>
      </c>
      <c r="C5925" s="115">
        <v>-5</v>
      </c>
      <c r="D5925" s="115" t="s">
        <v>9619</v>
      </c>
      <c r="E5925" s="115" t="s">
        <v>9620</v>
      </c>
    </row>
    <row r="5926" spans="1:5" x14ac:dyDescent="0.25">
      <c r="B5926" s="115" t="s">
        <v>1138</v>
      </c>
      <c r="D5926" s="115" t="s">
        <v>9621</v>
      </c>
      <c r="E5926" s="115" t="s">
        <v>1140</v>
      </c>
    </row>
    <row r="5927" spans="1:5" x14ac:dyDescent="0.25">
      <c r="B5927" s="115" t="s">
        <v>1138</v>
      </c>
      <c r="D5927" s="115" t="s">
        <v>9622</v>
      </c>
      <c r="E5927" s="115" t="s">
        <v>9623</v>
      </c>
    </row>
    <row r="5928" spans="1:5" x14ac:dyDescent="0.25">
      <c r="B5928" s="115" t="s">
        <v>9624</v>
      </c>
      <c r="D5928" s="115" t="s">
        <v>9625</v>
      </c>
      <c r="E5928" s="115" t="s">
        <v>9626</v>
      </c>
    </row>
    <row r="5929" spans="1:5" x14ac:dyDescent="0.25">
      <c r="B5929" s="115" t="s">
        <v>9627</v>
      </c>
      <c r="D5929" s="115" t="s">
        <v>1139</v>
      </c>
      <c r="E5929" s="115" t="s">
        <v>9628</v>
      </c>
    </row>
    <row r="5930" spans="1:5" x14ac:dyDescent="0.25">
      <c r="B5930" s="115" t="s">
        <v>1138</v>
      </c>
      <c r="D5930" s="115" t="s">
        <v>9629</v>
      </c>
      <c r="E5930" s="115" t="s">
        <v>9630</v>
      </c>
    </row>
    <row r="5931" spans="1:5" x14ac:dyDescent="0.25">
      <c r="B5931" s="115" t="s">
        <v>1138</v>
      </c>
      <c r="D5931" s="115">
        <f>-504   -633   -287</f>
        <v>-1424</v>
      </c>
      <c r="E5931" s="115" t="s">
        <v>9631</v>
      </c>
    </row>
    <row r="5932" spans="1:5" x14ac:dyDescent="0.25">
      <c r="B5932" s="115" t="s">
        <v>9632</v>
      </c>
      <c r="D5932" s="115" t="s">
        <v>9633</v>
      </c>
      <c r="E5932" s="115" t="s">
        <v>9634</v>
      </c>
    </row>
    <row r="5933" spans="1:5" x14ac:dyDescent="0.25">
      <c r="B5933" s="115" t="s">
        <v>9635</v>
      </c>
      <c r="D5933" s="115" t="s">
        <v>9636</v>
      </c>
      <c r="E5933" s="115" t="s">
        <v>9637</v>
      </c>
    </row>
    <row r="5934" spans="1:5" x14ac:dyDescent="0.25">
      <c r="B5934" s="115" t="s">
        <v>9638</v>
      </c>
      <c r="D5934" s="115" t="s">
        <v>9639</v>
      </c>
      <c r="E5934" s="115" t="s">
        <v>9640</v>
      </c>
    </row>
    <row r="5935" spans="1:5" x14ac:dyDescent="0.25">
      <c r="B5935" s="115">
        <f>-47   -622</f>
        <v>-669</v>
      </c>
      <c r="D5935" s="115" t="s">
        <v>9641</v>
      </c>
      <c r="E5935" s="115" t="s">
        <v>9642</v>
      </c>
    </row>
    <row r="5936" spans="1:5" x14ac:dyDescent="0.25">
      <c r="B5936" s="115" t="s">
        <v>9643</v>
      </c>
      <c r="D5936" s="115" t="s">
        <v>9644</v>
      </c>
      <c r="E5936" s="115" t="s">
        <v>9645</v>
      </c>
    </row>
    <row r="5937" spans="1:5" x14ac:dyDescent="0.25">
      <c r="B5937" s="115" t="s">
        <v>9646</v>
      </c>
      <c r="D5937" s="115" t="s">
        <v>1339</v>
      </c>
      <c r="E5937" s="115" t="s">
        <v>9647</v>
      </c>
    </row>
    <row r="5938" spans="1:5" x14ac:dyDescent="0.25">
      <c r="B5938" s="115" t="s">
        <v>1138</v>
      </c>
      <c r="D5938" s="115" t="s">
        <v>9648</v>
      </c>
      <c r="E5938" s="115" t="s">
        <v>9649</v>
      </c>
    </row>
    <row r="5939" spans="1:5" x14ac:dyDescent="0.25">
      <c r="B5939" s="115" t="s">
        <v>9650</v>
      </c>
      <c r="D5939" s="115" t="s">
        <v>9651</v>
      </c>
      <c r="E5939" s="115" t="s">
        <v>9652</v>
      </c>
    </row>
    <row r="5940" spans="1:5" x14ac:dyDescent="0.25">
      <c r="A5940" s="115" t="s">
        <v>1137</v>
      </c>
      <c r="B5940" s="115" t="s">
        <v>9653</v>
      </c>
      <c r="D5940" s="115">
        <f>-74  -1787  -1033</f>
        <v>-2894</v>
      </c>
      <c r="E5940" s="115" t="s">
        <v>9654</v>
      </c>
    </row>
    <row r="5941" spans="1:5" x14ac:dyDescent="0.25">
      <c r="B5941" s="115" t="s">
        <v>9655</v>
      </c>
      <c r="D5941" s="115" t="s">
        <v>9656</v>
      </c>
      <c r="E5941" s="115" t="s">
        <v>1140</v>
      </c>
    </row>
    <row r="5942" spans="1:5" x14ac:dyDescent="0.25">
      <c r="B5942" s="115" t="s">
        <v>9657</v>
      </c>
      <c r="D5942" s="115" t="s">
        <v>9658</v>
      </c>
      <c r="E5942" s="115" t="s">
        <v>1701</v>
      </c>
    </row>
    <row r="5943" spans="1:5" x14ac:dyDescent="0.25">
      <c r="B5943" s="115" t="s">
        <v>9659</v>
      </c>
      <c r="C5943" s="115" t="s">
        <v>1137</v>
      </c>
      <c r="D5943" s="115" t="s">
        <v>9660</v>
      </c>
      <c r="E5943" s="115" t="s">
        <v>9661</v>
      </c>
    </row>
    <row r="5944" spans="1:5" x14ac:dyDescent="0.25">
      <c r="B5944" s="115" t="s">
        <v>9662</v>
      </c>
      <c r="D5944" s="115" t="s">
        <v>9663</v>
      </c>
      <c r="E5944" s="115" t="s">
        <v>9664</v>
      </c>
    </row>
    <row r="5945" spans="1:5" x14ac:dyDescent="0.25">
      <c r="B5945" s="115" t="s">
        <v>9665</v>
      </c>
      <c r="C5945" s="115" t="s">
        <v>1137</v>
      </c>
      <c r="D5945" s="115" t="s">
        <v>9666</v>
      </c>
      <c r="E5945" s="115" t="s">
        <v>9667</v>
      </c>
    </row>
    <row r="5946" spans="1:5" x14ac:dyDescent="0.25">
      <c r="B5946" s="115" t="s">
        <v>1138</v>
      </c>
      <c r="D5946" s="115" t="s">
        <v>1139</v>
      </c>
      <c r="E5946" s="115" t="s">
        <v>9668</v>
      </c>
    </row>
    <row r="5947" spans="1:5" x14ac:dyDescent="0.25">
      <c r="B5947" s="115" t="s">
        <v>7564</v>
      </c>
      <c r="D5947" s="115" t="s">
        <v>9669</v>
      </c>
      <c r="E5947" s="115" t="s">
        <v>9670</v>
      </c>
    </row>
    <row r="5948" spans="1:5" x14ac:dyDescent="0.25">
      <c r="B5948" s="115" t="s">
        <v>1138</v>
      </c>
      <c r="D5948" s="115" t="s">
        <v>9671</v>
      </c>
      <c r="E5948" s="115" t="s">
        <v>1701</v>
      </c>
    </row>
    <row r="5949" spans="1:5" x14ac:dyDescent="0.25">
      <c r="B5949" s="115" t="s">
        <v>1138</v>
      </c>
      <c r="D5949" s="115" t="s">
        <v>1139</v>
      </c>
      <c r="E5949" s="115" t="s">
        <v>1140</v>
      </c>
    </row>
    <row r="5950" spans="1:5" x14ac:dyDescent="0.25">
      <c r="B5950" s="115" t="s">
        <v>9672</v>
      </c>
      <c r="D5950" s="115" t="s">
        <v>1139</v>
      </c>
      <c r="E5950" s="115" t="s">
        <v>9673</v>
      </c>
    </row>
    <row r="5951" spans="1:5" x14ac:dyDescent="0.25">
      <c r="A5951" s="115">
        <v>1</v>
      </c>
      <c r="B5951" s="115" t="s">
        <v>9674</v>
      </c>
      <c r="C5951" s="115" t="s">
        <v>1137</v>
      </c>
      <c r="D5951" s="115" t="s">
        <v>9675</v>
      </c>
      <c r="E5951" s="115" t="s">
        <v>9676</v>
      </c>
    </row>
    <row r="5952" spans="1:5" x14ac:dyDescent="0.25">
      <c r="A5952" s="115">
        <v>1</v>
      </c>
      <c r="B5952" s="115" t="s">
        <v>9677</v>
      </c>
      <c r="C5952" s="115" t="s">
        <v>1137</v>
      </c>
      <c r="D5952" s="115" t="s">
        <v>9678</v>
      </c>
      <c r="E5952" s="115" t="s">
        <v>9679</v>
      </c>
    </row>
    <row r="5953" spans="1:5" x14ac:dyDescent="0.25">
      <c r="B5953" s="115" t="s">
        <v>9680</v>
      </c>
      <c r="D5953" s="115" t="s">
        <v>9681</v>
      </c>
      <c r="E5953" s="115" t="s">
        <v>9682</v>
      </c>
    </row>
    <row r="5954" spans="1:5" x14ac:dyDescent="0.25">
      <c r="B5954" s="115" t="s">
        <v>9683</v>
      </c>
      <c r="D5954" s="115" t="s">
        <v>9684</v>
      </c>
      <c r="E5954" s="115" t="s">
        <v>9685</v>
      </c>
    </row>
    <row r="5955" spans="1:5" x14ac:dyDescent="0.25">
      <c r="A5955" s="115" t="s">
        <v>1137</v>
      </c>
      <c r="B5955" s="115" t="s">
        <v>9686</v>
      </c>
      <c r="D5955" s="115" t="s">
        <v>9687</v>
      </c>
      <c r="E5955" s="115" t="s">
        <v>9688</v>
      </c>
    </row>
    <row r="5956" spans="1:5" x14ac:dyDescent="0.25">
      <c r="B5956" s="115" t="s">
        <v>9689</v>
      </c>
      <c r="D5956" s="115" t="s">
        <v>9690</v>
      </c>
      <c r="E5956" s="115" t="s">
        <v>9691</v>
      </c>
    </row>
    <row r="5957" spans="1:5" x14ac:dyDescent="0.25">
      <c r="A5957" s="115">
        <v>40</v>
      </c>
      <c r="B5957" s="115" t="s">
        <v>9692</v>
      </c>
      <c r="C5957" s="115">
        <v>4</v>
      </c>
      <c r="D5957" s="115" t="s">
        <v>9693</v>
      </c>
      <c r="E5957" s="115" t="s">
        <v>9694</v>
      </c>
    </row>
    <row r="5958" spans="1:5" x14ac:dyDescent="0.25">
      <c r="A5958" s="115">
        <v>57</v>
      </c>
      <c r="B5958" s="115" t="s">
        <v>9695</v>
      </c>
      <c r="C5958" s="115">
        <v>5</v>
      </c>
      <c r="D5958" s="115" t="s">
        <v>9696</v>
      </c>
      <c r="E5958" s="115" t="s">
        <v>9697</v>
      </c>
    </row>
    <row r="5959" spans="1:5" x14ac:dyDescent="0.25">
      <c r="B5959" s="115" t="s">
        <v>9698</v>
      </c>
      <c r="D5959" s="115" t="s">
        <v>9699</v>
      </c>
      <c r="E5959" s="115" t="s">
        <v>9700</v>
      </c>
    </row>
    <row r="5960" spans="1:5" x14ac:dyDescent="0.25">
      <c r="B5960" s="115" t="s">
        <v>1138</v>
      </c>
      <c r="D5960" s="115" t="s">
        <v>1139</v>
      </c>
      <c r="E5960" s="115" t="s">
        <v>9701</v>
      </c>
    </row>
    <row r="5961" spans="1:5" x14ac:dyDescent="0.25">
      <c r="B5961" s="115" t="s">
        <v>4610</v>
      </c>
      <c r="C5961" s="115">
        <v>-7</v>
      </c>
      <c r="D5961" s="115" t="s">
        <v>9702</v>
      </c>
      <c r="E5961" s="115" t="s">
        <v>9703</v>
      </c>
    </row>
    <row r="5962" spans="1:5" x14ac:dyDescent="0.25">
      <c r="A5962" s="115">
        <v>2</v>
      </c>
      <c r="B5962" s="115" t="s">
        <v>1406</v>
      </c>
      <c r="D5962" s="115" t="s">
        <v>9704</v>
      </c>
      <c r="E5962" s="115" t="s">
        <v>1140</v>
      </c>
    </row>
    <row r="5963" spans="1:5" x14ac:dyDescent="0.25">
      <c r="A5963" s="115" t="s">
        <v>1137</v>
      </c>
      <c r="B5963" s="115" t="s">
        <v>1231</v>
      </c>
      <c r="D5963" s="115" t="s">
        <v>1139</v>
      </c>
      <c r="E5963" s="115" t="s">
        <v>9705</v>
      </c>
    </row>
    <row r="5964" spans="1:5" x14ac:dyDescent="0.25">
      <c r="B5964" s="115" t="s">
        <v>3379</v>
      </c>
      <c r="D5964" s="115" t="s">
        <v>1139</v>
      </c>
      <c r="E5964" s="115" t="s">
        <v>9706</v>
      </c>
    </row>
    <row r="5965" spans="1:5" x14ac:dyDescent="0.25">
      <c r="B5965" s="115" t="s">
        <v>9707</v>
      </c>
      <c r="D5965" s="115" t="s">
        <v>9708</v>
      </c>
      <c r="E5965" s="115" t="s">
        <v>9709</v>
      </c>
    </row>
    <row r="5966" spans="1:5" x14ac:dyDescent="0.25">
      <c r="B5966" s="115" t="s">
        <v>1272</v>
      </c>
      <c r="D5966" s="115" t="s">
        <v>4196</v>
      </c>
      <c r="E5966" s="115" t="s">
        <v>9710</v>
      </c>
    </row>
    <row r="5967" spans="1:5" x14ac:dyDescent="0.25">
      <c r="A5967" s="115" t="s">
        <v>1137</v>
      </c>
      <c r="B5967" s="115" t="s">
        <v>9711</v>
      </c>
      <c r="D5967" s="115" t="s">
        <v>9712</v>
      </c>
      <c r="E5967" s="115" t="s">
        <v>9713</v>
      </c>
    </row>
    <row r="5968" spans="1:5" x14ac:dyDescent="0.25">
      <c r="A5968" s="115">
        <v>5</v>
      </c>
      <c r="B5968" s="115" t="s">
        <v>9714</v>
      </c>
      <c r="D5968" s="115" t="s">
        <v>9715</v>
      </c>
      <c r="E5968" s="115" t="s">
        <v>9716</v>
      </c>
    </row>
    <row r="5969" spans="1:5" x14ac:dyDescent="0.25">
      <c r="A5969" s="115" t="s">
        <v>1137</v>
      </c>
      <c r="B5969" s="115" t="s">
        <v>9717</v>
      </c>
      <c r="D5969" s="115" t="s">
        <v>3409</v>
      </c>
      <c r="E5969" s="115" t="s">
        <v>9718</v>
      </c>
    </row>
    <row r="5970" spans="1:5" x14ac:dyDescent="0.25">
      <c r="A5970" s="115" t="s">
        <v>1137</v>
      </c>
      <c r="B5970" s="115" t="s">
        <v>9719</v>
      </c>
      <c r="D5970" s="115" t="s">
        <v>9720</v>
      </c>
      <c r="E5970" s="115" t="s">
        <v>9721</v>
      </c>
    </row>
    <row r="5971" spans="1:5" x14ac:dyDescent="0.25">
      <c r="A5971" s="115">
        <v>5</v>
      </c>
      <c r="B5971" s="115" t="s">
        <v>9722</v>
      </c>
      <c r="D5971" s="115" t="s">
        <v>9723</v>
      </c>
      <c r="E5971" s="115" t="s">
        <v>9724</v>
      </c>
    </row>
    <row r="5972" spans="1:5" x14ac:dyDescent="0.25">
      <c r="A5972" s="115" t="s">
        <v>1137</v>
      </c>
      <c r="B5972" s="115" t="s">
        <v>1171</v>
      </c>
      <c r="D5972" s="115" t="s">
        <v>9725</v>
      </c>
      <c r="E5972" s="115" t="s">
        <v>9726</v>
      </c>
    </row>
    <row r="5973" spans="1:5" x14ac:dyDescent="0.25">
      <c r="B5973" s="115" t="s">
        <v>1645</v>
      </c>
      <c r="D5973" s="115" t="s">
        <v>9727</v>
      </c>
      <c r="E5973" s="115" t="s">
        <v>9728</v>
      </c>
    </row>
    <row r="5974" spans="1:5" x14ac:dyDescent="0.25">
      <c r="A5974" s="115">
        <v>7</v>
      </c>
      <c r="B5974" s="115" t="s">
        <v>9729</v>
      </c>
      <c r="D5974" s="115" t="s">
        <v>9730</v>
      </c>
      <c r="E5974" s="115" t="s">
        <v>9731</v>
      </c>
    </row>
    <row r="5975" spans="1:5" x14ac:dyDescent="0.25">
      <c r="B5975" s="115" t="s">
        <v>1138</v>
      </c>
      <c r="D5975" s="115" t="s">
        <v>9732</v>
      </c>
      <c r="E5975" s="115" t="s">
        <v>9733</v>
      </c>
    </row>
    <row r="5976" spans="1:5" x14ac:dyDescent="0.25">
      <c r="B5976" s="115" t="s">
        <v>1138</v>
      </c>
      <c r="D5976" s="115" t="s">
        <v>9734</v>
      </c>
      <c r="E5976" s="115" t="s">
        <v>9735</v>
      </c>
    </row>
    <row r="5977" spans="1:5" x14ac:dyDescent="0.25">
      <c r="A5977" s="115">
        <v>3</v>
      </c>
      <c r="B5977" s="115" t="s">
        <v>9736</v>
      </c>
      <c r="D5977" s="115" t="s">
        <v>9737</v>
      </c>
      <c r="E5977" s="115" t="s">
        <v>9738</v>
      </c>
    </row>
    <row r="5978" spans="1:5" x14ac:dyDescent="0.25">
      <c r="A5978" s="115" t="s">
        <v>1137</v>
      </c>
      <c r="B5978" s="115" t="s">
        <v>9436</v>
      </c>
      <c r="D5978" s="115" t="s">
        <v>9739</v>
      </c>
      <c r="E5978" s="115" t="s">
        <v>9740</v>
      </c>
    </row>
    <row r="5979" spans="1:5" x14ac:dyDescent="0.25">
      <c r="A5979" s="115">
        <v>1</v>
      </c>
      <c r="B5979" s="115" t="s">
        <v>9741</v>
      </c>
      <c r="D5979" s="115" t="s">
        <v>9742</v>
      </c>
      <c r="E5979" s="115" t="s">
        <v>1140</v>
      </c>
    </row>
    <row r="5980" spans="1:5" x14ac:dyDescent="0.25">
      <c r="B5980" s="115" t="s">
        <v>9743</v>
      </c>
      <c r="D5980" s="115" t="s">
        <v>9744</v>
      </c>
      <c r="E5980" s="115" t="s">
        <v>9745</v>
      </c>
    </row>
    <row r="5981" spans="1:5" x14ac:dyDescent="0.25">
      <c r="B5981" s="115" t="s">
        <v>9746</v>
      </c>
      <c r="C5981" s="115" t="s">
        <v>1137</v>
      </c>
      <c r="D5981" s="115" t="s">
        <v>9747</v>
      </c>
      <c r="E5981" s="115" t="s">
        <v>9748</v>
      </c>
    </row>
    <row r="5982" spans="1:5" x14ac:dyDescent="0.25">
      <c r="B5982" s="115" t="s">
        <v>1138</v>
      </c>
      <c r="D5982" s="115" t="s">
        <v>1139</v>
      </c>
      <c r="E5982" s="115" t="s">
        <v>1140</v>
      </c>
    </row>
    <row r="5983" spans="1:5" x14ac:dyDescent="0.25">
      <c r="B5983" s="115" t="s">
        <v>1138</v>
      </c>
      <c r="D5983" s="115" t="s">
        <v>7302</v>
      </c>
      <c r="E5983" s="115" t="s">
        <v>1858</v>
      </c>
    </row>
    <row r="5984" spans="1:5" x14ac:dyDescent="0.25">
      <c r="A5984" s="115">
        <v>3</v>
      </c>
      <c r="B5984" s="115" t="s">
        <v>9749</v>
      </c>
      <c r="D5984" s="115" t="s">
        <v>9750</v>
      </c>
      <c r="E5984" s="115" t="s">
        <v>9751</v>
      </c>
    </row>
    <row r="5985" spans="1:5" x14ac:dyDescent="0.25">
      <c r="B5985" s="115" t="s">
        <v>9752</v>
      </c>
      <c r="C5985" s="115" t="s">
        <v>1137</v>
      </c>
      <c r="D5985" s="115" t="s">
        <v>9753</v>
      </c>
      <c r="E5985" s="115" t="s">
        <v>9754</v>
      </c>
    </row>
    <row r="5986" spans="1:5" x14ac:dyDescent="0.25">
      <c r="A5986" s="115">
        <v>-6</v>
      </c>
      <c r="B5986" s="115" t="s">
        <v>9755</v>
      </c>
      <c r="C5986" s="115" t="s">
        <v>1137</v>
      </c>
      <c r="D5986" s="115" t="s">
        <v>9756</v>
      </c>
      <c r="E5986" s="115" t="s">
        <v>9757</v>
      </c>
    </row>
    <row r="5987" spans="1:5" x14ac:dyDescent="0.25">
      <c r="A5987" s="115">
        <v>-3</v>
      </c>
      <c r="B5987" s="115" t="s">
        <v>9758</v>
      </c>
      <c r="C5987" s="115" t="s">
        <v>1137</v>
      </c>
      <c r="D5987" s="115" t="s">
        <v>9759</v>
      </c>
      <c r="E5987" s="115" t="s">
        <v>9760</v>
      </c>
    </row>
    <row r="5988" spans="1:5" x14ac:dyDescent="0.25">
      <c r="A5988" s="115">
        <v>1</v>
      </c>
      <c r="B5988" s="115" t="s">
        <v>9761</v>
      </c>
      <c r="D5988" s="115" t="s">
        <v>9762</v>
      </c>
      <c r="E5988" s="115" t="s">
        <v>9763</v>
      </c>
    </row>
    <row r="5989" spans="1:5" x14ac:dyDescent="0.25">
      <c r="A5989" s="115">
        <v>1</v>
      </c>
      <c r="B5989" s="115" t="s">
        <v>9764</v>
      </c>
      <c r="D5989" s="115" t="s">
        <v>9765</v>
      </c>
      <c r="E5989" s="115" t="s">
        <v>9766</v>
      </c>
    </row>
    <row r="5990" spans="1:5" x14ac:dyDescent="0.25">
      <c r="A5990" s="115">
        <v>59</v>
      </c>
      <c r="B5990" s="115" t="s">
        <v>9767</v>
      </c>
      <c r="C5990" s="115">
        <v>5</v>
      </c>
      <c r="D5990" s="115" t="s">
        <v>9768</v>
      </c>
      <c r="E5990" s="115" t="s">
        <v>9769</v>
      </c>
    </row>
    <row r="5991" spans="1:5" x14ac:dyDescent="0.25">
      <c r="A5991" s="115">
        <v>49</v>
      </c>
      <c r="B5991" s="115" t="s">
        <v>9770</v>
      </c>
      <c r="C5991" s="115">
        <v>6</v>
      </c>
      <c r="D5991" s="115" t="s">
        <v>9771</v>
      </c>
      <c r="E5991" s="115" t="s">
        <v>9772</v>
      </c>
    </row>
    <row r="5992" spans="1:5" x14ac:dyDescent="0.25">
      <c r="A5992" s="115" t="s">
        <v>1137</v>
      </c>
      <c r="B5992" s="115" t="s">
        <v>9773</v>
      </c>
      <c r="D5992" s="115" t="s">
        <v>9774</v>
      </c>
      <c r="E5992" s="115" t="s">
        <v>9775</v>
      </c>
    </row>
    <row r="5993" spans="1:5" x14ac:dyDescent="0.25">
      <c r="B5993" s="115" t="s">
        <v>1138</v>
      </c>
      <c r="D5993" s="115" t="s">
        <v>9776</v>
      </c>
      <c r="E5993" s="115" t="s">
        <v>1140</v>
      </c>
    </row>
    <row r="5994" spans="1:5" x14ac:dyDescent="0.25">
      <c r="B5994" s="115" t="s">
        <v>1138</v>
      </c>
      <c r="D5994" s="115" t="s">
        <v>9777</v>
      </c>
      <c r="E5994" s="115" t="s">
        <v>9778</v>
      </c>
    </row>
    <row r="5995" spans="1:5" x14ac:dyDescent="0.25">
      <c r="A5995" s="115" t="s">
        <v>1137</v>
      </c>
      <c r="B5995" s="115" t="s">
        <v>9779</v>
      </c>
      <c r="D5995" s="115" t="s">
        <v>9780</v>
      </c>
      <c r="E5995" s="115" t="s">
        <v>9781</v>
      </c>
    </row>
    <row r="5996" spans="1:5" x14ac:dyDescent="0.25">
      <c r="B5996" s="115" t="s">
        <v>1138</v>
      </c>
      <c r="D5996" s="115" t="s">
        <v>2126</v>
      </c>
      <c r="E5996" s="115" t="s">
        <v>1858</v>
      </c>
    </row>
    <row r="5997" spans="1:5" x14ac:dyDescent="0.25">
      <c r="B5997" s="115" t="s">
        <v>1138</v>
      </c>
      <c r="D5997" s="115" t="s">
        <v>9782</v>
      </c>
      <c r="E5997" s="115" t="s">
        <v>9783</v>
      </c>
    </row>
    <row r="5998" spans="1:5" x14ac:dyDescent="0.25">
      <c r="B5998" s="115" t="s">
        <v>9784</v>
      </c>
      <c r="D5998" s="115" t="s">
        <v>9785</v>
      </c>
      <c r="E5998" s="115" t="s">
        <v>9786</v>
      </c>
    </row>
    <row r="5999" spans="1:5" x14ac:dyDescent="0.25">
      <c r="A5999" s="115" t="s">
        <v>1137</v>
      </c>
      <c r="B5999" s="115" t="s">
        <v>9787</v>
      </c>
      <c r="D5999" s="115" t="s">
        <v>9788</v>
      </c>
      <c r="E5999" s="115" t="s">
        <v>2259</v>
      </c>
    </row>
    <row r="6000" spans="1:5" x14ac:dyDescent="0.25">
      <c r="B6000" s="115" t="s">
        <v>9789</v>
      </c>
      <c r="D6000" s="115" t="s">
        <v>9790</v>
      </c>
      <c r="E6000" s="115" t="s">
        <v>9791</v>
      </c>
    </row>
    <row r="6001" spans="1:5" x14ac:dyDescent="0.25">
      <c r="A6001" s="115" t="s">
        <v>1137</v>
      </c>
      <c r="B6001" s="115" t="s">
        <v>9792</v>
      </c>
      <c r="D6001" s="115" t="s">
        <v>9793</v>
      </c>
      <c r="E6001" s="115" t="s">
        <v>9794</v>
      </c>
    </row>
    <row r="6002" spans="1:5" x14ac:dyDescent="0.25">
      <c r="A6002" s="115" t="s">
        <v>1137</v>
      </c>
      <c r="B6002" s="115" t="s">
        <v>7068</v>
      </c>
      <c r="D6002" s="115" t="s">
        <v>9795</v>
      </c>
      <c r="E6002" s="115" t="s">
        <v>2081</v>
      </c>
    </row>
    <row r="6003" spans="1:5" x14ac:dyDescent="0.25">
      <c r="B6003" s="115" t="s">
        <v>9796</v>
      </c>
      <c r="D6003" s="115" t="s">
        <v>9797</v>
      </c>
      <c r="E6003" s="115" t="s">
        <v>9798</v>
      </c>
    </row>
    <row r="6004" spans="1:5" x14ac:dyDescent="0.25">
      <c r="B6004" s="115" t="s">
        <v>1359</v>
      </c>
      <c r="D6004" s="115" t="s">
        <v>9799</v>
      </c>
      <c r="E6004" s="115" t="s">
        <v>9800</v>
      </c>
    </row>
    <row r="6005" spans="1:5" x14ac:dyDescent="0.25">
      <c r="B6005" s="115" t="s">
        <v>9801</v>
      </c>
      <c r="D6005" s="115" t="s">
        <v>9802</v>
      </c>
      <c r="E6005" s="115" t="s">
        <v>1758</v>
      </c>
    </row>
    <row r="6006" spans="1:5" x14ac:dyDescent="0.25">
      <c r="B6006" s="115" t="s">
        <v>9803</v>
      </c>
      <c r="D6006" s="115" t="s">
        <v>9804</v>
      </c>
      <c r="E6006" s="115" t="s">
        <v>9805</v>
      </c>
    </row>
    <row r="6007" spans="1:5" x14ac:dyDescent="0.25">
      <c r="A6007" s="115" t="s">
        <v>1137</v>
      </c>
      <c r="B6007" s="115" t="s">
        <v>9806</v>
      </c>
      <c r="C6007" s="115" t="s">
        <v>1137</v>
      </c>
      <c r="D6007" s="115" t="s">
        <v>9807</v>
      </c>
      <c r="E6007" s="115" t="s">
        <v>9808</v>
      </c>
    </row>
    <row r="6008" spans="1:5" x14ac:dyDescent="0.25">
      <c r="A6008" s="115">
        <v>-1</v>
      </c>
      <c r="B6008" s="115" t="s">
        <v>1561</v>
      </c>
      <c r="C6008" s="115" t="s">
        <v>1137</v>
      </c>
      <c r="D6008" s="115" t="s">
        <v>9809</v>
      </c>
      <c r="E6008" s="115" t="s">
        <v>1140</v>
      </c>
    </row>
    <row r="6009" spans="1:5" x14ac:dyDescent="0.25">
      <c r="A6009" s="115">
        <v>2</v>
      </c>
      <c r="B6009" s="115" t="s">
        <v>9810</v>
      </c>
      <c r="D6009" s="115" t="s">
        <v>9811</v>
      </c>
      <c r="E6009" s="115" t="s">
        <v>1140</v>
      </c>
    </row>
    <row r="6010" spans="1:5" x14ac:dyDescent="0.25">
      <c r="A6010" s="115">
        <v>-3</v>
      </c>
      <c r="B6010" s="115" t="s">
        <v>9812</v>
      </c>
      <c r="D6010" s="115" t="s">
        <v>9813</v>
      </c>
      <c r="E6010" s="115" t="s">
        <v>9814</v>
      </c>
    </row>
    <row r="6011" spans="1:5" x14ac:dyDescent="0.25">
      <c r="A6011" s="115">
        <v>-2</v>
      </c>
      <c r="B6011" s="115" t="s">
        <v>1590</v>
      </c>
      <c r="C6011" s="115" t="s">
        <v>1137</v>
      </c>
      <c r="D6011" s="115" t="s">
        <v>9815</v>
      </c>
      <c r="E6011" s="115" t="s">
        <v>1858</v>
      </c>
    </row>
    <row r="6012" spans="1:5" x14ac:dyDescent="0.25">
      <c r="A6012" s="115">
        <v>2</v>
      </c>
      <c r="B6012" s="115" t="s">
        <v>9816</v>
      </c>
      <c r="D6012" s="115" t="s">
        <v>9817</v>
      </c>
      <c r="E6012" s="115" t="s">
        <v>9818</v>
      </c>
    </row>
    <row r="6013" spans="1:5" x14ac:dyDescent="0.25">
      <c r="B6013" s="115" t="s">
        <v>1138</v>
      </c>
      <c r="D6013" s="115" t="s">
        <v>1139</v>
      </c>
      <c r="E6013" s="115" t="s">
        <v>9819</v>
      </c>
    </row>
    <row r="6014" spans="1:5" x14ac:dyDescent="0.25">
      <c r="A6014" s="115">
        <v>1</v>
      </c>
      <c r="B6014" s="115" t="s">
        <v>9820</v>
      </c>
      <c r="D6014" s="115" t="s">
        <v>9821</v>
      </c>
      <c r="E6014" s="115" t="s">
        <v>9822</v>
      </c>
    </row>
    <row r="6015" spans="1:5" x14ac:dyDescent="0.25">
      <c r="B6015" s="115" t="s">
        <v>1138</v>
      </c>
      <c r="D6015" s="115" t="s">
        <v>9823</v>
      </c>
      <c r="E6015" s="115" t="s">
        <v>1140</v>
      </c>
    </row>
    <row r="6016" spans="1:5" x14ac:dyDescent="0.25">
      <c r="B6016" s="115" t="s">
        <v>1138</v>
      </c>
      <c r="D6016" s="115" t="s">
        <v>1139</v>
      </c>
      <c r="E6016" s="115" t="s">
        <v>1140</v>
      </c>
    </row>
    <row r="6017" spans="1:5" x14ac:dyDescent="0.25">
      <c r="A6017" s="115">
        <v>-1</v>
      </c>
      <c r="B6017" s="115" t="s">
        <v>1445</v>
      </c>
      <c r="D6017" s="115" t="s">
        <v>2679</v>
      </c>
      <c r="E6017" s="115" t="s">
        <v>9824</v>
      </c>
    </row>
    <row r="6018" spans="1:5" x14ac:dyDescent="0.25">
      <c r="A6018" s="115">
        <v>-6</v>
      </c>
      <c r="B6018" s="115" t="s">
        <v>9825</v>
      </c>
      <c r="D6018" s="115" t="s">
        <v>9826</v>
      </c>
      <c r="E6018" s="115" t="s">
        <v>9827</v>
      </c>
    </row>
    <row r="6019" spans="1:5" x14ac:dyDescent="0.25">
      <c r="A6019" s="115">
        <v>-7</v>
      </c>
      <c r="B6019" s="115" t="s">
        <v>9828</v>
      </c>
      <c r="D6019" s="115" t="s">
        <v>9829</v>
      </c>
      <c r="E6019" s="115" t="s">
        <v>9830</v>
      </c>
    </row>
    <row r="6020" spans="1:5" x14ac:dyDescent="0.25">
      <c r="A6020" s="115">
        <v>-10</v>
      </c>
      <c r="B6020" s="115" t="s">
        <v>9831</v>
      </c>
      <c r="C6020" s="115" t="s">
        <v>1137</v>
      </c>
      <c r="D6020" s="115" t="s">
        <v>9832</v>
      </c>
      <c r="E6020" s="115" t="s">
        <v>9833</v>
      </c>
    </row>
    <row r="6021" spans="1:5" x14ac:dyDescent="0.25">
      <c r="A6021" s="115">
        <v>-9</v>
      </c>
      <c r="B6021" s="115" t="s">
        <v>9834</v>
      </c>
      <c r="C6021" s="115">
        <v>-1</v>
      </c>
      <c r="D6021" s="115" t="s">
        <v>9835</v>
      </c>
      <c r="E6021" s="115" t="s">
        <v>9836</v>
      </c>
    </row>
    <row r="6022" spans="1:5" x14ac:dyDescent="0.25">
      <c r="A6022" s="115" t="s">
        <v>1137</v>
      </c>
      <c r="B6022" s="115" t="s">
        <v>9837</v>
      </c>
      <c r="D6022" s="115" t="s">
        <v>9838</v>
      </c>
      <c r="E6022" s="115" t="s">
        <v>9839</v>
      </c>
    </row>
    <row r="6023" spans="1:5" x14ac:dyDescent="0.25">
      <c r="A6023" s="115">
        <v>1</v>
      </c>
      <c r="B6023" s="115" t="s">
        <v>9840</v>
      </c>
      <c r="D6023" s="115" t="s">
        <v>9841</v>
      </c>
      <c r="E6023" s="115" t="s">
        <v>9842</v>
      </c>
    </row>
    <row r="6024" spans="1:5" x14ac:dyDescent="0.25">
      <c r="A6024" s="115">
        <v>42</v>
      </c>
      <c r="B6024" s="115" t="s">
        <v>9843</v>
      </c>
      <c r="C6024" s="115">
        <v>5</v>
      </c>
      <c r="D6024" s="115" t="s">
        <v>9844</v>
      </c>
      <c r="E6024" s="115" t="s">
        <v>9845</v>
      </c>
    </row>
    <row r="6025" spans="1:5" x14ac:dyDescent="0.25">
      <c r="A6025" s="115">
        <v>59</v>
      </c>
      <c r="B6025" s="115" t="s">
        <v>9846</v>
      </c>
      <c r="C6025" s="115">
        <v>9</v>
      </c>
      <c r="D6025" s="115" t="s">
        <v>9847</v>
      </c>
      <c r="E6025" s="115" t="s">
        <v>9848</v>
      </c>
    </row>
    <row r="6026" spans="1:5" x14ac:dyDescent="0.25">
      <c r="B6026" s="115" t="s">
        <v>1138</v>
      </c>
      <c r="D6026" s="115" t="s">
        <v>9849</v>
      </c>
      <c r="E6026" s="115" t="s">
        <v>9850</v>
      </c>
    </row>
    <row r="6027" spans="1:5" x14ac:dyDescent="0.25">
      <c r="B6027" s="115" t="s">
        <v>1138</v>
      </c>
      <c r="D6027" s="115" t="s">
        <v>1139</v>
      </c>
      <c r="E6027" s="115" t="s">
        <v>9851</v>
      </c>
    </row>
    <row r="6028" spans="1:5" x14ac:dyDescent="0.25">
      <c r="B6028" s="115" t="s">
        <v>1138</v>
      </c>
      <c r="D6028" s="115" t="s">
        <v>9852</v>
      </c>
      <c r="E6028" s="115" t="s">
        <v>9853</v>
      </c>
    </row>
    <row r="6029" spans="1:5" x14ac:dyDescent="0.25">
      <c r="B6029" s="115" t="s">
        <v>9854</v>
      </c>
      <c r="D6029" s="115" t="s">
        <v>1847</v>
      </c>
      <c r="E6029" s="115" t="s">
        <v>2259</v>
      </c>
    </row>
    <row r="6030" spans="1:5" x14ac:dyDescent="0.25">
      <c r="B6030" s="115" t="s">
        <v>9855</v>
      </c>
      <c r="D6030" s="115" t="s">
        <v>1139</v>
      </c>
      <c r="E6030" s="115" t="s">
        <v>9856</v>
      </c>
    </row>
    <row r="6031" spans="1:5" x14ac:dyDescent="0.25">
      <c r="A6031" s="115">
        <v>-73</v>
      </c>
      <c r="B6031" s="115" t="s">
        <v>1497</v>
      </c>
      <c r="D6031" s="115" t="s">
        <v>9857</v>
      </c>
      <c r="E6031" s="115" t="s">
        <v>9858</v>
      </c>
    </row>
    <row r="6032" spans="1:5" x14ac:dyDescent="0.25">
      <c r="B6032" s="115" t="s">
        <v>1138</v>
      </c>
      <c r="D6032" s="115" t="s">
        <v>9859</v>
      </c>
      <c r="E6032" s="115" t="s">
        <v>9860</v>
      </c>
    </row>
    <row r="6033" spans="1:5" x14ac:dyDescent="0.25">
      <c r="B6033" s="115" t="s">
        <v>9861</v>
      </c>
      <c r="D6033" s="115" t="s">
        <v>1139</v>
      </c>
      <c r="E6033" s="115" t="s">
        <v>9862</v>
      </c>
    </row>
    <row r="6034" spans="1:5" x14ac:dyDescent="0.25">
      <c r="A6034" s="115">
        <v>-80</v>
      </c>
      <c r="B6034" s="115" t="s">
        <v>9863</v>
      </c>
      <c r="D6034" s="115" t="s">
        <v>9864</v>
      </c>
      <c r="E6034" s="115" t="s">
        <v>9865</v>
      </c>
    </row>
    <row r="6035" spans="1:5" x14ac:dyDescent="0.25">
      <c r="B6035" s="115" t="s">
        <v>9866</v>
      </c>
      <c r="D6035" s="115" t="s">
        <v>9867</v>
      </c>
      <c r="E6035" s="115" t="s">
        <v>9868</v>
      </c>
    </row>
    <row r="6036" spans="1:5" x14ac:dyDescent="0.25">
      <c r="B6036" s="115" t="s">
        <v>9869</v>
      </c>
      <c r="D6036" s="115" t="s">
        <v>1139</v>
      </c>
      <c r="E6036" s="115" t="s">
        <v>9870</v>
      </c>
    </row>
    <row r="6037" spans="1:5" x14ac:dyDescent="0.25">
      <c r="A6037" s="115">
        <v>-82</v>
      </c>
      <c r="B6037" s="115" t="s">
        <v>9871</v>
      </c>
      <c r="D6037" s="115" t="s">
        <v>9872</v>
      </c>
      <c r="E6037" s="115" t="s">
        <v>9873</v>
      </c>
    </row>
    <row r="6038" spans="1:5" x14ac:dyDescent="0.25">
      <c r="B6038" s="115" t="s">
        <v>9874</v>
      </c>
      <c r="D6038" s="115" t="s">
        <v>9875</v>
      </c>
      <c r="E6038" s="115" t="s">
        <v>9876</v>
      </c>
    </row>
    <row r="6039" spans="1:5" x14ac:dyDescent="0.25">
      <c r="B6039" s="126" t="s">
        <v>9877</v>
      </c>
      <c r="D6039" s="115" t="s">
        <v>1139</v>
      </c>
      <c r="E6039" s="115" t="s">
        <v>9878</v>
      </c>
    </row>
    <row r="6040" spans="1:5" x14ac:dyDescent="0.25">
      <c r="A6040" s="115">
        <v>-78</v>
      </c>
      <c r="B6040" s="115" t="s">
        <v>9879</v>
      </c>
      <c r="D6040" s="115" t="s">
        <v>2512</v>
      </c>
      <c r="E6040" s="115" t="s">
        <v>9880</v>
      </c>
    </row>
    <row r="6041" spans="1:5" x14ac:dyDescent="0.25">
      <c r="B6041" s="115" t="s">
        <v>9881</v>
      </c>
      <c r="D6041" s="115" t="s">
        <v>1505</v>
      </c>
      <c r="E6041" s="115" t="s">
        <v>9882</v>
      </c>
    </row>
    <row r="6042" spans="1:5" x14ac:dyDescent="0.25">
      <c r="B6042" s="115" t="s">
        <v>1138</v>
      </c>
      <c r="D6042" s="115" t="s">
        <v>1139</v>
      </c>
      <c r="E6042" s="115" t="s">
        <v>9883</v>
      </c>
    </row>
    <row r="6043" spans="1:5" x14ac:dyDescent="0.25">
      <c r="A6043" s="115">
        <v>-93</v>
      </c>
      <c r="B6043" s="115" t="s">
        <v>9884</v>
      </c>
      <c r="D6043" s="115" t="s">
        <v>1139</v>
      </c>
      <c r="E6043" s="115" t="s">
        <v>9885</v>
      </c>
    </row>
    <row r="6044" spans="1:5" x14ac:dyDescent="0.25">
      <c r="A6044" s="115">
        <v>2</v>
      </c>
      <c r="B6044" s="115" t="s">
        <v>9886</v>
      </c>
      <c r="D6044" s="115" t="s">
        <v>9887</v>
      </c>
      <c r="E6044" s="115" t="s">
        <v>9888</v>
      </c>
    </row>
    <row r="6045" spans="1:5" x14ac:dyDescent="0.25">
      <c r="B6045" s="115" t="s">
        <v>9889</v>
      </c>
      <c r="D6045" s="115" t="s">
        <v>1139</v>
      </c>
      <c r="E6045" s="115" t="s">
        <v>9890</v>
      </c>
    </row>
    <row r="6046" spans="1:5" x14ac:dyDescent="0.25">
      <c r="B6046" s="115" t="s">
        <v>9891</v>
      </c>
      <c r="D6046" s="115" t="s">
        <v>9892</v>
      </c>
      <c r="E6046" s="115" t="s">
        <v>1140</v>
      </c>
    </row>
    <row r="6047" spans="1:5" x14ac:dyDescent="0.25">
      <c r="B6047" s="115" t="s">
        <v>1138</v>
      </c>
      <c r="D6047" s="115" t="s">
        <v>9893</v>
      </c>
      <c r="E6047" s="115" t="s">
        <v>9894</v>
      </c>
    </row>
    <row r="6048" spans="1:5" x14ac:dyDescent="0.25">
      <c r="B6048" s="115" t="s">
        <v>9895</v>
      </c>
      <c r="D6048" s="115" t="s">
        <v>9896</v>
      </c>
      <c r="E6048" s="115" t="s">
        <v>9897</v>
      </c>
    </row>
    <row r="6049" spans="1:5" x14ac:dyDescent="0.25">
      <c r="A6049" s="115">
        <v>-2</v>
      </c>
      <c r="B6049" s="115" t="s">
        <v>1211</v>
      </c>
      <c r="D6049" s="115" t="s">
        <v>1139</v>
      </c>
      <c r="E6049" s="115" t="s">
        <v>1140</v>
      </c>
    </row>
    <row r="6050" spans="1:5" x14ac:dyDescent="0.25">
      <c r="B6050" s="115" t="s">
        <v>1138</v>
      </c>
      <c r="D6050" s="115" t="s">
        <v>1139</v>
      </c>
      <c r="E6050" s="115" t="s">
        <v>9898</v>
      </c>
    </row>
    <row r="6051" spans="1:5" x14ac:dyDescent="0.25">
      <c r="B6051" s="115" t="s">
        <v>9899</v>
      </c>
      <c r="D6051" s="115" t="s">
        <v>9900</v>
      </c>
      <c r="E6051" s="115" t="s">
        <v>9901</v>
      </c>
    </row>
    <row r="6052" spans="1:5" x14ac:dyDescent="0.25">
      <c r="B6052" s="115" t="s">
        <v>1138</v>
      </c>
      <c r="D6052" s="115" t="s">
        <v>9902</v>
      </c>
      <c r="E6052" s="115" t="s">
        <v>9903</v>
      </c>
    </row>
    <row r="6053" spans="1:5" x14ac:dyDescent="0.25">
      <c r="A6053" s="115">
        <v>-8</v>
      </c>
      <c r="B6053" s="115" t="s">
        <v>9904</v>
      </c>
      <c r="C6053" s="115">
        <v>-1</v>
      </c>
      <c r="D6053" s="115" t="s">
        <v>9905</v>
      </c>
      <c r="E6053" s="115" t="s">
        <v>9906</v>
      </c>
    </row>
    <row r="6054" spans="1:5" x14ac:dyDescent="0.25">
      <c r="A6054" s="115">
        <v>-12</v>
      </c>
      <c r="B6054" s="115" t="s">
        <v>9907</v>
      </c>
      <c r="C6054" s="115" t="s">
        <v>1137</v>
      </c>
      <c r="D6054" s="115" t="s">
        <v>9908</v>
      </c>
      <c r="E6054" s="115" t="s">
        <v>9909</v>
      </c>
    </row>
    <row r="6055" spans="1:5" x14ac:dyDescent="0.25">
      <c r="B6055" s="115">
        <f>-50    -27</f>
        <v>-77</v>
      </c>
      <c r="D6055" s="115">
        <f>-1   -239  -1460   -82</f>
        <v>-1782</v>
      </c>
      <c r="E6055" s="115" t="s">
        <v>9910</v>
      </c>
    </row>
    <row r="6056" spans="1:5" x14ac:dyDescent="0.25">
      <c r="A6056" s="115">
        <v>1</v>
      </c>
      <c r="B6056" s="115" t="s">
        <v>9911</v>
      </c>
      <c r="D6056" s="115" t="s">
        <v>9912</v>
      </c>
      <c r="E6056" s="115" t="s">
        <v>9913</v>
      </c>
    </row>
    <row r="6057" spans="1:5" x14ac:dyDescent="0.25">
      <c r="A6057" s="115">
        <v>51</v>
      </c>
      <c r="B6057" s="115" t="s">
        <v>9914</v>
      </c>
      <c r="C6057" s="115">
        <v>5</v>
      </c>
      <c r="D6057" s="115" t="s">
        <v>9915</v>
      </c>
      <c r="E6057" s="115" t="s">
        <v>9916</v>
      </c>
    </row>
    <row r="6058" spans="1:5" x14ac:dyDescent="0.25">
      <c r="A6058" s="115">
        <v>48</v>
      </c>
      <c r="B6058" s="115" t="s">
        <v>9917</v>
      </c>
      <c r="C6058" s="115">
        <v>4</v>
      </c>
      <c r="D6058" s="115" t="s">
        <v>9918</v>
      </c>
      <c r="E6058" s="115" t="s">
        <v>9919</v>
      </c>
    </row>
    <row r="6059" spans="1:5" x14ac:dyDescent="0.25">
      <c r="A6059" s="115">
        <v>96</v>
      </c>
      <c r="B6059" s="115" t="s">
        <v>9920</v>
      </c>
      <c r="C6059" s="115">
        <v>9</v>
      </c>
      <c r="D6059" s="115" t="s">
        <v>9921</v>
      </c>
      <c r="E6059" s="115" t="s">
        <v>9922</v>
      </c>
    </row>
    <row r="6060" spans="1:5" x14ac:dyDescent="0.25">
      <c r="B6060" s="115" t="s">
        <v>1390</v>
      </c>
      <c r="D6060" s="115" t="s">
        <v>3620</v>
      </c>
      <c r="E6060" s="115" t="s">
        <v>9923</v>
      </c>
    </row>
    <row r="6061" spans="1:5" x14ac:dyDescent="0.25">
      <c r="B6061" s="115" t="s">
        <v>1138</v>
      </c>
      <c r="D6061" s="115" t="s">
        <v>1815</v>
      </c>
      <c r="E6061" s="115" t="s">
        <v>9924</v>
      </c>
    </row>
    <row r="6062" spans="1:5" x14ac:dyDescent="0.25">
      <c r="A6062" s="115">
        <v>-65</v>
      </c>
      <c r="B6062" s="115" t="s">
        <v>9925</v>
      </c>
      <c r="D6062" s="115">
        <f>-97   -874   -104</f>
        <v>-1075</v>
      </c>
      <c r="E6062" s="115" t="s">
        <v>9926</v>
      </c>
    </row>
    <row r="6063" spans="1:5" x14ac:dyDescent="0.25">
      <c r="B6063" s="115" t="s">
        <v>1138</v>
      </c>
      <c r="D6063" s="115" t="s">
        <v>1230</v>
      </c>
      <c r="E6063" s="115" t="s">
        <v>9927</v>
      </c>
    </row>
    <row r="6064" spans="1:5" x14ac:dyDescent="0.25">
      <c r="B6064" s="115" t="s">
        <v>1138</v>
      </c>
      <c r="D6064" s="115" t="s">
        <v>1139</v>
      </c>
      <c r="E6064" s="115" t="s">
        <v>9928</v>
      </c>
    </row>
    <row r="6065" spans="1:5" x14ac:dyDescent="0.25">
      <c r="B6065" s="115" t="s">
        <v>1138</v>
      </c>
      <c r="D6065" s="115" t="s">
        <v>9929</v>
      </c>
      <c r="E6065" s="115" t="s">
        <v>9930</v>
      </c>
    </row>
    <row r="6066" spans="1:5" x14ac:dyDescent="0.25">
      <c r="A6066" s="115" t="s">
        <v>1137</v>
      </c>
      <c r="B6066" s="115" t="s">
        <v>1250</v>
      </c>
      <c r="D6066" s="115">
        <f>-22   -422    -26   -21</f>
        <v>-491</v>
      </c>
      <c r="E6066" s="115" t="s">
        <v>9931</v>
      </c>
    </row>
    <row r="6067" spans="1:5" x14ac:dyDescent="0.25">
      <c r="B6067" s="115" t="s">
        <v>1138</v>
      </c>
      <c r="D6067" s="115" t="s">
        <v>9932</v>
      </c>
      <c r="E6067" s="115" t="s">
        <v>9933</v>
      </c>
    </row>
    <row r="6068" spans="1:5" x14ac:dyDescent="0.25">
      <c r="A6068" s="115" t="s">
        <v>1137</v>
      </c>
      <c r="B6068" s="115" t="s">
        <v>1455</v>
      </c>
      <c r="D6068" s="115" t="s">
        <v>9934</v>
      </c>
      <c r="E6068" s="115" t="s">
        <v>9935</v>
      </c>
    </row>
    <row r="6069" spans="1:5" x14ac:dyDescent="0.25">
      <c r="B6069" s="115" t="s">
        <v>1138</v>
      </c>
      <c r="D6069" s="115" t="s">
        <v>9936</v>
      </c>
      <c r="E6069" s="115" t="s">
        <v>9937</v>
      </c>
    </row>
    <row r="6070" spans="1:5" x14ac:dyDescent="0.25">
      <c r="B6070" s="115" t="s">
        <v>1138</v>
      </c>
      <c r="D6070" s="115" t="s">
        <v>9938</v>
      </c>
      <c r="E6070" s="115" t="s">
        <v>9939</v>
      </c>
    </row>
    <row r="6071" spans="1:5" x14ac:dyDescent="0.25">
      <c r="A6071" s="115" t="s">
        <v>1137</v>
      </c>
      <c r="B6071" s="115" t="s">
        <v>9940</v>
      </c>
      <c r="D6071" s="115" t="s">
        <v>9941</v>
      </c>
      <c r="E6071" s="115" t="s">
        <v>9942</v>
      </c>
    </row>
    <row r="6072" spans="1:5" x14ac:dyDescent="0.25">
      <c r="B6072" s="115" t="s">
        <v>1517</v>
      </c>
      <c r="D6072" s="115" t="s">
        <v>9943</v>
      </c>
      <c r="E6072" s="115" t="s">
        <v>9944</v>
      </c>
    </row>
    <row r="6073" spans="1:5" x14ac:dyDescent="0.25">
      <c r="B6073" s="115" t="s">
        <v>1138</v>
      </c>
      <c r="D6073" s="115" t="s">
        <v>9945</v>
      </c>
      <c r="E6073" s="115" t="s">
        <v>9946</v>
      </c>
    </row>
    <row r="6074" spans="1:5" x14ac:dyDescent="0.25">
      <c r="B6074" s="115" t="s">
        <v>1138</v>
      </c>
      <c r="D6074" s="115">
        <f>-636  -1000   -156  -147</f>
        <v>-1939</v>
      </c>
      <c r="E6074" s="115" t="s">
        <v>9947</v>
      </c>
    </row>
    <row r="6075" spans="1:5" x14ac:dyDescent="0.25">
      <c r="B6075" s="115" t="s">
        <v>9948</v>
      </c>
      <c r="D6075" s="115" t="s">
        <v>9949</v>
      </c>
      <c r="E6075" s="115" t="s">
        <v>1818</v>
      </c>
    </row>
    <row r="6076" spans="1:5" x14ac:dyDescent="0.25">
      <c r="B6076" s="115" t="s">
        <v>1138</v>
      </c>
      <c r="D6076" s="115" t="s">
        <v>9950</v>
      </c>
      <c r="E6076" s="115" t="s">
        <v>9951</v>
      </c>
    </row>
    <row r="6077" spans="1:5" x14ac:dyDescent="0.25">
      <c r="B6077" s="115" t="s">
        <v>1138</v>
      </c>
      <c r="D6077" s="115" t="s">
        <v>9952</v>
      </c>
      <c r="E6077" s="115" t="s">
        <v>9953</v>
      </c>
    </row>
    <row r="6078" spans="1:5" x14ac:dyDescent="0.25">
      <c r="B6078" s="115" t="s">
        <v>1138</v>
      </c>
      <c r="D6078" s="115" t="s">
        <v>9954</v>
      </c>
      <c r="E6078" s="115" t="s">
        <v>9955</v>
      </c>
    </row>
    <row r="6079" spans="1:5" x14ac:dyDescent="0.25">
      <c r="B6079" s="115" t="s">
        <v>1138</v>
      </c>
      <c r="D6079" s="115" t="s">
        <v>9956</v>
      </c>
      <c r="E6079" s="115" t="s">
        <v>9957</v>
      </c>
    </row>
    <row r="6080" spans="1:5" x14ac:dyDescent="0.25">
      <c r="A6080" s="115">
        <v>1</v>
      </c>
      <c r="B6080" s="115" t="s">
        <v>9958</v>
      </c>
      <c r="D6080" s="115" t="s">
        <v>1139</v>
      </c>
      <c r="E6080" s="115" t="s">
        <v>9959</v>
      </c>
    </row>
    <row r="6081" spans="1:5" x14ac:dyDescent="0.25">
      <c r="B6081" s="115" t="s">
        <v>9960</v>
      </c>
      <c r="D6081" s="115" t="s">
        <v>9961</v>
      </c>
      <c r="E6081" s="115" t="s">
        <v>9962</v>
      </c>
    </row>
    <row r="6082" spans="1:5" x14ac:dyDescent="0.25">
      <c r="A6082" s="115">
        <v>10</v>
      </c>
      <c r="B6082" s="115" t="s">
        <v>1642</v>
      </c>
      <c r="D6082" s="115" t="s">
        <v>1139</v>
      </c>
      <c r="E6082" s="115" t="s">
        <v>9963</v>
      </c>
    </row>
    <row r="6083" spans="1:5" x14ac:dyDescent="0.25">
      <c r="B6083" s="115" t="s">
        <v>1138</v>
      </c>
      <c r="D6083" s="115" t="s">
        <v>1139</v>
      </c>
      <c r="E6083" s="115" t="s">
        <v>1140</v>
      </c>
    </row>
    <row r="6084" spans="1:5" x14ac:dyDescent="0.25">
      <c r="B6084" s="115" t="s">
        <v>1138</v>
      </c>
      <c r="D6084" s="115" t="s">
        <v>9964</v>
      </c>
      <c r="E6084" s="115" t="s">
        <v>9965</v>
      </c>
    </row>
    <row r="6085" spans="1:5" x14ac:dyDescent="0.25">
      <c r="B6085" s="115" t="s">
        <v>9966</v>
      </c>
      <c r="C6085" s="115">
        <v>-1</v>
      </c>
      <c r="D6085" s="115" t="s">
        <v>9967</v>
      </c>
      <c r="E6085" s="115" t="s">
        <v>9968</v>
      </c>
    </row>
    <row r="6086" spans="1:5" x14ac:dyDescent="0.25">
      <c r="A6086" s="115">
        <v>-6</v>
      </c>
      <c r="B6086" s="115" t="s">
        <v>9969</v>
      </c>
      <c r="C6086" s="115" t="s">
        <v>1137</v>
      </c>
      <c r="D6086" s="115" t="s">
        <v>9970</v>
      </c>
      <c r="E6086" s="115" t="s">
        <v>9971</v>
      </c>
    </row>
    <row r="6087" spans="1:5" x14ac:dyDescent="0.25">
      <c r="A6087" s="115">
        <v>-8</v>
      </c>
      <c r="B6087" s="115" t="s">
        <v>9972</v>
      </c>
      <c r="C6087" s="115">
        <v>-1</v>
      </c>
      <c r="D6087" s="115" t="s">
        <v>9973</v>
      </c>
      <c r="E6087" s="115" t="s">
        <v>9974</v>
      </c>
    </row>
    <row r="6088" spans="1:5" x14ac:dyDescent="0.25">
      <c r="A6088" s="115">
        <v>-12</v>
      </c>
      <c r="B6088" s="115" t="s">
        <v>9975</v>
      </c>
      <c r="C6088" s="115">
        <v>-1</v>
      </c>
      <c r="D6088" s="115" t="s">
        <v>9976</v>
      </c>
      <c r="E6088" s="115" t="s">
        <v>9977</v>
      </c>
    </row>
    <row r="6089" spans="1:5" x14ac:dyDescent="0.25">
      <c r="A6089" s="115">
        <v>-11</v>
      </c>
      <c r="B6089" s="115" t="s">
        <v>9978</v>
      </c>
      <c r="C6089" s="115" t="s">
        <v>1137</v>
      </c>
      <c r="D6089" s="115" t="s">
        <v>9979</v>
      </c>
      <c r="E6089" s="115" t="s">
        <v>9980</v>
      </c>
    </row>
    <row r="6090" spans="1:5" x14ac:dyDescent="0.25">
      <c r="A6090" s="115">
        <v>-7</v>
      </c>
      <c r="B6090" s="115" t="s">
        <v>9981</v>
      </c>
      <c r="C6090" s="115" t="s">
        <v>1137</v>
      </c>
      <c r="D6090" s="115" t="s">
        <v>9982</v>
      </c>
      <c r="E6090" s="115" t="s">
        <v>9983</v>
      </c>
    </row>
    <row r="6091" spans="1:5" x14ac:dyDescent="0.25">
      <c r="A6091" s="115">
        <v>54</v>
      </c>
      <c r="B6091" s="115" t="s">
        <v>9984</v>
      </c>
      <c r="C6091" s="115">
        <v>4</v>
      </c>
      <c r="D6091" s="115" t="s">
        <v>9985</v>
      </c>
      <c r="E6091" s="115" t="s">
        <v>9986</v>
      </c>
    </row>
    <row r="6092" spans="1:5" x14ac:dyDescent="0.25">
      <c r="A6092" s="115">
        <v>57</v>
      </c>
      <c r="B6092" s="115" t="s">
        <v>9987</v>
      </c>
      <c r="C6092" s="115">
        <v>5</v>
      </c>
      <c r="D6092" s="115" t="s">
        <v>9988</v>
      </c>
      <c r="E6092" s="115" t="s">
        <v>9989</v>
      </c>
    </row>
    <row r="6093" spans="1:5" x14ac:dyDescent="0.25">
      <c r="A6093" s="115">
        <v>89</v>
      </c>
      <c r="B6093" s="115" t="s">
        <v>9990</v>
      </c>
      <c r="C6093" s="115">
        <v>-4</v>
      </c>
      <c r="D6093" s="115" t="s">
        <v>9991</v>
      </c>
      <c r="E6093" s="115" t="s">
        <v>9992</v>
      </c>
    </row>
    <row r="6094" spans="1:5" x14ac:dyDescent="0.25">
      <c r="B6094" s="115" t="s">
        <v>1138</v>
      </c>
      <c r="D6094" s="115" t="s">
        <v>9993</v>
      </c>
      <c r="E6094" s="115" t="s">
        <v>1140</v>
      </c>
    </row>
    <row r="6095" spans="1:5" x14ac:dyDescent="0.25">
      <c r="B6095" s="115" t="s">
        <v>1138</v>
      </c>
      <c r="D6095" s="115" t="s">
        <v>9994</v>
      </c>
      <c r="E6095" s="115" t="s">
        <v>9995</v>
      </c>
    </row>
    <row r="6096" spans="1:5" x14ac:dyDescent="0.25">
      <c r="B6096" s="115" t="s">
        <v>9996</v>
      </c>
      <c r="D6096" s="115" t="s">
        <v>9997</v>
      </c>
      <c r="E6096" s="115" t="s">
        <v>9998</v>
      </c>
    </row>
    <row r="6097" spans="1:5" x14ac:dyDescent="0.25">
      <c r="B6097" s="115" t="s">
        <v>1475</v>
      </c>
      <c r="D6097" s="115" t="s">
        <v>1139</v>
      </c>
      <c r="E6097" s="115" t="s">
        <v>3904</v>
      </c>
    </row>
    <row r="6098" spans="1:5" x14ac:dyDescent="0.25">
      <c r="B6098" s="115" t="s">
        <v>1138</v>
      </c>
      <c r="D6098" s="115" t="s">
        <v>9999</v>
      </c>
      <c r="E6098" s="115" t="s">
        <v>10000</v>
      </c>
    </row>
    <row r="6099" spans="1:5" x14ac:dyDescent="0.25">
      <c r="B6099" s="115" t="s">
        <v>1138</v>
      </c>
      <c r="D6099" s="115" t="s">
        <v>10001</v>
      </c>
      <c r="E6099" s="115" t="s">
        <v>10002</v>
      </c>
    </row>
    <row r="6100" spans="1:5" x14ac:dyDescent="0.25">
      <c r="B6100" s="115">
        <f>-29   -446</f>
        <v>-475</v>
      </c>
      <c r="D6100" s="115">
        <f>-85   -272   -376   -10</f>
        <v>-743</v>
      </c>
      <c r="E6100" s="115" t="s">
        <v>10003</v>
      </c>
    </row>
    <row r="6101" spans="1:5" x14ac:dyDescent="0.25">
      <c r="B6101" s="115" t="s">
        <v>1570</v>
      </c>
      <c r="D6101" s="115" t="s">
        <v>10004</v>
      </c>
      <c r="E6101" s="115" t="s">
        <v>10005</v>
      </c>
    </row>
    <row r="6102" spans="1:5" x14ac:dyDescent="0.25">
      <c r="B6102" s="115" t="s">
        <v>10006</v>
      </c>
      <c r="D6102" s="115" t="s">
        <v>10007</v>
      </c>
      <c r="E6102" s="115" t="s">
        <v>10008</v>
      </c>
    </row>
    <row r="6103" spans="1:5" x14ac:dyDescent="0.25">
      <c r="A6103" s="115" t="s">
        <v>1137</v>
      </c>
      <c r="B6103" s="115" t="s">
        <v>10009</v>
      </c>
      <c r="D6103" s="115" t="s">
        <v>10010</v>
      </c>
      <c r="E6103" s="115" t="s">
        <v>10011</v>
      </c>
    </row>
    <row r="6104" spans="1:5" x14ac:dyDescent="0.25">
      <c r="B6104" s="115" t="s">
        <v>10012</v>
      </c>
      <c r="D6104" s="115" t="s">
        <v>10013</v>
      </c>
      <c r="E6104" s="115" t="s">
        <v>10014</v>
      </c>
    </row>
    <row r="6105" spans="1:5" x14ac:dyDescent="0.25">
      <c r="B6105" s="115" t="s">
        <v>10015</v>
      </c>
      <c r="D6105" s="115" t="s">
        <v>10016</v>
      </c>
      <c r="E6105" s="115" t="s">
        <v>10017</v>
      </c>
    </row>
    <row r="6106" spans="1:5" x14ac:dyDescent="0.25">
      <c r="B6106" s="115" t="s">
        <v>1138</v>
      </c>
      <c r="D6106" s="115" t="s">
        <v>10018</v>
      </c>
      <c r="E6106" s="115" t="s">
        <v>10019</v>
      </c>
    </row>
    <row r="6107" spans="1:5" x14ac:dyDescent="0.25">
      <c r="B6107" s="115" t="s">
        <v>1266</v>
      </c>
      <c r="C6107" s="115" t="s">
        <v>1137</v>
      </c>
      <c r="D6107" s="115" t="s">
        <v>10020</v>
      </c>
      <c r="E6107" s="115" t="s">
        <v>10021</v>
      </c>
    </row>
    <row r="6108" spans="1:5" x14ac:dyDescent="0.25">
      <c r="A6108" s="115" t="s">
        <v>1137</v>
      </c>
      <c r="B6108" s="115" t="s">
        <v>10022</v>
      </c>
      <c r="D6108" s="115">
        <f>-27  -1590  -1060</f>
        <v>-2677</v>
      </c>
      <c r="E6108" s="115" t="s">
        <v>10023</v>
      </c>
    </row>
    <row r="6109" spans="1:5" x14ac:dyDescent="0.25">
      <c r="B6109" s="115" t="s">
        <v>10024</v>
      </c>
      <c r="D6109" s="115" t="s">
        <v>10025</v>
      </c>
      <c r="E6109" s="115" t="s">
        <v>1140</v>
      </c>
    </row>
    <row r="6110" spans="1:5" x14ac:dyDescent="0.25">
      <c r="B6110" s="115" t="s">
        <v>10026</v>
      </c>
      <c r="C6110" s="115" t="s">
        <v>1137</v>
      </c>
      <c r="D6110" s="115" t="s">
        <v>10027</v>
      </c>
      <c r="E6110" s="115" t="s">
        <v>1758</v>
      </c>
    </row>
    <row r="6111" spans="1:5" x14ac:dyDescent="0.25">
      <c r="B6111" s="115" t="s">
        <v>5562</v>
      </c>
      <c r="D6111" s="115" t="s">
        <v>10028</v>
      </c>
      <c r="E6111" s="115" t="s">
        <v>10029</v>
      </c>
    </row>
    <row r="6112" spans="1:5" x14ac:dyDescent="0.25">
      <c r="B6112" s="115" t="s">
        <v>10030</v>
      </c>
      <c r="D6112" s="115" t="s">
        <v>10031</v>
      </c>
      <c r="E6112" s="115" t="s">
        <v>10032</v>
      </c>
    </row>
    <row r="6113" spans="1:5" x14ac:dyDescent="0.25">
      <c r="B6113" s="115" t="s">
        <v>10033</v>
      </c>
      <c r="C6113" s="115" t="s">
        <v>1137</v>
      </c>
      <c r="D6113" s="115" t="s">
        <v>10034</v>
      </c>
      <c r="E6113" s="115" t="s">
        <v>10035</v>
      </c>
    </row>
    <row r="6114" spans="1:5" x14ac:dyDescent="0.25">
      <c r="B6114" s="115" t="s">
        <v>1138</v>
      </c>
      <c r="D6114" s="115" t="s">
        <v>1139</v>
      </c>
      <c r="E6114" s="115" t="s">
        <v>10036</v>
      </c>
    </row>
    <row r="6115" spans="1:5" x14ac:dyDescent="0.25">
      <c r="B6115" s="115" t="s">
        <v>10037</v>
      </c>
      <c r="D6115" s="115" t="s">
        <v>10038</v>
      </c>
      <c r="E6115" s="115" t="s">
        <v>10039</v>
      </c>
    </row>
    <row r="6116" spans="1:5" x14ac:dyDescent="0.25">
      <c r="B6116" s="115" t="s">
        <v>1138</v>
      </c>
      <c r="D6116" s="115" t="s">
        <v>10040</v>
      </c>
      <c r="E6116" s="115" t="s">
        <v>1818</v>
      </c>
    </row>
    <row r="6117" spans="1:5" x14ac:dyDescent="0.25">
      <c r="B6117" s="115" t="s">
        <v>1138</v>
      </c>
      <c r="D6117" s="115" t="s">
        <v>1139</v>
      </c>
      <c r="E6117" s="115" t="s">
        <v>1140</v>
      </c>
    </row>
    <row r="6118" spans="1:5" x14ac:dyDescent="0.25">
      <c r="B6118" s="115" t="s">
        <v>1348</v>
      </c>
      <c r="D6118" s="115" t="s">
        <v>1139</v>
      </c>
      <c r="E6118" s="115" t="s">
        <v>10041</v>
      </c>
    </row>
    <row r="6119" spans="1:5" x14ac:dyDescent="0.25">
      <c r="A6119" s="115">
        <v>-14</v>
      </c>
      <c r="B6119" s="115" t="s">
        <v>10042</v>
      </c>
      <c r="C6119" s="115">
        <v>-1</v>
      </c>
      <c r="D6119" s="115" t="s">
        <v>10043</v>
      </c>
      <c r="E6119" s="115" t="s">
        <v>10044</v>
      </c>
    </row>
    <row r="6120" spans="1:5" x14ac:dyDescent="0.25">
      <c r="A6120" s="115">
        <v>-11</v>
      </c>
      <c r="B6120" s="115" t="s">
        <v>10045</v>
      </c>
      <c r="C6120" s="115" t="s">
        <v>1137</v>
      </c>
      <c r="D6120" s="115" t="s">
        <v>10046</v>
      </c>
      <c r="E6120" s="115" t="s">
        <v>10047</v>
      </c>
    </row>
    <row r="6121" spans="1:5" x14ac:dyDescent="0.25">
      <c r="A6121" s="115">
        <v>-19</v>
      </c>
      <c r="B6121" s="115" t="s">
        <v>10048</v>
      </c>
      <c r="C6121" s="115">
        <v>-1</v>
      </c>
      <c r="D6121" s="115" t="s">
        <v>10049</v>
      </c>
      <c r="E6121" s="115" t="s">
        <v>10050</v>
      </c>
    </row>
    <row r="6122" spans="1:5" x14ac:dyDescent="0.25">
      <c r="A6122" s="115">
        <v>-13</v>
      </c>
      <c r="B6122" s="115" t="s">
        <v>10051</v>
      </c>
      <c r="C6122" s="115">
        <v>-2</v>
      </c>
      <c r="D6122" s="115" t="s">
        <v>10052</v>
      </c>
      <c r="E6122" s="115" t="s">
        <v>10053</v>
      </c>
    </row>
    <row r="6123" spans="1:5" x14ac:dyDescent="0.25">
      <c r="A6123" s="115">
        <v>-5</v>
      </c>
      <c r="B6123" s="115" t="s">
        <v>10054</v>
      </c>
      <c r="C6123" s="115" t="s">
        <v>1137</v>
      </c>
      <c r="D6123" s="115" t="s">
        <v>10055</v>
      </c>
      <c r="E6123" s="115" t="s">
        <v>10056</v>
      </c>
    </row>
    <row r="6124" spans="1:5" x14ac:dyDescent="0.25">
      <c r="A6124" s="115">
        <v>-3</v>
      </c>
      <c r="B6124" s="115" t="s">
        <v>10057</v>
      </c>
      <c r="C6124" s="115" t="s">
        <v>1137</v>
      </c>
      <c r="D6124" s="115" t="s">
        <v>10058</v>
      </c>
      <c r="E6124" s="115" t="s">
        <v>10059</v>
      </c>
    </row>
    <row r="6125" spans="1:5" x14ac:dyDescent="0.25">
      <c r="A6125" s="115">
        <v>40</v>
      </c>
      <c r="B6125" s="115" t="s">
        <v>10060</v>
      </c>
      <c r="C6125" s="115">
        <v>4</v>
      </c>
      <c r="D6125" s="115" t="s">
        <v>10061</v>
      </c>
      <c r="E6125" s="115" t="s">
        <v>10062</v>
      </c>
    </row>
    <row r="6126" spans="1:5" x14ac:dyDescent="0.25">
      <c r="A6126" s="115">
        <v>55</v>
      </c>
      <c r="B6126" s="115" t="s">
        <v>10063</v>
      </c>
      <c r="C6126" s="115">
        <v>5</v>
      </c>
      <c r="D6126" s="115" t="s">
        <v>10064</v>
      </c>
      <c r="E6126" s="115" t="s">
        <v>10065</v>
      </c>
    </row>
    <row r="6127" spans="1:5" x14ac:dyDescent="0.25">
      <c r="A6127" s="115">
        <v>-6</v>
      </c>
      <c r="B6127" s="115" t="s">
        <v>10066</v>
      </c>
      <c r="D6127" s="115" t="s">
        <v>10067</v>
      </c>
      <c r="E6127" s="115" t="s">
        <v>10068</v>
      </c>
    </row>
    <row r="6128" spans="1:5" x14ac:dyDescent="0.25">
      <c r="B6128" s="115" t="s">
        <v>1138</v>
      </c>
      <c r="D6128" s="115" t="s">
        <v>10069</v>
      </c>
      <c r="E6128" s="115" t="s">
        <v>1140</v>
      </c>
    </row>
    <row r="6129" spans="1:5" x14ac:dyDescent="0.25">
      <c r="B6129" s="115" t="s">
        <v>1138</v>
      </c>
      <c r="D6129" s="115" t="s">
        <v>10070</v>
      </c>
      <c r="E6129" s="115" t="s">
        <v>10071</v>
      </c>
    </row>
    <row r="6130" spans="1:5" x14ac:dyDescent="0.25">
      <c r="A6130" s="115">
        <v>1</v>
      </c>
      <c r="B6130" s="115" t="s">
        <v>10072</v>
      </c>
      <c r="D6130" s="115" t="s">
        <v>10073</v>
      </c>
      <c r="E6130" s="115" t="s">
        <v>10074</v>
      </c>
    </row>
    <row r="6131" spans="1:5" x14ac:dyDescent="0.25">
      <c r="B6131" s="115" t="s">
        <v>1138</v>
      </c>
      <c r="D6131" s="115" t="s">
        <v>10075</v>
      </c>
      <c r="E6131" s="115" t="s">
        <v>2259</v>
      </c>
    </row>
    <row r="6132" spans="1:5" x14ac:dyDescent="0.25">
      <c r="B6132" s="115" t="s">
        <v>1138</v>
      </c>
      <c r="D6132" s="115" t="s">
        <v>10076</v>
      </c>
      <c r="E6132" s="115" t="s">
        <v>10077</v>
      </c>
    </row>
    <row r="6133" spans="1:5" x14ac:dyDescent="0.25">
      <c r="B6133" s="115" t="s">
        <v>10078</v>
      </c>
      <c r="D6133" s="115" t="s">
        <v>10079</v>
      </c>
      <c r="E6133" s="115" t="s">
        <v>10080</v>
      </c>
    </row>
    <row r="6134" spans="1:5" x14ac:dyDescent="0.25">
      <c r="B6134" s="115" t="s">
        <v>10081</v>
      </c>
      <c r="D6134" s="115" t="s">
        <v>10082</v>
      </c>
      <c r="E6134" s="115" t="s">
        <v>2081</v>
      </c>
    </row>
    <row r="6135" spans="1:5" x14ac:dyDescent="0.25">
      <c r="A6135" s="115">
        <v>2</v>
      </c>
      <c r="B6135" s="115" t="s">
        <v>10083</v>
      </c>
      <c r="D6135" s="115" t="s">
        <v>10084</v>
      </c>
      <c r="E6135" s="115" t="s">
        <v>10085</v>
      </c>
    </row>
    <row r="6136" spans="1:5" x14ac:dyDescent="0.25">
      <c r="A6136" s="115">
        <v>2</v>
      </c>
      <c r="B6136" s="115" t="s">
        <v>10086</v>
      </c>
      <c r="D6136" s="115">
        <f>-81   -451   -124 -3489</f>
        <v>-4145</v>
      </c>
      <c r="E6136" s="115" t="s">
        <v>10087</v>
      </c>
    </row>
    <row r="6137" spans="1:5" x14ac:dyDescent="0.25">
      <c r="B6137" s="115" t="s">
        <v>10088</v>
      </c>
      <c r="D6137" s="115" t="s">
        <v>10089</v>
      </c>
      <c r="E6137" s="115" t="s">
        <v>2536</v>
      </c>
    </row>
    <row r="6138" spans="1:5" x14ac:dyDescent="0.25">
      <c r="A6138" s="115">
        <v>-1</v>
      </c>
      <c r="B6138" s="115" t="s">
        <v>10090</v>
      </c>
      <c r="D6138" s="115" t="s">
        <v>10091</v>
      </c>
      <c r="E6138" s="115" t="s">
        <v>10092</v>
      </c>
    </row>
    <row r="6139" spans="1:5" x14ac:dyDescent="0.25">
      <c r="A6139" s="115">
        <v>3</v>
      </c>
      <c r="B6139" s="115" t="s">
        <v>1510</v>
      </c>
      <c r="D6139" s="115" t="s">
        <v>10093</v>
      </c>
      <c r="E6139" s="115" t="s">
        <v>10094</v>
      </c>
    </row>
    <row r="6140" spans="1:5" x14ac:dyDescent="0.25">
      <c r="B6140" s="115" t="s">
        <v>1591</v>
      </c>
      <c r="D6140" s="115" t="s">
        <v>10095</v>
      </c>
      <c r="E6140" s="115" t="s">
        <v>1893</v>
      </c>
    </row>
    <row r="6141" spans="1:5" x14ac:dyDescent="0.25">
      <c r="A6141" s="115">
        <v>-1</v>
      </c>
      <c r="B6141" s="115" t="s">
        <v>10096</v>
      </c>
      <c r="D6141" s="115" t="s">
        <v>10097</v>
      </c>
      <c r="E6141" s="115" t="s">
        <v>10098</v>
      </c>
    </row>
    <row r="6142" spans="1:5" x14ac:dyDescent="0.25">
      <c r="A6142" s="115">
        <v>1</v>
      </c>
      <c r="B6142" s="115" t="s">
        <v>10099</v>
      </c>
      <c r="D6142" s="115" t="s">
        <v>10100</v>
      </c>
      <c r="E6142" s="115" t="s">
        <v>10101</v>
      </c>
    </row>
    <row r="6143" spans="1:5" x14ac:dyDescent="0.25">
      <c r="B6143" s="115" t="s">
        <v>1549</v>
      </c>
      <c r="D6143" s="115" t="s">
        <v>10102</v>
      </c>
      <c r="E6143" s="115" t="s">
        <v>1140</v>
      </c>
    </row>
    <row r="6144" spans="1:5" x14ac:dyDescent="0.25">
      <c r="B6144" s="115" t="s">
        <v>10103</v>
      </c>
      <c r="D6144" s="115" t="s">
        <v>10104</v>
      </c>
      <c r="E6144" s="115" t="s">
        <v>1140</v>
      </c>
    </row>
    <row r="6145" spans="1:5" x14ac:dyDescent="0.25">
      <c r="A6145" s="115">
        <v>6</v>
      </c>
      <c r="B6145" s="115" t="s">
        <v>10105</v>
      </c>
      <c r="D6145" s="115" t="s">
        <v>10106</v>
      </c>
      <c r="E6145" s="115" t="s">
        <v>10107</v>
      </c>
    </row>
    <row r="6146" spans="1:5" x14ac:dyDescent="0.25">
      <c r="A6146" s="115">
        <v>2</v>
      </c>
      <c r="B6146" s="115" t="s">
        <v>10108</v>
      </c>
      <c r="D6146" s="115" t="s">
        <v>10109</v>
      </c>
      <c r="E6146" s="115" t="s">
        <v>1701</v>
      </c>
    </row>
    <row r="6147" spans="1:5" x14ac:dyDescent="0.25">
      <c r="A6147" s="115">
        <v>1</v>
      </c>
      <c r="B6147" s="115" t="s">
        <v>10110</v>
      </c>
      <c r="D6147" s="115" t="s">
        <v>10111</v>
      </c>
      <c r="E6147" s="115" t="s">
        <v>10112</v>
      </c>
    </row>
    <row r="6148" spans="1:5" x14ac:dyDescent="0.25">
      <c r="B6148" s="115" t="s">
        <v>1138</v>
      </c>
      <c r="D6148" s="115" t="s">
        <v>1139</v>
      </c>
      <c r="E6148" s="115" t="s">
        <v>10113</v>
      </c>
    </row>
    <row r="6149" spans="1:5" x14ac:dyDescent="0.25">
      <c r="A6149" s="115">
        <v>-1</v>
      </c>
      <c r="B6149" s="115" t="s">
        <v>10114</v>
      </c>
      <c r="D6149" s="115" t="s">
        <v>10115</v>
      </c>
      <c r="E6149" s="115" t="s">
        <v>10116</v>
      </c>
    </row>
    <row r="6150" spans="1:5" x14ac:dyDescent="0.25">
      <c r="B6150" s="115" t="s">
        <v>1138</v>
      </c>
      <c r="D6150" s="115" t="s">
        <v>10117</v>
      </c>
      <c r="E6150" s="115" t="s">
        <v>1140</v>
      </c>
    </row>
    <row r="6151" spans="1:5" x14ac:dyDescent="0.25">
      <c r="B6151" s="115" t="s">
        <v>1138</v>
      </c>
      <c r="D6151" s="115" t="s">
        <v>1139</v>
      </c>
      <c r="E6151" s="115" t="s">
        <v>1140</v>
      </c>
    </row>
    <row r="6152" spans="1:5" x14ac:dyDescent="0.25">
      <c r="B6152" s="115" t="s">
        <v>1165</v>
      </c>
      <c r="D6152" s="115" t="s">
        <v>4121</v>
      </c>
      <c r="E6152" s="115" t="s">
        <v>10118</v>
      </c>
    </row>
    <row r="6153" spans="1:5" x14ac:dyDescent="0.25">
      <c r="A6153" s="115">
        <v>2</v>
      </c>
      <c r="B6153" s="115" t="s">
        <v>10119</v>
      </c>
      <c r="D6153" s="115" t="s">
        <v>10120</v>
      </c>
      <c r="E6153" s="115" t="s">
        <v>10121</v>
      </c>
    </row>
    <row r="6154" spans="1:5" x14ac:dyDescent="0.25">
      <c r="B6154" s="115" t="s">
        <v>10122</v>
      </c>
      <c r="D6154" s="115" t="s">
        <v>10123</v>
      </c>
      <c r="E6154" s="115" t="s">
        <v>10124</v>
      </c>
    </row>
    <row r="6155" spans="1:5" x14ac:dyDescent="0.25">
      <c r="A6155" s="115">
        <v>3</v>
      </c>
      <c r="B6155" s="115" t="s">
        <v>10125</v>
      </c>
      <c r="D6155" s="115" t="s">
        <v>10126</v>
      </c>
      <c r="E6155" s="115" t="s">
        <v>10127</v>
      </c>
    </row>
    <row r="6156" spans="1:5" x14ac:dyDescent="0.25">
      <c r="A6156" s="115">
        <v>3</v>
      </c>
      <c r="B6156" s="115" t="s">
        <v>10128</v>
      </c>
      <c r="D6156" s="115" t="s">
        <v>10129</v>
      </c>
      <c r="E6156" s="115" t="s">
        <v>10130</v>
      </c>
    </row>
    <row r="6157" spans="1:5" x14ac:dyDescent="0.25">
      <c r="A6157" s="115">
        <v>1</v>
      </c>
      <c r="B6157" s="115" t="s">
        <v>10131</v>
      </c>
      <c r="D6157" s="115" t="s">
        <v>10132</v>
      </c>
      <c r="E6157" s="115" t="s">
        <v>10133</v>
      </c>
    </row>
    <row r="6158" spans="1:5" x14ac:dyDescent="0.25">
      <c r="A6158" s="115">
        <v>4</v>
      </c>
      <c r="B6158" s="115" t="s">
        <v>10134</v>
      </c>
      <c r="D6158" s="115" t="s">
        <v>10135</v>
      </c>
      <c r="E6158" s="115" t="s">
        <v>10136</v>
      </c>
    </row>
    <row r="6159" spans="1:5" x14ac:dyDescent="0.25">
      <c r="A6159" s="115">
        <v>-1</v>
      </c>
      <c r="B6159" s="115" t="s">
        <v>10137</v>
      </c>
      <c r="D6159" s="115" t="s">
        <v>10138</v>
      </c>
      <c r="E6159" s="115" t="s">
        <v>10139</v>
      </c>
    </row>
    <row r="6160" spans="1:5" x14ac:dyDescent="0.25">
      <c r="A6160" s="115" t="s">
        <v>1137</v>
      </c>
      <c r="B6160" s="115" t="s">
        <v>10140</v>
      </c>
      <c r="C6160" s="115" t="s">
        <v>1137</v>
      </c>
      <c r="D6160" s="115" t="s">
        <v>10141</v>
      </c>
      <c r="E6160" s="115" t="s">
        <v>10142</v>
      </c>
    </row>
    <row r="6161" spans="1:5" x14ac:dyDescent="0.25">
      <c r="A6161" s="115" t="s">
        <v>1137</v>
      </c>
      <c r="B6161" s="115" t="s">
        <v>10143</v>
      </c>
      <c r="D6161" s="115" t="s">
        <v>10144</v>
      </c>
      <c r="E6161" s="115" t="s">
        <v>10145</v>
      </c>
    </row>
    <row r="6162" spans="1:5" x14ac:dyDescent="0.25">
      <c r="B6162" s="115" t="s">
        <v>1138</v>
      </c>
      <c r="D6162" s="115" t="s">
        <v>10146</v>
      </c>
      <c r="E6162" s="115" t="s">
        <v>1140</v>
      </c>
    </row>
    <row r="6163" spans="1:5" x14ac:dyDescent="0.25">
      <c r="B6163" s="115" t="s">
        <v>1138</v>
      </c>
      <c r="D6163" s="115" t="s">
        <v>10147</v>
      </c>
      <c r="E6163" s="115" t="s">
        <v>10148</v>
      </c>
    </row>
    <row r="6164" spans="1:5" x14ac:dyDescent="0.25">
      <c r="B6164" s="115" t="s">
        <v>10149</v>
      </c>
      <c r="D6164" s="115" t="s">
        <v>1990</v>
      </c>
      <c r="E6164" s="115" t="s">
        <v>10150</v>
      </c>
    </row>
    <row r="6165" spans="1:5" x14ac:dyDescent="0.25">
      <c r="B6165" s="115" t="s">
        <v>1138</v>
      </c>
      <c r="D6165" s="115" t="s">
        <v>1849</v>
      </c>
      <c r="E6165" s="115" t="s">
        <v>1858</v>
      </c>
    </row>
    <row r="6166" spans="1:5" x14ac:dyDescent="0.25">
      <c r="B6166" s="115" t="s">
        <v>1138</v>
      </c>
      <c r="D6166" s="115" t="s">
        <v>10151</v>
      </c>
      <c r="E6166" s="115" t="s">
        <v>10152</v>
      </c>
    </row>
    <row r="6167" spans="1:5" x14ac:dyDescent="0.25">
      <c r="B6167" s="115" t="s">
        <v>6469</v>
      </c>
      <c r="D6167" s="115" t="s">
        <v>10153</v>
      </c>
      <c r="E6167" s="115" t="s">
        <v>10154</v>
      </c>
    </row>
    <row r="6168" spans="1:5" x14ac:dyDescent="0.25">
      <c r="B6168" s="115" t="s">
        <v>10155</v>
      </c>
      <c r="D6168" s="115" t="s">
        <v>10156</v>
      </c>
      <c r="E6168" s="115" t="s">
        <v>1140</v>
      </c>
    </row>
    <row r="6169" spans="1:5" x14ac:dyDescent="0.25">
      <c r="B6169" s="115" t="s">
        <v>10157</v>
      </c>
      <c r="D6169" s="115">
        <f>-557  -1376   -654   -80</f>
        <v>-2667</v>
      </c>
      <c r="E6169" s="115" t="s">
        <v>10158</v>
      </c>
    </row>
    <row r="6170" spans="1:5" x14ac:dyDescent="0.25">
      <c r="B6170" s="115" t="s">
        <v>10159</v>
      </c>
      <c r="D6170" s="115">
        <f>-506   -533   -264   -25</f>
        <v>-1328</v>
      </c>
      <c r="E6170" s="115" t="s">
        <v>10160</v>
      </c>
    </row>
    <row r="6171" spans="1:5" x14ac:dyDescent="0.25">
      <c r="B6171" s="115" t="s">
        <v>1185</v>
      </c>
      <c r="D6171" s="115" t="s">
        <v>10161</v>
      </c>
      <c r="E6171" s="115" t="s">
        <v>1858</v>
      </c>
    </row>
    <row r="6172" spans="1:5" x14ac:dyDescent="0.25">
      <c r="B6172" s="115" t="s">
        <v>10162</v>
      </c>
      <c r="D6172" s="115" t="s">
        <v>10163</v>
      </c>
      <c r="E6172" s="115" t="s">
        <v>10164</v>
      </c>
    </row>
    <row r="6173" spans="1:5" x14ac:dyDescent="0.25">
      <c r="B6173" s="115" t="s">
        <v>10165</v>
      </c>
      <c r="D6173" s="115" t="s">
        <v>10166</v>
      </c>
      <c r="E6173" s="115" t="s">
        <v>10167</v>
      </c>
    </row>
    <row r="6174" spans="1:5" x14ac:dyDescent="0.25">
      <c r="B6174" s="115" t="s">
        <v>10168</v>
      </c>
      <c r="D6174" s="115" t="s">
        <v>10169</v>
      </c>
      <c r="E6174" s="115" t="s">
        <v>2689</v>
      </c>
    </row>
    <row r="6175" spans="1:5" x14ac:dyDescent="0.25">
      <c r="B6175" s="115" t="s">
        <v>10170</v>
      </c>
      <c r="D6175" s="115" t="s">
        <v>10171</v>
      </c>
      <c r="E6175" s="115" t="s">
        <v>10172</v>
      </c>
    </row>
    <row r="6176" spans="1:5" x14ac:dyDescent="0.25">
      <c r="B6176" s="115" t="s">
        <v>10173</v>
      </c>
      <c r="D6176" s="115" t="s">
        <v>10174</v>
      </c>
      <c r="E6176" s="115" t="s">
        <v>10175</v>
      </c>
    </row>
    <row r="6177" spans="1:5" x14ac:dyDescent="0.25">
      <c r="B6177" s="115" t="s">
        <v>10176</v>
      </c>
      <c r="D6177" s="115" t="s">
        <v>10177</v>
      </c>
      <c r="E6177" s="115" t="s">
        <v>1140</v>
      </c>
    </row>
    <row r="6178" spans="1:5" x14ac:dyDescent="0.25">
      <c r="B6178" s="115" t="s">
        <v>10178</v>
      </c>
      <c r="D6178" s="115" t="s">
        <v>10179</v>
      </c>
      <c r="E6178" s="115" t="s">
        <v>1140</v>
      </c>
    </row>
    <row r="6179" spans="1:5" x14ac:dyDescent="0.25">
      <c r="A6179" s="115" t="s">
        <v>1137</v>
      </c>
      <c r="B6179" s="115" t="s">
        <v>10180</v>
      </c>
      <c r="D6179" s="115" t="s">
        <v>10181</v>
      </c>
      <c r="E6179" s="115" t="s">
        <v>10182</v>
      </c>
    </row>
    <row r="6180" spans="1:5" x14ac:dyDescent="0.25">
      <c r="B6180" s="115" t="s">
        <v>1255</v>
      </c>
      <c r="D6180" s="115" t="s">
        <v>10183</v>
      </c>
      <c r="E6180" s="115" t="s">
        <v>1858</v>
      </c>
    </row>
    <row r="6181" spans="1:5" x14ac:dyDescent="0.25">
      <c r="B6181" s="115" t="s">
        <v>10184</v>
      </c>
      <c r="D6181" s="115" t="s">
        <v>10185</v>
      </c>
      <c r="E6181" s="115" t="s">
        <v>10186</v>
      </c>
    </row>
    <row r="6182" spans="1:5" x14ac:dyDescent="0.25">
      <c r="B6182" s="115" t="s">
        <v>1138</v>
      </c>
      <c r="D6182" s="115" t="s">
        <v>1139</v>
      </c>
      <c r="E6182" s="115" t="s">
        <v>10187</v>
      </c>
    </row>
    <row r="6183" spans="1:5" x14ac:dyDescent="0.25">
      <c r="A6183" s="115" t="s">
        <v>1137</v>
      </c>
      <c r="B6183" s="115" t="s">
        <v>10188</v>
      </c>
      <c r="D6183" s="115" t="s">
        <v>10189</v>
      </c>
      <c r="E6183" s="115" t="s">
        <v>10190</v>
      </c>
    </row>
    <row r="6184" spans="1:5" x14ac:dyDescent="0.25">
      <c r="B6184" s="115" t="s">
        <v>1138</v>
      </c>
      <c r="D6184" s="115" t="s">
        <v>10191</v>
      </c>
      <c r="E6184" s="115" t="s">
        <v>1140</v>
      </c>
    </row>
    <row r="6185" spans="1:5" x14ac:dyDescent="0.25">
      <c r="B6185" s="115" t="s">
        <v>1138</v>
      </c>
      <c r="D6185" s="115" t="s">
        <v>1139</v>
      </c>
      <c r="E6185" s="115" t="s">
        <v>1140</v>
      </c>
    </row>
    <row r="6186" spans="1:5" x14ac:dyDescent="0.25">
      <c r="A6186" s="115">
        <v>5</v>
      </c>
      <c r="B6186" s="115" t="s">
        <v>1349</v>
      </c>
      <c r="D6186" s="115" t="s">
        <v>1990</v>
      </c>
      <c r="E6186" s="115" t="s">
        <v>10192</v>
      </c>
    </row>
    <row r="6187" spans="1:5" x14ac:dyDescent="0.25">
      <c r="A6187" s="115">
        <v>1</v>
      </c>
      <c r="B6187" s="115" t="s">
        <v>10193</v>
      </c>
      <c r="D6187" s="115" t="s">
        <v>10194</v>
      </c>
      <c r="E6187" s="115" t="s">
        <v>10195</v>
      </c>
    </row>
    <row r="6188" spans="1:5" x14ac:dyDescent="0.25">
      <c r="B6188" s="115" t="s">
        <v>10196</v>
      </c>
      <c r="D6188" s="115" t="s">
        <v>10197</v>
      </c>
      <c r="E6188" s="115" t="s">
        <v>10198</v>
      </c>
    </row>
    <row r="6189" spans="1:5" x14ac:dyDescent="0.25">
      <c r="B6189" s="115" t="s">
        <v>10199</v>
      </c>
      <c r="D6189" s="115" t="s">
        <v>10200</v>
      </c>
      <c r="E6189" s="115" t="s">
        <v>10201</v>
      </c>
    </row>
    <row r="6190" spans="1:5" x14ac:dyDescent="0.25">
      <c r="B6190" s="115" t="s">
        <v>10202</v>
      </c>
      <c r="D6190" s="115" t="s">
        <v>10203</v>
      </c>
      <c r="E6190" s="115" t="s">
        <v>10204</v>
      </c>
    </row>
    <row r="6191" spans="1:5" x14ac:dyDescent="0.25">
      <c r="B6191" s="115" t="s">
        <v>10205</v>
      </c>
      <c r="D6191" s="115" t="s">
        <v>10206</v>
      </c>
      <c r="E6191" s="115" t="s">
        <v>10207</v>
      </c>
    </row>
    <row r="6192" spans="1:5" x14ac:dyDescent="0.25">
      <c r="B6192" s="115" t="s">
        <v>10208</v>
      </c>
      <c r="D6192" s="115" t="s">
        <v>10209</v>
      </c>
      <c r="E6192" s="115" t="s">
        <v>10210</v>
      </c>
    </row>
    <row r="6193" spans="1:5" x14ac:dyDescent="0.25">
      <c r="B6193" s="115" t="s">
        <v>10211</v>
      </c>
      <c r="D6193" s="115">
        <f>-155    -88    -71    -5</f>
        <v>-319</v>
      </c>
      <c r="E6193" s="115" t="s">
        <v>10212</v>
      </c>
    </row>
    <row r="6194" spans="1:5" x14ac:dyDescent="0.25">
      <c r="B6194" s="115" t="s">
        <v>10213</v>
      </c>
      <c r="D6194" s="115" t="s">
        <v>10214</v>
      </c>
      <c r="E6194" s="115" t="s">
        <v>10215</v>
      </c>
    </row>
    <row r="6195" spans="1:5" x14ac:dyDescent="0.25">
      <c r="A6195" s="115">
        <v>-1</v>
      </c>
      <c r="B6195" s="115" t="s">
        <v>10216</v>
      </c>
      <c r="D6195" s="115" t="s">
        <v>10217</v>
      </c>
      <c r="E6195" s="115" t="s">
        <v>10218</v>
      </c>
    </row>
    <row r="6196" spans="1:5" x14ac:dyDescent="0.25">
      <c r="B6196" s="115" t="s">
        <v>1138</v>
      </c>
      <c r="D6196" s="115" t="s">
        <v>10219</v>
      </c>
      <c r="E6196" s="115" t="s">
        <v>1140</v>
      </c>
    </row>
    <row r="6197" spans="1:5" x14ac:dyDescent="0.25">
      <c r="B6197" s="115" t="s">
        <v>1138</v>
      </c>
      <c r="D6197" s="115" t="s">
        <v>10220</v>
      </c>
      <c r="E6197" s="115" t="s">
        <v>10221</v>
      </c>
    </row>
    <row r="6198" spans="1:5" x14ac:dyDescent="0.25">
      <c r="A6198" s="115" t="s">
        <v>1137</v>
      </c>
      <c r="B6198" s="115" t="s">
        <v>10222</v>
      </c>
      <c r="D6198" s="115" t="s">
        <v>7893</v>
      </c>
      <c r="E6198" s="115" t="s">
        <v>10223</v>
      </c>
    </row>
    <row r="6199" spans="1:5" x14ac:dyDescent="0.25">
      <c r="A6199" s="115" t="s">
        <v>1137</v>
      </c>
      <c r="B6199" s="115" t="s">
        <v>10224</v>
      </c>
      <c r="D6199" s="115" t="s">
        <v>1139</v>
      </c>
      <c r="E6199" s="115" t="s">
        <v>10225</v>
      </c>
    </row>
    <row r="6200" spans="1:5" x14ac:dyDescent="0.25">
      <c r="B6200" s="115" t="s">
        <v>1138</v>
      </c>
      <c r="D6200" s="115" t="s">
        <v>10226</v>
      </c>
      <c r="E6200" s="115" t="s">
        <v>10227</v>
      </c>
    </row>
    <row r="6201" spans="1:5" x14ac:dyDescent="0.25">
      <c r="B6201" s="115" t="s">
        <v>1138</v>
      </c>
      <c r="C6201" s="115" t="s">
        <v>1137</v>
      </c>
      <c r="D6201" s="115" t="s">
        <v>10228</v>
      </c>
      <c r="E6201" s="115" t="s">
        <v>10229</v>
      </c>
    </row>
    <row r="6202" spans="1:5" x14ac:dyDescent="0.25">
      <c r="B6202" s="115" t="s">
        <v>10230</v>
      </c>
      <c r="D6202" s="115" t="s">
        <v>10231</v>
      </c>
      <c r="E6202" s="115" t="s">
        <v>10232</v>
      </c>
    </row>
    <row r="6203" spans="1:5" x14ac:dyDescent="0.25">
      <c r="B6203" s="115" t="s">
        <v>10233</v>
      </c>
      <c r="D6203" s="115" t="s">
        <v>10234</v>
      </c>
      <c r="E6203" s="115" t="s">
        <v>10235</v>
      </c>
    </row>
    <row r="6204" spans="1:5" x14ac:dyDescent="0.25">
      <c r="B6204" s="115" t="s">
        <v>10236</v>
      </c>
      <c r="C6204" s="115" t="s">
        <v>1137</v>
      </c>
      <c r="D6204" s="115" t="s">
        <v>10237</v>
      </c>
      <c r="E6204" s="115" t="s">
        <v>10238</v>
      </c>
    </row>
    <row r="6205" spans="1:5" x14ac:dyDescent="0.25">
      <c r="B6205" s="115">
        <f>-79   -119</f>
        <v>-198</v>
      </c>
      <c r="D6205" s="115" t="s">
        <v>10239</v>
      </c>
      <c r="E6205" s="115" t="s">
        <v>10240</v>
      </c>
    </row>
    <row r="6206" spans="1:5" x14ac:dyDescent="0.25">
      <c r="B6206" s="115" t="s">
        <v>1288</v>
      </c>
      <c r="C6206" s="115" t="s">
        <v>1137</v>
      </c>
      <c r="D6206" s="115" t="s">
        <v>10241</v>
      </c>
      <c r="E6206" s="115" t="s">
        <v>10242</v>
      </c>
    </row>
    <row r="6207" spans="1:5" x14ac:dyDescent="0.25">
      <c r="B6207" s="115" t="s">
        <v>10243</v>
      </c>
      <c r="D6207" s="115" t="s">
        <v>10244</v>
      </c>
      <c r="E6207" s="115" t="s">
        <v>10245</v>
      </c>
    </row>
    <row r="6208" spans="1:5" x14ac:dyDescent="0.25">
      <c r="B6208" s="115" t="s">
        <v>1138</v>
      </c>
      <c r="D6208" s="115" t="s">
        <v>10246</v>
      </c>
      <c r="E6208" s="115" t="s">
        <v>10247</v>
      </c>
    </row>
    <row r="6209" spans="1:5" x14ac:dyDescent="0.25">
      <c r="B6209" s="115" t="s">
        <v>3060</v>
      </c>
      <c r="D6209" s="115" t="s">
        <v>10248</v>
      </c>
      <c r="E6209" s="115" t="s">
        <v>10249</v>
      </c>
    </row>
    <row r="6210" spans="1:5" x14ac:dyDescent="0.25">
      <c r="B6210" s="115" t="s">
        <v>10250</v>
      </c>
      <c r="D6210" s="115">
        <f>-353   -597   -483</f>
        <v>-1433</v>
      </c>
      <c r="E6210" s="115" t="s">
        <v>10251</v>
      </c>
    </row>
    <row r="6211" spans="1:5" x14ac:dyDescent="0.25">
      <c r="B6211" s="115" t="s">
        <v>1305</v>
      </c>
      <c r="D6211" s="115" t="s">
        <v>10252</v>
      </c>
      <c r="E6211" s="115" t="s">
        <v>1140</v>
      </c>
    </row>
    <row r="6212" spans="1:5" x14ac:dyDescent="0.25">
      <c r="B6212" s="115" t="s">
        <v>1308</v>
      </c>
      <c r="C6212" s="115" t="s">
        <v>1137</v>
      </c>
      <c r="D6212" s="115" t="s">
        <v>10253</v>
      </c>
      <c r="E6212" s="115" t="s">
        <v>1140</v>
      </c>
    </row>
    <row r="6213" spans="1:5" x14ac:dyDescent="0.25">
      <c r="B6213" s="115" t="s">
        <v>10254</v>
      </c>
      <c r="C6213" s="115" t="s">
        <v>1137</v>
      </c>
      <c r="D6213" s="115" t="s">
        <v>10255</v>
      </c>
      <c r="E6213" s="115" t="s">
        <v>10256</v>
      </c>
    </row>
    <row r="6214" spans="1:5" x14ac:dyDescent="0.25">
      <c r="B6214" s="115" t="s">
        <v>10257</v>
      </c>
      <c r="D6214" s="115" t="s">
        <v>1398</v>
      </c>
      <c r="E6214" s="115" t="s">
        <v>10258</v>
      </c>
    </row>
    <row r="6215" spans="1:5" x14ac:dyDescent="0.25">
      <c r="B6215" s="115" t="s">
        <v>10259</v>
      </c>
      <c r="D6215" s="115" t="s">
        <v>10260</v>
      </c>
      <c r="E6215" s="115" t="s">
        <v>10261</v>
      </c>
    </row>
    <row r="6216" spans="1:5" x14ac:dyDescent="0.25">
      <c r="B6216" s="115" t="s">
        <v>1138</v>
      </c>
      <c r="D6216" s="115" t="s">
        <v>1139</v>
      </c>
      <c r="E6216" s="115" t="s">
        <v>10262</v>
      </c>
    </row>
    <row r="6217" spans="1:5" x14ac:dyDescent="0.25">
      <c r="A6217" s="115" t="s">
        <v>1137</v>
      </c>
      <c r="B6217" s="115" t="s">
        <v>10263</v>
      </c>
      <c r="D6217" s="115" t="s">
        <v>10264</v>
      </c>
      <c r="E6217" s="115" t="s">
        <v>10265</v>
      </c>
    </row>
    <row r="6218" spans="1:5" x14ac:dyDescent="0.25">
      <c r="B6218" s="115" t="s">
        <v>1138</v>
      </c>
      <c r="D6218" s="115" t="s">
        <v>10266</v>
      </c>
      <c r="E6218" s="115" t="s">
        <v>1140</v>
      </c>
    </row>
    <row r="6219" spans="1:5" x14ac:dyDescent="0.25">
      <c r="B6219" s="115" t="s">
        <v>1138</v>
      </c>
      <c r="D6219" s="115" t="s">
        <v>1139</v>
      </c>
      <c r="E6219" s="115" t="s">
        <v>1140</v>
      </c>
    </row>
    <row r="6220" spans="1:5" x14ac:dyDescent="0.25">
      <c r="B6220" s="115" t="s">
        <v>10168</v>
      </c>
      <c r="D6220" s="115" t="s">
        <v>1139</v>
      </c>
      <c r="E6220" s="115" t="s">
        <v>10267</v>
      </c>
    </row>
    <row r="6221" spans="1:5" x14ac:dyDescent="0.25">
      <c r="A6221" s="115" t="s">
        <v>1137</v>
      </c>
      <c r="B6221" s="115" t="s">
        <v>10268</v>
      </c>
      <c r="D6221" s="115" t="s">
        <v>10269</v>
      </c>
      <c r="E6221" s="115" t="s">
        <v>10270</v>
      </c>
    </row>
    <row r="6222" spans="1:5" x14ac:dyDescent="0.25">
      <c r="B6222" s="115" t="s">
        <v>10271</v>
      </c>
      <c r="D6222" s="115" t="s">
        <v>10272</v>
      </c>
      <c r="E6222" s="115" t="s">
        <v>10273</v>
      </c>
    </row>
    <row r="6223" spans="1:5" x14ac:dyDescent="0.25">
      <c r="B6223" s="115" t="s">
        <v>10274</v>
      </c>
      <c r="D6223" s="115" t="s">
        <v>10275</v>
      </c>
      <c r="E6223" s="115" t="s">
        <v>10276</v>
      </c>
    </row>
    <row r="6224" spans="1:5" x14ac:dyDescent="0.25">
      <c r="B6224" s="115" t="s">
        <v>10277</v>
      </c>
      <c r="D6224" s="115" t="s">
        <v>10278</v>
      </c>
      <c r="E6224" s="115" t="s">
        <v>10279</v>
      </c>
    </row>
    <row r="6225" spans="1:5" x14ac:dyDescent="0.25">
      <c r="A6225" s="115">
        <v>-1</v>
      </c>
      <c r="B6225" s="115" t="s">
        <v>10280</v>
      </c>
      <c r="D6225" s="115" t="s">
        <v>10281</v>
      </c>
      <c r="E6225" s="115" t="s">
        <v>10282</v>
      </c>
    </row>
    <row r="6226" spans="1:5" x14ac:dyDescent="0.25">
      <c r="A6226" s="115">
        <v>-1</v>
      </c>
      <c r="B6226" s="115" t="s">
        <v>10283</v>
      </c>
      <c r="C6226" s="115" t="s">
        <v>1137</v>
      </c>
      <c r="D6226" s="115" t="s">
        <v>10284</v>
      </c>
      <c r="E6226" s="115" t="s">
        <v>10285</v>
      </c>
    </row>
    <row r="6227" spans="1:5" x14ac:dyDescent="0.25">
      <c r="B6227" s="115">
        <f>-70   -298</f>
        <v>-368</v>
      </c>
      <c r="D6227" s="115" t="s">
        <v>10286</v>
      </c>
      <c r="E6227" s="115" t="s">
        <v>10287</v>
      </c>
    </row>
    <row r="6228" spans="1:5" x14ac:dyDescent="0.25">
      <c r="B6228" s="115">
        <f>-7    -79</f>
        <v>-86</v>
      </c>
      <c r="D6228" s="115">
        <f>-48  -1070   -773   -64</f>
        <v>-1955</v>
      </c>
      <c r="E6228" s="115" t="s">
        <v>10288</v>
      </c>
    </row>
    <row r="6229" spans="1:5" x14ac:dyDescent="0.25">
      <c r="A6229" s="115" t="s">
        <v>1137</v>
      </c>
      <c r="B6229" s="115" t="s">
        <v>10289</v>
      </c>
      <c r="D6229" s="115">
        <f>-791  -1111   -923    -2</f>
        <v>-2827</v>
      </c>
      <c r="E6229" s="115" t="s">
        <v>10290</v>
      </c>
    </row>
    <row r="6230" spans="1:5" x14ac:dyDescent="0.25">
      <c r="B6230" s="115" t="s">
        <v>10291</v>
      </c>
      <c r="D6230" s="115" t="s">
        <v>4207</v>
      </c>
      <c r="E6230" s="115" t="s">
        <v>10292</v>
      </c>
    </row>
    <row r="6231" spans="1:5" x14ac:dyDescent="0.25">
      <c r="B6231" s="115" t="s">
        <v>1138</v>
      </c>
      <c r="D6231" s="115" t="s">
        <v>10293</v>
      </c>
      <c r="E6231" s="115" t="s">
        <v>10294</v>
      </c>
    </row>
    <row r="6232" spans="1:5" x14ac:dyDescent="0.25">
      <c r="A6232" s="115" t="s">
        <v>1137</v>
      </c>
      <c r="B6232" s="115" t="s">
        <v>10295</v>
      </c>
      <c r="D6232" s="115" t="s">
        <v>10296</v>
      </c>
      <c r="E6232" s="115" t="s">
        <v>10297</v>
      </c>
    </row>
    <row r="6233" spans="1:5" x14ac:dyDescent="0.25">
      <c r="B6233" s="115" t="s">
        <v>1138</v>
      </c>
      <c r="D6233" s="115" t="s">
        <v>10298</v>
      </c>
      <c r="E6233" s="115" t="s">
        <v>10299</v>
      </c>
    </row>
    <row r="6234" spans="1:5" x14ac:dyDescent="0.25">
      <c r="B6234" s="115" t="s">
        <v>1138</v>
      </c>
      <c r="D6234" s="115" t="s">
        <v>1139</v>
      </c>
      <c r="E6234" s="115" t="s">
        <v>10300</v>
      </c>
    </row>
    <row r="6235" spans="1:5" x14ac:dyDescent="0.25">
      <c r="B6235" s="115" t="s">
        <v>1138</v>
      </c>
      <c r="D6235" s="115" t="s">
        <v>10301</v>
      </c>
      <c r="E6235" s="115" t="s">
        <v>10302</v>
      </c>
    </row>
    <row r="6236" spans="1:5" x14ac:dyDescent="0.25">
      <c r="A6236" s="115" t="s">
        <v>1137</v>
      </c>
      <c r="B6236" s="115" t="s">
        <v>10303</v>
      </c>
      <c r="D6236" s="115" t="s">
        <v>10304</v>
      </c>
      <c r="E6236" s="115" t="s">
        <v>10305</v>
      </c>
    </row>
    <row r="6237" spans="1:5" x14ac:dyDescent="0.25">
      <c r="B6237" s="115" t="s">
        <v>1138</v>
      </c>
      <c r="D6237" s="115" t="s">
        <v>10306</v>
      </c>
      <c r="E6237" s="115" t="s">
        <v>10307</v>
      </c>
    </row>
    <row r="6238" spans="1:5" x14ac:dyDescent="0.25">
      <c r="A6238" s="115">
        <v>1</v>
      </c>
      <c r="B6238" s="115" t="s">
        <v>1371</v>
      </c>
      <c r="C6238" s="115" t="s">
        <v>1137</v>
      </c>
      <c r="D6238" s="115" t="s">
        <v>10308</v>
      </c>
      <c r="E6238" s="115" t="s">
        <v>10309</v>
      </c>
    </row>
    <row r="6239" spans="1:5" x14ac:dyDescent="0.25">
      <c r="B6239" s="115" t="s">
        <v>1138</v>
      </c>
      <c r="D6239" s="115" t="s">
        <v>10310</v>
      </c>
      <c r="E6239" s="115" t="s">
        <v>10311</v>
      </c>
    </row>
    <row r="6240" spans="1:5" x14ac:dyDescent="0.25">
      <c r="B6240" s="115" t="s">
        <v>1138</v>
      </c>
      <c r="D6240" s="115" t="s">
        <v>10312</v>
      </c>
      <c r="E6240" s="115" t="s">
        <v>10313</v>
      </c>
    </row>
    <row r="6241" spans="1:5" x14ac:dyDescent="0.25">
      <c r="B6241" s="115" t="s">
        <v>10314</v>
      </c>
      <c r="D6241" s="115" t="s">
        <v>10315</v>
      </c>
      <c r="E6241" s="115" t="s">
        <v>10316</v>
      </c>
    </row>
    <row r="6242" spans="1:5" x14ac:dyDescent="0.25">
      <c r="B6242" s="115" t="s">
        <v>1309</v>
      </c>
      <c r="D6242" s="115" t="s">
        <v>1579</v>
      </c>
      <c r="E6242" s="115" t="s">
        <v>10317</v>
      </c>
    </row>
    <row r="6243" spans="1:5" x14ac:dyDescent="0.25">
      <c r="B6243" s="115" t="s">
        <v>1138</v>
      </c>
      <c r="D6243" s="115" t="s">
        <v>10318</v>
      </c>
      <c r="E6243" s="115" t="s">
        <v>10319</v>
      </c>
    </row>
    <row r="6244" spans="1:5" x14ac:dyDescent="0.25">
      <c r="B6244" s="115" t="s">
        <v>1138</v>
      </c>
      <c r="D6244" s="115" t="s">
        <v>10320</v>
      </c>
      <c r="E6244" s="115" t="s">
        <v>10321</v>
      </c>
    </row>
    <row r="6245" spans="1:5" x14ac:dyDescent="0.25">
      <c r="B6245" s="115" t="s">
        <v>10322</v>
      </c>
      <c r="D6245" s="115" t="s">
        <v>10323</v>
      </c>
      <c r="E6245" s="115" t="s">
        <v>1858</v>
      </c>
    </row>
    <row r="6246" spans="1:5" x14ac:dyDescent="0.25">
      <c r="B6246" s="115" t="s">
        <v>1138</v>
      </c>
      <c r="D6246" s="115" t="s">
        <v>10324</v>
      </c>
      <c r="E6246" s="115" t="s">
        <v>10325</v>
      </c>
    </row>
    <row r="6247" spans="1:5" x14ac:dyDescent="0.25">
      <c r="B6247" s="115" t="s">
        <v>1138</v>
      </c>
      <c r="D6247" s="115" t="s">
        <v>10326</v>
      </c>
      <c r="E6247" s="115" t="s">
        <v>10327</v>
      </c>
    </row>
    <row r="6248" spans="1:5" x14ac:dyDescent="0.25">
      <c r="B6248" s="115" t="s">
        <v>1138</v>
      </c>
      <c r="D6248" s="115" t="s">
        <v>10328</v>
      </c>
      <c r="E6248" s="115" t="s">
        <v>10329</v>
      </c>
    </row>
    <row r="6249" spans="1:5" x14ac:dyDescent="0.25">
      <c r="B6249" s="115" t="s">
        <v>1138</v>
      </c>
      <c r="D6249" s="115" t="s">
        <v>10330</v>
      </c>
      <c r="E6249" s="115" t="s">
        <v>10331</v>
      </c>
    </row>
    <row r="6250" spans="1:5" x14ac:dyDescent="0.25">
      <c r="A6250" s="115">
        <v>1</v>
      </c>
      <c r="B6250" s="115" t="s">
        <v>10332</v>
      </c>
      <c r="D6250" s="115" t="s">
        <v>1139</v>
      </c>
      <c r="E6250" s="115" t="s">
        <v>10333</v>
      </c>
    </row>
    <row r="6251" spans="1:5" x14ac:dyDescent="0.25">
      <c r="A6251" s="115" t="s">
        <v>1137</v>
      </c>
      <c r="B6251" s="115" t="s">
        <v>10334</v>
      </c>
      <c r="D6251" s="115" t="s">
        <v>10335</v>
      </c>
      <c r="E6251" s="115" t="s">
        <v>10336</v>
      </c>
    </row>
    <row r="6252" spans="1:5" x14ac:dyDescent="0.25">
      <c r="A6252" s="115">
        <v>-3</v>
      </c>
      <c r="B6252" s="115" t="s">
        <v>1677</v>
      </c>
      <c r="D6252" s="115" t="s">
        <v>1139</v>
      </c>
      <c r="E6252" s="115" t="s">
        <v>10337</v>
      </c>
    </row>
    <row r="6253" spans="1:5" x14ac:dyDescent="0.25">
      <c r="B6253" s="115" t="s">
        <v>1138</v>
      </c>
      <c r="D6253" s="115" t="s">
        <v>1139</v>
      </c>
      <c r="E6253" s="115" t="s">
        <v>1140</v>
      </c>
    </row>
    <row r="6254" spans="1:5" x14ac:dyDescent="0.25">
      <c r="B6254" s="115" t="s">
        <v>1138</v>
      </c>
      <c r="D6254" s="115" t="s">
        <v>10338</v>
      </c>
      <c r="E6254" s="115" t="s">
        <v>10339</v>
      </c>
    </row>
    <row r="6255" spans="1:5" x14ac:dyDescent="0.25">
      <c r="B6255" s="115" t="s">
        <v>1679</v>
      </c>
      <c r="D6255" s="115" t="s">
        <v>10340</v>
      </c>
      <c r="E6255" s="115" t="s">
        <v>10341</v>
      </c>
    </row>
    <row r="6256" spans="1:5" x14ac:dyDescent="0.25">
      <c r="A6256" s="115">
        <v>-2</v>
      </c>
      <c r="B6256" s="115" t="s">
        <v>10342</v>
      </c>
      <c r="D6256" s="115" t="s">
        <v>10343</v>
      </c>
      <c r="E6256" s="115" t="s">
        <v>10344</v>
      </c>
    </row>
    <row r="6257" spans="1:5" x14ac:dyDescent="0.25">
      <c r="B6257" s="115" t="s">
        <v>10345</v>
      </c>
      <c r="D6257" s="115" t="s">
        <v>10346</v>
      </c>
      <c r="E6257" s="115" t="s">
        <v>10347</v>
      </c>
    </row>
    <row r="6258" spans="1:5" x14ac:dyDescent="0.25">
      <c r="A6258" s="115" t="s">
        <v>1137</v>
      </c>
      <c r="B6258" s="115" t="s">
        <v>10348</v>
      </c>
      <c r="D6258" s="115" t="s">
        <v>10349</v>
      </c>
      <c r="E6258" s="115" t="s">
        <v>10350</v>
      </c>
    </row>
    <row r="6259" spans="1:5" x14ac:dyDescent="0.25">
      <c r="A6259" s="115">
        <v>3</v>
      </c>
      <c r="B6259" s="115" t="s">
        <v>10351</v>
      </c>
      <c r="C6259" s="115" t="s">
        <v>1137</v>
      </c>
      <c r="D6259" s="115" t="s">
        <v>10352</v>
      </c>
      <c r="E6259" s="115" t="s">
        <v>10353</v>
      </c>
    </row>
    <row r="6260" spans="1:5" x14ac:dyDescent="0.25">
      <c r="A6260" s="115">
        <v>3</v>
      </c>
      <c r="B6260" s="115" t="s">
        <v>10354</v>
      </c>
      <c r="D6260" s="115" t="s">
        <v>10355</v>
      </c>
      <c r="E6260" s="115" t="s">
        <v>10356</v>
      </c>
    </row>
    <row r="6261" spans="1:5" x14ac:dyDescent="0.25">
      <c r="B6261" s="115" t="s">
        <v>10357</v>
      </c>
      <c r="D6261" s="115" t="s">
        <v>10358</v>
      </c>
      <c r="E6261" s="115" t="s">
        <v>10359</v>
      </c>
    </row>
    <row r="6262" spans="1:5" x14ac:dyDescent="0.25">
      <c r="B6262" s="115" t="s">
        <v>10360</v>
      </c>
      <c r="D6262" s="115" t="s">
        <v>10361</v>
      </c>
      <c r="E6262" s="115" t="s">
        <v>10362</v>
      </c>
    </row>
    <row r="6263" spans="1:5" x14ac:dyDescent="0.25">
      <c r="A6263" s="115">
        <v>1</v>
      </c>
      <c r="B6263" s="115" t="s">
        <v>10363</v>
      </c>
      <c r="D6263" s="115" t="s">
        <v>10364</v>
      </c>
      <c r="E6263" s="115" t="s">
        <v>10365</v>
      </c>
    </row>
    <row r="6264" spans="1:5" x14ac:dyDescent="0.25">
      <c r="B6264" s="115" t="s">
        <v>1138</v>
      </c>
      <c r="C6264" s="115" t="s">
        <v>1137</v>
      </c>
      <c r="D6264" s="115" t="s">
        <v>10366</v>
      </c>
      <c r="E6264" s="115" t="s">
        <v>10367</v>
      </c>
    </row>
    <row r="6265" spans="1:5" x14ac:dyDescent="0.25">
      <c r="B6265" s="115" t="s">
        <v>1138</v>
      </c>
      <c r="D6265" s="115" t="s">
        <v>1139</v>
      </c>
      <c r="E6265" s="115" t="s">
        <v>10368</v>
      </c>
    </row>
    <row r="6266" spans="1:5" x14ac:dyDescent="0.25">
      <c r="B6266" s="115" t="s">
        <v>1138</v>
      </c>
      <c r="D6266" s="115" t="s">
        <v>10369</v>
      </c>
      <c r="E6266" s="115" t="s">
        <v>10370</v>
      </c>
    </row>
    <row r="6267" spans="1:5" x14ac:dyDescent="0.25">
      <c r="B6267" s="115" t="s">
        <v>10371</v>
      </c>
      <c r="D6267" s="115" t="s">
        <v>5009</v>
      </c>
      <c r="E6267" s="115" t="s">
        <v>2081</v>
      </c>
    </row>
    <row r="6268" spans="1:5" x14ac:dyDescent="0.25">
      <c r="B6268" s="115" t="s">
        <v>2981</v>
      </c>
      <c r="D6268" s="115" t="s">
        <v>1139</v>
      </c>
      <c r="E6268" s="115" t="s">
        <v>10372</v>
      </c>
    </row>
    <row r="6269" spans="1:5" x14ac:dyDescent="0.25">
      <c r="A6269" s="115" t="s">
        <v>1137</v>
      </c>
      <c r="B6269" s="115" t="s">
        <v>10373</v>
      </c>
      <c r="C6269" s="115" t="s">
        <v>1137</v>
      </c>
      <c r="D6269" s="115" t="s">
        <v>10374</v>
      </c>
      <c r="E6269" s="115" t="s">
        <v>10375</v>
      </c>
    </row>
    <row r="6270" spans="1:5" x14ac:dyDescent="0.25">
      <c r="B6270" s="115" t="s">
        <v>1138</v>
      </c>
      <c r="D6270" s="115" t="s">
        <v>10376</v>
      </c>
      <c r="E6270" s="115" t="s">
        <v>10377</v>
      </c>
    </row>
    <row r="6271" spans="1:5" x14ac:dyDescent="0.25">
      <c r="A6271" s="115" t="s">
        <v>1137</v>
      </c>
      <c r="B6271" s="115" t="s">
        <v>10378</v>
      </c>
      <c r="D6271" s="115" t="s">
        <v>1139</v>
      </c>
      <c r="E6271" s="115" t="s">
        <v>10379</v>
      </c>
    </row>
    <row r="6272" spans="1:5" x14ac:dyDescent="0.25">
      <c r="A6272" s="115">
        <v>-2</v>
      </c>
      <c r="B6272" s="115" t="s">
        <v>10380</v>
      </c>
      <c r="C6272" s="115" t="s">
        <v>1137</v>
      </c>
      <c r="D6272" s="115" t="s">
        <v>10381</v>
      </c>
      <c r="E6272" s="115" t="s">
        <v>10382</v>
      </c>
    </row>
    <row r="6273" spans="1:5" x14ac:dyDescent="0.25">
      <c r="B6273" s="115" t="s">
        <v>10383</v>
      </c>
      <c r="D6273" s="115" t="s">
        <v>10384</v>
      </c>
      <c r="E6273" s="115" t="s">
        <v>10385</v>
      </c>
    </row>
    <row r="6274" spans="1:5" x14ac:dyDescent="0.25">
      <c r="B6274" s="115" t="s">
        <v>10386</v>
      </c>
      <c r="D6274" s="115" t="s">
        <v>1139</v>
      </c>
      <c r="E6274" s="115" t="s">
        <v>10387</v>
      </c>
    </row>
    <row r="6275" spans="1:5" x14ac:dyDescent="0.25">
      <c r="A6275" s="115">
        <v>-2</v>
      </c>
      <c r="B6275" s="115" t="s">
        <v>10388</v>
      </c>
      <c r="C6275" s="115" t="s">
        <v>1137</v>
      </c>
      <c r="D6275" s="115" t="s">
        <v>10389</v>
      </c>
      <c r="E6275" s="115" t="s">
        <v>10390</v>
      </c>
    </row>
    <row r="6276" spans="1:5" x14ac:dyDescent="0.25">
      <c r="B6276" s="115" t="s">
        <v>10391</v>
      </c>
      <c r="D6276" s="115" t="s">
        <v>10392</v>
      </c>
      <c r="E6276" s="115" t="s">
        <v>10393</v>
      </c>
    </row>
    <row r="6277" spans="1:5" x14ac:dyDescent="0.25">
      <c r="B6277" s="115" t="s">
        <v>10394</v>
      </c>
      <c r="D6277" s="115" t="s">
        <v>1139</v>
      </c>
      <c r="E6277" s="115" t="s">
        <v>10395</v>
      </c>
    </row>
    <row r="6278" spans="1:5" x14ac:dyDescent="0.25">
      <c r="A6278" s="115">
        <v>-1</v>
      </c>
      <c r="B6278" s="115" t="s">
        <v>10396</v>
      </c>
      <c r="D6278" s="115" t="s">
        <v>2982</v>
      </c>
      <c r="E6278" s="115" t="s">
        <v>10397</v>
      </c>
    </row>
    <row r="6279" spans="1:5" x14ac:dyDescent="0.25">
      <c r="B6279" s="115" t="s">
        <v>10398</v>
      </c>
      <c r="D6279" s="115" t="s">
        <v>10399</v>
      </c>
      <c r="E6279" s="115" t="s">
        <v>10400</v>
      </c>
    </row>
    <row r="6280" spans="1:5" x14ac:dyDescent="0.25">
      <c r="B6280" s="115" t="s">
        <v>1138</v>
      </c>
      <c r="D6280" s="115" t="s">
        <v>1139</v>
      </c>
      <c r="E6280" s="115" t="s">
        <v>10401</v>
      </c>
    </row>
    <row r="6281" spans="1:5" x14ac:dyDescent="0.25">
      <c r="A6281" s="115">
        <v>-2</v>
      </c>
      <c r="B6281" s="115" t="s">
        <v>10402</v>
      </c>
      <c r="D6281" s="115" t="s">
        <v>1139</v>
      </c>
      <c r="E6281" s="115" t="s">
        <v>10403</v>
      </c>
    </row>
    <row r="6282" spans="1:5" x14ac:dyDescent="0.25">
      <c r="A6282" s="115">
        <v>-1</v>
      </c>
      <c r="B6282" s="115" t="s">
        <v>10404</v>
      </c>
      <c r="D6282" s="115" t="s">
        <v>10405</v>
      </c>
      <c r="E6282" s="115" t="s">
        <v>10406</v>
      </c>
    </row>
    <row r="6283" spans="1:5" x14ac:dyDescent="0.25">
      <c r="B6283" s="115" t="s">
        <v>10407</v>
      </c>
      <c r="D6283" s="115" t="s">
        <v>1139</v>
      </c>
      <c r="E6283" s="115" t="s">
        <v>10408</v>
      </c>
    </row>
    <row r="6284" spans="1:5" x14ac:dyDescent="0.25">
      <c r="A6284" s="115">
        <v>8</v>
      </c>
      <c r="B6284" s="115" t="s">
        <v>10409</v>
      </c>
      <c r="D6284" s="115" t="s">
        <v>10410</v>
      </c>
      <c r="E6284" s="115" t="s">
        <v>1140</v>
      </c>
    </row>
    <row r="6285" spans="1:5" x14ac:dyDescent="0.25">
      <c r="B6285" s="115" t="s">
        <v>1138</v>
      </c>
      <c r="D6285" s="115" t="s">
        <v>10411</v>
      </c>
      <c r="E6285" s="115" t="s">
        <v>10412</v>
      </c>
    </row>
    <row r="6286" spans="1:5" x14ac:dyDescent="0.25">
      <c r="B6286" s="115" t="s">
        <v>10413</v>
      </c>
      <c r="D6286" s="115" t="s">
        <v>10414</v>
      </c>
      <c r="E6286" s="115" t="s">
        <v>10415</v>
      </c>
    </row>
    <row r="6287" spans="1:5" x14ac:dyDescent="0.25">
      <c r="A6287" s="115">
        <v>1</v>
      </c>
      <c r="B6287" s="115" t="s">
        <v>1640</v>
      </c>
      <c r="D6287" s="115" t="s">
        <v>1139</v>
      </c>
      <c r="E6287" s="115" t="s">
        <v>1140</v>
      </c>
    </row>
    <row r="6288" spans="1:5" x14ac:dyDescent="0.25">
      <c r="B6288" s="115" t="s">
        <v>1138</v>
      </c>
      <c r="D6288" s="115" t="s">
        <v>1139</v>
      </c>
      <c r="E6288" s="115" t="s">
        <v>10416</v>
      </c>
    </row>
    <row r="6289" spans="1:5" x14ac:dyDescent="0.25">
      <c r="B6289" s="115" t="s">
        <v>10417</v>
      </c>
      <c r="D6289" s="115" t="s">
        <v>10418</v>
      </c>
      <c r="E6289" s="115" t="s">
        <v>10419</v>
      </c>
    </row>
    <row r="6290" spans="1:5" x14ac:dyDescent="0.25">
      <c r="B6290" s="115" t="s">
        <v>1138</v>
      </c>
      <c r="D6290" s="115" t="s">
        <v>10420</v>
      </c>
      <c r="E6290" s="115" t="s">
        <v>10421</v>
      </c>
    </row>
    <row r="6291" spans="1:5" x14ac:dyDescent="0.25">
      <c r="B6291" s="115">
        <f>-23   -112</f>
        <v>-135</v>
      </c>
      <c r="D6291" s="115" t="s">
        <v>10422</v>
      </c>
      <c r="E6291" s="115" t="s">
        <v>10423</v>
      </c>
    </row>
    <row r="6292" spans="1:5" x14ac:dyDescent="0.25">
      <c r="A6292" s="115" t="s">
        <v>1137</v>
      </c>
      <c r="B6292" s="115" t="s">
        <v>10424</v>
      </c>
      <c r="D6292" s="115" t="s">
        <v>10425</v>
      </c>
      <c r="E6292" s="115" t="s">
        <v>10426</v>
      </c>
    </row>
    <row r="6293" spans="1:5" x14ac:dyDescent="0.25">
      <c r="A6293" s="115">
        <v>-12</v>
      </c>
      <c r="B6293" s="115" t="s">
        <v>10427</v>
      </c>
      <c r="C6293" s="115">
        <v>-1</v>
      </c>
      <c r="D6293" s="115" t="s">
        <v>10428</v>
      </c>
      <c r="E6293" s="115" t="s">
        <v>10429</v>
      </c>
    </row>
    <row r="6294" spans="1:5" x14ac:dyDescent="0.25">
      <c r="A6294" s="115">
        <v>23</v>
      </c>
      <c r="B6294" s="115" t="s">
        <v>10430</v>
      </c>
      <c r="C6294" s="115">
        <v>1</v>
      </c>
      <c r="D6294" s="115" t="s">
        <v>10431</v>
      </c>
      <c r="E6294" s="115" t="s">
        <v>10432</v>
      </c>
    </row>
    <row r="6295" spans="1:5" x14ac:dyDescent="0.25">
      <c r="A6295" s="115">
        <v>2</v>
      </c>
      <c r="B6295" s="115" t="s">
        <v>10433</v>
      </c>
      <c r="D6295" s="115" t="s">
        <v>10434</v>
      </c>
      <c r="E6295" s="115" t="s">
        <v>10435</v>
      </c>
    </row>
    <row r="6296" spans="1:5" x14ac:dyDescent="0.25">
      <c r="B6296" s="115" t="s">
        <v>10436</v>
      </c>
      <c r="D6296" s="115" t="s">
        <v>10437</v>
      </c>
      <c r="E6296" s="115" t="s">
        <v>10438</v>
      </c>
    </row>
    <row r="6297" spans="1:5" x14ac:dyDescent="0.25">
      <c r="A6297" s="115">
        <v>2</v>
      </c>
      <c r="B6297" s="115" t="s">
        <v>10439</v>
      </c>
      <c r="D6297" s="115" t="s">
        <v>10440</v>
      </c>
      <c r="E6297" s="115" t="s">
        <v>10441</v>
      </c>
    </row>
    <row r="6298" spans="1:5" x14ac:dyDescent="0.25">
      <c r="A6298" s="115">
        <v>8</v>
      </c>
      <c r="B6298" s="115" t="s">
        <v>10442</v>
      </c>
      <c r="D6298" s="115" t="s">
        <v>10443</v>
      </c>
      <c r="E6298" s="115" t="s">
        <v>10444</v>
      </c>
    </row>
    <row r="6299" spans="1:5" x14ac:dyDescent="0.25">
      <c r="B6299" s="115" t="s">
        <v>1138</v>
      </c>
      <c r="D6299" s="115" t="s">
        <v>10445</v>
      </c>
      <c r="E6299" s="115" t="s">
        <v>1140</v>
      </c>
    </row>
    <row r="6300" spans="1:5" x14ac:dyDescent="0.25">
      <c r="B6300" s="115" t="s">
        <v>1138</v>
      </c>
      <c r="D6300" s="115" t="s">
        <v>10446</v>
      </c>
      <c r="E6300" s="115" t="s">
        <v>10447</v>
      </c>
    </row>
    <row r="6301" spans="1:5" x14ac:dyDescent="0.25">
      <c r="A6301" s="115">
        <v>1</v>
      </c>
      <c r="B6301" s="115" t="s">
        <v>10448</v>
      </c>
      <c r="D6301" s="115" t="s">
        <v>10449</v>
      </c>
      <c r="E6301" s="115" t="s">
        <v>10450</v>
      </c>
    </row>
    <row r="6302" spans="1:5" x14ac:dyDescent="0.25">
      <c r="B6302" s="115" t="s">
        <v>1138</v>
      </c>
      <c r="D6302" s="115" t="s">
        <v>2126</v>
      </c>
      <c r="E6302" s="115" t="s">
        <v>1758</v>
      </c>
    </row>
    <row r="6303" spans="1:5" x14ac:dyDescent="0.25">
      <c r="B6303" s="115" t="s">
        <v>1138</v>
      </c>
      <c r="D6303" s="115" t="s">
        <v>10451</v>
      </c>
      <c r="E6303" s="115" t="s">
        <v>1244</v>
      </c>
    </row>
    <row r="6304" spans="1:5" x14ac:dyDescent="0.25">
      <c r="B6304" s="115" t="s">
        <v>10452</v>
      </c>
      <c r="D6304" s="115" t="s">
        <v>10453</v>
      </c>
      <c r="E6304" s="115" t="s">
        <v>10454</v>
      </c>
    </row>
    <row r="6305" spans="1:5" x14ac:dyDescent="0.25">
      <c r="A6305" s="115" t="s">
        <v>1137</v>
      </c>
      <c r="B6305" s="115" t="s">
        <v>10455</v>
      </c>
      <c r="C6305" s="115" t="s">
        <v>1137</v>
      </c>
      <c r="D6305" s="115" t="s">
        <v>10456</v>
      </c>
      <c r="E6305" s="115" t="s">
        <v>1701</v>
      </c>
    </row>
    <row r="6306" spans="1:5" x14ac:dyDescent="0.25">
      <c r="A6306" s="115">
        <v>5</v>
      </c>
      <c r="B6306" s="115" t="s">
        <v>10457</v>
      </c>
      <c r="D6306" s="115" t="s">
        <v>10458</v>
      </c>
      <c r="E6306" s="115" t="s">
        <v>10459</v>
      </c>
    </row>
    <row r="6307" spans="1:5" x14ac:dyDescent="0.25">
      <c r="A6307" s="115">
        <v>1</v>
      </c>
      <c r="B6307" s="115" t="s">
        <v>10460</v>
      </c>
      <c r="D6307" s="115" t="s">
        <v>10461</v>
      </c>
      <c r="E6307" s="115" t="s">
        <v>10462</v>
      </c>
    </row>
    <row r="6308" spans="1:5" x14ac:dyDescent="0.25">
      <c r="B6308" s="115" t="s">
        <v>1337</v>
      </c>
      <c r="D6308" s="115" t="s">
        <v>10463</v>
      </c>
      <c r="E6308" s="115" t="s">
        <v>2536</v>
      </c>
    </row>
    <row r="6309" spans="1:5" x14ac:dyDescent="0.25">
      <c r="B6309" s="115" t="s">
        <v>10464</v>
      </c>
      <c r="D6309" s="115" t="s">
        <v>10465</v>
      </c>
      <c r="E6309" s="115" t="s">
        <v>10466</v>
      </c>
    </row>
    <row r="6310" spans="1:5" x14ac:dyDescent="0.25">
      <c r="A6310" s="115">
        <v>3</v>
      </c>
      <c r="B6310" s="115" t="s">
        <v>1316</v>
      </c>
      <c r="D6310" s="115" t="s">
        <v>10467</v>
      </c>
      <c r="E6310" s="115" t="s">
        <v>10468</v>
      </c>
    </row>
    <row r="6311" spans="1:5" x14ac:dyDescent="0.25">
      <c r="B6311" s="115" t="s">
        <v>2659</v>
      </c>
      <c r="D6311" s="115" t="s">
        <v>10469</v>
      </c>
      <c r="E6311" s="115" t="s">
        <v>1893</v>
      </c>
    </row>
    <row r="6312" spans="1:5" x14ac:dyDescent="0.25">
      <c r="B6312" s="115" t="s">
        <v>10470</v>
      </c>
      <c r="D6312" s="115" t="s">
        <v>10471</v>
      </c>
      <c r="E6312" s="115" t="s">
        <v>10472</v>
      </c>
    </row>
    <row r="6313" spans="1:5" x14ac:dyDescent="0.25">
      <c r="A6313" s="115">
        <v>1</v>
      </c>
      <c r="B6313" s="115" t="s">
        <v>10473</v>
      </c>
      <c r="C6313" s="115" t="s">
        <v>1137</v>
      </c>
      <c r="D6313" s="115" t="s">
        <v>10474</v>
      </c>
      <c r="E6313" s="115" t="s">
        <v>10475</v>
      </c>
    </row>
    <row r="6314" spans="1:5" x14ac:dyDescent="0.25">
      <c r="B6314" s="115" t="s">
        <v>1477</v>
      </c>
      <c r="D6314" s="115" t="s">
        <v>1518</v>
      </c>
      <c r="E6314" s="115" t="s">
        <v>1140</v>
      </c>
    </row>
    <row r="6315" spans="1:5" x14ac:dyDescent="0.25">
      <c r="B6315" s="115" t="s">
        <v>10476</v>
      </c>
      <c r="D6315" s="115" t="s">
        <v>10477</v>
      </c>
      <c r="E6315" s="115" t="s">
        <v>1140</v>
      </c>
    </row>
    <row r="6316" spans="1:5" x14ac:dyDescent="0.25">
      <c r="A6316" s="115">
        <v>2</v>
      </c>
      <c r="B6316" s="115" t="s">
        <v>10478</v>
      </c>
      <c r="D6316" s="115" t="s">
        <v>10479</v>
      </c>
      <c r="E6316" s="115" t="s">
        <v>10480</v>
      </c>
    </row>
    <row r="6317" spans="1:5" x14ac:dyDescent="0.25">
      <c r="A6317" s="115">
        <v>1</v>
      </c>
      <c r="B6317" s="115" t="s">
        <v>1446</v>
      </c>
      <c r="D6317" s="115" t="s">
        <v>10481</v>
      </c>
      <c r="E6317" s="115" t="s">
        <v>1701</v>
      </c>
    </row>
    <row r="6318" spans="1:5" x14ac:dyDescent="0.25">
      <c r="A6318" s="115">
        <v>1</v>
      </c>
      <c r="B6318" s="115" t="s">
        <v>10482</v>
      </c>
      <c r="D6318" s="115" t="s">
        <v>10483</v>
      </c>
      <c r="E6318" s="115" t="s">
        <v>10484</v>
      </c>
    </row>
    <row r="6319" spans="1:5" x14ac:dyDescent="0.25">
      <c r="B6319" s="115" t="s">
        <v>1138</v>
      </c>
      <c r="D6319" s="115" t="s">
        <v>1139</v>
      </c>
      <c r="E6319" s="115" t="s">
        <v>10485</v>
      </c>
    </row>
    <row r="6320" spans="1:5" x14ac:dyDescent="0.25">
      <c r="A6320" s="115" t="s">
        <v>1137</v>
      </c>
      <c r="B6320" s="115" t="s">
        <v>10486</v>
      </c>
      <c r="D6320" s="115" t="s">
        <v>10487</v>
      </c>
      <c r="E6320" s="115" t="s">
        <v>10488</v>
      </c>
    </row>
    <row r="6321" spans="1:5" x14ac:dyDescent="0.25">
      <c r="B6321" s="115" t="s">
        <v>1138</v>
      </c>
      <c r="D6321" s="115" t="s">
        <v>10489</v>
      </c>
      <c r="E6321" s="115" t="s">
        <v>1140</v>
      </c>
    </row>
    <row r="6322" spans="1:5" x14ac:dyDescent="0.25">
      <c r="B6322" s="115" t="s">
        <v>1138</v>
      </c>
      <c r="D6322" s="115" t="s">
        <v>1139</v>
      </c>
      <c r="E6322" s="115" t="s">
        <v>1140</v>
      </c>
    </row>
    <row r="6323" spans="1:5" x14ac:dyDescent="0.25">
      <c r="B6323" s="115" t="s">
        <v>1440</v>
      </c>
      <c r="D6323" s="115" t="s">
        <v>8315</v>
      </c>
      <c r="E6323" s="115" t="s">
        <v>10490</v>
      </c>
    </row>
    <row r="6324" spans="1:5" x14ac:dyDescent="0.25">
      <c r="B6324" s="115" t="s">
        <v>10491</v>
      </c>
      <c r="D6324" s="115" t="s">
        <v>10492</v>
      </c>
      <c r="E6324" s="115" t="s">
        <v>10493</v>
      </c>
    </row>
    <row r="6325" spans="1:5" x14ac:dyDescent="0.25">
      <c r="A6325" s="115" t="s">
        <v>1137</v>
      </c>
      <c r="B6325" s="115" t="s">
        <v>10494</v>
      </c>
      <c r="D6325" s="115" t="s">
        <v>10495</v>
      </c>
      <c r="E6325" s="115" t="s">
        <v>10496</v>
      </c>
    </row>
    <row r="6326" spans="1:5" x14ac:dyDescent="0.25">
      <c r="A6326" s="115">
        <v>1</v>
      </c>
      <c r="B6326" s="115" t="s">
        <v>10497</v>
      </c>
      <c r="D6326" s="115" t="s">
        <v>10498</v>
      </c>
      <c r="E6326" s="115" t="s">
        <v>10499</v>
      </c>
    </row>
    <row r="6327" spans="1:5" x14ac:dyDescent="0.25">
      <c r="A6327" s="115">
        <v>2</v>
      </c>
      <c r="B6327" s="115" t="s">
        <v>10500</v>
      </c>
      <c r="D6327" s="115" t="s">
        <v>10501</v>
      </c>
      <c r="E6327" s="115" t="s">
        <v>10502</v>
      </c>
    </row>
    <row r="6328" spans="1:5" x14ac:dyDescent="0.25">
      <c r="A6328" s="115" t="s">
        <v>1137</v>
      </c>
      <c r="B6328" s="115" t="s">
        <v>10503</v>
      </c>
      <c r="D6328" s="115" t="s">
        <v>10504</v>
      </c>
      <c r="E6328" s="115" t="s">
        <v>10505</v>
      </c>
    </row>
    <row r="6329" spans="1:5" x14ac:dyDescent="0.25">
      <c r="A6329" s="115">
        <v>1</v>
      </c>
      <c r="B6329" s="115" t="s">
        <v>10506</v>
      </c>
      <c r="D6329" s="115" t="s">
        <v>10507</v>
      </c>
      <c r="E6329" s="115" t="s">
        <v>10508</v>
      </c>
    </row>
    <row r="6330" spans="1:5" x14ac:dyDescent="0.25">
      <c r="A6330" s="115">
        <v>-3</v>
      </c>
      <c r="B6330" s="115" t="s">
        <v>10509</v>
      </c>
      <c r="C6330" s="115" t="s">
        <v>1137</v>
      </c>
      <c r="D6330" s="115" t="s">
        <v>10510</v>
      </c>
      <c r="E6330" s="115" t="s">
        <v>10511</v>
      </c>
    </row>
    <row r="6331" spans="1:5" x14ac:dyDescent="0.25">
      <c r="A6331" s="115">
        <v>-1</v>
      </c>
      <c r="B6331" s="115" t="s">
        <v>10512</v>
      </c>
      <c r="C6331" s="115" t="s">
        <v>1137</v>
      </c>
      <c r="D6331" s="115" t="s">
        <v>10513</v>
      </c>
      <c r="E6331" s="115" t="s">
        <v>10514</v>
      </c>
    </row>
    <row r="6332" spans="1:5" x14ac:dyDescent="0.25">
      <c r="A6332" s="115">
        <v>19</v>
      </c>
      <c r="B6332" s="115" t="s">
        <v>10515</v>
      </c>
      <c r="C6332" s="115" t="s">
        <v>1137</v>
      </c>
      <c r="D6332" s="115" t="s">
        <v>10516</v>
      </c>
      <c r="E6332" s="115" t="s">
        <v>10517</v>
      </c>
    </row>
    <row r="6333" spans="1:5" x14ac:dyDescent="0.25">
      <c r="B6333" s="115" t="s">
        <v>10518</v>
      </c>
      <c r="D6333" s="115" t="s">
        <v>10519</v>
      </c>
      <c r="E6333" s="115" t="s">
        <v>10520</v>
      </c>
    </row>
    <row r="6334" spans="1:5" x14ac:dyDescent="0.25">
      <c r="B6334" s="115" t="s">
        <v>1138</v>
      </c>
      <c r="D6334" s="115" t="s">
        <v>1139</v>
      </c>
      <c r="E6334" s="115" t="s">
        <v>10521</v>
      </c>
    </row>
    <row r="6335" spans="1:5" x14ac:dyDescent="0.25">
      <c r="B6335" s="115" t="s">
        <v>3614</v>
      </c>
      <c r="D6335" s="115" t="s">
        <v>10522</v>
      </c>
      <c r="E6335" s="115" t="s">
        <v>10523</v>
      </c>
    </row>
    <row r="6336" spans="1:5" x14ac:dyDescent="0.25">
      <c r="A6336" s="115" t="s">
        <v>1137</v>
      </c>
      <c r="B6336" s="115" t="s">
        <v>1328</v>
      </c>
      <c r="D6336" s="115" t="s">
        <v>10524</v>
      </c>
      <c r="E6336" s="115" t="s">
        <v>1140</v>
      </c>
    </row>
    <row r="6337" spans="1:5" x14ac:dyDescent="0.25">
      <c r="B6337" s="115" t="s">
        <v>1160</v>
      </c>
      <c r="D6337" s="115" t="s">
        <v>1139</v>
      </c>
      <c r="E6337" s="115" t="s">
        <v>10525</v>
      </c>
    </row>
    <row r="6338" spans="1:5" x14ac:dyDescent="0.25">
      <c r="B6338" s="115" t="s">
        <v>1655</v>
      </c>
      <c r="D6338" s="115" t="s">
        <v>1139</v>
      </c>
      <c r="E6338" s="115" t="s">
        <v>10526</v>
      </c>
    </row>
    <row r="6339" spans="1:5" x14ac:dyDescent="0.25">
      <c r="B6339" s="115" t="s">
        <v>1569</v>
      </c>
      <c r="D6339" s="115" t="s">
        <v>10527</v>
      </c>
      <c r="E6339" s="115" t="s">
        <v>10528</v>
      </c>
    </row>
    <row r="6340" spans="1:5" x14ac:dyDescent="0.25">
      <c r="B6340" s="115" t="s">
        <v>1449</v>
      </c>
      <c r="D6340" s="115" t="s">
        <v>2892</v>
      </c>
      <c r="E6340" s="115" t="s">
        <v>10529</v>
      </c>
    </row>
    <row r="6341" spans="1:5" x14ac:dyDescent="0.25">
      <c r="A6341" s="115" t="s">
        <v>1137</v>
      </c>
      <c r="B6341" s="115" t="s">
        <v>10530</v>
      </c>
      <c r="D6341" s="115" t="s">
        <v>10531</v>
      </c>
      <c r="E6341" s="115" t="s">
        <v>10532</v>
      </c>
    </row>
    <row r="6342" spans="1:5" x14ac:dyDescent="0.25">
      <c r="B6342" s="115" t="s">
        <v>10533</v>
      </c>
      <c r="D6342" s="115" t="s">
        <v>10534</v>
      </c>
      <c r="E6342" s="115" t="s">
        <v>10535</v>
      </c>
    </row>
    <row r="6343" spans="1:5" x14ac:dyDescent="0.25">
      <c r="B6343" s="115" t="s">
        <v>1644</v>
      </c>
      <c r="D6343" s="115" t="s">
        <v>3013</v>
      </c>
      <c r="E6343" s="115" t="s">
        <v>10536</v>
      </c>
    </row>
    <row r="6344" spans="1:5" x14ac:dyDescent="0.25">
      <c r="A6344" s="115" t="s">
        <v>1137</v>
      </c>
      <c r="B6344" s="115" t="s">
        <v>10537</v>
      </c>
      <c r="D6344" s="115" t="s">
        <v>10538</v>
      </c>
      <c r="E6344" s="115" t="s">
        <v>10539</v>
      </c>
    </row>
    <row r="6345" spans="1:5" x14ac:dyDescent="0.25">
      <c r="B6345" s="115" t="s">
        <v>10540</v>
      </c>
      <c r="D6345" s="115" t="s">
        <v>1166</v>
      </c>
      <c r="E6345" s="115" t="s">
        <v>10541</v>
      </c>
    </row>
    <row r="6346" spans="1:5" x14ac:dyDescent="0.25">
      <c r="B6346" s="115" t="s">
        <v>1334</v>
      </c>
      <c r="D6346" s="115" t="s">
        <v>2573</v>
      </c>
      <c r="E6346" s="115" t="s">
        <v>10542</v>
      </c>
    </row>
    <row r="6347" spans="1:5" x14ac:dyDescent="0.25">
      <c r="B6347" s="115" t="s">
        <v>1297</v>
      </c>
      <c r="D6347" s="115" t="s">
        <v>10543</v>
      </c>
      <c r="E6347" s="115" t="s">
        <v>10544</v>
      </c>
    </row>
    <row r="6348" spans="1:5" x14ac:dyDescent="0.25">
      <c r="B6348" s="115" t="s">
        <v>1269</v>
      </c>
      <c r="D6348" s="115" t="s">
        <v>10545</v>
      </c>
      <c r="E6348" s="115" t="s">
        <v>10546</v>
      </c>
    </row>
    <row r="6349" spans="1:5" x14ac:dyDescent="0.25">
      <c r="B6349" s="115" t="s">
        <v>1138</v>
      </c>
      <c r="D6349" s="115" t="s">
        <v>1931</v>
      </c>
      <c r="E6349" s="115" t="s">
        <v>10547</v>
      </c>
    </row>
    <row r="6350" spans="1:5" x14ac:dyDescent="0.25">
      <c r="B6350" s="115" t="s">
        <v>1138</v>
      </c>
      <c r="D6350" s="115" t="s">
        <v>1827</v>
      </c>
      <c r="E6350" s="115" t="s">
        <v>10548</v>
      </c>
    </row>
    <row r="6351" spans="1:5" x14ac:dyDescent="0.25">
      <c r="B6351" s="115" t="s">
        <v>10549</v>
      </c>
      <c r="D6351" s="115" t="s">
        <v>1988</v>
      </c>
      <c r="E6351" s="115" t="s">
        <v>10550</v>
      </c>
    </row>
    <row r="6352" spans="1:5" x14ac:dyDescent="0.25">
      <c r="B6352" s="115" t="s">
        <v>2768</v>
      </c>
      <c r="D6352" s="115" t="s">
        <v>2681</v>
      </c>
      <c r="E6352" s="115" t="s">
        <v>10551</v>
      </c>
    </row>
    <row r="6353" spans="1:5" x14ac:dyDescent="0.25">
      <c r="B6353" s="115" t="s">
        <v>10552</v>
      </c>
      <c r="D6353" s="115" t="s">
        <v>10553</v>
      </c>
      <c r="E6353" s="115" t="s">
        <v>1140</v>
      </c>
    </row>
    <row r="6354" spans="1:5" x14ac:dyDescent="0.25">
      <c r="B6354" s="115" t="s">
        <v>1515</v>
      </c>
      <c r="D6354" s="115" t="s">
        <v>10554</v>
      </c>
      <c r="E6354" s="115" t="s">
        <v>10555</v>
      </c>
    </row>
    <row r="6355" spans="1:5" x14ac:dyDescent="0.25">
      <c r="B6355" s="115" t="s">
        <v>1655</v>
      </c>
      <c r="D6355" s="115" t="s">
        <v>10556</v>
      </c>
      <c r="E6355" s="115" t="s">
        <v>10557</v>
      </c>
    </row>
    <row r="6356" spans="1:5" x14ac:dyDescent="0.25">
      <c r="B6356" s="115" t="s">
        <v>1138</v>
      </c>
      <c r="D6356" s="115" t="s">
        <v>1139</v>
      </c>
      <c r="E6356" s="115" t="s">
        <v>1140</v>
      </c>
    </row>
    <row r="6357" spans="1:5" x14ac:dyDescent="0.25">
      <c r="B6357" s="115" t="s">
        <v>1138</v>
      </c>
      <c r="D6357" s="115" t="s">
        <v>10558</v>
      </c>
      <c r="E6357" s="115" t="s">
        <v>1701</v>
      </c>
    </row>
    <row r="6358" spans="1:5" x14ac:dyDescent="0.25">
      <c r="B6358" s="115">
        <f>-75   -203</f>
        <v>-278</v>
      </c>
      <c r="D6358" s="115" t="s">
        <v>10559</v>
      </c>
      <c r="E6358" s="115" t="s">
        <v>10560</v>
      </c>
    </row>
    <row r="6359" spans="1:5" x14ac:dyDescent="0.25">
      <c r="B6359" s="115" t="s">
        <v>10561</v>
      </c>
      <c r="D6359" s="115" t="s">
        <v>10562</v>
      </c>
      <c r="E6359" s="115" t="s">
        <v>10563</v>
      </c>
    </row>
    <row r="6360" spans="1:5" x14ac:dyDescent="0.25">
      <c r="B6360" s="115" t="s">
        <v>10564</v>
      </c>
      <c r="D6360" s="115" t="s">
        <v>10565</v>
      </c>
      <c r="E6360" s="115" t="s">
        <v>10566</v>
      </c>
    </row>
    <row r="6361" spans="1:5" x14ac:dyDescent="0.25">
      <c r="B6361" s="115" t="s">
        <v>10567</v>
      </c>
      <c r="D6361" s="115" t="s">
        <v>10568</v>
      </c>
      <c r="E6361" s="115" t="s">
        <v>10569</v>
      </c>
    </row>
    <row r="6362" spans="1:5" x14ac:dyDescent="0.25">
      <c r="B6362" s="115" t="s">
        <v>10570</v>
      </c>
      <c r="D6362" s="115" t="s">
        <v>10571</v>
      </c>
      <c r="E6362" s="115" t="s">
        <v>10572</v>
      </c>
    </row>
    <row r="6363" spans="1:5" x14ac:dyDescent="0.25">
      <c r="A6363" s="115" t="s">
        <v>1137</v>
      </c>
      <c r="B6363" s="115" t="s">
        <v>10573</v>
      </c>
      <c r="D6363" s="115">
        <f>-112   -282   -196</f>
        <v>-590</v>
      </c>
      <c r="E6363" s="115" t="s">
        <v>10574</v>
      </c>
    </row>
    <row r="6364" spans="1:5" x14ac:dyDescent="0.25">
      <c r="B6364" s="115" t="s">
        <v>10575</v>
      </c>
      <c r="D6364" s="115" t="s">
        <v>10576</v>
      </c>
      <c r="E6364" s="115" t="s">
        <v>10577</v>
      </c>
    </row>
    <row r="6365" spans="1:5" x14ac:dyDescent="0.25">
      <c r="B6365" s="115" t="s">
        <v>10578</v>
      </c>
      <c r="D6365" s="115" t="s">
        <v>10579</v>
      </c>
      <c r="E6365" s="115" t="s">
        <v>10580</v>
      </c>
    </row>
    <row r="6366" spans="1:5" x14ac:dyDescent="0.25">
      <c r="A6366" s="115" t="s">
        <v>1137</v>
      </c>
      <c r="B6366" s="115" t="s">
        <v>10581</v>
      </c>
      <c r="D6366" s="115" t="s">
        <v>10582</v>
      </c>
      <c r="E6366" s="115" t="s">
        <v>10583</v>
      </c>
    </row>
    <row r="6367" spans="1:5" x14ac:dyDescent="0.25">
      <c r="A6367" s="115">
        <v>-1</v>
      </c>
      <c r="B6367" s="115" t="s">
        <v>10584</v>
      </c>
      <c r="C6367" s="115" t="s">
        <v>1137</v>
      </c>
      <c r="D6367" s="115" t="s">
        <v>10585</v>
      </c>
      <c r="E6367" s="115" t="s">
        <v>10586</v>
      </c>
    </row>
    <row r="6368" spans="1:5" x14ac:dyDescent="0.25">
      <c r="B6368" s="115" t="s">
        <v>1138</v>
      </c>
      <c r="D6368" s="115" t="s">
        <v>10587</v>
      </c>
      <c r="E6368" s="115" t="s">
        <v>1140</v>
      </c>
    </row>
    <row r="6369" spans="1:5" x14ac:dyDescent="0.25">
      <c r="B6369" s="115" t="s">
        <v>1138</v>
      </c>
      <c r="D6369" s="115" t="s">
        <v>10588</v>
      </c>
      <c r="E6369" s="115" t="s">
        <v>10589</v>
      </c>
    </row>
    <row r="6370" spans="1:5" x14ac:dyDescent="0.25">
      <c r="B6370" s="115" t="s">
        <v>10590</v>
      </c>
      <c r="D6370" s="115" t="s">
        <v>10591</v>
      </c>
      <c r="E6370" s="115" t="s">
        <v>10592</v>
      </c>
    </row>
    <row r="6371" spans="1:5" x14ac:dyDescent="0.25">
      <c r="B6371" s="115" t="s">
        <v>10593</v>
      </c>
      <c r="D6371" s="115" t="s">
        <v>1139</v>
      </c>
      <c r="E6371" s="115" t="s">
        <v>10594</v>
      </c>
    </row>
    <row r="6372" spans="1:5" x14ac:dyDescent="0.25">
      <c r="B6372" s="115" t="s">
        <v>1138</v>
      </c>
      <c r="D6372" s="115" t="s">
        <v>10595</v>
      </c>
      <c r="E6372" s="115" t="s">
        <v>10596</v>
      </c>
    </row>
    <row r="6373" spans="1:5" x14ac:dyDescent="0.25">
      <c r="B6373" s="115" t="s">
        <v>1138</v>
      </c>
      <c r="C6373" s="115" t="s">
        <v>1137</v>
      </c>
      <c r="D6373" s="115" t="s">
        <v>10597</v>
      </c>
      <c r="E6373" s="115" t="s">
        <v>10598</v>
      </c>
    </row>
    <row r="6374" spans="1:5" x14ac:dyDescent="0.25">
      <c r="B6374" s="115" t="s">
        <v>10599</v>
      </c>
      <c r="D6374" s="115" t="s">
        <v>10600</v>
      </c>
      <c r="E6374" s="115" t="s">
        <v>10601</v>
      </c>
    </row>
    <row r="6375" spans="1:5" x14ac:dyDescent="0.25">
      <c r="B6375" s="115" t="s">
        <v>10602</v>
      </c>
      <c r="D6375" s="115" t="s">
        <v>10603</v>
      </c>
      <c r="E6375" s="115" t="s">
        <v>10604</v>
      </c>
    </row>
    <row r="6376" spans="1:5" x14ac:dyDescent="0.25">
      <c r="B6376" s="115" t="s">
        <v>10605</v>
      </c>
      <c r="C6376" s="115" t="s">
        <v>1137</v>
      </c>
      <c r="D6376" s="115" t="s">
        <v>10606</v>
      </c>
      <c r="E6376" s="115" t="s">
        <v>10607</v>
      </c>
    </row>
    <row r="6377" spans="1:5" x14ac:dyDescent="0.25">
      <c r="B6377" s="115" t="s">
        <v>10608</v>
      </c>
      <c r="D6377" s="115" t="s">
        <v>10609</v>
      </c>
      <c r="E6377" s="115" t="s">
        <v>10610</v>
      </c>
    </row>
    <row r="6378" spans="1:5" x14ac:dyDescent="0.25">
      <c r="B6378" s="115" t="s">
        <v>10611</v>
      </c>
      <c r="D6378" s="115" t="s">
        <v>10612</v>
      </c>
      <c r="E6378" s="115" t="s">
        <v>10613</v>
      </c>
    </row>
    <row r="6379" spans="1:5" x14ac:dyDescent="0.25">
      <c r="B6379" s="115" t="s">
        <v>10614</v>
      </c>
      <c r="D6379" s="115" t="s">
        <v>10615</v>
      </c>
      <c r="E6379" s="115" t="s">
        <v>10616</v>
      </c>
    </row>
    <row r="6380" spans="1:5" x14ac:dyDescent="0.25">
      <c r="B6380" s="115" t="s">
        <v>1138</v>
      </c>
      <c r="D6380" s="115" t="s">
        <v>10617</v>
      </c>
      <c r="E6380" s="115" t="s">
        <v>10618</v>
      </c>
    </row>
    <row r="6381" spans="1:5" x14ac:dyDescent="0.25">
      <c r="B6381" s="115" t="s">
        <v>10619</v>
      </c>
      <c r="D6381" s="115" t="s">
        <v>10620</v>
      </c>
      <c r="E6381" s="115" t="s">
        <v>10621</v>
      </c>
    </row>
    <row r="6382" spans="1:5" x14ac:dyDescent="0.25">
      <c r="A6382" s="115">
        <v>1</v>
      </c>
      <c r="B6382" s="115" t="s">
        <v>10622</v>
      </c>
      <c r="C6382" s="115" t="s">
        <v>1137</v>
      </c>
      <c r="D6382" s="115" t="s">
        <v>10623</v>
      </c>
      <c r="E6382" s="115" t="s">
        <v>10624</v>
      </c>
    </row>
    <row r="6383" spans="1:5" x14ac:dyDescent="0.25">
      <c r="B6383" s="115" t="s">
        <v>10625</v>
      </c>
      <c r="D6383" s="115" t="s">
        <v>10626</v>
      </c>
      <c r="E6383" s="115" t="s">
        <v>1140</v>
      </c>
    </row>
    <row r="6384" spans="1:5" x14ac:dyDescent="0.25">
      <c r="B6384" s="115" t="s">
        <v>10627</v>
      </c>
      <c r="D6384" s="115" t="s">
        <v>10628</v>
      </c>
      <c r="E6384" s="115" t="s">
        <v>2081</v>
      </c>
    </row>
    <row r="6385" spans="1:5" x14ac:dyDescent="0.25">
      <c r="B6385" s="115" t="s">
        <v>10629</v>
      </c>
      <c r="C6385" s="115" t="s">
        <v>1137</v>
      </c>
      <c r="D6385" s="115" t="s">
        <v>10630</v>
      </c>
      <c r="E6385" s="115" t="s">
        <v>10631</v>
      </c>
    </row>
    <row r="6386" spans="1:5" x14ac:dyDescent="0.25">
      <c r="B6386" s="115" t="s">
        <v>10632</v>
      </c>
      <c r="D6386" s="115" t="s">
        <v>10633</v>
      </c>
      <c r="E6386" s="115" t="s">
        <v>10634</v>
      </c>
    </row>
    <row r="6387" spans="1:5" x14ac:dyDescent="0.25">
      <c r="B6387" s="115" t="s">
        <v>10635</v>
      </c>
      <c r="D6387" s="115" t="s">
        <v>10636</v>
      </c>
      <c r="E6387" s="115" t="s">
        <v>10637</v>
      </c>
    </row>
    <row r="6388" spans="1:5" x14ac:dyDescent="0.25">
      <c r="B6388" s="115" t="s">
        <v>1138</v>
      </c>
      <c r="D6388" s="115" t="s">
        <v>1139</v>
      </c>
      <c r="E6388" s="115" t="s">
        <v>10638</v>
      </c>
    </row>
    <row r="6389" spans="1:5" x14ac:dyDescent="0.25">
      <c r="B6389" s="115">
        <f>-99  -1620</f>
        <v>-1719</v>
      </c>
      <c r="D6389" s="115" t="s">
        <v>10639</v>
      </c>
      <c r="E6389" s="115" t="s">
        <v>10640</v>
      </c>
    </row>
    <row r="6390" spans="1:5" x14ac:dyDescent="0.25">
      <c r="B6390" s="115" t="s">
        <v>1138</v>
      </c>
      <c r="D6390" s="115" t="s">
        <v>10641</v>
      </c>
      <c r="E6390" s="115" t="s">
        <v>1858</v>
      </c>
    </row>
    <row r="6391" spans="1:5" x14ac:dyDescent="0.25">
      <c r="B6391" s="115" t="s">
        <v>1138</v>
      </c>
      <c r="D6391" s="115" t="s">
        <v>1139</v>
      </c>
      <c r="E6391" s="115" t="s">
        <v>1140</v>
      </c>
    </row>
    <row r="6392" spans="1:5" x14ac:dyDescent="0.25">
      <c r="B6392" s="115" t="s">
        <v>10642</v>
      </c>
      <c r="D6392" s="115" t="s">
        <v>1139</v>
      </c>
      <c r="E6392" s="115" t="s">
        <v>10643</v>
      </c>
    </row>
    <row r="6393" spans="1:5" x14ac:dyDescent="0.25">
      <c r="B6393" s="115" t="s">
        <v>10644</v>
      </c>
      <c r="D6393" s="115" t="s">
        <v>10645</v>
      </c>
      <c r="E6393" s="115" t="s">
        <v>10646</v>
      </c>
    </row>
    <row r="6394" spans="1:5" x14ac:dyDescent="0.25">
      <c r="A6394" s="115" t="s">
        <v>1137</v>
      </c>
      <c r="B6394" s="115" t="s">
        <v>10647</v>
      </c>
      <c r="D6394" s="115" t="s">
        <v>10648</v>
      </c>
      <c r="E6394" s="115" t="s">
        <v>10649</v>
      </c>
    </row>
    <row r="6395" spans="1:5" x14ac:dyDescent="0.25">
      <c r="A6395" s="115" t="s">
        <v>1137</v>
      </c>
      <c r="B6395" s="115" t="s">
        <v>10650</v>
      </c>
      <c r="D6395" s="115">
        <f>-345   -440  -1200   -17</f>
        <v>-2002</v>
      </c>
      <c r="E6395" s="115" t="s">
        <v>10651</v>
      </c>
    </row>
    <row r="6396" spans="1:5" x14ac:dyDescent="0.25">
      <c r="A6396" s="115" t="s">
        <v>1137</v>
      </c>
      <c r="B6396" s="115" t="s">
        <v>10652</v>
      </c>
      <c r="D6396" s="115" t="s">
        <v>10653</v>
      </c>
      <c r="E6396" s="115" t="s">
        <v>10654</v>
      </c>
    </row>
    <row r="6397" spans="1:5" x14ac:dyDescent="0.25">
      <c r="A6397" s="115">
        <v>1</v>
      </c>
      <c r="B6397" s="115" t="s">
        <v>10655</v>
      </c>
      <c r="D6397" s="115" t="s">
        <v>10656</v>
      </c>
      <c r="E6397" s="115" t="s">
        <v>10657</v>
      </c>
    </row>
    <row r="6398" spans="1:5" x14ac:dyDescent="0.25">
      <c r="B6398" s="115" t="s">
        <v>10658</v>
      </c>
      <c r="D6398" s="115" t="s">
        <v>10659</v>
      </c>
      <c r="E6398" s="115" t="s">
        <v>10660</v>
      </c>
    </row>
    <row r="6399" spans="1:5" x14ac:dyDescent="0.25">
      <c r="A6399" s="115">
        <v>2</v>
      </c>
      <c r="B6399" s="115" t="s">
        <v>10661</v>
      </c>
      <c r="D6399" s="115" t="s">
        <v>10662</v>
      </c>
      <c r="E6399" s="115" t="s">
        <v>10663</v>
      </c>
    </row>
    <row r="6400" spans="1:5" x14ac:dyDescent="0.25">
      <c r="B6400" s="115" t="s">
        <v>10664</v>
      </c>
      <c r="D6400" s="115" t="s">
        <v>10665</v>
      </c>
      <c r="E6400" s="115" t="s">
        <v>10666</v>
      </c>
    </row>
    <row r="6401" spans="1:5" x14ac:dyDescent="0.25">
      <c r="A6401" s="115">
        <v>3</v>
      </c>
      <c r="B6401" s="115" t="s">
        <v>10667</v>
      </c>
      <c r="D6401" s="115" t="s">
        <v>10668</v>
      </c>
      <c r="E6401" s="115" t="s">
        <v>10669</v>
      </c>
    </row>
    <row r="6402" spans="1:5" x14ac:dyDescent="0.25">
      <c r="B6402" s="115" t="s">
        <v>10670</v>
      </c>
      <c r="D6402" s="115" t="s">
        <v>1325</v>
      </c>
      <c r="E6402" s="115" t="s">
        <v>10671</v>
      </c>
    </row>
    <row r="6403" spans="1:5" x14ac:dyDescent="0.25">
      <c r="A6403" s="115" t="s">
        <v>1137</v>
      </c>
      <c r="B6403" s="115" t="s">
        <v>10672</v>
      </c>
      <c r="D6403" s="115" t="s">
        <v>1139</v>
      </c>
      <c r="E6403" s="115" t="s">
        <v>1140</v>
      </c>
    </row>
    <row r="6404" spans="1:5" x14ac:dyDescent="0.25">
      <c r="A6404" s="115" t="s">
        <v>1137</v>
      </c>
      <c r="B6404" s="115" t="s">
        <v>10673</v>
      </c>
      <c r="D6404" s="115" t="s">
        <v>10674</v>
      </c>
      <c r="E6404" s="115" t="s">
        <v>10675</v>
      </c>
    </row>
    <row r="6405" spans="1:5" x14ac:dyDescent="0.25">
      <c r="B6405" s="115" t="s">
        <v>1138</v>
      </c>
      <c r="D6405" s="115" t="s">
        <v>10676</v>
      </c>
      <c r="E6405" s="115" t="s">
        <v>10677</v>
      </c>
    </row>
    <row r="6406" spans="1:5" x14ac:dyDescent="0.25">
      <c r="B6406" s="115" t="s">
        <v>1138</v>
      </c>
      <c r="D6406" s="115" t="s">
        <v>3887</v>
      </c>
      <c r="E6406" s="115" t="s">
        <v>1140</v>
      </c>
    </row>
    <row r="6407" spans="1:5" x14ac:dyDescent="0.25">
      <c r="B6407" s="115" t="s">
        <v>10678</v>
      </c>
      <c r="C6407" s="115" t="s">
        <v>1137</v>
      </c>
      <c r="D6407" s="115" t="s">
        <v>10679</v>
      </c>
      <c r="E6407" s="115" t="s">
        <v>10680</v>
      </c>
    </row>
    <row r="6408" spans="1:5" x14ac:dyDescent="0.25">
      <c r="A6408" s="115">
        <v>-1</v>
      </c>
      <c r="B6408" s="115" t="s">
        <v>10681</v>
      </c>
      <c r="D6408" s="115" t="s">
        <v>10682</v>
      </c>
      <c r="E6408" s="115" t="s">
        <v>10683</v>
      </c>
    </row>
    <row r="6409" spans="1:5" x14ac:dyDescent="0.25">
      <c r="A6409" s="115">
        <v>2</v>
      </c>
      <c r="B6409" s="115" t="s">
        <v>10684</v>
      </c>
      <c r="D6409" s="115" t="s">
        <v>10685</v>
      </c>
      <c r="E6409" s="115" t="s">
        <v>10686</v>
      </c>
    </row>
    <row r="6410" spans="1:5" x14ac:dyDescent="0.25">
      <c r="A6410" s="115">
        <v>2</v>
      </c>
      <c r="B6410" s="115" t="s">
        <v>10687</v>
      </c>
      <c r="D6410" s="115" t="s">
        <v>10688</v>
      </c>
      <c r="E6410" s="115" t="s">
        <v>10689</v>
      </c>
    </row>
    <row r="6411" spans="1:5" x14ac:dyDescent="0.25">
      <c r="A6411" s="115" t="s">
        <v>1137</v>
      </c>
      <c r="B6411" s="115" t="s">
        <v>10690</v>
      </c>
      <c r="D6411" s="115" t="s">
        <v>10691</v>
      </c>
      <c r="E6411" s="115" t="s">
        <v>10692</v>
      </c>
    </row>
    <row r="6412" spans="1:5" x14ac:dyDescent="0.25">
      <c r="A6412" s="115" t="s">
        <v>1137</v>
      </c>
      <c r="B6412" s="115" t="s">
        <v>10693</v>
      </c>
      <c r="D6412" s="115" t="s">
        <v>10694</v>
      </c>
      <c r="E6412" s="115" t="s">
        <v>10695</v>
      </c>
    </row>
    <row r="6413" spans="1:5" x14ac:dyDescent="0.25">
      <c r="B6413" s="115" t="s">
        <v>10696</v>
      </c>
      <c r="D6413" s="115" t="s">
        <v>10697</v>
      </c>
      <c r="E6413" s="115" t="s">
        <v>10698</v>
      </c>
    </row>
    <row r="6414" spans="1:5" x14ac:dyDescent="0.25">
      <c r="B6414" s="115" t="s">
        <v>10699</v>
      </c>
      <c r="D6414" s="115" t="s">
        <v>10700</v>
      </c>
      <c r="E6414" s="115" t="s">
        <v>10701</v>
      </c>
    </row>
    <row r="6415" spans="1:5" x14ac:dyDescent="0.25">
      <c r="B6415" s="115" t="s">
        <v>10702</v>
      </c>
      <c r="D6415" s="115" t="s">
        <v>10703</v>
      </c>
      <c r="E6415" s="115" t="s">
        <v>10704</v>
      </c>
    </row>
    <row r="6416" spans="1:5" x14ac:dyDescent="0.25">
      <c r="B6416" s="115" t="s">
        <v>10705</v>
      </c>
      <c r="D6416" s="115" t="s">
        <v>10706</v>
      </c>
      <c r="E6416" s="115" t="s">
        <v>10707</v>
      </c>
    </row>
    <row r="6417" spans="1:5" x14ac:dyDescent="0.25">
      <c r="B6417" s="115" t="s">
        <v>10708</v>
      </c>
      <c r="D6417" s="115" t="s">
        <v>10709</v>
      </c>
      <c r="E6417" s="115" t="s">
        <v>10710</v>
      </c>
    </row>
    <row r="6418" spans="1:5" x14ac:dyDescent="0.25">
      <c r="A6418" s="115" t="s">
        <v>1137</v>
      </c>
      <c r="B6418" s="115" t="s">
        <v>7113</v>
      </c>
      <c r="D6418" s="115" t="s">
        <v>1139</v>
      </c>
      <c r="E6418" s="115" t="s">
        <v>10711</v>
      </c>
    </row>
    <row r="6419" spans="1:5" x14ac:dyDescent="0.25">
      <c r="B6419" s="115" t="s">
        <v>10712</v>
      </c>
      <c r="D6419" s="115" t="s">
        <v>10713</v>
      </c>
      <c r="E6419" s="115" t="s">
        <v>10714</v>
      </c>
    </row>
    <row r="6420" spans="1:5" x14ac:dyDescent="0.25">
      <c r="A6420" s="115">
        <v>-1</v>
      </c>
      <c r="B6420" s="115" t="s">
        <v>10715</v>
      </c>
      <c r="D6420" s="115" t="s">
        <v>10716</v>
      </c>
      <c r="E6420" s="115" t="s">
        <v>10717</v>
      </c>
    </row>
    <row r="6421" spans="1:5" x14ac:dyDescent="0.25">
      <c r="A6421" s="115" t="s">
        <v>1137</v>
      </c>
      <c r="B6421" s="115" t="s">
        <v>1335</v>
      </c>
      <c r="D6421" s="115" t="s">
        <v>10718</v>
      </c>
      <c r="E6421" s="115" t="s">
        <v>10719</v>
      </c>
    </row>
    <row r="6422" spans="1:5" x14ac:dyDescent="0.25">
      <c r="A6422" s="115">
        <v>-2</v>
      </c>
      <c r="B6422" s="115" t="s">
        <v>10720</v>
      </c>
      <c r="D6422" s="115" t="s">
        <v>10721</v>
      </c>
      <c r="E6422" s="115" t="s">
        <v>10722</v>
      </c>
    </row>
    <row r="6423" spans="1:5" x14ac:dyDescent="0.25">
      <c r="B6423" s="115" t="s">
        <v>1138</v>
      </c>
      <c r="D6423" s="115" t="s">
        <v>10723</v>
      </c>
      <c r="E6423" s="115" t="s">
        <v>10724</v>
      </c>
    </row>
    <row r="6424" spans="1:5" x14ac:dyDescent="0.25">
      <c r="B6424" s="115" t="s">
        <v>1138</v>
      </c>
      <c r="D6424" s="115" t="s">
        <v>10725</v>
      </c>
      <c r="E6424" s="115" t="s">
        <v>1701</v>
      </c>
    </row>
    <row r="6425" spans="1:5" x14ac:dyDescent="0.25">
      <c r="B6425" s="115" t="s">
        <v>10726</v>
      </c>
      <c r="C6425" s="115" t="s">
        <v>1137</v>
      </c>
      <c r="D6425" s="115" t="s">
        <v>10727</v>
      </c>
      <c r="E6425" s="115" t="s">
        <v>1140</v>
      </c>
    </row>
    <row r="6426" spans="1:5" x14ac:dyDescent="0.25">
      <c r="B6426" s="115" t="s">
        <v>1138</v>
      </c>
      <c r="D6426" s="115" t="s">
        <v>1139</v>
      </c>
      <c r="E6426" s="115" t="s">
        <v>10728</v>
      </c>
    </row>
    <row r="6427" spans="1:5" x14ac:dyDescent="0.25">
      <c r="B6427" s="115" t="s">
        <v>1138</v>
      </c>
      <c r="D6427" s="115" t="s">
        <v>10729</v>
      </c>
      <c r="E6427" s="115" t="s">
        <v>10730</v>
      </c>
    </row>
    <row r="6428" spans="1:5" x14ac:dyDescent="0.25">
      <c r="A6428" s="115">
        <v>3</v>
      </c>
      <c r="B6428" s="115" t="s">
        <v>10731</v>
      </c>
      <c r="D6428" s="115" t="s">
        <v>10732</v>
      </c>
      <c r="E6428" s="115" t="s">
        <v>10733</v>
      </c>
    </row>
    <row r="6429" spans="1:5" x14ac:dyDescent="0.25">
      <c r="B6429" s="115" t="s">
        <v>10734</v>
      </c>
      <c r="D6429" s="115" t="s">
        <v>10735</v>
      </c>
      <c r="E6429" s="115" t="s">
        <v>10736</v>
      </c>
    </row>
    <row r="6430" spans="1:5" x14ac:dyDescent="0.25">
      <c r="A6430" s="115">
        <v>1</v>
      </c>
      <c r="B6430" s="115" t="s">
        <v>10737</v>
      </c>
      <c r="D6430" s="115" t="s">
        <v>10738</v>
      </c>
      <c r="E6430" s="115" t="s">
        <v>10739</v>
      </c>
    </row>
    <row r="6431" spans="1:5" x14ac:dyDescent="0.25">
      <c r="B6431" s="115" t="s">
        <v>10740</v>
      </c>
      <c r="D6431" s="115">
        <f>-26   -750   -342   -50</f>
        <v>-1168</v>
      </c>
      <c r="E6431" s="115" t="s">
        <v>10741</v>
      </c>
    </row>
    <row r="6432" spans="1:5" x14ac:dyDescent="0.25">
      <c r="A6432" s="115">
        <v>1</v>
      </c>
      <c r="B6432" s="115" t="s">
        <v>10742</v>
      </c>
      <c r="D6432" s="115" t="s">
        <v>10743</v>
      </c>
      <c r="E6432" s="115" t="s">
        <v>10744</v>
      </c>
    </row>
    <row r="6433" spans="1:5" x14ac:dyDescent="0.25">
      <c r="A6433" s="115" t="s">
        <v>1137</v>
      </c>
      <c r="B6433" s="115" t="s">
        <v>10745</v>
      </c>
      <c r="D6433" s="115" t="s">
        <v>10746</v>
      </c>
      <c r="E6433" s="115" t="s">
        <v>10747</v>
      </c>
    </row>
    <row r="6434" spans="1:5" x14ac:dyDescent="0.25">
      <c r="A6434" s="115">
        <v>-3</v>
      </c>
      <c r="B6434" s="115" t="s">
        <v>10748</v>
      </c>
      <c r="D6434" s="115" t="s">
        <v>10749</v>
      </c>
      <c r="E6434" s="115" t="s">
        <v>10750</v>
      </c>
    </row>
    <row r="6435" spans="1:5" x14ac:dyDescent="0.25">
      <c r="A6435" s="115" t="s">
        <v>1137</v>
      </c>
      <c r="B6435" s="115" t="s">
        <v>10751</v>
      </c>
      <c r="D6435" s="115">
        <f>-413  -1154   -837   -68</f>
        <v>-2472</v>
      </c>
      <c r="E6435" s="115" t="s">
        <v>10752</v>
      </c>
    </row>
    <row r="6436" spans="1:5" x14ac:dyDescent="0.25">
      <c r="A6436" s="115">
        <v>1</v>
      </c>
      <c r="B6436" s="115" t="s">
        <v>10753</v>
      </c>
      <c r="D6436" s="115" t="s">
        <v>10754</v>
      </c>
      <c r="E6436" s="115" t="s">
        <v>10755</v>
      </c>
    </row>
    <row r="6437" spans="1:5" x14ac:dyDescent="0.25">
      <c r="B6437" s="115" t="s">
        <v>1138</v>
      </c>
      <c r="D6437" s="115" t="s">
        <v>10756</v>
      </c>
      <c r="E6437" s="115" t="s">
        <v>10757</v>
      </c>
    </row>
    <row r="6438" spans="1:5" x14ac:dyDescent="0.25">
      <c r="B6438" s="115" t="s">
        <v>1138</v>
      </c>
      <c r="D6438" s="115" t="s">
        <v>1139</v>
      </c>
      <c r="E6438" s="115" t="s">
        <v>10758</v>
      </c>
    </row>
    <row r="6439" spans="1:5" x14ac:dyDescent="0.25">
      <c r="B6439" s="115" t="s">
        <v>1138</v>
      </c>
      <c r="D6439" s="115" t="s">
        <v>10759</v>
      </c>
      <c r="E6439" s="115" t="s">
        <v>10760</v>
      </c>
    </row>
    <row r="6440" spans="1:5" x14ac:dyDescent="0.25">
      <c r="B6440" s="115" t="s">
        <v>6223</v>
      </c>
      <c r="D6440" s="115" t="s">
        <v>4123</v>
      </c>
      <c r="E6440" s="115" t="s">
        <v>1858</v>
      </c>
    </row>
    <row r="6441" spans="1:5" x14ac:dyDescent="0.25">
      <c r="B6441" s="115" t="s">
        <v>10761</v>
      </c>
      <c r="D6441" s="115" t="s">
        <v>1139</v>
      </c>
      <c r="E6441" s="115" t="s">
        <v>10762</v>
      </c>
    </row>
    <row r="6442" spans="1:5" x14ac:dyDescent="0.25">
      <c r="A6442" s="115">
        <v>7</v>
      </c>
      <c r="B6442" s="115" t="s">
        <v>10763</v>
      </c>
      <c r="D6442" s="115" t="s">
        <v>10764</v>
      </c>
      <c r="E6442" s="115" t="s">
        <v>10765</v>
      </c>
    </row>
    <row r="6443" spans="1:5" x14ac:dyDescent="0.25">
      <c r="B6443" s="115" t="s">
        <v>1138</v>
      </c>
      <c r="D6443" s="115" t="s">
        <v>10766</v>
      </c>
      <c r="E6443" s="115" t="s">
        <v>10767</v>
      </c>
    </row>
    <row r="6444" spans="1:5" x14ac:dyDescent="0.25">
      <c r="A6444" s="115">
        <v>-1</v>
      </c>
      <c r="B6444" s="115" t="s">
        <v>10768</v>
      </c>
      <c r="D6444" s="115" t="s">
        <v>1139</v>
      </c>
      <c r="E6444" s="115" t="s">
        <v>10769</v>
      </c>
    </row>
    <row r="6445" spans="1:5" x14ac:dyDescent="0.25">
      <c r="A6445" s="115">
        <v>6</v>
      </c>
      <c r="B6445" s="115" t="s">
        <v>10770</v>
      </c>
      <c r="D6445" s="115" t="s">
        <v>10771</v>
      </c>
      <c r="E6445" s="115" t="s">
        <v>10772</v>
      </c>
    </row>
    <row r="6446" spans="1:5" x14ac:dyDescent="0.25">
      <c r="A6446" s="115" t="s">
        <v>1137</v>
      </c>
      <c r="B6446" s="115" t="s">
        <v>10773</v>
      </c>
      <c r="D6446" s="115" t="s">
        <v>10774</v>
      </c>
      <c r="E6446" s="115" t="s">
        <v>10775</v>
      </c>
    </row>
    <row r="6447" spans="1:5" x14ac:dyDescent="0.25">
      <c r="A6447" s="115" t="s">
        <v>1137</v>
      </c>
      <c r="B6447" s="115" t="s">
        <v>10776</v>
      </c>
      <c r="D6447" s="115" t="s">
        <v>1139</v>
      </c>
      <c r="E6447" s="115" t="s">
        <v>10777</v>
      </c>
    </row>
    <row r="6448" spans="1:5" x14ac:dyDescent="0.25">
      <c r="A6448" s="115">
        <v>6</v>
      </c>
      <c r="B6448" s="115" t="s">
        <v>10778</v>
      </c>
      <c r="D6448" s="115">
        <f>-242   -593   -603    -5</f>
        <v>-1443</v>
      </c>
      <c r="E6448" s="115" t="s">
        <v>10779</v>
      </c>
    </row>
    <row r="6449" spans="1:5" x14ac:dyDescent="0.25">
      <c r="B6449" s="115" t="s">
        <v>10780</v>
      </c>
      <c r="D6449" s="115" t="s">
        <v>10781</v>
      </c>
      <c r="E6449" s="115" t="s">
        <v>10782</v>
      </c>
    </row>
    <row r="6450" spans="1:5" x14ac:dyDescent="0.25">
      <c r="A6450" s="115">
        <v>-1</v>
      </c>
      <c r="B6450" s="115" t="s">
        <v>10783</v>
      </c>
      <c r="D6450" s="115" t="s">
        <v>1139</v>
      </c>
      <c r="E6450" s="115" t="s">
        <v>10784</v>
      </c>
    </row>
    <row r="6451" spans="1:5" x14ac:dyDescent="0.25">
      <c r="A6451" s="115">
        <v>5</v>
      </c>
      <c r="B6451" s="115" t="s">
        <v>10785</v>
      </c>
      <c r="D6451" s="115" t="s">
        <v>10786</v>
      </c>
      <c r="E6451" s="115" t="s">
        <v>10787</v>
      </c>
    </row>
    <row r="6452" spans="1:5" x14ac:dyDescent="0.25">
      <c r="B6452" s="115" t="s">
        <v>10788</v>
      </c>
      <c r="D6452" s="115" t="s">
        <v>1345</v>
      </c>
      <c r="E6452" s="115" t="s">
        <v>10789</v>
      </c>
    </row>
    <row r="6453" spans="1:5" x14ac:dyDescent="0.25">
      <c r="B6453" s="115" t="s">
        <v>1138</v>
      </c>
      <c r="D6453" s="115" t="s">
        <v>1139</v>
      </c>
      <c r="E6453" s="115" t="s">
        <v>10790</v>
      </c>
    </row>
    <row r="6454" spans="1:5" x14ac:dyDescent="0.25">
      <c r="A6454" s="115">
        <v>10</v>
      </c>
      <c r="B6454" s="115" t="s">
        <v>10791</v>
      </c>
      <c r="D6454" s="115" t="s">
        <v>1139</v>
      </c>
      <c r="E6454" s="115" t="s">
        <v>10792</v>
      </c>
    </row>
    <row r="6455" spans="1:5" x14ac:dyDescent="0.25">
      <c r="A6455" s="115" t="s">
        <v>1137</v>
      </c>
      <c r="B6455" s="115" t="s">
        <v>10793</v>
      </c>
      <c r="D6455" s="115" t="s">
        <v>10794</v>
      </c>
      <c r="E6455" s="115" t="s">
        <v>10795</v>
      </c>
    </row>
    <row r="6456" spans="1:5" x14ac:dyDescent="0.25">
      <c r="B6456" s="115" t="s">
        <v>1522</v>
      </c>
      <c r="D6456" s="115" t="s">
        <v>1139</v>
      </c>
      <c r="E6456" s="115" t="s">
        <v>10796</v>
      </c>
    </row>
    <row r="6457" spans="1:5" x14ac:dyDescent="0.25">
      <c r="A6457" s="115" t="s">
        <v>1137</v>
      </c>
      <c r="B6457" s="115" t="s">
        <v>10797</v>
      </c>
      <c r="D6457" s="115" t="s">
        <v>10798</v>
      </c>
      <c r="E6457" s="115" t="s">
        <v>1140</v>
      </c>
    </row>
    <row r="6458" spans="1:5" x14ac:dyDescent="0.25">
      <c r="B6458" s="115" t="s">
        <v>1138</v>
      </c>
      <c r="D6458" s="115" t="s">
        <v>10799</v>
      </c>
      <c r="E6458" s="115" t="s">
        <v>10800</v>
      </c>
    </row>
    <row r="6459" spans="1:5" x14ac:dyDescent="0.25">
      <c r="A6459" s="115" t="s">
        <v>1137</v>
      </c>
      <c r="B6459" s="115" t="s">
        <v>1299</v>
      </c>
      <c r="D6459" s="115" t="s">
        <v>10801</v>
      </c>
      <c r="E6459" s="115" t="s">
        <v>10802</v>
      </c>
    </row>
    <row r="6460" spans="1:5" x14ac:dyDescent="0.25">
      <c r="A6460" s="115">
        <v>-2</v>
      </c>
      <c r="B6460" s="115" t="s">
        <v>10803</v>
      </c>
      <c r="D6460" s="115" t="s">
        <v>1139</v>
      </c>
      <c r="E6460" s="115" t="s">
        <v>1140</v>
      </c>
    </row>
    <row r="6461" spans="1:5" x14ac:dyDescent="0.25">
      <c r="B6461" s="115" t="s">
        <v>1138</v>
      </c>
      <c r="D6461" s="115" t="s">
        <v>1139</v>
      </c>
      <c r="E6461" s="115" t="s">
        <v>10804</v>
      </c>
    </row>
    <row r="6462" spans="1:5" x14ac:dyDescent="0.25">
      <c r="B6462" s="115" t="s">
        <v>10805</v>
      </c>
      <c r="D6462" s="115" t="s">
        <v>10806</v>
      </c>
      <c r="E6462" s="115" t="s">
        <v>10807</v>
      </c>
    </row>
    <row r="6463" spans="1:5" x14ac:dyDescent="0.25">
      <c r="B6463" s="115" t="s">
        <v>1138</v>
      </c>
      <c r="D6463" s="115" t="s">
        <v>10808</v>
      </c>
      <c r="E6463" s="115" t="s">
        <v>10809</v>
      </c>
    </row>
    <row r="6464" spans="1:5" x14ac:dyDescent="0.25">
      <c r="B6464" s="115" t="s">
        <v>10810</v>
      </c>
      <c r="D6464" s="115" t="s">
        <v>10811</v>
      </c>
      <c r="E6464" s="115" t="s">
        <v>10812</v>
      </c>
    </row>
    <row r="6465" spans="1:5" x14ac:dyDescent="0.25">
      <c r="B6465" s="115" t="s">
        <v>10813</v>
      </c>
      <c r="D6465" s="115" t="s">
        <v>10814</v>
      </c>
      <c r="E6465" s="115" t="s">
        <v>10815</v>
      </c>
    </row>
    <row r="6466" spans="1:5" x14ac:dyDescent="0.25">
      <c r="A6466" s="115">
        <v>1</v>
      </c>
      <c r="B6466" s="115" t="s">
        <v>10816</v>
      </c>
      <c r="D6466" s="115" t="s">
        <v>10817</v>
      </c>
      <c r="E6466" s="115" t="s">
        <v>10818</v>
      </c>
    </row>
    <row r="6467" spans="1:5" x14ac:dyDescent="0.25">
      <c r="A6467" s="115">
        <v>-1</v>
      </c>
      <c r="B6467" s="115" t="s">
        <v>10819</v>
      </c>
      <c r="C6467" s="115" t="s">
        <v>1137</v>
      </c>
      <c r="D6467" s="115" t="s">
        <v>10820</v>
      </c>
      <c r="E6467" s="115" t="s">
        <v>10821</v>
      </c>
    </row>
    <row r="6468" spans="1:5" x14ac:dyDescent="0.25">
      <c r="A6468" s="115">
        <v>-26</v>
      </c>
      <c r="B6468" s="115" t="s">
        <v>10822</v>
      </c>
      <c r="C6468" s="115">
        <v>-2</v>
      </c>
      <c r="D6468" s="115" t="s">
        <v>10823</v>
      </c>
      <c r="E6468" s="115" t="s">
        <v>10824</v>
      </c>
    </row>
    <row r="6469" spans="1:5" x14ac:dyDescent="0.25">
      <c r="A6469" s="115">
        <v>-2</v>
      </c>
      <c r="B6469" s="115" t="s">
        <v>10825</v>
      </c>
      <c r="C6469" s="115" t="s">
        <v>1137</v>
      </c>
      <c r="D6469" s="115" t="s">
        <v>10826</v>
      </c>
      <c r="E6469" s="115" t="s">
        <v>10827</v>
      </c>
    </row>
    <row r="6470" spans="1:5" x14ac:dyDescent="0.25">
      <c r="A6470" s="115">
        <v>-21</v>
      </c>
      <c r="B6470" s="115" t="s">
        <v>10828</v>
      </c>
      <c r="C6470" s="115">
        <v>-2</v>
      </c>
      <c r="D6470" s="115" t="s">
        <v>10829</v>
      </c>
      <c r="E6470" s="115" t="s">
        <v>10830</v>
      </c>
    </row>
    <row r="6471" spans="1:5" x14ac:dyDescent="0.25">
      <c r="A6471" s="115">
        <v>-11</v>
      </c>
      <c r="B6471" s="115" t="s">
        <v>10831</v>
      </c>
      <c r="D6471" s="115" t="s">
        <v>10832</v>
      </c>
    </row>
    <row r="6691" spans="2:2" x14ac:dyDescent="0.25">
      <c r="B6691" s="126"/>
    </row>
    <row r="6811" spans="2:2" x14ac:dyDescent="0.25">
      <c r="B6811" s="126"/>
    </row>
    <row r="7294" spans="2:2" x14ac:dyDescent="0.25">
      <c r="B7294" s="127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40"/>
  <sheetViews>
    <sheetView workbookViewId="0">
      <selection activeCell="J14" sqref="J14"/>
    </sheetView>
  </sheetViews>
  <sheetFormatPr defaultRowHeight="12.75" x14ac:dyDescent="0.2"/>
  <sheetData>
    <row r="1" spans="1:13" ht="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r="2" spans="1:13" ht="15" x14ac:dyDescent="0.2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8"/>
    </row>
    <row r="3" spans="1:13" ht="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r="4" spans="1:13" ht="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r="5" spans="1:13" ht="15" x14ac:dyDescent="0.25">
      <c r="A5" s="201">
        <v>4</v>
      </c>
      <c r="B5" s="202" t="s">
        <v>1687</v>
      </c>
      <c r="C5" s="202"/>
      <c r="D5" s="202"/>
      <c r="E5" s="202"/>
      <c r="F5" s="202"/>
      <c r="G5" s="202"/>
      <c r="H5" s="202"/>
      <c r="I5" s="202"/>
      <c r="J5" s="202"/>
      <c r="K5" s="208"/>
    </row>
    <row r="6" spans="1:13" ht="15" x14ac:dyDescent="0.2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r="7" spans="1:13" ht="15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ht="15" x14ac:dyDescent="0.25">
      <c r="A8" s="115" t="s">
        <v>210</v>
      </c>
      <c r="B8" s="115" t="s">
        <v>1119</v>
      </c>
      <c r="C8" s="115" t="s">
        <v>1120</v>
      </c>
      <c r="D8" s="115" t="s">
        <v>1121</v>
      </c>
      <c r="E8" s="115" t="s">
        <v>1122</v>
      </c>
      <c r="F8" s="115" t="s">
        <v>44</v>
      </c>
      <c r="G8" s="115" t="s">
        <v>1123</v>
      </c>
      <c r="H8" s="115"/>
      <c r="I8" s="115"/>
      <c r="J8" s="115"/>
      <c r="K8" s="115"/>
      <c r="L8" s="115"/>
      <c r="M8" s="115"/>
    </row>
    <row r="9" spans="1:13" ht="15" x14ac:dyDescent="0.25">
      <c r="A9" s="115" t="s">
        <v>1124</v>
      </c>
      <c r="B9" s="115" t="s">
        <v>1125</v>
      </c>
      <c r="C9" s="115" t="s">
        <v>1126</v>
      </c>
      <c r="D9" s="115" t="s">
        <v>1127</v>
      </c>
      <c r="E9" s="115">
        <v>4</v>
      </c>
      <c r="F9" s="116">
        <v>0.52747685185185189</v>
      </c>
      <c r="G9" s="115" t="s">
        <v>1128</v>
      </c>
      <c r="H9" s="115">
        <v>6</v>
      </c>
      <c r="I9" s="115" t="s">
        <v>1129</v>
      </c>
      <c r="J9" s="115">
        <v>12</v>
      </c>
      <c r="K9" s="115"/>
      <c r="L9" s="115"/>
      <c r="M9" s="115"/>
    </row>
    <row r="10" spans="1:13" ht="15" x14ac:dyDescent="0.2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ht="15" x14ac:dyDescent="0.25">
      <c r="A11" s="115"/>
      <c r="B11" s="115">
        <v>1</v>
      </c>
      <c r="C11" s="115" t="s">
        <v>1104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r="12" spans="1:13" ht="15" x14ac:dyDescent="0.25">
      <c r="A12" s="115"/>
      <c r="B12" s="115">
        <v>3</v>
      </c>
      <c r="C12" s="115" t="s">
        <v>1105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r="13" spans="1:13" ht="15" x14ac:dyDescent="0.25">
      <c r="A13" s="115"/>
      <c r="B13" s="115">
        <v>4</v>
      </c>
      <c r="C13" s="115" t="s">
        <v>1106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r="14" spans="1:13" ht="15" x14ac:dyDescent="0.25">
      <c r="A14" s="115"/>
      <c r="B14" s="115">
        <v>6</v>
      </c>
      <c r="C14" s="115" t="s">
        <v>1107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r="15" spans="1:13" ht="15" x14ac:dyDescent="0.25">
      <c r="A15" s="115"/>
      <c r="B15" s="115">
        <v>8</v>
      </c>
      <c r="C15" s="115" t="s">
        <v>1108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r="16" spans="1:13" ht="15" x14ac:dyDescent="0.25">
      <c r="A16" s="115"/>
      <c r="B16" s="115">
        <v>10</v>
      </c>
      <c r="C16" s="115" t="s">
        <v>1109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r="17" spans="1:13" ht="15" x14ac:dyDescent="0.25">
      <c r="A17" s="115"/>
      <c r="B17" s="115">
        <v>13</v>
      </c>
      <c r="C17" s="115" t="s">
        <v>1110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r="18" spans="1:13" ht="15" x14ac:dyDescent="0.25">
      <c r="A18" s="115"/>
      <c r="B18" s="115">
        <v>15</v>
      </c>
      <c r="C18" s="115" t="s">
        <v>1111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r="19" spans="1:13" ht="15" x14ac:dyDescent="0.25">
      <c r="A19" s="115"/>
      <c r="B19" s="115">
        <v>16</v>
      </c>
      <c r="C19" s="115" t="s">
        <v>1112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r="20" spans="1:13" ht="15" x14ac:dyDescent="0.25">
      <c r="A20" s="115"/>
      <c r="B20" s="115">
        <v>18</v>
      </c>
      <c r="C20" s="115" t="s">
        <v>1113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r="21" spans="1:13" ht="15" x14ac:dyDescent="0.25">
      <c r="A21" s="115"/>
      <c r="B21" s="115">
        <v>22</v>
      </c>
      <c r="C21" s="115" t="s">
        <v>1114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r="22" spans="1:13" ht="15" x14ac:dyDescent="0.25">
      <c r="A22" s="115"/>
      <c r="B22" s="115">
        <v>23</v>
      </c>
      <c r="C22" s="115" t="s">
        <v>1115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r="23" spans="1:13" ht="15" x14ac:dyDescent="0.25">
      <c r="A23" s="115"/>
      <c r="B23" s="115">
        <v>32</v>
      </c>
      <c r="C23" s="115" t="s">
        <v>1116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r="24" spans="1:13" ht="15" x14ac:dyDescent="0.25">
      <c r="A24" s="115"/>
      <c r="B24" s="115">
        <v>39</v>
      </c>
      <c r="C24" s="115" t="s">
        <v>1117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r="25" spans="1:13" ht="15" x14ac:dyDescent="0.25">
      <c r="A25" s="115"/>
      <c r="B25" s="115">
        <v>50</v>
      </c>
      <c r="C25" s="115" t="s">
        <v>1118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r="26" spans="1:13" ht="15" x14ac:dyDescent="0.2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15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r="28" spans="1:13" ht="15" x14ac:dyDescent="0.25">
      <c r="A28" s="115"/>
      <c r="B28" s="115">
        <v>16</v>
      </c>
      <c r="C28" s="115" t="s">
        <v>1130</v>
      </c>
      <c r="D28" s="115" t="s">
        <v>1128</v>
      </c>
      <c r="E28" s="115">
        <v>6</v>
      </c>
      <c r="F28" s="115" t="s">
        <v>1129</v>
      </c>
      <c r="G28" s="115">
        <v>12</v>
      </c>
      <c r="H28" s="115"/>
      <c r="I28" s="115"/>
      <c r="J28" s="115"/>
      <c r="K28" s="115"/>
      <c r="L28" s="115"/>
      <c r="M28" s="115"/>
    </row>
    <row r="29" spans="1:13" ht="15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r="30" spans="1:13" ht="15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r="31" spans="1:13" ht="15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r="32" spans="1:13" ht="15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r="33" spans="1:13" ht="15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r="34" spans="1:13" ht="15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r="35" spans="1:13" ht="15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r="36" spans="1:13" ht="15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r="37" spans="1:13" ht="15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r="38" spans="1:13" ht="15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r="39" spans="1:13" ht="15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r="40" spans="1:13" ht="15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J398"/>
  <sheetViews>
    <sheetView zoomScaleNormal="100" workbookViewId="0">
      <selection activeCell="H14" sqref="H14"/>
    </sheetView>
  </sheetViews>
  <sheetFormatPr defaultRowHeight="15" x14ac:dyDescent="0.25"/>
  <cols>
    <col min="1" max="2" width="9" style="115" collapsed="1"/>
    <col min="3" max="3" width="12.375" style="115" bestFit="1" customWidth="1" collapsed="1"/>
    <col min="4" max="4" width="10.375" style="115" customWidth="1" collapsed="1"/>
    <col min="5" max="5" width="9.25" style="115" bestFit="1" customWidth="1" collapsed="1"/>
    <col min="6" max="6" width="10.125" style="115" bestFit="1" customWidth="1" collapsed="1"/>
    <col min="7" max="8" width="9.25" style="115" bestFit="1" customWidth="1" collapsed="1"/>
    <col min="9" max="9" width="12.625" style="115" bestFit="1" customWidth="1" collapsed="1"/>
    <col min="10" max="10" width="9" style="115" collapsed="1"/>
    <col min="11" max="12" width="12.5" style="115" bestFit="1" customWidth="1" collapsed="1"/>
    <col min="13" max="13" width="12.75" style="115" customWidth="1" collapsed="1"/>
    <col min="14" max="14" width="12.5" style="115" bestFit="1" customWidth="1" collapsed="1"/>
    <col min="15" max="18" width="9" style="115" collapsed="1"/>
    <col min="19" max="19" width="27.5" style="115" customWidth="1" collapsed="1"/>
    <col min="20" max="21" width="9" style="115" collapsed="1"/>
    <col min="22" max="23" width="12.5" style="115" bestFit="1" customWidth="1" collapsed="1"/>
    <col min="24" max="26" width="9" style="115" collapsed="1"/>
    <col min="27" max="28" width="13.5" style="115" bestFit="1" customWidth="1" collapsed="1"/>
    <col min="29" max="32" width="9" style="115" collapsed="1"/>
    <col min="33" max="33" width="78.125" style="115" bestFit="1" customWidth="1" collapsed="1"/>
    <col min="34" max="16384" width="9" style="115" collapsed="1"/>
  </cols>
  <sheetData>
    <row r="1" spans="2:36" x14ac:dyDescent="0.25">
      <c r="M1"/>
      <c r="N1" s="128" t="s">
        <v>10840</v>
      </c>
      <c r="T1" s="128" t="s">
        <v>10840</v>
      </c>
      <c r="Y1" s="128" t="s">
        <v>1103</v>
      </c>
      <c r="AF1" s="128" t="s">
        <v>1036</v>
      </c>
    </row>
    <row r="2" spans="2:36" x14ac:dyDescent="0.25">
      <c r="B2" s="128" t="s">
        <v>1026</v>
      </c>
      <c r="G2" s="128" t="s">
        <v>1026</v>
      </c>
      <c r="H2" s="119" t="s">
        <v>1132</v>
      </c>
      <c r="I2" s="164">
        <v>0</v>
      </c>
      <c r="M2"/>
      <c r="O2" s="114" t="s">
        <v>10849</v>
      </c>
      <c r="P2"/>
      <c r="V2" s="173" t="s">
        <v>1033</v>
      </c>
      <c r="W2" s="173" t="s">
        <v>1034</v>
      </c>
      <c r="AA2" s="173" t="s">
        <v>1033</v>
      </c>
      <c r="AB2" s="173" t="s">
        <v>1034</v>
      </c>
      <c r="AH2" s="115" t="s">
        <v>1033</v>
      </c>
      <c r="AI2" s="115" t="s">
        <v>1034</v>
      </c>
      <c r="AJ2" s="115" t="s">
        <v>10872</v>
      </c>
    </row>
    <row r="3" spans="2:36" ht="15.75" thickBot="1" x14ac:dyDescent="0.3">
      <c r="B3" s="124"/>
      <c r="C3" s="124"/>
      <c r="D3" s="124"/>
      <c r="E3" s="124"/>
      <c r="F3" s="123"/>
      <c r="G3" s="143" t="s">
        <v>1035</v>
      </c>
      <c r="H3" s="124"/>
      <c r="I3" s="124"/>
      <c r="J3" s="1"/>
      <c r="K3" s="124"/>
      <c r="L3" s="124"/>
      <c r="M3" s="124"/>
      <c r="N3">
        <v>1</v>
      </c>
      <c r="O3" s="65" t="s">
        <v>10855</v>
      </c>
      <c r="P3"/>
      <c r="T3" s="137">
        <f>DayPatternCoefficients!A11</f>
        <v>100</v>
      </c>
      <c r="U3" s="137" t="str">
        <f>DayPatternCoefficients!B11</f>
        <v>W-TASC</v>
      </c>
      <c r="V3" s="138">
        <f>DayPatternCoefficients!D11</f>
        <v>0.758976817686</v>
      </c>
      <c r="W3" s="178">
        <f t="shared" ref="W3:W34" si="0">_xlfn.IFNA(VLOOKUP(T3,$K$63:$M$105,3,FALSE),_xlfn.IFNA(VLOOKUP(T3,$G$5:$K$11,5,FALSE),_xlfn.IFNA(VLOOKUP(T3,$G$19:$K$25,5,FALSE),V3)))</f>
        <v>0.758976817686</v>
      </c>
      <c r="Y3" s="146">
        <v>1</v>
      </c>
      <c r="Z3" s="146" t="s">
        <v>1104</v>
      </c>
      <c r="AA3" s="158">
        <f>WorkbasedSubtourGenerationCoeff!E11</f>
        <v>1.2260140529550001</v>
      </c>
      <c r="AB3" s="177">
        <f>K115</f>
        <v>1.2284861039182864</v>
      </c>
      <c r="AF3" s="115">
        <v>1</v>
      </c>
      <c r="AG3" s="115" t="s">
        <v>1041</v>
      </c>
      <c r="AH3" s="115">
        <v>0.42649170864199998</v>
      </c>
      <c r="AJ3" s="115" t="s">
        <v>1066</v>
      </c>
    </row>
    <row r="4" spans="2:36" x14ac:dyDescent="0.25">
      <c r="B4" s="120" t="str">
        <f>Summary!A32</f>
        <v>Purpose</v>
      </c>
      <c r="C4" s="165" t="str">
        <f>Summary!B32</f>
        <v>ExpandSurv</v>
      </c>
      <c r="D4" s="165" t="str">
        <f>Summary!C32</f>
        <v>SynthPop</v>
      </c>
      <c r="E4" s="165" t="s">
        <v>1027</v>
      </c>
      <c r="F4" s="130"/>
      <c r="G4" s="120" t="s">
        <v>1021</v>
      </c>
      <c r="H4" s="120" t="s">
        <v>317</v>
      </c>
      <c r="I4" s="167" t="s">
        <v>1028</v>
      </c>
      <c r="J4" s="120" t="s">
        <v>1029</v>
      </c>
      <c r="K4" s="180" t="s">
        <v>1030</v>
      </c>
      <c r="L4" s="172" t="s">
        <v>10836</v>
      </c>
      <c r="M4" s="172" t="s">
        <v>10835</v>
      </c>
      <c r="N4">
        <v>2</v>
      </c>
      <c r="O4" s="65" t="s">
        <v>10852</v>
      </c>
      <c r="P4"/>
      <c r="T4" s="137">
        <f>DayPatternCoefficients!A12</f>
        <v>101</v>
      </c>
      <c r="U4" s="137" t="str">
        <f>DayPatternCoefficients!B12</f>
        <v>W-SASC</v>
      </c>
      <c r="V4" s="138">
        <f>DayPatternCoefficients!D12</f>
        <v>-0.54592920592799998</v>
      </c>
      <c r="W4" s="178">
        <f t="shared" si="0"/>
        <v>-0.54592920592799998</v>
      </c>
      <c r="Y4" s="146">
        <v>3</v>
      </c>
      <c r="Z4" s="146" t="s">
        <v>1105</v>
      </c>
      <c r="AA4" s="158">
        <f>WorkbasedSubtourGenerationCoeff!E12</f>
        <v>0.58949163187999998</v>
      </c>
      <c r="AB4" s="177">
        <f>K116</f>
        <v>0.52274357399326898</v>
      </c>
      <c r="AF4" s="115">
        <v>2</v>
      </c>
      <c r="AG4" s="115" t="s">
        <v>1042</v>
      </c>
      <c r="AH4" s="115">
        <v>0.52969549157399998</v>
      </c>
      <c r="AJ4" s="115" t="s">
        <v>1066</v>
      </c>
    </row>
    <row r="5" spans="2:36" x14ac:dyDescent="0.25">
      <c r="B5" s="115" t="str">
        <f>Summary!A33</f>
        <v>work</v>
      </c>
      <c r="C5" s="125">
        <f>ToursByTourPurpose!F74</f>
        <v>1727558.9532551463</v>
      </c>
      <c r="D5" s="125">
        <f>ToursByTourPurpose!R74</f>
        <v>1671690.7215958578</v>
      </c>
      <c r="E5" s="118">
        <f>C5/D5</f>
        <v>1.0334201960551379</v>
      </c>
      <c r="F5" s="123"/>
      <c r="G5" s="133">
        <v>100</v>
      </c>
      <c r="H5" s="129" t="s">
        <v>321</v>
      </c>
      <c r="I5" s="138">
        <f t="shared" ref="I5:I11" si="1">VLOOKUP(G5,$T$3:$V$352,3,FALSE)</f>
        <v>0.758976817686</v>
      </c>
      <c r="J5" s="135">
        <f t="shared" ref="J5:J11" si="2">$I$2*LN(E5)</f>
        <v>0</v>
      </c>
      <c r="K5" s="194">
        <f>I5+J5</f>
        <v>0.758976817686</v>
      </c>
      <c r="L5" s="196">
        <f t="shared" ref="L5:L11" si="3">VLOOKUP(G5,$T$3:$W$352,4,FALSE)</f>
        <v>0.758976817686</v>
      </c>
      <c r="M5" s="168">
        <f>IF(K5=L5,0,1)</f>
        <v>0</v>
      </c>
      <c r="N5">
        <v>3</v>
      </c>
      <c r="O5" s="115" t="s">
        <v>10853</v>
      </c>
      <c r="T5" s="137">
        <f>DayPatternCoefficients!A13</f>
        <v>102</v>
      </c>
      <c r="U5" s="137" t="str">
        <f>DayPatternCoefficients!B13</f>
        <v>W-PTW</v>
      </c>
      <c r="V5" s="138">
        <f>DayPatternCoefficients!D13</f>
        <v>-1.3062598161100001</v>
      </c>
      <c r="W5" s="178">
        <f t="shared" si="0"/>
        <v>-1.3062598161100001</v>
      </c>
      <c r="Y5" s="146">
        <v>4</v>
      </c>
      <c r="Z5" s="146" t="s">
        <v>1106</v>
      </c>
      <c r="AA5" s="158">
        <f>WorkbasedSubtourGenerationCoeff!E13</f>
        <v>0.13633704997000001</v>
      </c>
      <c r="AB5" s="177">
        <f t="shared" ref="AB5:AB9" si="4">K117</f>
        <v>0.12770630337410183</v>
      </c>
      <c r="AF5" s="115">
        <v>3</v>
      </c>
      <c r="AG5" s="115" t="s">
        <v>1043</v>
      </c>
      <c r="AH5" s="115">
        <v>0.75024585208399996</v>
      </c>
      <c r="AJ5" s="115" t="s">
        <v>1066</v>
      </c>
    </row>
    <row r="6" spans="2:36" x14ac:dyDescent="0.25">
      <c r="B6" s="115" t="str">
        <f>Summary!A34</f>
        <v>school</v>
      </c>
      <c r="C6" s="125">
        <f>ToursByTourPurpose!F75</f>
        <v>805076.52504882286</v>
      </c>
      <c r="D6" s="125">
        <f>ToursByTourPurpose!R75</f>
        <v>770465.59220550535</v>
      </c>
      <c r="E6" s="118">
        <f t="shared" ref="E6:E13" si="5">C6/D6</f>
        <v>1.0449221006018472</v>
      </c>
      <c r="F6" s="123"/>
      <c r="G6" s="133">
        <v>200</v>
      </c>
      <c r="H6" s="129" t="s">
        <v>373</v>
      </c>
      <c r="I6" s="138">
        <f t="shared" si="1"/>
        <v>0.29382413067099999</v>
      </c>
      <c r="J6" s="135">
        <f t="shared" si="2"/>
        <v>0</v>
      </c>
      <c r="K6" s="194">
        <f t="shared" ref="K6:K11" si="6">I6+J6</f>
        <v>0.29382413067099999</v>
      </c>
      <c r="L6" s="196">
        <f t="shared" si="3"/>
        <v>0.29382413067099999</v>
      </c>
      <c r="M6" s="168">
        <f t="shared" ref="M6:M11" si="7">IF(K6=L6,0,1)</f>
        <v>0</v>
      </c>
      <c r="N6">
        <v>4</v>
      </c>
      <c r="O6" s="115" t="s">
        <v>10848</v>
      </c>
      <c r="T6" s="137">
        <f>DayPatternCoefficients!A14</f>
        <v>105</v>
      </c>
      <c r="U6" s="137" t="str">
        <f>DayPatternCoefficients!B14</f>
        <v>W-UNI</v>
      </c>
      <c r="V6" s="138">
        <f>DayPatternCoefficients!D14</f>
        <v>9.5</v>
      </c>
      <c r="W6" s="178">
        <f t="shared" si="0"/>
        <v>9.5</v>
      </c>
      <c r="Y6" s="146">
        <v>6</v>
      </c>
      <c r="Z6" s="146" t="s">
        <v>1107</v>
      </c>
      <c r="AA6" s="158">
        <f>WorkbasedSubtourGenerationCoeff!E14</f>
        <v>0.30036927294999999</v>
      </c>
      <c r="AB6" s="177">
        <f t="shared" si="4"/>
        <v>0.30466054984456492</v>
      </c>
      <c r="AF6" s="115">
        <v>4</v>
      </c>
      <c r="AG6" s="115" t="s">
        <v>1044</v>
      </c>
      <c r="AH6" s="115">
        <v>0.751938985542</v>
      </c>
      <c r="AJ6" s="115" t="s">
        <v>1066</v>
      </c>
    </row>
    <row r="7" spans="2:36" x14ac:dyDescent="0.25">
      <c r="B7" s="115" t="str">
        <f>Summary!A35</f>
        <v>escort</v>
      </c>
      <c r="C7" s="125">
        <f>ToursByTourPurpose!F76</f>
        <v>648797.01309756911</v>
      </c>
      <c r="D7" s="125">
        <f>ToursByTourPurpose!R76</f>
        <v>654228.81953029055</v>
      </c>
      <c r="E7" s="118">
        <f t="shared" si="5"/>
        <v>0.9916973904686418</v>
      </c>
      <c r="F7" s="123"/>
      <c r="G7" s="133">
        <v>300</v>
      </c>
      <c r="H7" s="129" t="s">
        <v>429</v>
      </c>
      <c r="I7" s="138">
        <f t="shared" si="1"/>
        <v>-2.8</v>
      </c>
      <c r="J7" s="135">
        <f t="shared" si="2"/>
        <v>0</v>
      </c>
      <c r="K7" s="194">
        <f t="shared" si="6"/>
        <v>-2.8</v>
      </c>
      <c r="L7" s="196">
        <f t="shared" si="3"/>
        <v>-2.8</v>
      </c>
      <c r="M7" s="168">
        <f t="shared" si="7"/>
        <v>0</v>
      </c>
      <c r="N7" s="115">
        <v>5</v>
      </c>
      <c r="O7" s="115" t="s">
        <v>10854</v>
      </c>
      <c r="T7" s="137">
        <f>DayPatternCoefficients!A15</f>
        <v>106</v>
      </c>
      <c r="U7" s="137" t="str">
        <f>DayPatternCoefficients!B15</f>
        <v>W-DAS</v>
      </c>
      <c r="V7" s="138">
        <f>DayPatternCoefficients!D15</f>
        <v>-1.3932</v>
      </c>
      <c r="W7" s="178">
        <f t="shared" si="0"/>
        <v>-1.3932</v>
      </c>
      <c r="Y7" s="146">
        <v>8</v>
      </c>
      <c r="Z7" s="146" t="s">
        <v>1108</v>
      </c>
      <c r="AA7" s="158">
        <f>WorkbasedSubtourGenerationCoeff!E15</f>
        <v>0.39617773946000001</v>
      </c>
      <c r="AB7" s="177">
        <f t="shared" si="4"/>
        <v>0.3989861352787295</v>
      </c>
      <c r="AF7" s="115">
        <v>5</v>
      </c>
      <c r="AG7" s="115" t="s">
        <v>1045</v>
      </c>
      <c r="AH7" s="115">
        <v>0.75835463608200004</v>
      </c>
      <c r="AJ7" s="115" t="s">
        <v>1066</v>
      </c>
    </row>
    <row r="8" spans="2:36" x14ac:dyDescent="0.25">
      <c r="B8" s="115" t="str">
        <f>Summary!A36</f>
        <v>pers.bus</v>
      </c>
      <c r="C8" s="125">
        <f>ToursByTourPurpose!F77</f>
        <v>718143.10522838181</v>
      </c>
      <c r="D8" s="125">
        <f>ToursByTourPurpose!R77</f>
        <v>724114.18621757859</v>
      </c>
      <c r="E8" s="118">
        <f t="shared" si="5"/>
        <v>0.99175395109936071</v>
      </c>
      <c r="F8" s="123"/>
      <c r="G8" s="133">
        <v>400</v>
      </c>
      <c r="H8" s="129" t="s">
        <v>488</v>
      </c>
      <c r="I8" s="138">
        <f t="shared" si="1"/>
        <v>-2.0654832970500001</v>
      </c>
      <c r="J8" s="135">
        <f t="shared" si="2"/>
        <v>0</v>
      </c>
      <c r="K8" s="194">
        <f t="shared" si="6"/>
        <v>-2.0654832970500001</v>
      </c>
      <c r="L8" s="196">
        <f t="shared" si="3"/>
        <v>-2.0654832970500001</v>
      </c>
      <c r="M8" s="168">
        <f t="shared" si="7"/>
        <v>0</v>
      </c>
      <c r="T8" s="163">
        <f>DayPatternCoefficients!A16</f>
        <v>109</v>
      </c>
      <c r="U8" s="163" t="str">
        <f>DayPatternCoefficients!B16</f>
        <v>W-VLINC</v>
      </c>
      <c r="V8" s="157">
        <f>DayPatternCoefficients!D16</f>
        <v>-0.35</v>
      </c>
      <c r="W8" s="178">
        <f t="shared" si="0"/>
        <v>-0.35</v>
      </c>
      <c r="Y8" s="146">
        <v>10</v>
      </c>
      <c r="Z8" s="146" t="s">
        <v>1109</v>
      </c>
      <c r="AA8" s="158">
        <f>WorkbasedSubtourGenerationCoeff!E16</f>
        <v>0.57146970345199999</v>
      </c>
      <c r="AB8" s="177">
        <f t="shared" si="4"/>
        <v>0.61806036013968169</v>
      </c>
      <c r="AF8" s="115">
        <v>6</v>
      </c>
      <c r="AG8" s="115" t="s">
        <v>1046</v>
      </c>
      <c r="AH8" s="115">
        <v>0.99547769337100001</v>
      </c>
      <c r="AJ8" s="115" t="s">
        <v>1066</v>
      </c>
    </row>
    <row r="9" spans="2:36" x14ac:dyDescent="0.25">
      <c r="B9" s="115" t="str">
        <f>Summary!A37</f>
        <v>shop</v>
      </c>
      <c r="C9" s="125">
        <f>ToursByTourPurpose!F78</f>
        <v>702437.81530738831</v>
      </c>
      <c r="D9" s="125">
        <f>ToursByTourPurpose!R78</f>
        <v>711683.74690179375</v>
      </c>
      <c r="E9" s="118">
        <f t="shared" si="5"/>
        <v>0.98700837045294887</v>
      </c>
      <c r="F9" s="123"/>
      <c r="G9" s="133">
        <v>500</v>
      </c>
      <c r="H9" s="129" t="s">
        <v>547</v>
      </c>
      <c r="I9" s="138">
        <f t="shared" si="1"/>
        <v>-1.8648554903800001</v>
      </c>
      <c r="J9" s="135">
        <f t="shared" si="2"/>
        <v>0</v>
      </c>
      <c r="K9" s="194">
        <f t="shared" si="6"/>
        <v>-1.8648554903800001</v>
      </c>
      <c r="L9" s="196">
        <f t="shared" si="3"/>
        <v>-1.8648554903800001</v>
      </c>
      <c r="M9" s="168">
        <f t="shared" si="7"/>
        <v>0</v>
      </c>
      <c r="O9" s="128" t="s">
        <v>10844</v>
      </c>
      <c r="T9" s="163">
        <f>DayPatternCoefficients!A17</f>
        <v>110</v>
      </c>
      <c r="U9" s="163" t="str">
        <f>DayPatternCoefficients!B17</f>
        <v>W-LOINC</v>
      </c>
      <c r="V9" s="157">
        <f>DayPatternCoefficients!D17</f>
        <v>0.116716171556</v>
      </c>
      <c r="W9" s="178">
        <f t="shared" si="0"/>
        <v>0.116716171556</v>
      </c>
      <c r="Y9" s="146">
        <v>13</v>
      </c>
      <c r="Z9" s="146" t="s">
        <v>1110</v>
      </c>
      <c r="AA9" s="158">
        <f>WorkbasedSubtourGenerationCoeff!E17</f>
        <v>0.12974858328</v>
      </c>
      <c r="AB9" s="177">
        <f t="shared" si="4"/>
        <v>0.14585020525482414</v>
      </c>
      <c r="AF9" s="115">
        <v>7</v>
      </c>
      <c r="AG9" s="115" t="s">
        <v>1047</v>
      </c>
      <c r="AH9" s="115">
        <v>0.95328729751300001</v>
      </c>
      <c r="AJ9" s="115" t="s">
        <v>1066</v>
      </c>
    </row>
    <row r="10" spans="2:36" x14ac:dyDescent="0.25">
      <c r="B10" s="115" t="str">
        <f>Summary!A38</f>
        <v>meal</v>
      </c>
      <c r="C10" s="125">
        <f>ToursByTourPurpose!F79</f>
        <v>225250.543726851</v>
      </c>
      <c r="D10" s="125">
        <f>ToursByTourPurpose!R79</f>
        <v>211849.32876604327</v>
      </c>
      <c r="E10" s="118">
        <f t="shared" si="5"/>
        <v>1.0632582365913814</v>
      </c>
      <c r="F10" s="123"/>
      <c r="G10" s="133">
        <v>600</v>
      </c>
      <c r="H10" s="129" t="s">
        <v>606</v>
      </c>
      <c r="I10" s="138">
        <f t="shared" si="1"/>
        <v>-3.1650076478</v>
      </c>
      <c r="J10" s="135">
        <f t="shared" si="2"/>
        <v>0</v>
      </c>
      <c r="K10" s="194">
        <f t="shared" si="6"/>
        <v>-3.1650076478</v>
      </c>
      <c r="L10" s="196">
        <f t="shared" si="3"/>
        <v>-3.1650076478</v>
      </c>
      <c r="M10" s="168">
        <f t="shared" si="7"/>
        <v>0</v>
      </c>
      <c r="N10" s="115">
        <v>1</v>
      </c>
      <c r="O10" s="65" t="s">
        <v>10855</v>
      </c>
      <c r="T10" s="163">
        <f>DayPatternCoefficients!A18</f>
        <v>111</v>
      </c>
      <c r="U10" s="163" t="str">
        <f>DayPatternCoefficients!B18</f>
        <v>W-HIINC</v>
      </c>
      <c r="V10" s="157">
        <f>DayPatternCoefficients!D18</f>
        <v>0</v>
      </c>
      <c r="W10" s="178">
        <f t="shared" si="0"/>
        <v>0</v>
      </c>
      <c r="Y10" s="115">
        <v>15</v>
      </c>
      <c r="Z10" s="115" t="s">
        <v>1111</v>
      </c>
      <c r="AA10" s="156">
        <f>WorkbasedSubtourGenerationCoeff!E18</f>
        <v>5.5746620251300003</v>
      </c>
      <c r="AB10" s="177">
        <f>AA10</f>
        <v>5.5746620251300003</v>
      </c>
      <c r="AF10" s="115">
        <v>8</v>
      </c>
      <c r="AG10" s="115" t="s">
        <v>1048</v>
      </c>
      <c r="AH10" s="115">
        <v>1.0428398506300001</v>
      </c>
      <c r="AJ10" s="115" t="s">
        <v>1066</v>
      </c>
    </row>
    <row r="11" spans="2:36" ht="15.75" thickBot="1" x14ac:dyDescent="0.3">
      <c r="B11" s="115" t="str">
        <f>Summary!A39</f>
        <v>soc/rec</v>
      </c>
      <c r="C11" s="125">
        <f>ToursByTourPurpose!F80</f>
        <v>1090010.6006267432</v>
      </c>
      <c r="D11" s="125">
        <f>ToursByTourPurpose!R80</f>
        <v>1093177.8282839567</v>
      </c>
      <c r="E11" s="118">
        <f t="shared" si="5"/>
        <v>0.99710273335657984</v>
      </c>
      <c r="F11" s="123"/>
      <c r="G11" s="134">
        <v>700</v>
      </c>
      <c r="H11" s="132" t="s">
        <v>665</v>
      </c>
      <c r="I11" s="169">
        <f t="shared" si="1"/>
        <v>-2.1192921546600001</v>
      </c>
      <c r="J11" s="136">
        <f t="shared" si="2"/>
        <v>0</v>
      </c>
      <c r="K11" s="195">
        <f t="shared" si="6"/>
        <v>-2.1192921546600001</v>
      </c>
      <c r="L11" s="197">
        <f t="shared" si="3"/>
        <v>-2.1192921546600001</v>
      </c>
      <c r="M11" s="171">
        <f t="shared" si="7"/>
        <v>0</v>
      </c>
      <c r="N11" s="115">
        <v>2</v>
      </c>
      <c r="O11" s="115" t="s">
        <v>10858</v>
      </c>
      <c r="T11" s="163">
        <f>DayPatternCoefficients!A19</f>
        <v>112</v>
      </c>
      <c r="U11" s="163" t="str">
        <f>DayPatternCoefficients!B19</f>
        <v>W-CARSPD</v>
      </c>
      <c r="V11" s="157">
        <f>DayPatternCoefficients!D19</f>
        <v>8.7571558659900003E-2</v>
      </c>
      <c r="W11" s="178">
        <f t="shared" si="0"/>
        <v>8.7571558659900003E-2</v>
      </c>
      <c r="Y11" s="115">
        <v>16</v>
      </c>
      <c r="Z11" s="115" t="s">
        <v>1112</v>
      </c>
      <c r="AA11" s="156">
        <f>WorkbasedSubtourGenerationCoeff!E19</f>
        <v>1.3770632615239999</v>
      </c>
      <c r="AB11" s="177">
        <f t="shared" ref="AB11:AB17" si="8">AA11</f>
        <v>1.3770632615239999</v>
      </c>
      <c r="AF11" s="115">
        <v>9</v>
      </c>
      <c r="AG11" s="115" t="s">
        <v>1049</v>
      </c>
      <c r="AH11" s="115">
        <v>0.32698344901800003</v>
      </c>
      <c r="AJ11" s="115" t="s">
        <v>1066</v>
      </c>
    </row>
    <row r="12" spans="2:36" x14ac:dyDescent="0.25">
      <c r="B12" s="121" t="str">
        <f>Summary!A40</f>
        <v>workbased</v>
      </c>
      <c r="C12" s="141">
        <f>ToursByTourPurpose!F81</f>
        <v>184043.16539742419</v>
      </c>
      <c r="D12" s="141">
        <f>ToursByTourPurpose!R81</f>
        <v>175987.41473449682</v>
      </c>
      <c r="E12" s="122">
        <f t="shared" si="5"/>
        <v>1.0457745837966919</v>
      </c>
      <c r="F12" s="123"/>
      <c r="G12" s="123"/>
      <c r="H12" s="123"/>
      <c r="I12" s="123"/>
      <c r="J12" s="123"/>
      <c r="K12" s="123"/>
      <c r="M12" s="119">
        <f>SUM(M5:M11)</f>
        <v>0</v>
      </c>
      <c r="N12" s="115">
        <v>3</v>
      </c>
      <c r="O12" s="115" t="s">
        <v>10845</v>
      </c>
      <c r="T12" s="163">
        <f>DayPatternCoefficients!A20</f>
        <v>113</v>
      </c>
      <c r="U12" s="163" t="str">
        <f>DayPatternCoefficients!B20</f>
        <v>W-ONLYAD</v>
      </c>
      <c r="V12" s="157">
        <f>DayPatternCoefficients!D20</f>
        <v>0</v>
      </c>
      <c r="W12" s="178">
        <f t="shared" si="0"/>
        <v>0</v>
      </c>
      <c r="Y12" s="115">
        <v>18</v>
      </c>
      <c r="Z12" s="115" t="s">
        <v>1113</v>
      </c>
      <c r="AA12" s="156">
        <f>WorkbasedSubtourGenerationCoeff!E20</f>
        <v>1.7355257346820001</v>
      </c>
      <c r="AB12" s="177">
        <f t="shared" si="8"/>
        <v>1.7355257346820001</v>
      </c>
      <c r="AF12" s="115">
        <v>10</v>
      </c>
      <c r="AG12" s="115" t="s">
        <v>1050</v>
      </c>
      <c r="AH12" s="117">
        <v>-4.97436549984E-2</v>
      </c>
      <c r="AJ12" s="115" t="s">
        <v>1066</v>
      </c>
    </row>
    <row r="13" spans="2:36" ht="15.75" thickBot="1" x14ac:dyDescent="0.3">
      <c r="B13" s="124" t="str">
        <f>Summary!A41</f>
        <v>Total</v>
      </c>
      <c r="C13" s="139">
        <f>SUM(C5:C12)</f>
        <v>6101317.7216883274</v>
      </c>
      <c r="D13" s="139">
        <f>SUM(D5:D12)</f>
        <v>6013197.6382355234</v>
      </c>
      <c r="E13" s="140">
        <f t="shared" si="5"/>
        <v>1.014654446561424</v>
      </c>
      <c r="F13" s="218"/>
      <c r="G13" s="123"/>
      <c r="H13" s="123"/>
      <c r="I13" s="123"/>
      <c r="J13" s="123"/>
      <c r="K13" s="123"/>
      <c r="N13" s="115">
        <v>4</v>
      </c>
      <c r="O13" s="115" t="s">
        <v>10842</v>
      </c>
      <c r="T13" s="163">
        <f>DayPatternCoefficients!A21</f>
        <v>114</v>
      </c>
      <c r="U13" s="163" t="str">
        <f>DayPatternCoefficients!B21</f>
        <v>W-ONLYWK</v>
      </c>
      <c r="V13" s="157">
        <f>DayPatternCoefficients!D21</f>
        <v>0</v>
      </c>
      <c r="W13" s="178">
        <f t="shared" si="0"/>
        <v>0</v>
      </c>
      <c r="Y13" s="115">
        <v>22</v>
      </c>
      <c r="Z13" s="115" t="s">
        <v>1114</v>
      </c>
      <c r="AA13" s="156">
        <f>WorkbasedSubtourGenerationCoeff!E21</f>
        <v>2.89006440718E-2</v>
      </c>
      <c r="AB13" s="177">
        <f t="shared" si="8"/>
        <v>2.89006440718E-2</v>
      </c>
      <c r="AF13" s="115">
        <v>11</v>
      </c>
      <c r="AG13" s="115" t="s">
        <v>1051</v>
      </c>
      <c r="AH13" s="115">
        <v>0.97584168442800001</v>
      </c>
      <c r="AJ13" s="115" t="s">
        <v>1066</v>
      </c>
    </row>
    <row r="14" spans="2:36" x14ac:dyDescent="0.25">
      <c r="F14" s="123"/>
      <c r="N14" s="115">
        <v>5</v>
      </c>
      <c r="O14" s="115" t="s">
        <v>10846</v>
      </c>
      <c r="T14" s="163">
        <f>DayPatternCoefficients!A22</f>
        <v>116</v>
      </c>
      <c r="U14" s="163" t="str">
        <f>DayPatternCoefficients!B22</f>
        <v>W-FEMNOC</v>
      </c>
      <c r="V14" s="157">
        <f>DayPatternCoefficients!D22</f>
        <v>0</v>
      </c>
      <c r="W14" s="178">
        <f t="shared" si="0"/>
        <v>0</v>
      </c>
      <c r="Y14" s="115">
        <v>23</v>
      </c>
      <c r="Z14" s="115" t="s">
        <v>1115</v>
      </c>
      <c r="AA14" s="156">
        <f>WorkbasedSubtourGenerationCoeff!E22</f>
        <v>2.8305073313000001E-2</v>
      </c>
      <c r="AB14" s="177">
        <f t="shared" si="8"/>
        <v>2.8305073313000001E-2</v>
      </c>
      <c r="AF14" s="115">
        <v>12</v>
      </c>
      <c r="AG14" s="115" t="s">
        <v>1052</v>
      </c>
      <c r="AH14" s="115">
        <v>0.17427614586599999</v>
      </c>
      <c r="AJ14" s="115" t="s">
        <v>1066</v>
      </c>
    </row>
    <row r="15" spans="2:36" x14ac:dyDescent="0.25">
      <c r="F15" s="123"/>
      <c r="N15" s="115">
        <v>6</v>
      </c>
      <c r="O15" s="115" t="s">
        <v>10847</v>
      </c>
      <c r="T15" s="163">
        <f>DayPatternCoefficients!A23</f>
        <v>117</v>
      </c>
      <c r="U15" s="163" t="str">
        <f>DayPatternCoefficients!B23</f>
        <v>W-FADCU5</v>
      </c>
      <c r="V15" s="157">
        <f>DayPatternCoefficients!D23</f>
        <v>-0.432666507935</v>
      </c>
      <c r="W15" s="178">
        <f t="shared" si="0"/>
        <v>-0.432666507935</v>
      </c>
      <c r="Y15" s="115">
        <v>32</v>
      </c>
      <c r="Z15" s="115" t="s">
        <v>1116</v>
      </c>
      <c r="AA15" s="156">
        <f>WorkbasedSubtourGenerationCoeff!E23</f>
        <v>-5.5020049285600003E-2</v>
      </c>
      <c r="AB15" s="177">
        <f t="shared" si="8"/>
        <v>-5.5020049285600003E-2</v>
      </c>
      <c r="AF15" s="115">
        <v>16</v>
      </c>
      <c r="AG15" s="115" t="s">
        <v>1053</v>
      </c>
      <c r="AH15" s="115">
        <v>0.106206083683</v>
      </c>
      <c r="AJ15" s="115" t="s">
        <v>1066</v>
      </c>
    </row>
    <row r="16" spans="2:36" x14ac:dyDescent="0.25">
      <c r="B16" s="128" t="s">
        <v>10874</v>
      </c>
      <c r="F16" s="123"/>
      <c r="G16" s="128" t="s">
        <v>10873</v>
      </c>
      <c r="H16" s="119" t="s">
        <v>1132</v>
      </c>
      <c r="I16" s="164">
        <v>0</v>
      </c>
      <c r="N16" s="115">
        <v>7</v>
      </c>
      <c r="O16" s="115" t="s">
        <v>10848</v>
      </c>
      <c r="T16" s="163">
        <f>DayPatternCoefficients!A24</f>
        <v>118</v>
      </c>
      <c r="U16" s="163" t="str">
        <f>DayPatternCoefficients!B24</f>
        <v>W-FAD515</v>
      </c>
      <c r="V16" s="157">
        <f>DayPatternCoefficients!D24</f>
        <v>-0.18505114192300001</v>
      </c>
      <c r="W16" s="178">
        <f t="shared" si="0"/>
        <v>-0.18505114192300001</v>
      </c>
      <c r="Y16" s="115">
        <v>39</v>
      </c>
      <c r="Z16" s="115" t="s">
        <v>1117</v>
      </c>
      <c r="AA16" s="156">
        <f>WorkbasedSubtourGenerationCoeff!E24</f>
        <v>0.11888357382299999</v>
      </c>
      <c r="AB16" s="177">
        <f t="shared" si="8"/>
        <v>0.11888357382299999</v>
      </c>
      <c r="AF16" s="115">
        <v>17</v>
      </c>
      <c r="AG16" s="115" t="s">
        <v>1054</v>
      </c>
      <c r="AH16" s="115">
        <v>-0.86772791392500004</v>
      </c>
      <c r="AJ16" s="115" t="s">
        <v>1066</v>
      </c>
    </row>
    <row r="17" spans="1:36" ht="15.75" thickBot="1" x14ac:dyDescent="0.3">
      <c r="B17" s="124"/>
      <c r="C17" s="124"/>
      <c r="D17" s="124"/>
      <c r="E17" s="124"/>
      <c r="F17" s="123"/>
      <c r="G17" s="143" t="s">
        <v>1035</v>
      </c>
      <c r="H17" s="124"/>
      <c r="I17" s="124"/>
      <c r="J17" s="124"/>
      <c r="K17" s="124"/>
      <c r="L17" s="124"/>
      <c r="M17" s="124"/>
      <c r="N17" s="115">
        <v>8</v>
      </c>
      <c r="O17" s="115" t="s">
        <v>10843</v>
      </c>
      <c r="T17" s="163">
        <f>DayPatternCoefficients!A25</f>
        <v>119</v>
      </c>
      <c r="U17" s="163" t="str">
        <f>DayPatternCoefficients!B25</f>
        <v>W-MADCU5</v>
      </c>
      <c r="V17" s="157">
        <f>DayPatternCoefficients!D25</f>
        <v>0</v>
      </c>
      <c r="W17" s="178">
        <f t="shared" si="0"/>
        <v>0</v>
      </c>
      <c r="Y17" s="115">
        <v>50</v>
      </c>
      <c r="Z17" s="115" t="s">
        <v>1118</v>
      </c>
      <c r="AA17" s="156">
        <f>WorkbasedSubtourGenerationCoeff!E25</f>
        <v>1.3366248075</v>
      </c>
      <c r="AB17" s="177">
        <f t="shared" si="8"/>
        <v>1.3366248075</v>
      </c>
      <c r="AF17" s="115">
        <v>33</v>
      </c>
      <c r="AG17" s="115" t="s">
        <v>1056</v>
      </c>
      <c r="AH17" s="115">
        <v>-3.35946120388</v>
      </c>
      <c r="AJ17" s="115" t="s">
        <v>1064</v>
      </c>
    </row>
    <row r="18" spans="1:36" x14ac:dyDescent="0.25">
      <c r="B18" s="120" t="str">
        <f>B4</f>
        <v>Purpose</v>
      </c>
      <c r="C18" s="165" t="str">
        <f t="shared" ref="C18:E18" si="9">C4</f>
        <v>ExpandSurv</v>
      </c>
      <c r="D18" s="165" t="str">
        <f t="shared" si="9"/>
        <v>SynthPop</v>
      </c>
      <c r="E18" s="165" t="str">
        <f t="shared" si="9"/>
        <v>Ratio</v>
      </c>
      <c r="F18" s="130"/>
      <c r="G18" s="120" t="s">
        <v>1021</v>
      </c>
      <c r="H18" s="120" t="s">
        <v>317</v>
      </c>
      <c r="I18" s="167" t="s">
        <v>1028</v>
      </c>
      <c r="J18" s="120" t="s">
        <v>1029</v>
      </c>
      <c r="K18" s="179" t="s">
        <v>1030</v>
      </c>
      <c r="L18" s="172" t="s">
        <v>10836</v>
      </c>
      <c r="M18" s="172" t="s">
        <v>10835</v>
      </c>
      <c r="T18" s="163">
        <f>DayPatternCoefficients!A26</f>
        <v>120</v>
      </c>
      <c r="U18" s="163" t="str">
        <f>DayPatternCoefficients!B26</f>
        <v>W-MAD515</v>
      </c>
      <c r="V18" s="157">
        <f>DayPatternCoefficients!D26</f>
        <v>0</v>
      </c>
      <c r="W18" s="178">
        <f t="shared" si="0"/>
        <v>0</v>
      </c>
      <c r="AF18" s="115">
        <v>34</v>
      </c>
      <c r="AG18" s="115" t="s">
        <v>1056</v>
      </c>
      <c r="AH18" s="115">
        <v>-0.91027883769600004</v>
      </c>
      <c r="AJ18" s="115" t="s">
        <v>1065</v>
      </c>
    </row>
    <row r="19" spans="1:36" x14ac:dyDescent="0.25">
      <c r="A19" s="115">
        <v>1</v>
      </c>
      <c r="B19" s="115" t="str">
        <f>B5</f>
        <v>work</v>
      </c>
      <c r="C19" s="125">
        <f>VLOOKUP(A19,input_stops!$A$1:$B$19,2,FALSE)</f>
        <v>352289.522596</v>
      </c>
      <c r="D19" s="125">
        <f>VLOOKUP(A19,input_stops!$A$20:$B$38,2,FALSE)</f>
        <v>431204.253463</v>
      </c>
      <c r="E19" s="118">
        <f>C19/D19</f>
        <v>0.81698990621443079</v>
      </c>
      <c r="F19" s="118"/>
      <c r="G19" s="133">
        <v>101</v>
      </c>
      <c r="H19" s="129" t="s">
        <v>324</v>
      </c>
      <c r="I19" s="138">
        <f t="shared" ref="I19:I25" si="10">VLOOKUP(G19,$T$3:$V$352,3,FALSE)</f>
        <v>-0.54592920592799998</v>
      </c>
      <c r="J19" s="135">
        <f t="shared" ref="J19:J25" si="11">$I$16*LN(E19)</f>
        <v>0</v>
      </c>
      <c r="K19" s="194">
        <f>I19+J19</f>
        <v>-0.54592920592799998</v>
      </c>
      <c r="L19" s="196">
        <f t="shared" ref="L19:L25" si="12">VLOOKUP(G19,$T$3:$W$352,4,FALSE)</f>
        <v>-0.54592920592799998</v>
      </c>
      <c r="M19" s="168">
        <f t="shared" ref="M19:M25" si="13">IF(K19=L19,0,1)</f>
        <v>0</v>
      </c>
      <c r="N19" s="128" t="s">
        <v>1103</v>
      </c>
      <c r="T19" s="163">
        <f>DayPatternCoefficients!A27</f>
        <v>121</v>
      </c>
      <c r="U19" s="163" t="str">
        <f>DayPatternCoefficients!B27</f>
        <v>W-AG1825</v>
      </c>
      <c r="V19" s="157">
        <f>DayPatternCoefficients!D27</f>
        <v>0</v>
      </c>
      <c r="W19" s="178">
        <f t="shared" si="0"/>
        <v>0</v>
      </c>
      <c r="AF19" s="115">
        <v>35</v>
      </c>
      <c r="AG19" s="115" t="s">
        <v>1056</v>
      </c>
      <c r="AH19" s="115">
        <v>-1.36681198819</v>
      </c>
      <c r="AJ19" s="115" t="s">
        <v>1070</v>
      </c>
    </row>
    <row r="20" spans="1:36" x14ac:dyDescent="0.25">
      <c r="A20" s="115">
        <v>2</v>
      </c>
      <c r="B20" s="115" t="str">
        <f t="shared" ref="B20:B27" si="14">B6</f>
        <v>school</v>
      </c>
      <c r="C20" s="125">
        <f>VLOOKUP(A20,input_stops!$A$1:$B$19,2,FALSE)</f>
        <v>66529.8065394</v>
      </c>
      <c r="D20" s="125">
        <f>VLOOKUP(A20,input_stops!$A$20:$B$38,2,FALSE)</f>
        <v>35537.934919200001</v>
      </c>
      <c r="E20" s="118">
        <f t="shared" ref="E20:E27" si="15">C20/D20</f>
        <v>1.8720785743646597</v>
      </c>
      <c r="F20" s="118"/>
      <c r="G20" s="133">
        <v>201</v>
      </c>
      <c r="H20" s="129" t="s">
        <v>375</v>
      </c>
      <c r="I20" s="138">
        <f t="shared" si="10"/>
        <v>0.25052747176099999</v>
      </c>
      <c r="J20" s="135">
        <f t="shared" si="11"/>
        <v>0</v>
      </c>
      <c r="K20" s="194">
        <f t="shared" ref="K20:K25" si="16">I20+J20</f>
        <v>0.25052747176099999</v>
      </c>
      <c r="L20" s="196">
        <f t="shared" si="12"/>
        <v>0.25052747176099999</v>
      </c>
      <c r="M20" s="168">
        <f t="shared" si="13"/>
        <v>0</v>
      </c>
      <c r="N20" s="115">
        <v>1</v>
      </c>
      <c r="O20" s="115" t="s">
        <v>1131</v>
      </c>
      <c r="T20" s="163">
        <f>DayPatternCoefficients!A28</f>
        <v>122</v>
      </c>
      <c r="U20" s="163" t="str">
        <f>DayPatternCoefficients!B28</f>
        <v>W-AG2635</v>
      </c>
      <c r="V20" s="157">
        <f>DayPatternCoefficients!D28</f>
        <v>0</v>
      </c>
      <c r="W20" s="178">
        <f t="shared" si="0"/>
        <v>0</v>
      </c>
      <c r="AF20" s="115">
        <v>36</v>
      </c>
      <c r="AG20" s="115" t="s">
        <v>1056</v>
      </c>
      <c r="AH20" s="115">
        <v>-0.91192691386699998</v>
      </c>
      <c r="AJ20" s="115" t="s">
        <v>1078</v>
      </c>
    </row>
    <row r="21" spans="1:36" x14ac:dyDescent="0.25">
      <c r="A21" s="115">
        <v>3</v>
      </c>
      <c r="B21" s="115" t="str">
        <f t="shared" si="14"/>
        <v>escort</v>
      </c>
      <c r="C21" s="125">
        <f>VLOOKUP(A21,input_stops!$A$1:$B$19,2,FALSE)</f>
        <v>587916.81215000001</v>
      </c>
      <c r="D21" s="125">
        <f>VLOOKUP(A21,input_stops!$A$20:$B$38,2,FALSE)</f>
        <v>577277.10542100004</v>
      </c>
      <c r="E21" s="118">
        <f t="shared" si="15"/>
        <v>1.018430848251362</v>
      </c>
      <c r="F21" s="118"/>
      <c r="G21" s="133">
        <v>301</v>
      </c>
      <c r="H21" s="129" t="s">
        <v>431</v>
      </c>
      <c r="I21" s="138">
        <f t="shared" si="10"/>
        <v>-2</v>
      </c>
      <c r="J21" s="135">
        <f t="shared" si="11"/>
        <v>0</v>
      </c>
      <c r="K21" s="194">
        <f t="shared" si="16"/>
        <v>-2</v>
      </c>
      <c r="L21" s="196">
        <f t="shared" si="12"/>
        <v>-2</v>
      </c>
      <c r="M21" s="168">
        <f t="shared" si="13"/>
        <v>0</v>
      </c>
      <c r="N21" s="115">
        <v>2</v>
      </c>
      <c r="O21" s="115" t="s">
        <v>10856</v>
      </c>
      <c r="T21" s="163">
        <f>DayPatternCoefficients!A29</f>
        <v>123</v>
      </c>
      <c r="U21" s="163" t="str">
        <f>DayPatternCoefficients!B29</f>
        <v>W-AG5165</v>
      </c>
      <c r="V21" s="157">
        <f>DayPatternCoefficients!D29</f>
        <v>0</v>
      </c>
      <c r="W21" s="178">
        <f t="shared" si="0"/>
        <v>0</v>
      </c>
      <c r="AF21" s="115">
        <v>37</v>
      </c>
      <c r="AG21" s="115" t="s">
        <v>1056</v>
      </c>
      <c r="AH21" s="115">
        <v>-0.51005943175099999</v>
      </c>
      <c r="AJ21" s="115" t="s">
        <v>1087</v>
      </c>
    </row>
    <row r="22" spans="1:36" x14ac:dyDescent="0.25">
      <c r="A22" s="115">
        <v>4</v>
      </c>
      <c r="B22" s="115" t="str">
        <f t="shared" si="14"/>
        <v>pers.bus</v>
      </c>
      <c r="C22" s="125">
        <f>VLOOKUP(A22,input_stops!$A$1:$B$19,2,FALSE)</f>
        <v>1103281.0514100001</v>
      </c>
      <c r="D22" s="125">
        <f>VLOOKUP(A22,input_stops!$A$20:$B$38,2,FALSE)</f>
        <v>884862.73112600006</v>
      </c>
      <c r="E22" s="118">
        <f t="shared" si="15"/>
        <v>1.2468386480760238</v>
      </c>
      <c r="F22" s="118"/>
      <c r="G22" s="133">
        <v>401</v>
      </c>
      <c r="H22" s="129" t="s">
        <v>490</v>
      </c>
      <c r="I22" s="138">
        <f t="shared" si="10"/>
        <v>-0.04</v>
      </c>
      <c r="J22" s="135">
        <f t="shared" si="11"/>
        <v>0</v>
      </c>
      <c r="K22" s="194">
        <f t="shared" si="16"/>
        <v>-0.04</v>
      </c>
      <c r="L22" s="196">
        <f t="shared" si="12"/>
        <v>-0.04</v>
      </c>
      <c r="M22" s="168">
        <f t="shared" si="13"/>
        <v>0</v>
      </c>
      <c r="N22" s="115">
        <v>3</v>
      </c>
      <c r="O22" s="115" t="s">
        <v>10857</v>
      </c>
      <c r="T22" s="163">
        <f>DayPatternCoefficients!A30</f>
        <v>124</v>
      </c>
      <c r="U22" s="163" t="str">
        <f>DayPatternCoefficients!B30</f>
        <v>W-WAHOME</v>
      </c>
      <c r="V22" s="157">
        <f>DayPatternCoefficients!D30</f>
        <v>-5</v>
      </c>
      <c r="W22" s="178">
        <f t="shared" si="0"/>
        <v>-5</v>
      </c>
      <c r="AF22" s="115">
        <v>38</v>
      </c>
      <c r="AG22" s="115" t="s">
        <v>1091</v>
      </c>
      <c r="AH22" s="115">
        <v>-2.0855290326799998</v>
      </c>
      <c r="AJ22" s="115" t="s">
        <v>1092</v>
      </c>
    </row>
    <row r="23" spans="1:36" x14ac:dyDescent="0.25">
      <c r="A23" s="115">
        <v>5</v>
      </c>
      <c r="B23" s="115" t="str">
        <f t="shared" si="14"/>
        <v>shop</v>
      </c>
      <c r="C23" s="125">
        <f>VLOOKUP(A23,input_stops!$A$1:$B$19,2,FALSE)</f>
        <v>1316083.58406</v>
      </c>
      <c r="D23" s="125">
        <f>VLOOKUP(A23,input_stops!$A$20:$B$38,2,FALSE)</f>
        <v>942371.49674800003</v>
      </c>
      <c r="E23" s="118">
        <f t="shared" si="15"/>
        <v>1.3965655674026975</v>
      </c>
      <c r="F23" s="118"/>
      <c r="G23" s="133">
        <v>501</v>
      </c>
      <c r="H23" s="129" t="s">
        <v>549</v>
      </c>
      <c r="I23" s="138">
        <f t="shared" si="10"/>
        <v>0.68463974939799999</v>
      </c>
      <c r="J23" s="135">
        <f t="shared" si="11"/>
        <v>0</v>
      </c>
      <c r="K23" s="194">
        <f t="shared" si="16"/>
        <v>0.68463974939799999</v>
      </c>
      <c r="L23" s="196">
        <f t="shared" si="12"/>
        <v>0.68463974939799999</v>
      </c>
      <c r="M23" s="168">
        <f t="shared" si="13"/>
        <v>0</v>
      </c>
      <c r="N23" s="115">
        <v>4</v>
      </c>
      <c r="O23" s="115" t="s">
        <v>10859</v>
      </c>
      <c r="T23" s="163">
        <f>DayPatternCoefficients!A31</f>
        <v>125</v>
      </c>
      <c r="U23" s="163" t="str">
        <f>DayPatternCoefficients!B31</f>
        <v>W-MIXDEN</v>
      </c>
      <c r="V23" s="157">
        <f>DayPatternCoefficients!D31</f>
        <v>0</v>
      </c>
      <c r="W23" s="178">
        <f t="shared" si="0"/>
        <v>0</v>
      </c>
      <c r="AF23" s="115">
        <v>39</v>
      </c>
      <c r="AG23" s="115" t="s">
        <v>1099</v>
      </c>
      <c r="AH23" s="115">
        <v>-0.96265564624099997</v>
      </c>
      <c r="AJ23" s="115" t="s">
        <v>1100</v>
      </c>
    </row>
    <row r="24" spans="1:36" x14ac:dyDescent="0.25">
      <c r="A24" s="115">
        <v>6</v>
      </c>
      <c r="B24" s="115" t="str">
        <f t="shared" si="14"/>
        <v>meal</v>
      </c>
      <c r="C24" s="125">
        <f>VLOOKUP(A24,input_stops!$A$1:$B$19,2,FALSE)</f>
        <v>519416.79047299997</v>
      </c>
      <c r="D24" s="125">
        <f>VLOOKUP(A24,input_stops!$A$20:$B$38,2,FALSE)</f>
        <v>395456.09624500002</v>
      </c>
      <c r="E24" s="118">
        <f t="shared" si="15"/>
        <v>1.3134625952287802</v>
      </c>
      <c r="F24" s="118"/>
      <c r="G24" s="133">
        <v>601</v>
      </c>
      <c r="H24" s="129" t="s">
        <v>608</v>
      </c>
      <c r="I24" s="138">
        <f t="shared" si="10"/>
        <v>-0.71412970660499997</v>
      </c>
      <c r="J24" s="135">
        <f t="shared" si="11"/>
        <v>0</v>
      </c>
      <c r="K24" s="194">
        <f t="shared" si="16"/>
        <v>-0.71412970660499997</v>
      </c>
      <c r="L24" s="196">
        <f t="shared" si="12"/>
        <v>-0.71412970660499997</v>
      </c>
      <c r="M24" s="168">
        <f t="shared" si="13"/>
        <v>0</v>
      </c>
      <c r="N24" s="115">
        <v>5</v>
      </c>
      <c r="O24" s="115" t="s">
        <v>10860</v>
      </c>
      <c r="T24" s="163">
        <f>DayPatternCoefficients!A32</f>
        <v>126</v>
      </c>
      <c r="U24" s="163" t="str">
        <f>DayPatternCoefficients!B32</f>
        <v>W-INTDEN</v>
      </c>
      <c r="V24" s="157">
        <f>DayPatternCoefficients!D32</f>
        <v>0</v>
      </c>
      <c r="W24" s="178">
        <f t="shared" si="0"/>
        <v>0</v>
      </c>
      <c r="AF24" s="115">
        <v>40</v>
      </c>
      <c r="AG24" s="115" t="s">
        <v>1055</v>
      </c>
      <c r="AH24" s="115">
        <v>0.14939280807899999</v>
      </c>
      <c r="AJ24" s="115" t="s">
        <v>1066</v>
      </c>
    </row>
    <row r="25" spans="1:36" ht="15.75" thickBot="1" x14ac:dyDescent="0.3">
      <c r="A25" s="115">
        <v>7</v>
      </c>
      <c r="B25" s="115" t="str">
        <f t="shared" si="14"/>
        <v>soc/rec</v>
      </c>
      <c r="C25" s="125">
        <f>VLOOKUP(A25,input_stops!$A$1:$B$19,2,FALSE)</f>
        <v>601291.02230900002</v>
      </c>
      <c r="D25" s="125">
        <f>VLOOKUP(A25,input_stops!$A$20:$B$38,2,FALSE)</f>
        <v>378338.24656900001</v>
      </c>
      <c r="E25" s="118">
        <f t="shared" si="15"/>
        <v>1.5892948380500005</v>
      </c>
      <c r="F25" s="118"/>
      <c r="G25" s="134">
        <v>701</v>
      </c>
      <c r="H25" s="132" t="s">
        <v>667</v>
      </c>
      <c r="I25" s="169">
        <f t="shared" si="10"/>
        <v>-0.4</v>
      </c>
      <c r="J25" s="136">
        <f t="shared" si="11"/>
        <v>0</v>
      </c>
      <c r="K25" s="195">
        <f t="shared" si="16"/>
        <v>-0.4</v>
      </c>
      <c r="L25" s="197">
        <f t="shared" si="12"/>
        <v>-0.4</v>
      </c>
      <c r="M25" s="171">
        <f t="shared" si="13"/>
        <v>0</v>
      </c>
      <c r="T25" s="163">
        <f>DayPatternCoefficients!A33</f>
        <v>127</v>
      </c>
      <c r="U25" s="163" t="str">
        <f>DayPatternCoefficients!B33</f>
        <v>W-ACCLOG</v>
      </c>
      <c r="V25" s="157">
        <f>DayPatternCoefficients!D33</f>
        <v>0.20857402136100001</v>
      </c>
      <c r="W25" s="178">
        <f t="shared" si="0"/>
        <v>0.20857402136100001</v>
      </c>
      <c r="AF25" s="115">
        <v>46</v>
      </c>
      <c r="AG25" s="115" t="s">
        <v>1055</v>
      </c>
      <c r="AH25" s="115">
        <v>-1.67372492356</v>
      </c>
      <c r="AJ25" s="115" t="s">
        <v>1092</v>
      </c>
    </row>
    <row r="26" spans="1:36" x14ac:dyDescent="0.25">
      <c r="A26" s="115">
        <v>10</v>
      </c>
      <c r="B26" s="121" t="s">
        <v>10890</v>
      </c>
      <c r="C26" s="141">
        <f>VLOOKUP(A26,input_stops!$A$1:$B$19,2,FALSE)</f>
        <v>93191.210673499998</v>
      </c>
      <c r="D26" s="141">
        <f>VLOOKUP(A26,input_stops!$A$20:$B$38,2,FALSE)</f>
        <v>73213.777114500001</v>
      </c>
      <c r="E26" s="122">
        <f t="shared" si="15"/>
        <v>1.2728644026623162</v>
      </c>
      <c r="F26" s="118"/>
      <c r="G26" s="131"/>
      <c r="H26" s="131"/>
      <c r="M26" s="119">
        <f>SUM(M19:M25)</f>
        <v>0</v>
      </c>
      <c r="T26" s="163">
        <f>DayPatternCoefficients!A34</f>
        <v>128</v>
      </c>
      <c r="U26" s="163" t="str">
        <f>DayPatternCoefficients!B34</f>
        <v>W-T-LOGS</v>
      </c>
      <c r="V26" s="157">
        <f>DayPatternCoefficients!D34</f>
        <v>0.10871281166299999</v>
      </c>
      <c r="W26" s="178">
        <f t="shared" si="0"/>
        <v>0.10871281166299999</v>
      </c>
      <c r="AF26" s="115">
        <v>49</v>
      </c>
      <c r="AG26" s="115" t="s">
        <v>1079</v>
      </c>
      <c r="AH26" s="115">
        <v>-1.8826581679000001</v>
      </c>
      <c r="AJ26" s="115" t="s">
        <v>1070</v>
      </c>
    </row>
    <row r="27" spans="1:36" ht="15.75" thickBot="1" x14ac:dyDescent="0.3">
      <c r="B27" s="124" t="str">
        <f t="shared" si="14"/>
        <v>Total</v>
      </c>
      <c r="C27" s="139">
        <f>SUM(C19:C25)</f>
        <v>4546808.5895373998</v>
      </c>
      <c r="D27" s="139">
        <f>SUM(D19:D25)</f>
        <v>3645047.8644912005</v>
      </c>
      <c r="E27" s="140">
        <f t="shared" si="15"/>
        <v>1.2473933837277806</v>
      </c>
      <c r="F27" s="118"/>
      <c r="G27" s="123"/>
      <c r="H27" s="123"/>
      <c r="O27" s="128" t="s">
        <v>10837</v>
      </c>
      <c r="T27" s="163">
        <f>DayPatternCoefficients!A35</f>
        <v>129</v>
      </c>
      <c r="U27" s="163" t="str">
        <f>DayPatternCoefficients!B35</f>
        <v>W-S-LOGS</v>
      </c>
      <c r="V27" s="157">
        <f>DayPatternCoefficients!D35</f>
        <v>0</v>
      </c>
      <c r="W27" s="178">
        <f t="shared" si="0"/>
        <v>0</v>
      </c>
      <c r="AF27" s="115">
        <v>50</v>
      </c>
      <c r="AG27" s="115" t="s">
        <v>1079</v>
      </c>
      <c r="AH27" s="115">
        <v>-1.1201828115200001</v>
      </c>
      <c r="AJ27" s="115" t="s">
        <v>1078</v>
      </c>
    </row>
    <row r="28" spans="1:36" x14ac:dyDescent="0.25">
      <c r="B28" s="115" t="s">
        <v>10891</v>
      </c>
      <c r="C28" s="223">
        <f>C13*2+C27</f>
        <v>16749444.032914054</v>
      </c>
      <c r="D28" s="223">
        <f>D13*2+D27</f>
        <v>15671443.140962247</v>
      </c>
      <c r="O28" s="115" t="s">
        <v>10838</v>
      </c>
      <c r="T28" s="137">
        <f>DayPatternCoefficients!A36</f>
        <v>151</v>
      </c>
      <c r="U28" s="137" t="str">
        <f>DayPatternCoefficients!B36</f>
        <v>W-FTW</v>
      </c>
      <c r="V28" s="138">
        <f>DayPatternCoefficients!D36</f>
        <v>0.1</v>
      </c>
      <c r="W28" s="178">
        <f t="shared" si="0"/>
        <v>0.8</v>
      </c>
      <c r="AF28" s="115">
        <v>51</v>
      </c>
      <c r="AG28" s="115" t="s">
        <v>1079</v>
      </c>
      <c r="AH28" s="115">
        <v>-0.64615152716199997</v>
      </c>
      <c r="AJ28" s="115" t="s">
        <v>1087</v>
      </c>
    </row>
    <row r="29" spans="1:36" x14ac:dyDescent="0.25">
      <c r="O29" s="115" t="s">
        <v>10839</v>
      </c>
      <c r="T29" s="137">
        <f>DayPatternCoefficients!A37</f>
        <v>200</v>
      </c>
      <c r="U29" s="137" t="str">
        <f>DayPatternCoefficients!B37</f>
        <v>S-TASC</v>
      </c>
      <c r="V29" s="138">
        <f>DayPatternCoefficients!D37</f>
        <v>0.29382413067099999</v>
      </c>
      <c r="W29" s="178">
        <f t="shared" si="0"/>
        <v>0.29382413067099999</v>
      </c>
      <c r="AF29" s="115">
        <v>52</v>
      </c>
      <c r="AG29" s="115" t="s">
        <v>1079</v>
      </c>
      <c r="AH29" s="115">
        <v>-2.0029030718700001</v>
      </c>
      <c r="AJ29" s="115" t="s">
        <v>1092</v>
      </c>
    </row>
    <row r="30" spans="1:36" x14ac:dyDescent="0.25">
      <c r="B30" s="128" t="s">
        <v>10875</v>
      </c>
      <c r="F30" s="123" t="s">
        <v>10892</v>
      </c>
      <c r="I30" s="128" t="s">
        <v>10873</v>
      </c>
      <c r="J30" s="119" t="s">
        <v>1132</v>
      </c>
      <c r="K30" s="164">
        <v>0</v>
      </c>
      <c r="T30" s="137">
        <f>DayPatternCoefficients!A38</f>
        <v>201</v>
      </c>
      <c r="U30" s="137" t="str">
        <f>DayPatternCoefficients!B38</f>
        <v>S-SASC</v>
      </c>
      <c r="V30" s="138">
        <f>DayPatternCoefficients!D38</f>
        <v>0.25052747176099999</v>
      </c>
      <c r="W30" s="178">
        <f t="shared" si="0"/>
        <v>0.25052747176099999</v>
      </c>
      <c r="AF30" s="115">
        <v>53</v>
      </c>
      <c r="AG30" s="115" t="s">
        <v>1079</v>
      </c>
      <c r="AH30" s="115">
        <v>-1.02594557043</v>
      </c>
      <c r="AJ30" s="115" t="s">
        <v>1100</v>
      </c>
    </row>
    <row r="31" spans="1:36" ht="15.75" thickBot="1" x14ac:dyDescent="0.3">
      <c r="B31" s="124"/>
      <c r="C31" s="124"/>
      <c r="D31" s="124"/>
      <c r="E31" s="124"/>
      <c r="F31" s="124"/>
      <c r="G31" s="124"/>
      <c r="I31" s="143" t="s">
        <v>1035</v>
      </c>
      <c r="J31" s="124"/>
      <c r="K31" s="124"/>
      <c r="L31" s="124"/>
      <c r="M31" s="124"/>
      <c r="N31" s="124"/>
      <c r="O31" s="124"/>
      <c r="T31" s="137">
        <f>DayPatternCoefficients!A39</f>
        <v>205</v>
      </c>
      <c r="U31" s="137" t="str">
        <f>DayPatternCoefficients!B39</f>
        <v>S-UNI</v>
      </c>
      <c r="V31" s="138">
        <f>DayPatternCoefficients!D39</f>
        <v>-0.5</v>
      </c>
      <c r="W31" s="178">
        <f t="shared" si="0"/>
        <v>0</v>
      </c>
      <c r="AF31" s="115">
        <v>57</v>
      </c>
      <c r="AG31" s="115" t="s">
        <v>1080</v>
      </c>
      <c r="AH31" s="115">
        <v>-1.15631148732</v>
      </c>
      <c r="AJ31" s="115" t="s">
        <v>1078</v>
      </c>
    </row>
    <row r="32" spans="1:36" x14ac:dyDescent="0.25">
      <c r="B32" s="120" t="str">
        <f>B18</f>
        <v>Purpose</v>
      </c>
      <c r="C32" s="165" t="str">
        <f t="shared" ref="C32:D32" si="17">C18</f>
        <v>ExpandSurv</v>
      </c>
      <c r="D32" s="165" t="str">
        <f t="shared" si="17"/>
        <v>SynthPop</v>
      </c>
      <c r="E32" s="165" t="str">
        <f>C32</f>
        <v>ExpandSurv</v>
      </c>
      <c r="F32" s="165" t="str">
        <f>D32</f>
        <v>SynthPop</v>
      </c>
      <c r="G32" s="165" t="str">
        <f>E18</f>
        <v>Ratio</v>
      </c>
      <c r="I32" s="120" t="s">
        <v>1021</v>
      </c>
      <c r="J32" s="120" t="s">
        <v>317</v>
      </c>
      <c r="K32" s="167" t="s">
        <v>1028</v>
      </c>
      <c r="L32" s="120" t="s">
        <v>1029</v>
      </c>
      <c r="M32" s="179" t="s">
        <v>1030</v>
      </c>
      <c r="N32" s="172" t="s">
        <v>10836</v>
      </c>
      <c r="O32" s="172" t="s">
        <v>10835</v>
      </c>
      <c r="T32" s="137">
        <f>DayPatternCoefficients!A40</f>
        <v>206</v>
      </c>
      <c r="U32" s="137" t="str">
        <f>DayPatternCoefficients!B40</f>
        <v>S-DAS</v>
      </c>
      <c r="V32" s="138">
        <f>DayPatternCoefficients!D40</f>
        <v>0.8</v>
      </c>
      <c r="W32" s="178">
        <f t="shared" si="0"/>
        <v>0</v>
      </c>
      <c r="AF32" s="115">
        <v>58</v>
      </c>
      <c r="AG32" s="115" t="s">
        <v>1080</v>
      </c>
      <c r="AH32" s="115">
        <v>-0.64916308040199999</v>
      </c>
      <c r="AJ32" s="115" t="s">
        <v>1087</v>
      </c>
    </row>
    <row r="33" spans="1:36" x14ac:dyDescent="0.25">
      <c r="A33" t="s">
        <v>10878</v>
      </c>
      <c r="B33" s="115" t="str">
        <f>B19</f>
        <v>work</v>
      </c>
      <c r="C33" s="125">
        <f>VLOOKUP(A33,input_stops!$A$1:$B$19,2,FALSE)</f>
        <v>115733154.351</v>
      </c>
      <c r="D33" s="125">
        <f>VLOOKUP(A33,input_stops!$A$20:$B$38,2,FALSE)</f>
        <v>1921661.3233700001</v>
      </c>
      <c r="E33" s="118">
        <f>C33/C$41</f>
        <v>31.207386722493112</v>
      </c>
      <c r="F33" s="118">
        <f>D33/D$41</f>
        <v>0.51347341440646344</v>
      </c>
      <c r="G33" s="118">
        <f>E33/F33</f>
        <v>60.777025347196407</v>
      </c>
      <c r="I33" s="133">
        <v>101</v>
      </c>
      <c r="J33" s="129" t="s">
        <v>324</v>
      </c>
      <c r="K33" s="138">
        <f t="shared" ref="K33:K39" si="18">VLOOKUP(I33,$T$3:$V$352,3,FALSE)</f>
        <v>-0.54592920592799998</v>
      </c>
      <c r="L33" s="135">
        <f>$I$16*LN(G33)</f>
        <v>0</v>
      </c>
      <c r="M33" s="194">
        <f>K33+L33</f>
        <v>-0.54592920592799998</v>
      </c>
      <c r="N33" s="196">
        <f t="shared" ref="N33:N39" si="19">VLOOKUP(I33,$T$3:$W$352,4,FALSE)</f>
        <v>-0.54592920592799998</v>
      </c>
      <c r="O33" s="168">
        <f t="shared" ref="O33:O39" si="20">IF(M33=N33,0,1)</f>
        <v>0</v>
      </c>
      <c r="T33" s="137">
        <f>DayPatternCoefficients!A41</f>
        <v>207</v>
      </c>
      <c r="U33" s="137" t="str">
        <f>DayPatternCoefficients!B41</f>
        <v>S-PAS</v>
      </c>
      <c r="V33" s="138">
        <f>DayPatternCoefficients!D41</f>
        <v>1</v>
      </c>
      <c r="W33" s="178">
        <f t="shared" si="0"/>
        <v>0</v>
      </c>
      <c r="AF33" s="115">
        <v>59</v>
      </c>
      <c r="AG33" s="115" t="s">
        <v>1080</v>
      </c>
      <c r="AH33" s="115">
        <v>-2.1812774888600002</v>
      </c>
      <c r="AJ33" s="115" t="s">
        <v>1092</v>
      </c>
    </row>
    <row r="34" spans="1:36" x14ac:dyDescent="0.25">
      <c r="A34" t="s">
        <v>10879</v>
      </c>
      <c r="B34" s="115" t="str">
        <f t="shared" ref="B34:B41" si="21">B20</f>
        <v>school</v>
      </c>
      <c r="C34" s="125">
        <f>VLOOKUP(A34,input_stops!$A$1:$B$19,2,FALSE)</f>
        <v>34088949.541500002</v>
      </c>
      <c r="D34" s="125">
        <f>VLOOKUP(A34,input_stops!$A$20:$B$38,2,FALSE)</f>
        <v>311285.90311700001</v>
      </c>
      <c r="E34" s="118">
        <f t="shared" ref="E34:E39" si="22">C34/C$41</f>
        <v>9.1920680575138309</v>
      </c>
      <c r="F34" s="118">
        <f t="shared" ref="F34:F39" si="23">D34/D$41</f>
        <v>8.3176485672189521E-2</v>
      </c>
      <c r="G34" s="118">
        <f t="shared" ref="G34:G39" si="24">E34/F34</f>
        <v>110.51282081982991</v>
      </c>
      <c r="I34" s="133">
        <v>201</v>
      </c>
      <c r="J34" s="129" t="s">
        <v>375</v>
      </c>
      <c r="K34" s="138">
        <f t="shared" si="18"/>
        <v>0.25052747176099999</v>
      </c>
      <c r="L34" s="135">
        <f t="shared" ref="L34:L39" si="25">$I$16*LN(G34)</f>
        <v>0</v>
      </c>
      <c r="M34" s="194">
        <f t="shared" ref="M34:M39" si="26">K34+L34</f>
        <v>0.25052747176099999</v>
      </c>
      <c r="N34" s="196">
        <f t="shared" si="19"/>
        <v>0.25052747176099999</v>
      </c>
      <c r="O34" s="168">
        <f t="shared" si="20"/>
        <v>0</v>
      </c>
      <c r="T34" s="163">
        <f>DayPatternCoefficients!A42</f>
        <v>208</v>
      </c>
      <c r="U34" s="163" t="str">
        <f>DayPatternCoefficients!B42</f>
        <v>S-CU5</v>
      </c>
      <c r="V34" s="157">
        <f>DayPatternCoefficients!D42</f>
        <v>4.3492068108000002</v>
      </c>
      <c r="W34" s="178">
        <f t="shared" si="0"/>
        <v>4.3492068108000002</v>
      </c>
      <c r="AF34" s="115">
        <v>60</v>
      </c>
      <c r="AG34" s="115" t="s">
        <v>1080</v>
      </c>
      <c r="AH34" s="115">
        <v>-1.6624340606700001</v>
      </c>
      <c r="AJ34" s="115" t="s">
        <v>1100</v>
      </c>
    </row>
    <row r="35" spans="1:36" x14ac:dyDescent="0.25">
      <c r="A35" t="s">
        <v>10880</v>
      </c>
      <c r="B35" s="115" t="str">
        <f t="shared" si="21"/>
        <v>escort</v>
      </c>
      <c r="C35" s="125">
        <f>VLOOKUP(A35,input_stops!$A$1:$B$19,2,FALSE)</f>
        <v>254693527.109</v>
      </c>
      <c r="D35" s="125">
        <f>VLOOKUP(A35,input_stops!$A$20:$B$38,2,FALSE)</f>
        <v>2950479.2976099998</v>
      </c>
      <c r="E35" s="118">
        <f t="shared" si="22"/>
        <v>68.6779811781538</v>
      </c>
      <c r="F35" s="118">
        <f t="shared" si="23"/>
        <v>0.78837652642275258</v>
      </c>
      <c r="G35" s="118">
        <f t="shared" si="24"/>
        <v>87.113173561596483</v>
      </c>
      <c r="I35" s="133">
        <v>301</v>
      </c>
      <c r="J35" s="129" t="s">
        <v>431</v>
      </c>
      <c r="K35" s="138">
        <f t="shared" si="18"/>
        <v>-2</v>
      </c>
      <c r="L35" s="135">
        <f t="shared" si="25"/>
        <v>0</v>
      </c>
      <c r="M35" s="194">
        <f t="shared" si="26"/>
        <v>-2</v>
      </c>
      <c r="N35" s="196">
        <f t="shared" si="19"/>
        <v>-2</v>
      </c>
      <c r="O35" s="168">
        <f t="shared" si="20"/>
        <v>0</v>
      </c>
      <c r="T35" s="163">
        <f>DayPatternCoefficients!A43</f>
        <v>209</v>
      </c>
      <c r="U35" s="163" t="str">
        <f>DayPatternCoefficients!B43</f>
        <v>S-VLINC</v>
      </c>
      <c r="V35" s="157">
        <f>DayPatternCoefficients!D43</f>
        <v>0</v>
      </c>
      <c r="W35" s="178">
        <f t="shared" ref="W35:W66" si="27">_xlfn.IFNA(VLOOKUP(T35,$K$63:$M$105,3,FALSE),_xlfn.IFNA(VLOOKUP(T35,$G$5:$K$11,5,FALSE),_xlfn.IFNA(VLOOKUP(T35,$G$19:$K$25,5,FALSE),V35)))</f>
        <v>0</v>
      </c>
      <c r="AF35" s="115">
        <v>64</v>
      </c>
      <c r="AG35" s="115" t="s">
        <v>1081</v>
      </c>
      <c r="AH35" s="115">
        <v>-1.23583911171</v>
      </c>
      <c r="AJ35" s="115" t="s">
        <v>1078</v>
      </c>
    </row>
    <row r="36" spans="1:36" x14ac:dyDescent="0.25">
      <c r="A36" t="s">
        <v>10881</v>
      </c>
      <c r="B36" s="115" t="str">
        <f t="shared" si="21"/>
        <v>pers.bus</v>
      </c>
      <c r="C36" s="125">
        <f>VLOOKUP(A36,input_stops!$A$1:$B$19,2,FALSE)</f>
        <v>416644786.52100003</v>
      </c>
      <c r="D36" s="125">
        <f>VLOOKUP(A36,input_stops!$A$20:$B$38,2,FALSE)</f>
        <v>5413972.9533500001</v>
      </c>
      <c r="E36" s="118">
        <f t="shared" si="22"/>
        <v>112.3480566289351</v>
      </c>
      <c r="F36" s="118">
        <f t="shared" si="23"/>
        <v>1.4466290933023145</v>
      </c>
      <c r="G36" s="118">
        <f t="shared" si="24"/>
        <v>77.661964043921486</v>
      </c>
      <c r="I36" s="133">
        <v>401</v>
      </c>
      <c r="J36" s="129" t="s">
        <v>490</v>
      </c>
      <c r="K36" s="138">
        <f t="shared" si="18"/>
        <v>-0.04</v>
      </c>
      <c r="L36" s="135">
        <f t="shared" si="25"/>
        <v>0</v>
      </c>
      <c r="M36" s="194">
        <f t="shared" si="26"/>
        <v>-0.04</v>
      </c>
      <c r="N36" s="196">
        <f t="shared" si="19"/>
        <v>-0.04</v>
      </c>
      <c r="O36" s="168">
        <f t="shared" si="20"/>
        <v>0</v>
      </c>
      <c r="T36" s="163">
        <f>DayPatternCoefficients!A44</f>
        <v>210</v>
      </c>
      <c r="U36" s="163" t="str">
        <f>DayPatternCoefficients!B44</f>
        <v>S-LOINC</v>
      </c>
      <c r="V36" s="157">
        <f>DayPatternCoefficients!D44</f>
        <v>0</v>
      </c>
      <c r="W36" s="178">
        <f t="shared" si="27"/>
        <v>0</v>
      </c>
      <c r="AF36" s="115">
        <v>65</v>
      </c>
      <c r="AG36" s="115" t="s">
        <v>1081</v>
      </c>
      <c r="AH36" s="115">
        <v>-0.32342873795299998</v>
      </c>
      <c r="AJ36" s="115" t="s">
        <v>1087</v>
      </c>
    </row>
    <row r="37" spans="1:36" x14ac:dyDescent="0.25">
      <c r="A37" t="s">
        <v>10882</v>
      </c>
      <c r="B37" s="115" t="str">
        <f t="shared" si="21"/>
        <v>shop</v>
      </c>
      <c r="C37" s="125">
        <f>VLOOKUP(A37,input_stops!$A$1:$B$19,2,FALSE)</f>
        <v>533698937.792</v>
      </c>
      <c r="D37" s="125">
        <f>VLOOKUP(A37,input_stops!$A$20:$B$38,2,FALSE)</f>
        <v>6503361.5624799998</v>
      </c>
      <c r="E37" s="118">
        <f t="shared" si="22"/>
        <v>143.9116495049098</v>
      </c>
      <c r="F37" s="118">
        <f t="shared" si="23"/>
        <v>1.737716852598278</v>
      </c>
      <c r="G37" s="118">
        <f t="shared" si="24"/>
        <v>82.816512534668391</v>
      </c>
      <c r="I37" s="133">
        <v>501</v>
      </c>
      <c r="J37" s="129" t="s">
        <v>549</v>
      </c>
      <c r="K37" s="138">
        <f t="shared" si="18"/>
        <v>0.68463974939799999</v>
      </c>
      <c r="L37" s="135">
        <f t="shared" si="25"/>
        <v>0</v>
      </c>
      <c r="M37" s="194">
        <f t="shared" si="26"/>
        <v>0.68463974939799999</v>
      </c>
      <c r="N37" s="196">
        <f t="shared" si="19"/>
        <v>0.68463974939799999</v>
      </c>
      <c r="O37" s="168">
        <f t="shared" si="20"/>
        <v>0</v>
      </c>
      <c r="T37" s="163">
        <f>DayPatternCoefficients!A45</f>
        <v>211</v>
      </c>
      <c r="U37" s="163" t="str">
        <f>DayPatternCoefficients!B45</f>
        <v>S-HIINC</v>
      </c>
      <c r="V37" s="157">
        <f>DayPatternCoefficients!D45</f>
        <v>0</v>
      </c>
      <c r="W37" s="178">
        <f t="shared" si="27"/>
        <v>0</v>
      </c>
      <c r="AF37" s="115">
        <v>66</v>
      </c>
      <c r="AG37" s="115" t="s">
        <v>1081</v>
      </c>
      <c r="AH37" s="115">
        <v>-2.32428386605</v>
      </c>
      <c r="AJ37" s="115" t="s">
        <v>1092</v>
      </c>
    </row>
    <row r="38" spans="1:36" x14ac:dyDescent="0.25">
      <c r="A38" t="s">
        <v>10883</v>
      </c>
      <c r="B38" s="115" t="str">
        <f t="shared" si="21"/>
        <v>meal</v>
      </c>
      <c r="C38" s="125">
        <f>VLOOKUP(A38,input_stops!$A$1:$B$19,2,FALSE)</f>
        <v>264163037.40000001</v>
      </c>
      <c r="D38" s="125">
        <f>VLOOKUP(A38,input_stops!$A$20:$B$38,2,FALSE)</f>
        <v>2964915.6510800002</v>
      </c>
      <c r="E38" s="118">
        <f t="shared" si="22"/>
        <v>71.231429853955078</v>
      </c>
      <c r="F38" s="118">
        <f t="shared" si="23"/>
        <v>0.79223396145444691</v>
      </c>
      <c r="G38" s="118">
        <f t="shared" si="24"/>
        <v>89.912113491300829</v>
      </c>
      <c r="I38" s="133">
        <v>601</v>
      </c>
      <c r="J38" s="129" t="s">
        <v>608</v>
      </c>
      <c r="K38" s="138">
        <f t="shared" si="18"/>
        <v>-0.71412970660499997</v>
      </c>
      <c r="L38" s="135">
        <f t="shared" si="25"/>
        <v>0</v>
      </c>
      <c r="M38" s="194">
        <f t="shared" si="26"/>
        <v>-0.71412970660499997</v>
      </c>
      <c r="N38" s="196">
        <f t="shared" si="19"/>
        <v>-0.71412970660499997</v>
      </c>
      <c r="O38" s="168">
        <f t="shared" si="20"/>
        <v>0</v>
      </c>
      <c r="T38" s="163">
        <f>DayPatternCoefficients!A46</f>
        <v>212</v>
      </c>
      <c r="U38" s="163" t="str">
        <f>DayPatternCoefficients!B46</f>
        <v>S-CARSPD</v>
      </c>
      <c r="V38" s="157">
        <f>DayPatternCoefficients!D46</f>
        <v>-3.1057751230199999E-3</v>
      </c>
      <c r="W38" s="178">
        <f t="shared" si="27"/>
        <v>-3.1057751230199999E-3</v>
      </c>
      <c r="AF38" s="115">
        <v>67</v>
      </c>
      <c r="AG38" s="115" t="s">
        <v>1081</v>
      </c>
      <c r="AH38" s="115">
        <v>-1.6578909769200001</v>
      </c>
      <c r="AJ38" s="115" t="s">
        <v>1100</v>
      </c>
    </row>
    <row r="39" spans="1:36" ht="15.75" thickBot="1" x14ac:dyDescent="0.3">
      <c r="A39" t="s">
        <v>10884</v>
      </c>
      <c r="B39" s="115" t="str">
        <f t="shared" si="21"/>
        <v>soc/rec</v>
      </c>
      <c r="C39" s="125">
        <f>VLOOKUP(A39,input_stops!$A$1:$B$19,2,FALSE)</f>
        <v>296578333.73299998</v>
      </c>
      <c r="D39" s="125">
        <f>VLOOKUP(A39,input_stops!$A$20:$B$38,2,FALSE)</f>
        <v>3001243.90674</v>
      </c>
      <c r="E39" s="118">
        <f t="shared" si="22"/>
        <v>79.972198167589156</v>
      </c>
      <c r="F39" s="118">
        <f t="shared" si="23"/>
        <v>0.80194097550854593</v>
      </c>
      <c r="G39" s="118">
        <f t="shared" si="24"/>
        <v>99.72329711282714</v>
      </c>
      <c r="I39" s="134">
        <v>701</v>
      </c>
      <c r="J39" s="132" t="s">
        <v>667</v>
      </c>
      <c r="K39" s="169">
        <f t="shared" si="18"/>
        <v>-0.4</v>
      </c>
      <c r="L39" s="136">
        <f t="shared" si="25"/>
        <v>0</v>
      </c>
      <c r="M39" s="195">
        <f t="shared" si="26"/>
        <v>-0.4</v>
      </c>
      <c r="N39" s="197">
        <f t="shared" si="19"/>
        <v>-0.4</v>
      </c>
      <c r="O39" s="171">
        <f t="shared" si="20"/>
        <v>0</v>
      </c>
      <c r="T39" s="163">
        <f>DayPatternCoefficients!A47</f>
        <v>213</v>
      </c>
      <c r="U39" s="163" t="str">
        <f>DayPatternCoefficients!B47</f>
        <v>S-ONLYAD</v>
      </c>
      <c r="V39" s="157">
        <f>DayPatternCoefficients!D47</f>
        <v>0</v>
      </c>
      <c r="W39" s="178">
        <f t="shared" si="27"/>
        <v>0</v>
      </c>
      <c r="AF39" s="115">
        <v>71</v>
      </c>
      <c r="AG39" s="115" t="s">
        <v>1082</v>
      </c>
      <c r="AH39" s="115">
        <v>-1.3046209712800001</v>
      </c>
      <c r="AJ39" s="115" t="s">
        <v>1078</v>
      </c>
    </row>
    <row r="40" spans="1:36" x14ac:dyDescent="0.25">
      <c r="B40" s="121"/>
      <c r="C40" s="142" t="s">
        <v>1031</v>
      </c>
      <c r="D40" s="142" t="s">
        <v>1031</v>
      </c>
      <c r="E40" s="142" t="s">
        <v>1031</v>
      </c>
      <c r="F40" s="122"/>
      <c r="G40" s="142" t="s">
        <v>1031</v>
      </c>
      <c r="I40" s="131"/>
      <c r="J40" s="131"/>
      <c r="O40" s="119">
        <f>SUM(O33:O39)</f>
        <v>0</v>
      </c>
      <c r="T40" s="163">
        <f>DayPatternCoefficients!A48</f>
        <v>214</v>
      </c>
      <c r="U40" s="163" t="str">
        <f>DayPatternCoefficients!B48</f>
        <v>S-ONLYWK</v>
      </c>
      <c r="V40" s="157">
        <f>DayPatternCoefficients!D48</f>
        <v>0</v>
      </c>
      <c r="W40" s="178">
        <f t="shared" si="27"/>
        <v>0</v>
      </c>
      <c r="AF40" s="115">
        <v>72</v>
      </c>
      <c r="AG40" s="115" t="s">
        <v>1082</v>
      </c>
      <c r="AH40" s="115">
        <v>-0.50321932343800002</v>
      </c>
      <c r="AJ40" s="115" t="s">
        <v>1087</v>
      </c>
    </row>
    <row r="41" spans="1:36" ht="15.75" thickBot="1" x14ac:dyDescent="0.3">
      <c r="A41" t="s">
        <v>10885</v>
      </c>
      <c r="B41" s="124" t="str">
        <f t="shared" si="21"/>
        <v>Total</v>
      </c>
      <c r="C41" s="221">
        <f>VLOOKUP(A41,input_stops!$A$1:$B$19,2,FALSE)</f>
        <v>3708517.9665999999</v>
      </c>
      <c r="D41" s="221">
        <f>VLOOKUP(A41,input_stops!$A$20:$B$38,2,FALSE)</f>
        <v>3742474.8184699998</v>
      </c>
      <c r="E41" s="222"/>
      <c r="F41" s="222"/>
      <c r="G41" s="222"/>
      <c r="H41" s="123"/>
      <c r="T41" s="163">
        <f>DayPatternCoefficients!A49</f>
        <v>216</v>
      </c>
      <c r="U41" s="163" t="str">
        <f>DayPatternCoefficients!B49</f>
        <v>S-FEMNOC</v>
      </c>
      <c r="V41" s="157">
        <f>DayPatternCoefficients!D49</f>
        <v>0</v>
      </c>
      <c r="W41" s="178">
        <f t="shared" si="27"/>
        <v>0</v>
      </c>
      <c r="AF41" s="115">
        <v>73</v>
      </c>
      <c r="AG41" s="115" t="s">
        <v>1082</v>
      </c>
      <c r="AH41" s="115">
        <v>-4.8332706841800004</v>
      </c>
      <c r="AJ41" s="115" t="s">
        <v>1092</v>
      </c>
    </row>
    <row r="42" spans="1:36" x14ac:dyDescent="0.25">
      <c r="T42" s="163">
        <f>DayPatternCoefficients!A50</f>
        <v>217</v>
      </c>
      <c r="U42" s="163" t="str">
        <f>DayPatternCoefficients!B50</f>
        <v>S-FADCU5</v>
      </c>
      <c r="V42" s="157">
        <f>DayPatternCoefficients!D50</f>
        <v>-0.96794995874900003</v>
      </c>
      <c r="W42" s="178">
        <f t="shared" si="27"/>
        <v>-0.96794995874900003</v>
      </c>
      <c r="AF42" s="115">
        <v>74</v>
      </c>
      <c r="AG42" s="115" t="s">
        <v>1082</v>
      </c>
      <c r="AH42" s="115">
        <v>-1.52892590596</v>
      </c>
      <c r="AJ42" s="115" t="s">
        <v>1100</v>
      </c>
    </row>
    <row r="43" spans="1:36" x14ac:dyDescent="0.25">
      <c r="T43" s="163">
        <f>DayPatternCoefficients!A51</f>
        <v>218</v>
      </c>
      <c r="U43" s="163" t="str">
        <f>DayPatternCoefficients!B51</f>
        <v>S-FAD515</v>
      </c>
      <c r="V43" s="157">
        <f>DayPatternCoefficients!D51</f>
        <v>0</v>
      </c>
      <c r="W43" s="178">
        <f t="shared" si="27"/>
        <v>0</v>
      </c>
      <c r="AF43" s="115">
        <v>78</v>
      </c>
      <c r="AG43" s="115" t="s">
        <v>1083</v>
      </c>
      <c r="AH43" s="115">
        <v>-1.3486716266600001</v>
      </c>
      <c r="AJ43" s="115" t="s">
        <v>1078</v>
      </c>
    </row>
    <row r="44" spans="1:36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106" t="str">
        <f>ToursByTourPurpose!M1</f>
        <v>Table X.X</v>
      </c>
      <c r="L44" s="3"/>
      <c r="M44" s="3"/>
      <c r="N44" s="3"/>
      <c r="O44" s="3"/>
      <c r="P44" s="3"/>
      <c r="Q44" s="3"/>
      <c r="R44" s="3"/>
      <c r="T44" s="163">
        <f>DayPatternCoefficients!A52</f>
        <v>219</v>
      </c>
      <c r="U44" s="163" t="str">
        <f>DayPatternCoefficients!B52</f>
        <v>S-MADCU5</v>
      </c>
      <c r="V44" s="157">
        <f>DayPatternCoefficients!D52</f>
        <v>0</v>
      </c>
      <c r="W44" s="178">
        <f t="shared" si="27"/>
        <v>0</v>
      </c>
      <c r="AF44" s="115">
        <v>79</v>
      </c>
      <c r="AG44" s="115" t="s">
        <v>1083</v>
      </c>
      <c r="AH44" s="115">
        <v>-0.55978493524700002</v>
      </c>
      <c r="AJ44" s="115" t="s">
        <v>1087</v>
      </c>
    </row>
    <row r="45" spans="1:36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25"/>
      <c r="K45" s="106" t="str">
        <f>ToursByTourPurpose!M2</f>
        <v>ESTIMATED TOTAL TOURS (by persontype)</v>
      </c>
      <c r="L45" s="3"/>
      <c r="M45" s="3"/>
      <c r="N45" s="3"/>
      <c r="O45" s="3"/>
      <c r="P45" s="3"/>
      <c r="Q45" s="3"/>
      <c r="R45" s="3"/>
      <c r="T45" s="163">
        <f>DayPatternCoefficients!A53</f>
        <v>220</v>
      </c>
      <c r="U45" s="163" t="str">
        <f>DayPatternCoefficients!B53</f>
        <v>S-MAD515</v>
      </c>
      <c r="V45" s="157">
        <f>DayPatternCoefficients!D53</f>
        <v>0</v>
      </c>
      <c r="W45" s="178">
        <f t="shared" si="27"/>
        <v>0</v>
      </c>
      <c r="AF45" s="115">
        <v>80</v>
      </c>
      <c r="AG45" s="115" t="s">
        <v>1083</v>
      </c>
      <c r="AH45" s="115">
        <v>-2.1204677092600002</v>
      </c>
      <c r="AJ45" s="115" t="s">
        <v>1092</v>
      </c>
    </row>
    <row r="46" spans="1:36" ht="15.75" thickBot="1" x14ac:dyDescent="0.3">
      <c r="B46" s="3"/>
      <c r="C46" s="4"/>
      <c r="D46" s="4"/>
      <c r="E46" s="4"/>
      <c r="F46" s="4"/>
      <c r="G46" s="4"/>
      <c r="H46" s="4"/>
      <c r="I46" s="4"/>
      <c r="J46" s="88"/>
      <c r="K46" s="3"/>
      <c r="L46" s="4"/>
      <c r="M46" s="4"/>
      <c r="N46" s="4"/>
      <c r="O46" s="4"/>
      <c r="P46" s="4"/>
      <c r="Q46" s="4"/>
      <c r="R46" s="4"/>
      <c r="T46" s="163">
        <f>DayPatternCoefficients!A54</f>
        <v>221</v>
      </c>
      <c r="U46" s="163" t="str">
        <f>DayPatternCoefficients!B54</f>
        <v>S-AG1825</v>
      </c>
      <c r="V46" s="157">
        <f>DayPatternCoefficients!D54</f>
        <v>0</v>
      </c>
      <c r="W46" s="178">
        <f t="shared" si="27"/>
        <v>0</v>
      </c>
      <c r="AF46" s="115">
        <v>81</v>
      </c>
      <c r="AG46" s="115" t="s">
        <v>1083</v>
      </c>
      <c r="AH46" s="115">
        <v>-1.10856035167</v>
      </c>
      <c r="AJ46" s="115" t="s">
        <v>1100</v>
      </c>
    </row>
    <row r="47" spans="1:36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89"/>
      <c r="K47" s="5" t="str">
        <f>ToursByTourPurpose!M4</f>
        <v>Purpose</v>
      </c>
      <c r="L47" s="6" t="str">
        <f>ToursByTourPurpose!N4</f>
        <v>ft worker</v>
      </c>
      <c r="M47" s="6" t="str">
        <f>ToursByTourPurpose!O4</f>
        <v>pt worker</v>
      </c>
      <c r="N47" s="6" t="str">
        <f>ToursByTourPurpose!P4</f>
        <v>retired</v>
      </c>
      <c r="O47" s="6" t="str">
        <f>ToursByTourPurpose!Q4</f>
        <v>nonworker</v>
      </c>
      <c r="P47" s="6" t="str">
        <f>ToursByTourPurpose!R4</f>
        <v>uinv.stud</v>
      </c>
      <c r="Q47" s="6" t="str">
        <f>ToursByTourPurpose!S4</f>
        <v>stud 16+</v>
      </c>
      <c r="R47" s="6" t="str">
        <f>ToursByTourPurpose!U4</f>
        <v>stud.5-15</v>
      </c>
      <c r="T47" s="163">
        <f>DayPatternCoefficients!A55</f>
        <v>222</v>
      </c>
      <c r="U47" s="163" t="str">
        <f>DayPatternCoefficients!B55</f>
        <v>S-AG2635</v>
      </c>
      <c r="V47" s="157">
        <f>DayPatternCoefficients!D55</f>
        <v>0</v>
      </c>
      <c r="W47" s="178">
        <f t="shared" si="27"/>
        <v>0</v>
      </c>
      <c r="AF47" s="115">
        <v>82</v>
      </c>
      <c r="AG47" s="115" t="s">
        <v>1057</v>
      </c>
      <c r="AH47" s="115">
        <v>1.03609977401</v>
      </c>
      <c r="AJ47" s="115" t="s">
        <v>1064</v>
      </c>
    </row>
    <row r="48" spans="1:36" x14ac:dyDescent="0.25">
      <c r="B48" s="3" t="str">
        <f>ToursByTourPurpose!A5</f>
        <v>work</v>
      </c>
      <c r="C48" s="7">
        <f>ToursByTourPurpose!B5</f>
        <v>1409852.2488803985</v>
      </c>
      <c r="D48" s="7">
        <f>ToursByTourPurpose!C5</f>
        <v>197024.1172217548</v>
      </c>
      <c r="E48" s="7">
        <f>ToursByTourPurpose!D5</f>
        <v>17274.135335971201</v>
      </c>
      <c r="F48" s="7">
        <f>ToursByTourPurpose!E5</f>
        <v>36504.904088915901</v>
      </c>
      <c r="G48" s="7">
        <f>ToursByTourPurpose!F5</f>
        <v>62852.677853105903</v>
      </c>
      <c r="H48" s="7">
        <f>ToursByTourPurpose!G5</f>
        <v>2054.6708749999998</v>
      </c>
      <c r="I48" s="7">
        <f>ToursByTourPurpose!I5</f>
        <v>1525.4285</v>
      </c>
      <c r="J48" s="33"/>
      <c r="K48" s="3" t="str">
        <f>ToursByTourPurpose!M5</f>
        <v>work</v>
      </c>
      <c r="L48" s="7">
        <f>ToursByTourPurpose!N5</f>
        <v>1397557.6171067096</v>
      </c>
      <c r="M48" s="7">
        <f>ToursByTourPurpose!O5</f>
        <v>201053.25524696853</v>
      </c>
      <c r="N48" s="7">
        <f>ToursByTourPurpose!P5</f>
        <v>0</v>
      </c>
      <c r="O48" s="7">
        <f>ToursByTourPurpose!Q5</f>
        <v>0</v>
      </c>
      <c r="P48" s="7">
        <f>ToursByTourPurpose!R5</f>
        <v>71143.5447406764</v>
      </c>
      <c r="Q48" s="7">
        <f>ToursByTourPurpose!S5</f>
        <v>1936.3045015029468</v>
      </c>
      <c r="R48" s="7">
        <f>ToursByTourPurpose!U5</f>
        <v>0</v>
      </c>
      <c r="T48" s="163">
        <f>DayPatternCoefficients!A56</f>
        <v>223</v>
      </c>
      <c r="U48" s="163" t="str">
        <f>DayPatternCoefficients!B56</f>
        <v>S-AG5165</v>
      </c>
      <c r="V48" s="157">
        <f>DayPatternCoefficients!D56</f>
        <v>-0.21568887136100001</v>
      </c>
      <c r="W48" s="178">
        <f t="shared" si="27"/>
        <v>-0.21568887136100001</v>
      </c>
      <c r="AF48" s="115">
        <v>83</v>
      </c>
      <c r="AG48" s="115" t="s">
        <v>1057</v>
      </c>
      <c r="AH48" s="115">
        <v>0.49617548671400002</v>
      </c>
      <c r="AJ48" s="115" t="s">
        <v>1065</v>
      </c>
    </row>
    <row r="49" spans="2:36" x14ac:dyDescent="0.25">
      <c r="B49" s="3" t="str">
        <f>ToursByTourPurpose!A6</f>
        <v>school</v>
      </c>
      <c r="C49" s="7">
        <f>ToursByTourPurpose!B6</f>
        <v>7504.0738574372999</v>
      </c>
      <c r="D49" s="7">
        <f>ToursByTourPurpose!C6</f>
        <v>41458.994241735199</v>
      </c>
      <c r="E49" s="7">
        <f>ToursByTourPurpose!D6</f>
        <v>1402.1807139949999</v>
      </c>
      <c r="F49" s="7">
        <f>ToursByTourPurpose!E6</f>
        <v>71975.982674155399</v>
      </c>
      <c r="G49" s="7">
        <f>ToursByTourPurpose!F6</f>
        <v>51839.910811920003</v>
      </c>
      <c r="H49" s="7">
        <f>ToursByTourPurpose!G6</f>
        <v>76767.618749579997</v>
      </c>
      <c r="I49" s="7">
        <f>ToursByTourPurpose!I6</f>
        <v>490330.682875</v>
      </c>
      <c r="J49" s="33"/>
      <c r="K49" s="3" t="str">
        <f>ToursByTourPurpose!M6</f>
        <v>school</v>
      </c>
      <c r="L49" s="7">
        <f>ToursByTourPurpose!N6</f>
        <v>30292.700548767785</v>
      </c>
      <c r="M49" s="7">
        <f>ToursByTourPurpose!O6</f>
        <v>0</v>
      </c>
      <c r="N49" s="7">
        <f>ToursByTourPurpose!P6</f>
        <v>0</v>
      </c>
      <c r="O49" s="7">
        <f>ToursByTourPurpose!Q6</f>
        <v>0</v>
      </c>
      <c r="P49" s="7">
        <f>ToursByTourPurpose!R6</f>
        <v>148716.11844476379</v>
      </c>
      <c r="Q49" s="7">
        <f>ToursByTourPurpose!S6</f>
        <v>108176.66993366009</v>
      </c>
      <c r="R49" s="7">
        <f>ToursByTourPurpose!U6</f>
        <v>445422.27026237833</v>
      </c>
      <c r="T49" s="163">
        <f>DayPatternCoefficients!A57</f>
        <v>224</v>
      </c>
      <c r="U49" s="163" t="str">
        <f>DayPatternCoefficients!B57</f>
        <v>S-WAHOME</v>
      </c>
      <c r="V49" s="157">
        <f>DayPatternCoefficients!D57</f>
        <v>0</v>
      </c>
      <c r="W49" s="178">
        <f t="shared" si="27"/>
        <v>0</v>
      </c>
      <c r="AF49" s="115">
        <v>84</v>
      </c>
      <c r="AG49" s="115" t="s">
        <v>1057</v>
      </c>
      <c r="AH49" s="115">
        <v>-0.23939659975899999</v>
      </c>
      <c r="AJ49" s="115" t="s">
        <v>1070</v>
      </c>
    </row>
    <row r="50" spans="2:36" x14ac:dyDescent="0.25">
      <c r="B50" s="3" t="str">
        <f>ToursByTourPurpose!A7</f>
        <v>escort</v>
      </c>
      <c r="C50" s="7">
        <f>ToursByTourPurpose!B7</f>
        <v>175960.01260278179</v>
      </c>
      <c r="D50" s="7">
        <f>ToursByTourPurpose!C7</f>
        <v>95203.5709531881</v>
      </c>
      <c r="E50" s="7">
        <f>ToursByTourPurpose!D7</f>
        <v>56287.992597320299</v>
      </c>
      <c r="F50" s="7">
        <f>ToursByTourPurpose!E7</f>
        <v>226676.82404124251</v>
      </c>
      <c r="G50" s="7">
        <f>ToursByTourPurpose!F7</f>
        <v>11569.829231076399</v>
      </c>
      <c r="H50" s="7">
        <f>ToursByTourPurpose!G7</f>
        <v>8238.3787969599998</v>
      </c>
      <c r="I50" s="7">
        <f>ToursByTourPurpose!I7</f>
        <v>31051.988000000001</v>
      </c>
      <c r="J50" s="33"/>
      <c r="K50" s="3" t="str">
        <f>ToursByTourPurpose!M7</f>
        <v>escort</v>
      </c>
      <c r="L50" s="7">
        <f>ToursByTourPurpose!N7</f>
        <v>126163.81869083301</v>
      </c>
      <c r="M50" s="7">
        <f>ToursByTourPurpose!O7</f>
        <v>72439.071966043601</v>
      </c>
      <c r="N50" s="7">
        <f>ToursByTourPurpose!P7</f>
        <v>85804.439106771868</v>
      </c>
      <c r="O50" s="7">
        <f>ToursByTourPurpose!Q7</f>
        <v>236935.98549904593</v>
      </c>
      <c r="P50" s="7">
        <f>ToursByTourPurpose!R7</f>
        <v>11397.011078789415</v>
      </c>
      <c r="Q50" s="7">
        <f>ToursByTourPurpose!S7</f>
        <v>5451.963105945556</v>
      </c>
      <c r="R50" s="7">
        <f>ToursByTourPurpose!U7</f>
        <v>48177.049323860454</v>
      </c>
      <c r="T50" s="163">
        <f>DayPatternCoefficients!A58</f>
        <v>225</v>
      </c>
      <c r="U50" s="163" t="str">
        <f>DayPatternCoefficients!B58</f>
        <v>S-MIXDEN</v>
      </c>
      <c r="V50" s="157">
        <f>DayPatternCoefficients!D58</f>
        <v>0</v>
      </c>
      <c r="W50" s="178">
        <f t="shared" si="27"/>
        <v>0</v>
      </c>
      <c r="AF50" s="115">
        <v>85</v>
      </c>
      <c r="AG50" s="115" t="s">
        <v>1057</v>
      </c>
      <c r="AH50" s="115">
        <v>0.141816684612</v>
      </c>
      <c r="AJ50" s="115" t="s">
        <v>1078</v>
      </c>
    </row>
    <row r="51" spans="2:36" x14ac:dyDescent="0.25">
      <c r="B51" s="3" t="str">
        <f>ToursByTourPurpose!A8</f>
        <v>pers.bus</v>
      </c>
      <c r="C51" s="7">
        <f>ToursByTourPurpose!B8</f>
        <v>139948.29881939929</v>
      </c>
      <c r="D51" s="7">
        <f>ToursByTourPurpose!C8</f>
        <v>78011.263471984406</v>
      </c>
      <c r="E51" s="7">
        <f>ToursByTourPurpose!D8</f>
        <v>160095.9780834032</v>
      </c>
      <c r="F51" s="7">
        <f>ToursByTourPurpose!E8</f>
        <v>187885.90913780901</v>
      </c>
      <c r="G51" s="7">
        <f>ToursByTourPurpose!F8</f>
        <v>15998.2777157859</v>
      </c>
      <c r="H51" s="7">
        <f>ToursByTourPurpose!G8</f>
        <v>5022.4174999999996</v>
      </c>
      <c r="I51" s="7">
        <f>ToursByTourPurpose!I8</f>
        <v>65357.599499999997</v>
      </c>
      <c r="J51" s="33"/>
      <c r="K51" s="3" t="str">
        <f>ToursByTourPurpose!M8</f>
        <v>pers.bus</v>
      </c>
      <c r="L51" s="7">
        <f>ToursByTourPurpose!N8</f>
        <v>152614.22043388017</v>
      </c>
      <c r="M51" s="7">
        <f>ToursByTourPurpose!O8</f>
        <v>71650.841984299797</v>
      </c>
      <c r="N51" s="7">
        <f>ToursByTourPurpose!P8</f>
        <v>153931.74473304278</v>
      </c>
      <c r="O51" s="7">
        <f>ToursByTourPurpose!Q8</f>
        <v>188520.00060808912</v>
      </c>
      <c r="P51" s="7">
        <f>ToursByTourPurpose!R8</f>
        <v>11613.384767710173</v>
      </c>
      <c r="Q51" s="7">
        <f>ToursByTourPurpose!S8</f>
        <v>9763.7864639598756</v>
      </c>
      <c r="R51" s="7">
        <f>ToursByTourPurpose!U8</f>
        <v>60363.031076326719</v>
      </c>
      <c r="T51" s="163">
        <f>DayPatternCoefficients!A59</f>
        <v>226</v>
      </c>
      <c r="U51" s="163" t="str">
        <f>DayPatternCoefficients!B59</f>
        <v>S-INTDEN</v>
      </c>
      <c r="V51" s="157">
        <f>DayPatternCoefficients!D59</f>
        <v>0</v>
      </c>
      <c r="W51" s="178">
        <f t="shared" si="27"/>
        <v>0</v>
      </c>
      <c r="AF51" s="115">
        <v>86</v>
      </c>
      <c r="AG51" s="115" t="s">
        <v>1057</v>
      </c>
      <c r="AH51" s="115">
        <v>-0.66113956890100001</v>
      </c>
      <c r="AJ51" s="115" t="s">
        <v>1087</v>
      </c>
    </row>
    <row r="52" spans="2:36" x14ac:dyDescent="0.25">
      <c r="B52" s="3" t="str">
        <f>ToursByTourPurpose!A9</f>
        <v>shop</v>
      </c>
      <c r="C52" s="7">
        <f>ToursByTourPurpose!B9</f>
        <v>155422.9852594453</v>
      </c>
      <c r="D52" s="7">
        <f>ToursByTourPurpose!C9</f>
        <v>69258.373600786697</v>
      </c>
      <c r="E52" s="7">
        <f>ToursByTourPurpose!D9</f>
        <v>132977.5494189795</v>
      </c>
      <c r="F52" s="7">
        <f>ToursByTourPurpose!E9</f>
        <v>219601.48351633549</v>
      </c>
      <c r="G52" s="7">
        <f>ToursByTourPurpose!F9</f>
        <v>19537.267189447299</v>
      </c>
      <c r="H52" s="7">
        <f>ToursByTourPurpose!G9</f>
        <v>1043.620822394</v>
      </c>
      <c r="I52" s="7">
        <f>ToursByTourPurpose!I9</f>
        <v>32873.983749999999</v>
      </c>
      <c r="J52" s="33"/>
      <c r="K52" s="3" t="str">
        <f>ToursByTourPurpose!M9</f>
        <v>shop</v>
      </c>
      <c r="L52" s="7">
        <f>ToursByTourPurpose!N9</f>
        <v>126097.1010517589</v>
      </c>
      <c r="M52" s="7">
        <f>ToursByTourPurpose!O9</f>
        <v>59837.170319304423</v>
      </c>
      <c r="N52" s="7">
        <f>ToursByTourPurpose!P9</f>
        <v>136046.18755718213</v>
      </c>
      <c r="O52" s="7">
        <f>ToursByTourPurpose!Q9</f>
        <v>161314.73385473588</v>
      </c>
      <c r="P52" s="7">
        <f>ToursByTourPurpose!R9</f>
        <v>12499.540171875387</v>
      </c>
      <c r="Q52" s="7">
        <f>ToursByTourPurpose!S9</f>
        <v>7289.484712907225</v>
      </c>
      <c r="R52" s="7">
        <f>ToursByTourPurpose!U9</f>
        <v>107155.33869253565</v>
      </c>
      <c r="T52" s="163">
        <f>DayPatternCoefficients!A60</f>
        <v>227</v>
      </c>
      <c r="U52" s="163" t="str">
        <f>DayPatternCoefficients!B60</f>
        <v>S-ACCLOG</v>
      </c>
      <c r="V52" s="157">
        <f>DayPatternCoefficients!D60</f>
        <v>0</v>
      </c>
      <c r="W52" s="178">
        <f t="shared" si="27"/>
        <v>0</v>
      </c>
      <c r="AF52" s="115">
        <v>87</v>
      </c>
      <c r="AG52" s="115" t="s">
        <v>1057</v>
      </c>
      <c r="AH52" s="115">
        <v>-0.187451161299</v>
      </c>
      <c r="AJ52" s="115" t="s">
        <v>1092</v>
      </c>
    </row>
    <row r="53" spans="2:36" x14ac:dyDescent="0.25">
      <c r="B53" s="3" t="str">
        <f>ToursByTourPurpose!A10</f>
        <v>meal</v>
      </c>
      <c r="C53" s="7">
        <f>ToursByTourPurpose!B10</f>
        <v>72908.890458873895</v>
      </c>
      <c r="D53" s="7">
        <f>ToursByTourPurpose!C10</f>
        <v>20670.231697515501</v>
      </c>
      <c r="E53" s="7">
        <f>ToursByTourPurpose!D10</f>
        <v>40669.872001609103</v>
      </c>
      <c r="F53" s="7">
        <f>ToursByTourPurpose!E10</f>
        <v>62725.6534069314</v>
      </c>
      <c r="G53" s="7">
        <f>ToursByTourPurpose!F10</f>
        <v>6877.2431619211002</v>
      </c>
      <c r="H53" s="7">
        <f>ToursByTourPurpose!G10</f>
        <v>0</v>
      </c>
      <c r="I53" s="7">
        <f>ToursByTourPurpose!I10</f>
        <v>14093.2955</v>
      </c>
      <c r="J53" s="33"/>
      <c r="K53" s="3" t="str">
        <f>ToursByTourPurpose!M10</f>
        <v>meal</v>
      </c>
      <c r="L53" s="7">
        <f>ToursByTourPurpose!N10</f>
        <v>1833.4143561999435</v>
      </c>
      <c r="M53" s="7">
        <f>ToursByTourPurpose!O10</f>
        <v>28573.31451916488</v>
      </c>
      <c r="N53" s="7">
        <f>ToursByTourPurpose!P10</f>
        <v>51735.97305330028</v>
      </c>
      <c r="O53" s="7">
        <f>ToursByTourPurpose!Q10</f>
        <v>70725.823546630738</v>
      </c>
      <c r="P53" s="7">
        <f>ToursByTourPurpose!R10</f>
        <v>7189.8815525158434</v>
      </c>
      <c r="Q53" s="7">
        <f>ToursByTourPurpose!S10</f>
        <v>8181.4716396314379</v>
      </c>
      <c r="R53" s="7">
        <f>ToursByTourPurpose!U10</f>
        <v>27200.328717748078</v>
      </c>
      <c r="T53" s="163">
        <f>DayPatternCoefficients!A61</f>
        <v>228</v>
      </c>
      <c r="U53" s="163" t="str">
        <f>DayPatternCoefficients!B61</f>
        <v>S-T-LOGS</v>
      </c>
      <c r="V53" s="157">
        <f>DayPatternCoefficients!D61</f>
        <v>0.1</v>
      </c>
      <c r="W53" s="178">
        <f t="shared" si="27"/>
        <v>0.1</v>
      </c>
      <c r="AF53" s="115">
        <v>88</v>
      </c>
      <c r="AG53" s="115" t="s">
        <v>1057</v>
      </c>
      <c r="AH53" s="115">
        <v>-0.29525033118999999</v>
      </c>
      <c r="AJ53" s="115" t="s">
        <v>1100</v>
      </c>
    </row>
    <row r="54" spans="2:36" x14ac:dyDescent="0.25">
      <c r="B54" s="25" t="str">
        <f>ToursByTourPurpose!A11</f>
        <v>soc/rec</v>
      </c>
      <c r="C54" s="7">
        <f>ToursByTourPurpose!B11</f>
        <v>298428.71659137728</v>
      </c>
      <c r="D54" s="7">
        <f>ToursByTourPurpose!C11</f>
        <v>116955.65387866209</v>
      </c>
      <c r="E54" s="7">
        <f>ToursByTourPurpose!D11</f>
        <v>139202.5364632381</v>
      </c>
      <c r="F54" s="7">
        <f>ToursByTourPurpose!E11</f>
        <v>247086.65098616161</v>
      </c>
      <c r="G54" s="7">
        <f>ToursByTourPurpose!F11</f>
        <v>24740.3139376461</v>
      </c>
      <c r="H54" s="7">
        <f>ToursByTourPurpose!G11</f>
        <v>14986.516394658</v>
      </c>
      <c r="I54" s="7">
        <f>ToursByTourPurpose!I11</f>
        <v>137202.605125</v>
      </c>
      <c r="J54" s="33"/>
      <c r="K54" s="25" t="str">
        <f>ToursByTourPurpose!M11</f>
        <v>soc/rec</v>
      </c>
      <c r="L54" s="7">
        <f>ToursByTourPurpose!N11</f>
        <v>319738.99530929013</v>
      </c>
      <c r="M54" s="7">
        <f>ToursByTourPurpose!O11</f>
        <v>113475.53483463333</v>
      </c>
      <c r="N54" s="7">
        <f>ToursByTourPurpose!P11</f>
        <v>164241.59155458264</v>
      </c>
      <c r="O54" s="7">
        <f>ToursByTourPurpose!Q11</f>
        <v>246203.48506317055</v>
      </c>
      <c r="P54" s="7">
        <f>ToursByTourPurpose!R11</f>
        <v>21695.278448555695</v>
      </c>
      <c r="Q54" s="7">
        <f>ToursByTourPurpose!S11</f>
        <v>25566.607337771278</v>
      </c>
      <c r="R54" s="7">
        <f>ToursByTourPurpose!U11</f>
        <v>114725.82942590537</v>
      </c>
      <c r="T54" s="163">
        <f>DayPatternCoefficients!A62</f>
        <v>229</v>
      </c>
      <c r="U54" s="163" t="str">
        <f>DayPatternCoefficients!B62</f>
        <v>S-S-LOGS</v>
      </c>
      <c r="V54" s="157">
        <f>DayPatternCoefficients!D62</f>
        <v>0</v>
      </c>
      <c r="W54" s="178">
        <f t="shared" si="27"/>
        <v>0</v>
      </c>
      <c r="AF54" s="115">
        <v>89</v>
      </c>
      <c r="AG54" s="115" t="s">
        <v>1058</v>
      </c>
      <c r="AH54" s="115">
        <v>0.93398227069700002</v>
      </c>
      <c r="AJ54" s="115" t="s">
        <v>1064</v>
      </c>
    </row>
    <row r="55" spans="2:36" x14ac:dyDescent="0.25">
      <c r="B55" s="25" t="str">
        <f>ToursByTourPurpose!A12</f>
        <v>workbased</v>
      </c>
      <c r="C55" s="7">
        <f>ToursByTourPurpose!B12</f>
        <v>171412.7963512734</v>
      </c>
      <c r="D55" s="7">
        <f>ToursByTourPurpose!C12</f>
        <v>6756.4626421812</v>
      </c>
      <c r="E55" s="7">
        <f>ToursByTourPurpose!D12</f>
        <v>0</v>
      </c>
      <c r="F55" s="7">
        <f>ToursByTourPurpose!E12</f>
        <v>0</v>
      </c>
      <c r="G55" s="7">
        <f>ToursByTourPurpose!F12</f>
        <v>5873.9064039696004</v>
      </c>
      <c r="H55" s="7">
        <f>ToursByTourPurpose!G12</f>
        <v>0</v>
      </c>
      <c r="I55" s="7">
        <f>ToursByTourPurpose!I12</f>
        <v>0</v>
      </c>
      <c r="J55" s="33"/>
      <c r="K55" s="25" t="str">
        <f>ToursByTourPurpose!M12</f>
        <v>workbased</v>
      </c>
      <c r="L55" s="7">
        <f>ToursByTourPurpose!N12</f>
        <v>99628.996351271577</v>
      </c>
      <c r="M55" s="7">
        <f>ToursByTourPurpose!O12</f>
        <v>52832.424919101984</v>
      </c>
      <c r="N55" s="7">
        <f>ToursByTourPurpose!P12</f>
        <v>0</v>
      </c>
      <c r="O55" s="7">
        <f>ToursByTourPurpose!Q12</f>
        <v>0</v>
      </c>
      <c r="P55" s="7">
        <f>ToursByTourPurpose!R12</f>
        <v>22960.882337736151</v>
      </c>
      <c r="Q55" s="7">
        <f>ToursByTourPurpose!S12</f>
        <v>565.11112638710915</v>
      </c>
      <c r="R55" s="7">
        <f>ToursByTourPurpose!U12</f>
        <v>0</v>
      </c>
      <c r="T55" s="137">
        <f>DayPatternCoefficients!A63</f>
        <v>251</v>
      </c>
      <c r="U55" s="137" t="str">
        <f>DayPatternCoefficients!B63</f>
        <v>S-FTW</v>
      </c>
      <c r="V55" s="138">
        <f>DayPatternCoefficients!D63</f>
        <v>0</v>
      </c>
      <c r="W55" s="178">
        <f t="shared" si="27"/>
        <v>0</v>
      </c>
      <c r="AF55" s="115">
        <v>90</v>
      </c>
      <c r="AG55" s="115" t="s">
        <v>1067</v>
      </c>
      <c r="AH55" s="115">
        <v>-5</v>
      </c>
      <c r="AJ55" s="115" t="s">
        <v>1065</v>
      </c>
    </row>
    <row r="56" spans="2:36" ht="15.75" thickBot="1" x14ac:dyDescent="0.3">
      <c r="B56" s="10" t="str">
        <f>ToursByTourPurpose!A13</f>
        <v>Total</v>
      </c>
      <c r="C56" s="55">
        <f>ToursByTourPurpose!B13</f>
        <v>2431438.0228209868</v>
      </c>
      <c r="D56" s="55">
        <f>ToursByTourPurpose!C13</f>
        <v>625338.66770780808</v>
      </c>
      <c r="E56" s="55">
        <f>ToursByTourPurpose!D13</f>
        <v>547910.24461451638</v>
      </c>
      <c r="F56" s="55">
        <f>ToursByTourPurpose!E13</f>
        <v>1052457.4078515514</v>
      </c>
      <c r="G56" s="55">
        <f>ToursByTourPurpose!F13</f>
        <v>199289.42630487229</v>
      </c>
      <c r="H56" s="55">
        <f>ToursByTourPurpose!G13</f>
        <v>108113.22313859199</v>
      </c>
      <c r="I56" s="55">
        <f>ToursByTourPurpose!I13</f>
        <v>772435.58325000003</v>
      </c>
      <c r="J56" s="54"/>
      <c r="K56" s="10" t="str">
        <f>ToursByTourPurpose!M13</f>
        <v>Total</v>
      </c>
      <c r="L56" s="55">
        <f>ToursByTourPurpose!N13</f>
        <v>2253926.8638487109</v>
      </c>
      <c r="M56" s="55">
        <f>ToursByTourPurpose!O13</f>
        <v>599861.61378951662</v>
      </c>
      <c r="N56" s="55">
        <f>ToursByTourPurpose!P13</f>
        <v>591759.93600487965</v>
      </c>
      <c r="O56" s="55">
        <f>ToursByTourPurpose!Q13</f>
        <v>903700.02857167227</v>
      </c>
      <c r="P56" s="55">
        <f>ToursByTourPurpose!R13</f>
        <v>307215.64154262282</v>
      </c>
      <c r="Q56" s="55">
        <f>ToursByTourPurpose!S13</f>
        <v>166931.3988217655</v>
      </c>
      <c r="R56" s="55">
        <f>ToursByTourPurpose!U13</f>
        <v>803043.84749875451</v>
      </c>
      <c r="T56" s="137">
        <f>DayPatternCoefficients!A64</f>
        <v>300</v>
      </c>
      <c r="U56" s="137" t="str">
        <f>DayPatternCoefficients!B64</f>
        <v>E-TASC</v>
      </c>
      <c r="V56" s="138">
        <f>DayPatternCoefficients!D64</f>
        <v>-2.8</v>
      </c>
      <c r="W56" s="178">
        <f t="shared" si="27"/>
        <v>-2.8</v>
      </c>
      <c r="AF56" s="115">
        <v>91</v>
      </c>
      <c r="AG56" s="115" t="s">
        <v>1071</v>
      </c>
      <c r="AH56" s="115">
        <v>-0.46211489475700002</v>
      </c>
      <c r="AJ56" s="115" t="s">
        <v>1070</v>
      </c>
    </row>
    <row r="57" spans="2:36" x14ac:dyDescent="0.25">
      <c r="J57" s="123"/>
      <c r="T57" s="137">
        <f>DayPatternCoefficients!A65</f>
        <v>301</v>
      </c>
      <c r="U57" s="137" t="str">
        <f>DayPatternCoefficients!B65</f>
        <v>E-SASC</v>
      </c>
      <c r="V57" s="138">
        <f>DayPatternCoefficients!D65</f>
        <v>-2</v>
      </c>
      <c r="W57" s="178">
        <f t="shared" si="27"/>
        <v>-2</v>
      </c>
      <c r="AF57" s="115">
        <v>92</v>
      </c>
      <c r="AG57" s="115" t="s">
        <v>1084</v>
      </c>
      <c r="AH57" s="115">
        <v>-0.86143782592100004</v>
      </c>
      <c r="AJ57" s="115" t="s">
        <v>1078</v>
      </c>
    </row>
    <row r="58" spans="2:36" x14ac:dyDescent="0.25">
      <c r="J58" s="123"/>
      <c r="T58" s="137">
        <f>DayPatternCoefficients!A66</f>
        <v>302</v>
      </c>
      <c r="U58" s="137" t="str">
        <f>DayPatternCoefficients!B66</f>
        <v>E-PTW</v>
      </c>
      <c r="V58" s="138">
        <f>DayPatternCoefficients!D66</f>
        <v>0</v>
      </c>
      <c r="W58" s="178">
        <f t="shared" si="27"/>
        <v>-0.29925114340999998</v>
      </c>
      <c r="AF58" s="115">
        <v>93</v>
      </c>
      <c r="AG58" s="115" t="s">
        <v>1088</v>
      </c>
      <c r="AH58" s="115">
        <v>-1.81254617234</v>
      </c>
      <c r="AJ58" s="115" t="s">
        <v>1087</v>
      </c>
    </row>
    <row r="59" spans="2:36" x14ac:dyDescent="0.25">
      <c r="B59" s="106" t="s">
        <v>175</v>
      </c>
      <c r="C59" s="3"/>
      <c r="D59" s="3"/>
      <c r="E59" s="3"/>
      <c r="F59" s="3"/>
      <c r="G59" s="3"/>
      <c r="H59" s="3"/>
      <c r="I59" s="3"/>
      <c r="T59" s="137">
        <f>DayPatternCoefficients!A67</f>
        <v>303</v>
      </c>
      <c r="U59" s="137" t="str">
        <f>DayPatternCoefficients!B67</f>
        <v>E-RET</v>
      </c>
      <c r="V59" s="138">
        <f>DayPatternCoefficients!D67</f>
        <v>-0.41781712126600001</v>
      </c>
      <c r="W59" s="178">
        <f t="shared" si="27"/>
        <v>0</v>
      </c>
      <c r="AF59" s="115">
        <v>94</v>
      </c>
      <c r="AG59" s="115" t="s">
        <v>1093</v>
      </c>
      <c r="AH59" s="115">
        <v>-2.1522853463799998</v>
      </c>
      <c r="AJ59" s="115" t="s">
        <v>1092</v>
      </c>
    </row>
    <row r="60" spans="2:36" x14ac:dyDescent="0.25">
      <c r="B60" s="106" t="s">
        <v>1040</v>
      </c>
      <c r="C60" s="3"/>
      <c r="D60" s="3"/>
      <c r="E60" s="3"/>
      <c r="F60" s="3"/>
      <c r="G60" s="3"/>
      <c r="H60" s="3"/>
      <c r="I60" s="3"/>
      <c r="K60" s="119" t="s">
        <v>10841</v>
      </c>
      <c r="T60" s="137">
        <f>DayPatternCoefficients!A68</f>
        <v>304</v>
      </c>
      <c r="U60" s="137" t="str">
        <f>DayPatternCoefficients!B68</f>
        <v>E-NWA</v>
      </c>
      <c r="V60" s="138">
        <f>DayPatternCoefficients!D68</f>
        <v>0.3</v>
      </c>
      <c r="W60" s="178">
        <f t="shared" si="27"/>
        <v>0</v>
      </c>
      <c r="AF60" s="115">
        <v>95</v>
      </c>
      <c r="AG60" s="115" t="s">
        <v>1101</v>
      </c>
      <c r="AH60" s="115">
        <v>-1.6486450373699999</v>
      </c>
      <c r="AJ60" s="115" t="s">
        <v>1100</v>
      </c>
    </row>
    <row r="61" spans="2:36" ht="15.75" thickBot="1" x14ac:dyDescent="0.3">
      <c r="B61" s="3"/>
      <c r="C61" s="4"/>
      <c r="D61" s="4"/>
      <c r="E61" s="4"/>
      <c r="F61" s="4"/>
      <c r="G61" s="4"/>
      <c r="H61" s="4"/>
      <c r="I61" s="4"/>
      <c r="J61" s="123"/>
      <c r="K61" s="143" t="s">
        <v>1035</v>
      </c>
      <c r="L61" s="124"/>
      <c r="M61" s="124"/>
      <c r="N61" s="124"/>
      <c r="O61" s="124"/>
      <c r="T61" s="137">
        <f>DayPatternCoefficients!A69</f>
        <v>305</v>
      </c>
      <c r="U61" s="137" t="str">
        <f>DayPatternCoefficients!B69</f>
        <v>E-UNI</v>
      </c>
      <c r="V61" s="138">
        <f>DayPatternCoefficients!D69</f>
        <v>0</v>
      </c>
      <c r="W61" s="178">
        <f t="shared" si="27"/>
        <v>-0.31883301010699999</v>
      </c>
      <c r="AF61" s="115">
        <v>96</v>
      </c>
      <c r="AG61" s="115" t="s">
        <v>1059</v>
      </c>
      <c r="AH61" s="115">
        <v>-1.3894520502500001</v>
      </c>
      <c r="AJ61" s="115" t="s">
        <v>1064</v>
      </c>
    </row>
    <row r="62" spans="2:36" x14ac:dyDescent="0.25">
      <c r="B62" s="5" t="s">
        <v>159</v>
      </c>
      <c r="C62" s="6" t="s">
        <v>146</v>
      </c>
      <c r="D62" s="6" t="s">
        <v>147</v>
      </c>
      <c r="E62" s="6" t="s">
        <v>148</v>
      </c>
      <c r="F62" s="6" t="s">
        <v>243</v>
      </c>
      <c r="G62" s="6" t="s">
        <v>244</v>
      </c>
      <c r="H62" s="6" t="s">
        <v>245</v>
      </c>
      <c r="I62" s="6" t="s">
        <v>246</v>
      </c>
      <c r="J62" s="123"/>
      <c r="K62" s="165" t="s">
        <v>1021</v>
      </c>
      <c r="L62" s="120" t="s">
        <v>317</v>
      </c>
      <c r="M62" s="180" t="s">
        <v>1030</v>
      </c>
      <c r="N62" s="175" t="s">
        <v>10836</v>
      </c>
      <c r="O62" s="175" t="s">
        <v>10835</v>
      </c>
      <c r="T62" s="137">
        <f>DayPatternCoefficients!A70</f>
        <v>306</v>
      </c>
      <c r="U62" s="137" t="str">
        <f>DayPatternCoefficients!B70</f>
        <v>E-DAS</v>
      </c>
      <c r="V62" s="138">
        <f>DayPatternCoefficients!D70</f>
        <v>0</v>
      </c>
      <c r="W62" s="178">
        <f t="shared" si="27"/>
        <v>-0.547945531682</v>
      </c>
      <c r="AF62" s="115">
        <v>103</v>
      </c>
      <c r="AG62" s="115" t="s">
        <v>1060</v>
      </c>
      <c r="AH62" s="115">
        <v>0.119796316892</v>
      </c>
      <c r="AJ62" s="115" t="s">
        <v>1064</v>
      </c>
    </row>
    <row r="63" spans="2:36" x14ac:dyDescent="0.25">
      <c r="B63" s="3" t="s">
        <v>210</v>
      </c>
      <c r="C63" s="7">
        <v>151</v>
      </c>
      <c r="D63" s="7">
        <v>102</v>
      </c>
      <c r="E63" s="210" t="s">
        <v>1031</v>
      </c>
      <c r="F63" s="210" t="s">
        <v>1031</v>
      </c>
      <c r="G63" s="7">
        <v>105</v>
      </c>
      <c r="H63" s="7">
        <v>106</v>
      </c>
      <c r="I63" s="210" t="s">
        <v>1031</v>
      </c>
      <c r="K63" s="166">
        <v>151</v>
      </c>
      <c r="L63" s="129" t="str">
        <f t="shared" ref="L63:L105" si="28">VLOOKUP(K63,$T$3:$V$352,2,FALSE)</f>
        <v>W-FTW</v>
      </c>
      <c r="M63" s="181">
        <f t="shared" ref="M63:M69" si="29">C102</f>
        <v>0.8</v>
      </c>
      <c r="N63" s="193">
        <f t="shared" ref="N63:N105" si="30">VLOOKUP(K63,$T$3:$W$352,4,FALSE)</f>
        <v>0.8</v>
      </c>
      <c r="O63" s="174">
        <f t="shared" ref="O63:O105" si="31">IF(M63=N63,0,1)</f>
        <v>0</v>
      </c>
      <c r="T63" s="137">
        <f>DayPatternCoefficients!A71</f>
        <v>307</v>
      </c>
      <c r="U63" s="137" t="str">
        <f>DayPatternCoefficients!B71</f>
        <v>E-PAS</v>
      </c>
      <c r="V63" s="138">
        <f>DayPatternCoefficients!D71</f>
        <v>0</v>
      </c>
      <c r="W63" s="178">
        <f t="shared" si="27"/>
        <v>0</v>
      </c>
      <c r="AF63" s="115">
        <v>104</v>
      </c>
      <c r="AG63" s="115" t="s">
        <v>1060</v>
      </c>
      <c r="AH63" s="117">
        <v>-6.0874029466500001E-2</v>
      </c>
      <c r="AJ63" s="115" t="s">
        <v>1065</v>
      </c>
    </row>
    <row r="64" spans="2:36" x14ac:dyDescent="0.25">
      <c r="B64" s="3" t="s">
        <v>211</v>
      </c>
      <c r="C64" s="7">
        <v>251</v>
      </c>
      <c r="D64" s="210" t="s">
        <v>1031</v>
      </c>
      <c r="E64" s="210" t="s">
        <v>1031</v>
      </c>
      <c r="F64" s="210" t="s">
        <v>1031</v>
      </c>
      <c r="G64" s="7">
        <v>205</v>
      </c>
      <c r="H64" s="7">
        <v>206</v>
      </c>
      <c r="I64" s="7">
        <v>207</v>
      </c>
      <c r="K64" s="166">
        <v>251</v>
      </c>
      <c r="L64" s="129" t="str">
        <f t="shared" si="28"/>
        <v>S-FTW</v>
      </c>
      <c r="M64" s="181">
        <f t="shared" si="29"/>
        <v>0</v>
      </c>
      <c r="N64" s="193">
        <f t="shared" si="30"/>
        <v>0</v>
      </c>
      <c r="O64" s="174">
        <f t="shared" si="31"/>
        <v>0</v>
      </c>
      <c r="T64" s="137">
        <f>DayPatternCoefficients!A72</f>
        <v>308</v>
      </c>
      <c r="U64" s="137" t="str">
        <f>DayPatternCoefficients!B72</f>
        <v>E-CU5</v>
      </c>
      <c r="V64" s="138">
        <f>DayPatternCoefficients!D72</f>
        <v>0.5</v>
      </c>
      <c r="W64" s="178">
        <f t="shared" si="27"/>
        <v>0.5</v>
      </c>
      <c r="AF64" s="115">
        <v>105</v>
      </c>
      <c r="AG64" s="115" t="s">
        <v>1060</v>
      </c>
      <c r="AH64" s="117">
        <v>6.1875263468900002E-2</v>
      </c>
      <c r="AJ64" s="115" t="s">
        <v>1070</v>
      </c>
    </row>
    <row r="65" spans="2:36" x14ac:dyDescent="0.25">
      <c r="B65" s="3" t="s">
        <v>212</v>
      </c>
      <c r="C65" s="7">
        <v>351</v>
      </c>
      <c r="D65" s="7">
        <v>302</v>
      </c>
      <c r="E65" s="7">
        <v>303</v>
      </c>
      <c r="F65" s="7">
        <v>304</v>
      </c>
      <c r="G65" s="7">
        <v>305</v>
      </c>
      <c r="H65" s="7">
        <v>306</v>
      </c>
      <c r="I65" s="7">
        <v>307</v>
      </c>
      <c r="K65" s="166">
        <v>351</v>
      </c>
      <c r="L65" s="129" t="str">
        <f t="shared" si="28"/>
        <v>E-FTW</v>
      </c>
      <c r="M65" s="181">
        <f t="shared" si="29"/>
        <v>-5.4110020185400003E-2</v>
      </c>
      <c r="N65" s="193">
        <f t="shared" si="30"/>
        <v>-5.4110020185400003E-2</v>
      </c>
      <c r="O65" s="174">
        <f t="shared" si="31"/>
        <v>0</v>
      </c>
      <c r="T65" s="163">
        <f>DayPatternCoefficients!A73</f>
        <v>309</v>
      </c>
      <c r="U65" s="163" t="str">
        <f>DayPatternCoefficients!B73</f>
        <v>E-VLINC</v>
      </c>
      <c r="V65" s="157">
        <f>DayPatternCoefficients!D73</f>
        <v>-0.232122656585</v>
      </c>
      <c r="W65" s="178">
        <f t="shared" si="27"/>
        <v>-0.232122656585</v>
      </c>
      <c r="AF65" s="115">
        <v>106</v>
      </c>
      <c r="AG65" s="115" t="s">
        <v>1060</v>
      </c>
      <c r="AH65" s="115">
        <v>-0.106693712249</v>
      </c>
      <c r="AJ65" s="115" t="s">
        <v>1078</v>
      </c>
    </row>
    <row r="66" spans="2:36" x14ac:dyDescent="0.25">
      <c r="B66" s="3" t="s">
        <v>213</v>
      </c>
      <c r="C66" s="7">
        <v>451</v>
      </c>
      <c r="D66" s="7">
        <v>402</v>
      </c>
      <c r="E66" s="7">
        <v>403</v>
      </c>
      <c r="F66" s="7">
        <v>404</v>
      </c>
      <c r="G66" s="7">
        <v>405</v>
      </c>
      <c r="H66" s="7">
        <v>406</v>
      </c>
      <c r="I66" s="7">
        <v>407</v>
      </c>
      <c r="K66" s="166">
        <v>451</v>
      </c>
      <c r="L66" s="129" t="str">
        <f t="shared" si="28"/>
        <v>P-FTW</v>
      </c>
      <c r="M66" s="181">
        <f t="shared" si="29"/>
        <v>0.145509111734</v>
      </c>
      <c r="N66" s="193">
        <f t="shared" si="30"/>
        <v>0.145509111734</v>
      </c>
      <c r="O66" s="174">
        <f t="shared" si="31"/>
        <v>0</v>
      </c>
      <c r="T66" s="163">
        <f>DayPatternCoefficients!A74</f>
        <v>310</v>
      </c>
      <c r="U66" s="163" t="str">
        <f>DayPatternCoefficients!B74</f>
        <v>E-LOINC</v>
      </c>
      <c r="V66" s="157">
        <f>DayPatternCoefficients!D74</f>
        <v>-0.29925114340999998</v>
      </c>
      <c r="W66" s="178">
        <f t="shared" si="27"/>
        <v>-0.29925114340999998</v>
      </c>
      <c r="AF66" s="115">
        <v>107</v>
      </c>
      <c r="AG66" s="115" t="s">
        <v>1060</v>
      </c>
      <c r="AH66" s="115">
        <v>-0.149975354285</v>
      </c>
      <c r="AJ66" s="115" t="s">
        <v>1087</v>
      </c>
    </row>
    <row r="67" spans="2:36" x14ac:dyDescent="0.25">
      <c r="B67" s="3" t="s">
        <v>214</v>
      </c>
      <c r="C67" s="7">
        <v>551</v>
      </c>
      <c r="D67" s="7">
        <v>502</v>
      </c>
      <c r="E67" s="7">
        <v>503</v>
      </c>
      <c r="F67" s="7">
        <v>504</v>
      </c>
      <c r="G67" s="7">
        <v>505</v>
      </c>
      <c r="H67" s="7">
        <v>506</v>
      </c>
      <c r="I67" s="7">
        <v>507</v>
      </c>
      <c r="K67" s="166">
        <v>551</v>
      </c>
      <c r="L67" s="129" t="str">
        <f t="shared" si="28"/>
        <v>H-FTW</v>
      </c>
      <c r="M67" s="181">
        <f t="shared" si="29"/>
        <v>-0.48080125201099999</v>
      </c>
      <c r="N67" s="193">
        <f t="shared" si="30"/>
        <v>-0.48080125201099999</v>
      </c>
      <c r="O67" s="174">
        <f t="shared" si="31"/>
        <v>0</v>
      </c>
      <c r="T67" s="163">
        <f>DayPatternCoefficients!A75</f>
        <v>311</v>
      </c>
      <c r="U67" s="163" t="str">
        <f>DayPatternCoefficients!B75</f>
        <v>E-HIINC</v>
      </c>
      <c r="V67" s="157">
        <f>DayPatternCoefficients!D75</f>
        <v>0</v>
      </c>
      <c r="W67" s="178">
        <f t="shared" ref="W67:W98" si="32">_xlfn.IFNA(VLOOKUP(T67,$K$63:$M$105,3,FALSE),_xlfn.IFNA(VLOOKUP(T67,$G$5:$K$11,5,FALSE),_xlfn.IFNA(VLOOKUP(T67,$G$19:$K$25,5,FALSE),V67)))</f>
        <v>0</v>
      </c>
      <c r="AF67" s="115">
        <v>108</v>
      </c>
      <c r="AG67" s="115" t="s">
        <v>1060</v>
      </c>
      <c r="AH67" s="115">
        <v>-0.17908713325299999</v>
      </c>
      <c r="AJ67" s="115" t="s">
        <v>1092</v>
      </c>
    </row>
    <row r="68" spans="2:36" x14ac:dyDescent="0.25">
      <c r="B68" s="3" t="s">
        <v>129</v>
      </c>
      <c r="C68" s="7">
        <v>651</v>
      </c>
      <c r="D68" s="7">
        <v>602</v>
      </c>
      <c r="E68" s="7">
        <v>603</v>
      </c>
      <c r="F68" s="7">
        <v>604</v>
      </c>
      <c r="G68" s="7">
        <v>605</v>
      </c>
      <c r="H68" s="7">
        <v>606</v>
      </c>
      <c r="I68" s="7">
        <v>607</v>
      </c>
      <c r="K68" s="166">
        <v>651</v>
      </c>
      <c r="L68" s="129" t="str">
        <f t="shared" si="28"/>
        <v>M-FTW</v>
      </c>
      <c r="M68" s="181">
        <f t="shared" si="29"/>
        <v>-5</v>
      </c>
      <c r="N68" s="193">
        <f t="shared" si="30"/>
        <v>-5</v>
      </c>
      <c r="O68" s="174">
        <f t="shared" si="31"/>
        <v>0</v>
      </c>
      <c r="T68" s="163">
        <f>DayPatternCoefficients!A76</f>
        <v>312</v>
      </c>
      <c r="U68" s="163" t="str">
        <f>DayPatternCoefficients!B76</f>
        <v>E-CARSPD</v>
      </c>
      <c r="V68" s="157">
        <f>DayPatternCoefficients!D76</f>
        <v>0</v>
      </c>
      <c r="W68" s="178">
        <f t="shared" si="32"/>
        <v>0</v>
      </c>
      <c r="AF68" s="115">
        <v>109</v>
      </c>
      <c r="AG68" s="115" t="s">
        <v>1060</v>
      </c>
      <c r="AH68" s="115">
        <v>-0.19212914375099999</v>
      </c>
      <c r="AJ68" s="115" t="s">
        <v>1100</v>
      </c>
    </row>
    <row r="69" spans="2:36" ht="15.75" thickBot="1" x14ac:dyDescent="0.3">
      <c r="B69" s="15" t="s">
        <v>130</v>
      </c>
      <c r="C69" s="22">
        <v>751</v>
      </c>
      <c r="D69" s="22">
        <v>702</v>
      </c>
      <c r="E69" s="22">
        <v>703</v>
      </c>
      <c r="F69" s="22">
        <v>704</v>
      </c>
      <c r="G69" s="22">
        <v>705</v>
      </c>
      <c r="H69" s="22">
        <v>706</v>
      </c>
      <c r="I69" s="22">
        <v>707</v>
      </c>
      <c r="K69" s="166">
        <v>751</v>
      </c>
      <c r="L69" s="129" t="str">
        <f t="shared" si="28"/>
        <v>D-FTW</v>
      </c>
      <c r="M69" s="181">
        <f t="shared" si="29"/>
        <v>0</v>
      </c>
      <c r="N69" s="193">
        <f t="shared" si="30"/>
        <v>0</v>
      </c>
      <c r="O69" s="174">
        <f t="shared" si="31"/>
        <v>0</v>
      </c>
      <c r="T69" s="163">
        <f>DayPatternCoefficients!A77</f>
        <v>313</v>
      </c>
      <c r="U69" s="163" t="str">
        <f>DayPatternCoefficients!B77</f>
        <v>E-ONLYAD</v>
      </c>
      <c r="V69" s="157">
        <f>DayPatternCoefficients!D77</f>
        <v>-0.31883301010699999</v>
      </c>
      <c r="W69" s="178">
        <f t="shared" si="32"/>
        <v>-0.31883301010699999</v>
      </c>
      <c r="AF69" s="115">
        <v>110</v>
      </c>
      <c r="AG69" s="115" t="s">
        <v>1061</v>
      </c>
      <c r="AH69" s="115">
        <v>0.21578009019899999</v>
      </c>
      <c r="AJ69" s="115" t="s">
        <v>1064</v>
      </c>
    </row>
    <row r="70" spans="2:36" x14ac:dyDescent="0.25">
      <c r="K70" s="166">
        <v>102</v>
      </c>
      <c r="L70" s="129" t="str">
        <f t="shared" si="28"/>
        <v>W-PTW</v>
      </c>
      <c r="M70" s="182">
        <f>D102</f>
        <v>-1.3062598161100001</v>
      </c>
      <c r="N70" s="193">
        <f t="shared" si="30"/>
        <v>-1.3062598161100001</v>
      </c>
      <c r="O70" s="174">
        <f t="shared" si="31"/>
        <v>0</v>
      </c>
      <c r="T70" s="163">
        <f>DayPatternCoefficients!A78</f>
        <v>314</v>
      </c>
      <c r="U70" s="163" t="str">
        <f>DayPatternCoefficients!B78</f>
        <v>E-ONLYWK</v>
      </c>
      <c r="V70" s="157">
        <f>DayPatternCoefficients!D78</f>
        <v>-0.547945531682</v>
      </c>
      <c r="W70" s="178">
        <f t="shared" si="32"/>
        <v>-0.547945531682</v>
      </c>
      <c r="AF70" s="115">
        <v>111</v>
      </c>
      <c r="AG70" s="115" t="s">
        <v>1061</v>
      </c>
      <c r="AH70" s="115">
        <v>0.173611176344</v>
      </c>
      <c r="AJ70" s="115" t="s">
        <v>1065</v>
      </c>
    </row>
    <row r="71" spans="2:36" x14ac:dyDescent="0.25">
      <c r="K71" s="166">
        <v>302</v>
      </c>
      <c r="L71" s="129" t="str">
        <f t="shared" si="28"/>
        <v>E-PTW</v>
      </c>
      <c r="M71" s="182">
        <f>D104</f>
        <v>-0.29925114340999998</v>
      </c>
      <c r="N71" s="193">
        <f t="shared" si="30"/>
        <v>-0.29925114340999998</v>
      </c>
      <c r="O71" s="174">
        <f t="shared" si="31"/>
        <v>0</v>
      </c>
      <c r="T71" s="163">
        <f>DayPatternCoefficients!A79</f>
        <v>316</v>
      </c>
      <c r="U71" s="163" t="str">
        <f>DayPatternCoefficients!B79</f>
        <v>E-FEMNOC</v>
      </c>
      <c r="V71" s="157">
        <f>DayPatternCoefficients!D79</f>
        <v>0</v>
      </c>
      <c r="W71" s="178">
        <f t="shared" si="32"/>
        <v>0</v>
      </c>
      <c r="AF71" s="115">
        <v>112</v>
      </c>
      <c r="AG71" s="115" t="s">
        <v>1072</v>
      </c>
      <c r="AH71" s="117">
        <v>1.5375331316199999E-2</v>
      </c>
      <c r="AJ71" s="115" t="s">
        <v>1070</v>
      </c>
    </row>
    <row r="72" spans="2:36" x14ac:dyDescent="0.25">
      <c r="B72" s="106" t="s">
        <v>175</v>
      </c>
      <c r="C72" s="3"/>
      <c r="D72" s="3"/>
      <c r="E72" s="3"/>
      <c r="F72" s="3"/>
      <c r="G72" s="3"/>
      <c r="H72" s="3"/>
      <c r="I72" s="3"/>
      <c r="K72" s="166">
        <v>402</v>
      </c>
      <c r="L72" s="129" t="str">
        <f t="shared" si="28"/>
        <v>P-PTW</v>
      </c>
      <c r="M72" s="182">
        <f>D105</f>
        <v>0</v>
      </c>
      <c r="N72" s="193">
        <f t="shared" si="30"/>
        <v>0</v>
      </c>
      <c r="O72" s="174">
        <f t="shared" si="31"/>
        <v>0</v>
      </c>
      <c r="T72" s="163">
        <f>DayPatternCoefficients!A80</f>
        <v>317</v>
      </c>
      <c r="U72" s="163" t="str">
        <f>DayPatternCoefficients!B80</f>
        <v>E-FADCU5</v>
      </c>
      <c r="V72" s="157">
        <f>DayPatternCoefficients!D80</f>
        <v>1.22669557621</v>
      </c>
      <c r="W72" s="178">
        <f t="shared" si="32"/>
        <v>1.22669557621</v>
      </c>
      <c r="AF72" s="115">
        <v>113</v>
      </c>
      <c r="AG72" s="115" t="s">
        <v>1061</v>
      </c>
      <c r="AH72" s="117">
        <v>7.5013924216099995E-2</v>
      </c>
      <c r="AJ72" s="115" t="s">
        <v>1078</v>
      </c>
    </row>
    <row r="73" spans="2:36" x14ac:dyDescent="0.25">
      <c r="B73" s="106" t="s">
        <v>1037</v>
      </c>
      <c r="C73" s="3"/>
      <c r="D73" s="3"/>
      <c r="E73" s="3"/>
      <c r="F73" s="3"/>
      <c r="G73" s="3"/>
      <c r="H73" s="3"/>
      <c r="I73" s="3"/>
      <c r="K73" s="166">
        <v>502</v>
      </c>
      <c r="L73" s="129" t="str">
        <f t="shared" si="28"/>
        <v>H-PTW</v>
      </c>
      <c r="M73" s="182">
        <f>D106</f>
        <v>-0.39019421704099999</v>
      </c>
      <c r="N73" s="193">
        <f t="shared" si="30"/>
        <v>-0.39019421704099999</v>
      </c>
      <c r="O73" s="174">
        <f t="shared" si="31"/>
        <v>0</v>
      </c>
      <c r="T73" s="163">
        <f>DayPatternCoefficients!A81</f>
        <v>318</v>
      </c>
      <c r="U73" s="163" t="str">
        <f>DayPatternCoefficients!B81</f>
        <v>E-FAD515</v>
      </c>
      <c r="V73" s="157">
        <f>DayPatternCoefficients!D81</f>
        <v>1.7287074631199999</v>
      </c>
      <c r="W73" s="178">
        <f t="shared" si="32"/>
        <v>1.7287074631199999</v>
      </c>
      <c r="AF73" s="115">
        <v>114</v>
      </c>
      <c r="AG73" s="115" t="s">
        <v>1061</v>
      </c>
      <c r="AH73" s="117">
        <v>7.3351120189599994E-2</v>
      </c>
      <c r="AJ73" s="115" t="s">
        <v>1087</v>
      </c>
    </row>
    <row r="74" spans="2:36" ht="15.75" thickBot="1" x14ac:dyDescent="0.3">
      <c r="B74" s="3"/>
      <c r="C74" s="4"/>
      <c r="D74" s="4"/>
      <c r="E74" s="4"/>
      <c r="F74" s="4"/>
      <c r="G74" s="4"/>
      <c r="H74" s="4"/>
      <c r="I74" s="4"/>
      <c r="K74" s="166">
        <v>602</v>
      </c>
      <c r="L74" s="129" t="str">
        <f t="shared" si="28"/>
        <v>M-PTW</v>
      </c>
      <c r="M74" s="182">
        <f>D107</f>
        <v>0</v>
      </c>
      <c r="N74" s="193">
        <f t="shared" si="30"/>
        <v>0</v>
      </c>
      <c r="O74" s="174">
        <f t="shared" si="31"/>
        <v>0</v>
      </c>
      <c r="T74" s="163">
        <f>DayPatternCoefficients!A82</f>
        <v>319</v>
      </c>
      <c r="U74" s="163" t="str">
        <f>DayPatternCoefficients!B82</f>
        <v>E-MADCU5</v>
      </c>
      <c r="V74" s="157">
        <f>DayPatternCoefficients!D82</f>
        <v>0.84736851681500003</v>
      </c>
      <c r="W74" s="178">
        <f t="shared" si="32"/>
        <v>0.84736851681500003</v>
      </c>
      <c r="AF74" s="115">
        <v>115</v>
      </c>
      <c r="AG74" s="115" t="s">
        <v>1061</v>
      </c>
      <c r="AH74" s="117">
        <v>9.3983942987200003E-2</v>
      </c>
      <c r="AJ74" s="115" t="s">
        <v>1092</v>
      </c>
    </row>
    <row r="75" spans="2:36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243</v>
      </c>
      <c r="G75" s="6" t="s">
        <v>244</v>
      </c>
      <c r="H75" s="6" t="s">
        <v>245</v>
      </c>
      <c r="I75" s="6" t="s">
        <v>246</v>
      </c>
      <c r="K75" s="166">
        <v>702</v>
      </c>
      <c r="L75" s="129" t="str">
        <f t="shared" si="28"/>
        <v>D-PTW</v>
      </c>
      <c r="M75" s="182">
        <f>D108</f>
        <v>0</v>
      </c>
      <c r="N75" s="193">
        <f t="shared" si="30"/>
        <v>0</v>
      </c>
      <c r="O75" s="174">
        <f t="shared" si="31"/>
        <v>0</v>
      </c>
      <c r="T75" s="163">
        <f>DayPatternCoefficients!A83</f>
        <v>320</v>
      </c>
      <c r="U75" s="163" t="str">
        <f>DayPatternCoefficients!B83</f>
        <v>E-MAD515</v>
      </c>
      <c r="V75" s="157">
        <f>DayPatternCoefficients!D83</f>
        <v>1.2567390153</v>
      </c>
      <c r="W75" s="178">
        <f t="shared" si="32"/>
        <v>1.2567390153</v>
      </c>
      <c r="AF75" s="115">
        <v>116</v>
      </c>
      <c r="AG75" s="115" t="s">
        <v>1061</v>
      </c>
      <c r="AH75" s="115">
        <v>0.109678978272</v>
      </c>
      <c r="AJ75" s="115" t="s">
        <v>1100</v>
      </c>
    </row>
    <row r="76" spans="2:36" x14ac:dyDescent="0.25">
      <c r="B76" s="3" t="s">
        <v>210</v>
      </c>
      <c r="C76" s="144">
        <f>V32</f>
        <v>0.8</v>
      </c>
      <c r="D76" s="144">
        <f>V5</f>
        <v>-1.3062598161100001</v>
      </c>
      <c r="E76" s="210" t="s">
        <v>1031</v>
      </c>
      <c r="F76" s="210" t="s">
        <v>1031</v>
      </c>
      <c r="G76" s="144">
        <f>V6</f>
        <v>9.5</v>
      </c>
      <c r="H76" s="144">
        <f>V7</f>
        <v>-1.3932</v>
      </c>
      <c r="I76" s="210" t="s">
        <v>1031</v>
      </c>
      <c r="K76" s="166">
        <v>303</v>
      </c>
      <c r="L76" s="129" t="str">
        <f t="shared" si="28"/>
        <v>E-RET</v>
      </c>
      <c r="M76" s="182">
        <f>E104</f>
        <v>0</v>
      </c>
      <c r="N76" s="193">
        <f t="shared" si="30"/>
        <v>0</v>
      </c>
      <c r="O76" s="174">
        <f t="shared" si="31"/>
        <v>0</v>
      </c>
      <c r="T76" s="163">
        <f>DayPatternCoefficients!A84</f>
        <v>321</v>
      </c>
      <c r="U76" s="163" t="str">
        <f>DayPatternCoefficients!B84</f>
        <v>E-AG1825</v>
      </c>
      <c r="V76" s="157">
        <f>DayPatternCoefficients!D84</f>
        <v>-0.05</v>
      </c>
      <c r="W76" s="178">
        <f t="shared" si="32"/>
        <v>-0.05</v>
      </c>
      <c r="AF76" s="115">
        <v>131</v>
      </c>
      <c r="AG76" s="115" t="s">
        <v>1062</v>
      </c>
      <c r="AH76" s="115">
        <v>1.1543530286899999</v>
      </c>
      <c r="AJ76" s="115" t="s">
        <v>1064</v>
      </c>
    </row>
    <row r="77" spans="2:36" x14ac:dyDescent="0.25">
      <c r="B77" s="3" t="s">
        <v>211</v>
      </c>
      <c r="C77" s="144">
        <f>V63</f>
        <v>0</v>
      </c>
      <c r="D77" s="210" t="s">
        <v>1031</v>
      </c>
      <c r="E77" s="210" t="s">
        <v>1031</v>
      </c>
      <c r="F77" s="210" t="s">
        <v>1031</v>
      </c>
      <c r="G77" s="144">
        <f>V35</f>
        <v>0</v>
      </c>
      <c r="H77" s="144">
        <f>V36</f>
        <v>0</v>
      </c>
      <c r="I77" s="144">
        <f>V37</f>
        <v>0</v>
      </c>
      <c r="K77" s="166">
        <v>403</v>
      </c>
      <c r="L77" s="129" t="str">
        <f t="shared" si="28"/>
        <v>P-RET</v>
      </c>
      <c r="M77" s="182">
        <f>E105</f>
        <v>0</v>
      </c>
      <c r="N77" s="193">
        <f t="shared" si="30"/>
        <v>0</v>
      </c>
      <c r="O77" s="174">
        <f t="shared" si="31"/>
        <v>0</v>
      </c>
      <c r="T77" s="163">
        <f>DayPatternCoefficients!A85</f>
        <v>322</v>
      </c>
      <c r="U77" s="163" t="str">
        <f>DayPatternCoefficients!B85</f>
        <v>E-AG2635</v>
      </c>
      <c r="V77" s="157">
        <f>DayPatternCoefficients!D85</f>
        <v>-0.42222676147999999</v>
      </c>
      <c r="W77" s="178">
        <f t="shared" si="32"/>
        <v>-0.42222676147999999</v>
      </c>
      <c r="AF77" s="115">
        <v>138</v>
      </c>
      <c r="AG77" s="115" t="s">
        <v>1068</v>
      </c>
      <c r="AH77" s="115">
        <v>-0.89256110400499999</v>
      </c>
      <c r="AJ77" s="115" t="s">
        <v>1065</v>
      </c>
    </row>
    <row r="78" spans="2:36" x14ac:dyDescent="0.25">
      <c r="B78" s="3" t="s">
        <v>212</v>
      </c>
      <c r="C78" s="144">
        <f>V97</f>
        <v>-5.4110020185400003E-2</v>
      </c>
      <c r="D78" s="144">
        <f>V66</f>
        <v>-0.29925114340999998</v>
      </c>
      <c r="E78" s="144">
        <f>V67</f>
        <v>0</v>
      </c>
      <c r="F78" s="144">
        <f>V68</f>
        <v>0</v>
      </c>
      <c r="G78" s="144">
        <f>V69</f>
        <v>-0.31883301010699999</v>
      </c>
      <c r="H78" s="144">
        <f>V70</f>
        <v>-0.547945531682</v>
      </c>
      <c r="I78" s="144">
        <f>V71</f>
        <v>0</v>
      </c>
      <c r="K78" s="166">
        <v>503</v>
      </c>
      <c r="L78" s="129" t="str">
        <f t="shared" si="28"/>
        <v>H-RET</v>
      </c>
      <c r="M78" s="182">
        <f>E106</f>
        <v>0</v>
      </c>
      <c r="N78" s="193">
        <f t="shared" si="30"/>
        <v>0</v>
      </c>
      <c r="O78" s="174">
        <f t="shared" si="31"/>
        <v>0</v>
      </c>
      <c r="T78" s="163">
        <f>DayPatternCoefficients!A86</f>
        <v>323</v>
      </c>
      <c r="U78" s="163" t="str">
        <f>DayPatternCoefficients!B86</f>
        <v>E-AG5165</v>
      </c>
      <c r="V78" s="157">
        <f>DayPatternCoefficients!D86</f>
        <v>-0.511403528351</v>
      </c>
      <c r="W78" s="178">
        <f t="shared" si="32"/>
        <v>-0.511403528351</v>
      </c>
      <c r="AF78" s="115">
        <v>146</v>
      </c>
      <c r="AG78" s="115" t="s">
        <v>1073</v>
      </c>
      <c r="AH78" s="115">
        <v>0.53132948584100004</v>
      </c>
      <c r="AJ78" s="115" t="s">
        <v>1070</v>
      </c>
    </row>
    <row r="79" spans="2:36" x14ac:dyDescent="0.25">
      <c r="B79" s="3" t="s">
        <v>213</v>
      </c>
      <c r="C79" s="144">
        <f>V131</f>
        <v>0.145509111734</v>
      </c>
      <c r="D79" s="144">
        <f>V100</f>
        <v>0</v>
      </c>
      <c r="E79" s="144">
        <f>V101</f>
        <v>0</v>
      </c>
      <c r="F79" s="144">
        <f>V102</f>
        <v>-0.139780975551</v>
      </c>
      <c r="G79" s="144">
        <f>V103</f>
        <v>-0.18567872516700001</v>
      </c>
      <c r="H79" s="144">
        <f>V104</f>
        <v>0</v>
      </c>
      <c r="I79" s="144">
        <f>V105</f>
        <v>-0.38992988658400002</v>
      </c>
      <c r="K79" s="166">
        <v>603</v>
      </c>
      <c r="L79" s="129" t="str">
        <f t="shared" si="28"/>
        <v>M-RET</v>
      </c>
      <c r="M79" s="182">
        <f>E107</f>
        <v>0</v>
      </c>
      <c r="N79" s="193">
        <f t="shared" si="30"/>
        <v>0</v>
      </c>
      <c r="O79" s="174">
        <f t="shared" si="31"/>
        <v>0</v>
      </c>
      <c r="T79" s="163">
        <f>DayPatternCoefficients!A87</f>
        <v>324</v>
      </c>
      <c r="U79" s="163" t="str">
        <f>DayPatternCoefficients!B87</f>
        <v>E-WAHOME</v>
      </c>
      <c r="V79" s="157">
        <f>DayPatternCoefficients!D87</f>
        <v>0</v>
      </c>
      <c r="W79" s="178">
        <f t="shared" si="32"/>
        <v>0</v>
      </c>
      <c r="AF79" s="115">
        <v>147</v>
      </c>
      <c r="AG79" s="115" t="s">
        <v>1074</v>
      </c>
      <c r="AH79" s="115">
        <v>0.449535970974</v>
      </c>
      <c r="AJ79" s="115" t="s">
        <v>1070</v>
      </c>
    </row>
    <row r="80" spans="2:36" x14ac:dyDescent="0.25">
      <c r="B80" s="3" t="s">
        <v>214</v>
      </c>
      <c r="C80" s="144">
        <f>V165</f>
        <v>-0.48080125201099999</v>
      </c>
      <c r="D80" s="144">
        <f>V134</f>
        <v>-0.39019421704099999</v>
      </c>
      <c r="E80" s="144">
        <f>V135</f>
        <v>0</v>
      </c>
      <c r="F80" s="144">
        <f>V136</f>
        <v>-0.664842450325</v>
      </c>
      <c r="G80" s="144">
        <f>V137</f>
        <v>-0.128206129379</v>
      </c>
      <c r="H80" s="144">
        <f>V138</f>
        <v>0.109643763442</v>
      </c>
      <c r="I80" s="144">
        <f>V139</f>
        <v>0</v>
      </c>
      <c r="K80" s="166">
        <v>703</v>
      </c>
      <c r="L80" s="129" t="str">
        <f t="shared" si="28"/>
        <v>D-RET</v>
      </c>
      <c r="M80" s="182">
        <f>E108</f>
        <v>4.7101136486500002E-2</v>
      </c>
      <c r="N80" s="193">
        <f t="shared" si="30"/>
        <v>4.7101136486500002E-2</v>
      </c>
      <c r="O80" s="174">
        <f t="shared" si="31"/>
        <v>0</v>
      </c>
      <c r="T80" s="163">
        <f>DayPatternCoefficients!A88</f>
        <v>325</v>
      </c>
      <c r="U80" s="163" t="str">
        <f>DayPatternCoefficients!B88</f>
        <v>E-MIXDEN</v>
      </c>
      <c r="V80" s="157">
        <f>DayPatternCoefficients!D88</f>
        <v>0</v>
      </c>
      <c r="W80" s="178">
        <f t="shared" si="32"/>
        <v>0</v>
      </c>
      <c r="AF80" s="115">
        <v>154</v>
      </c>
      <c r="AG80" s="115" t="s">
        <v>1068</v>
      </c>
      <c r="AH80" s="115">
        <v>-0.40669471784299999</v>
      </c>
      <c r="AJ80" s="115" t="s">
        <v>1085</v>
      </c>
    </row>
    <row r="81" spans="2:36" x14ac:dyDescent="0.25">
      <c r="B81" s="3" t="s">
        <v>129</v>
      </c>
      <c r="C81" s="144">
        <f>V199</f>
        <v>-5</v>
      </c>
      <c r="D81" s="144">
        <f>V168</f>
        <v>0</v>
      </c>
      <c r="E81" s="144">
        <f>V169</f>
        <v>0</v>
      </c>
      <c r="F81" s="144">
        <f>V170</f>
        <v>0</v>
      </c>
      <c r="G81" s="144">
        <f>V171</f>
        <v>0</v>
      </c>
      <c r="H81" s="144">
        <f>V172</f>
        <v>0.1</v>
      </c>
      <c r="I81" s="144">
        <f>V173</f>
        <v>2.7065283978900002E-2</v>
      </c>
      <c r="K81" s="166">
        <v>304</v>
      </c>
      <c r="L81" s="129" t="str">
        <f t="shared" si="28"/>
        <v>E-NWA</v>
      </c>
      <c r="M81" s="182">
        <f>F104</f>
        <v>0</v>
      </c>
      <c r="N81" s="193">
        <f t="shared" si="30"/>
        <v>0</v>
      </c>
      <c r="O81" s="174">
        <f t="shared" si="31"/>
        <v>0</v>
      </c>
      <c r="T81" s="163">
        <f>DayPatternCoefficients!A89</f>
        <v>326</v>
      </c>
      <c r="U81" s="163" t="str">
        <f>DayPatternCoefficients!B89</f>
        <v>E-INTDEN</v>
      </c>
      <c r="V81" s="157">
        <f>DayPatternCoefficients!D89</f>
        <v>0</v>
      </c>
      <c r="W81" s="178">
        <f t="shared" si="32"/>
        <v>0</v>
      </c>
      <c r="AF81" s="115">
        <v>155</v>
      </c>
      <c r="AG81" s="115" t="s">
        <v>1062</v>
      </c>
      <c r="AH81" s="115">
        <v>0.62763871095099999</v>
      </c>
      <c r="AJ81" s="115" t="s">
        <v>1085</v>
      </c>
    </row>
    <row r="82" spans="2:36" ht="15.75" thickBot="1" x14ac:dyDescent="0.3">
      <c r="B82" s="15" t="s">
        <v>130</v>
      </c>
      <c r="C82" s="145">
        <f>V233</f>
        <v>0</v>
      </c>
      <c r="D82" s="145">
        <f>V202</f>
        <v>0</v>
      </c>
      <c r="E82" s="145">
        <f>V203</f>
        <v>4.7101136486500002E-2</v>
      </c>
      <c r="F82" s="145">
        <f>V204</f>
        <v>3.3043148208000001E-2</v>
      </c>
      <c r="G82" s="145">
        <f>V205</f>
        <v>-0.181999194674</v>
      </c>
      <c r="H82" s="145">
        <f>V206</f>
        <v>0.48216116208199999</v>
      </c>
      <c r="I82" s="145">
        <f>V207</f>
        <v>4.1439464708299997E-2</v>
      </c>
      <c r="K82" s="166">
        <v>404</v>
      </c>
      <c r="L82" s="129" t="str">
        <f t="shared" si="28"/>
        <v>P-NWA</v>
      </c>
      <c r="M82" s="182">
        <f t="shared" ref="M82:M85" si="33">F105</f>
        <v>-0.139780975551</v>
      </c>
      <c r="N82" s="193">
        <f t="shared" si="30"/>
        <v>-0.139780975551</v>
      </c>
      <c r="O82" s="174">
        <f t="shared" si="31"/>
        <v>0</v>
      </c>
      <c r="T82" s="163">
        <f>DayPatternCoefficients!A90</f>
        <v>327</v>
      </c>
      <c r="U82" s="163" t="str">
        <f>DayPatternCoefficients!B90</f>
        <v>E-ACCLOG</v>
      </c>
      <c r="V82" s="157">
        <f>DayPatternCoefficients!D90</f>
        <v>0</v>
      </c>
      <c r="W82" s="178">
        <f t="shared" si="32"/>
        <v>0</v>
      </c>
      <c r="AF82" s="115">
        <v>162</v>
      </c>
      <c r="AG82" s="115" t="s">
        <v>1089</v>
      </c>
      <c r="AH82" s="115">
        <v>-0.61176239378700004</v>
      </c>
      <c r="AJ82" s="115" t="s">
        <v>1087</v>
      </c>
    </row>
    <row r="83" spans="2:36" x14ac:dyDescent="0.25">
      <c r="K83" s="166">
        <v>504</v>
      </c>
      <c r="L83" s="129" t="str">
        <f t="shared" si="28"/>
        <v>H-NWA</v>
      </c>
      <c r="M83" s="182">
        <f t="shared" si="33"/>
        <v>-0.664842450325</v>
      </c>
      <c r="N83" s="193">
        <f t="shared" si="30"/>
        <v>-0.664842450325</v>
      </c>
      <c r="O83" s="174">
        <f t="shared" si="31"/>
        <v>0</v>
      </c>
      <c r="T83" s="163">
        <f>DayPatternCoefficients!A91</f>
        <v>328</v>
      </c>
      <c r="U83" s="163" t="str">
        <f>DayPatternCoefficients!B91</f>
        <v>E-T-LOGS</v>
      </c>
      <c r="V83" s="157">
        <f>DayPatternCoefficients!D91</f>
        <v>-4.0281415680200001E-2</v>
      </c>
      <c r="W83" s="178">
        <f t="shared" si="32"/>
        <v>-4.0281415680200001E-2</v>
      </c>
      <c r="AF83" s="115">
        <v>164</v>
      </c>
      <c r="AG83" s="115" t="s">
        <v>1090</v>
      </c>
      <c r="AH83" s="115">
        <v>0.29502698115600001</v>
      </c>
      <c r="AJ83" s="115" t="s">
        <v>1087</v>
      </c>
    </row>
    <row r="84" spans="2:36" x14ac:dyDescent="0.25">
      <c r="K84" s="166">
        <v>604</v>
      </c>
      <c r="L84" s="129" t="str">
        <f t="shared" si="28"/>
        <v>M-NWA</v>
      </c>
      <c r="M84" s="182">
        <f t="shared" si="33"/>
        <v>0</v>
      </c>
      <c r="N84" s="193">
        <f t="shared" si="30"/>
        <v>0</v>
      </c>
      <c r="O84" s="174">
        <f t="shared" si="31"/>
        <v>0</v>
      </c>
      <c r="T84" s="163">
        <f>DayPatternCoefficients!A92</f>
        <v>329</v>
      </c>
      <c r="U84" s="163" t="str">
        <f>DayPatternCoefficients!B92</f>
        <v>E-S-LOGS</v>
      </c>
      <c r="V84" s="157">
        <f>DayPatternCoefficients!D92</f>
        <v>-1.79238721996E-2</v>
      </c>
      <c r="W84" s="178">
        <f t="shared" si="32"/>
        <v>-1.79238721996E-2</v>
      </c>
      <c r="AF84" s="115">
        <v>170</v>
      </c>
      <c r="AG84" s="115" t="s">
        <v>1094</v>
      </c>
      <c r="AH84" s="115">
        <v>-1.13679650073</v>
      </c>
      <c r="AJ84" s="115" t="s">
        <v>1092</v>
      </c>
    </row>
    <row r="85" spans="2:36" x14ac:dyDescent="0.25">
      <c r="B85" s="106" t="s">
        <v>175</v>
      </c>
      <c r="C85" s="3"/>
      <c r="D85" s="3"/>
      <c r="E85" s="3"/>
      <c r="F85" s="3"/>
      <c r="G85" s="3"/>
      <c r="H85" s="3"/>
      <c r="I85" s="3"/>
      <c r="K85" s="166">
        <v>704</v>
      </c>
      <c r="L85" s="129" t="str">
        <f t="shared" si="28"/>
        <v>D-NWA</v>
      </c>
      <c r="M85" s="182">
        <f t="shared" si="33"/>
        <v>3.3043148208000001E-2</v>
      </c>
      <c r="N85" s="193">
        <f t="shared" si="30"/>
        <v>3.3043148208000001E-2</v>
      </c>
      <c r="O85" s="174">
        <f t="shared" si="31"/>
        <v>0</v>
      </c>
      <c r="T85" s="137">
        <f>DayPatternCoefficients!A93</f>
        <v>351</v>
      </c>
      <c r="U85" s="137" t="str">
        <f>DayPatternCoefficients!B93</f>
        <v>E-FTW</v>
      </c>
      <c r="V85" s="138">
        <f>DayPatternCoefficients!D93</f>
        <v>0.231141115699</v>
      </c>
      <c r="W85" s="178">
        <f t="shared" si="32"/>
        <v>-5.4110020185400003E-2</v>
      </c>
      <c r="AF85" s="115">
        <v>171</v>
      </c>
      <c r="AG85" s="115" t="s">
        <v>1095</v>
      </c>
      <c r="AH85" s="115">
        <v>0.80187878989000005</v>
      </c>
      <c r="AJ85" s="115" t="s">
        <v>1092</v>
      </c>
    </row>
    <row r="86" spans="2:36" x14ac:dyDescent="0.25">
      <c r="B86" s="106" t="s">
        <v>1038</v>
      </c>
      <c r="C86" s="3"/>
      <c r="D86" s="3" t="s">
        <v>1132</v>
      </c>
      <c r="E86" s="176">
        <f>I2</f>
        <v>0</v>
      </c>
      <c r="F86" s="3"/>
      <c r="G86" s="3"/>
      <c r="H86" s="3"/>
      <c r="I86" s="3"/>
      <c r="K86" s="166">
        <v>105</v>
      </c>
      <c r="L86" s="129" t="str">
        <f t="shared" si="28"/>
        <v>W-UNI</v>
      </c>
      <c r="M86" s="182">
        <f>G102</f>
        <v>9.5</v>
      </c>
      <c r="N86" s="193">
        <f t="shared" si="30"/>
        <v>9.5</v>
      </c>
      <c r="O86" s="174">
        <f t="shared" si="31"/>
        <v>0</v>
      </c>
      <c r="T86" s="137">
        <f>DayPatternCoefficients!A94</f>
        <v>400</v>
      </c>
      <c r="U86" s="137" t="str">
        <f>DayPatternCoefficients!B94</f>
        <v>P-TASC</v>
      </c>
      <c r="V86" s="138">
        <f>DayPatternCoefficients!D94</f>
        <v>-2.0654832970500001</v>
      </c>
      <c r="W86" s="178">
        <f t="shared" si="32"/>
        <v>-2.0654832970500001</v>
      </c>
      <c r="AF86" s="115">
        <v>172</v>
      </c>
      <c r="AG86" s="115" t="s">
        <v>1096</v>
      </c>
      <c r="AH86" s="115">
        <v>0.53036306282199996</v>
      </c>
      <c r="AJ86" s="115" t="s">
        <v>1092</v>
      </c>
    </row>
    <row r="87" spans="2:36" ht="15.75" thickBot="1" x14ac:dyDescent="0.3">
      <c r="B87" s="3"/>
      <c r="C87" s="4"/>
      <c r="D87" s="4"/>
      <c r="E87" s="4"/>
      <c r="F87" s="4"/>
      <c r="G87" s="4"/>
      <c r="H87" s="4"/>
      <c r="I87" s="4"/>
      <c r="K87" s="166">
        <v>205</v>
      </c>
      <c r="L87" s="129" t="str">
        <f t="shared" si="28"/>
        <v>S-UNI</v>
      </c>
      <c r="M87" s="182">
        <f t="shared" ref="M87:M92" si="34">G103</f>
        <v>0</v>
      </c>
      <c r="N87" s="193">
        <f t="shared" si="30"/>
        <v>0</v>
      </c>
      <c r="O87" s="174">
        <f t="shared" si="31"/>
        <v>0</v>
      </c>
      <c r="T87" s="137">
        <f>DayPatternCoefficients!A95</f>
        <v>401</v>
      </c>
      <c r="U87" s="137" t="str">
        <f>DayPatternCoefficients!B95</f>
        <v>P-SASC</v>
      </c>
      <c r="V87" s="138">
        <f>DayPatternCoefficients!D95</f>
        <v>-0.04</v>
      </c>
      <c r="W87" s="178">
        <f t="shared" si="32"/>
        <v>-0.04</v>
      </c>
      <c r="AF87" s="115">
        <v>173</v>
      </c>
      <c r="AG87" s="115" t="s">
        <v>1094</v>
      </c>
      <c r="AH87" s="115">
        <v>-0.48533998618500002</v>
      </c>
      <c r="AJ87" s="115" t="s">
        <v>1100</v>
      </c>
    </row>
    <row r="88" spans="2:36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243</v>
      </c>
      <c r="G88" s="6" t="s">
        <v>244</v>
      </c>
      <c r="H88" s="6" t="s">
        <v>245</v>
      </c>
      <c r="I88" s="6" t="s">
        <v>246</v>
      </c>
      <c r="K88" s="166">
        <v>305</v>
      </c>
      <c r="L88" s="129" t="str">
        <f t="shared" si="28"/>
        <v>E-UNI</v>
      </c>
      <c r="M88" s="182">
        <f t="shared" si="34"/>
        <v>-0.31883301010699999</v>
      </c>
      <c r="N88" s="193">
        <f t="shared" si="30"/>
        <v>-0.31883301010699999</v>
      </c>
      <c r="O88" s="174">
        <f t="shared" si="31"/>
        <v>0</v>
      </c>
      <c r="T88" s="137">
        <f>DayPatternCoefficients!A96</f>
        <v>402</v>
      </c>
      <c r="U88" s="137" t="str">
        <f>DayPatternCoefficients!B96</f>
        <v>P-PTW</v>
      </c>
      <c r="V88" s="138">
        <f>DayPatternCoefficients!D96</f>
        <v>0.38470925344599999</v>
      </c>
      <c r="W88" s="178">
        <f t="shared" si="32"/>
        <v>0</v>
      </c>
      <c r="AF88" s="115">
        <v>174</v>
      </c>
      <c r="AG88" s="115" t="s">
        <v>1090</v>
      </c>
      <c r="AH88" s="115">
        <v>0.219330681704</v>
      </c>
      <c r="AJ88" s="115" t="s">
        <v>1100</v>
      </c>
    </row>
    <row r="89" spans="2:36" x14ac:dyDescent="0.25">
      <c r="B89" s="3" t="s">
        <v>210</v>
      </c>
      <c r="C89" s="144">
        <f>E86*(LN(C48/L48)-$J5)</f>
        <v>0</v>
      </c>
      <c r="D89" s="144">
        <f>E86*(LN(D48/M48)-$J5)</f>
        <v>0</v>
      </c>
      <c r="E89" s="210" t="s">
        <v>1031</v>
      </c>
      <c r="F89" s="210" t="s">
        <v>1031</v>
      </c>
      <c r="G89" s="144">
        <f>E86*(LN(G48/P48)-$J5)</f>
        <v>0</v>
      </c>
      <c r="H89" s="144">
        <f>E86*(LN(H48/Q48)-$J5)</f>
        <v>0</v>
      </c>
      <c r="I89" s="210" t="s">
        <v>1031</v>
      </c>
      <c r="K89" s="166">
        <v>405</v>
      </c>
      <c r="L89" s="129" t="str">
        <f t="shared" si="28"/>
        <v>P-UNI</v>
      </c>
      <c r="M89" s="182">
        <f t="shared" si="34"/>
        <v>-0.18567872516700001</v>
      </c>
      <c r="N89" s="193">
        <f t="shared" si="30"/>
        <v>-0.18567872516700001</v>
      </c>
      <c r="O89" s="174">
        <f t="shared" si="31"/>
        <v>0</v>
      </c>
      <c r="T89" s="137">
        <f>DayPatternCoefficients!A97</f>
        <v>403</v>
      </c>
      <c r="U89" s="137" t="str">
        <f>DayPatternCoefficients!B97</f>
        <v>P-RET</v>
      </c>
      <c r="V89" s="138">
        <f>DayPatternCoefficients!D97</f>
        <v>0.79017100603599999</v>
      </c>
      <c r="W89" s="178">
        <f t="shared" si="32"/>
        <v>0</v>
      </c>
      <c r="AF89" s="115">
        <v>175</v>
      </c>
      <c r="AG89" s="115" t="s">
        <v>1063</v>
      </c>
      <c r="AH89" s="115">
        <v>0.47838014869200002</v>
      </c>
      <c r="AJ89" s="115" t="s">
        <v>1064</v>
      </c>
    </row>
    <row r="90" spans="2:36" x14ac:dyDescent="0.25">
      <c r="B90" s="3" t="s">
        <v>211</v>
      </c>
      <c r="C90" s="144">
        <f>E86*(LN(C49/L49)-$J6)</f>
        <v>0</v>
      </c>
      <c r="D90" s="210" t="s">
        <v>1031</v>
      </c>
      <c r="E90" s="210" t="s">
        <v>1031</v>
      </c>
      <c r="F90" s="210" t="s">
        <v>1031</v>
      </c>
      <c r="G90" s="144">
        <f>E86*(LN(G49/P49)-$J6)</f>
        <v>0</v>
      </c>
      <c r="H90" s="144">
        <f>E86*(LN(H49/Q49)-$J6)</f>
        <v>0</v>
      </c>
      <c r="I90" s="144">
        <f>E86*(LN(I49/R49)-$J6)</f>
        <v>0</v>
      </c>
      <c r="K90" s="166">
        <v>505</v>
      </c>
      <c r="L90" s="129" t="str">
        <f t="shared" si="28"/>
        <v>H-UNI</v>
      </c>
      <c r="M90" s="182">
        <f t="shared" si="34"/>
        <v>-0.128206129379</v>
      </c>
      <c r="N90" s="193">
        <f t="shared" si="30"/>
        <v>-0.128206129379</v>
      </c>
      <c r="O90" s="174">
        <f t="shared" si="31"/>
        <v>0</v>
      </c>
      <c r="T90" s="137">
        <f>DayPatternCoefficients!A98</f>
        <v>404</v>
      </c>
      <c r="U90" s="137" t="str">
        <f>DayPatternCoefficients!B98</f>
        <v>P-NWA</v>
      </c>
      <c r="V90" s="138">
        <f>DayPatternCoefficients!D98</f>
        <v>0.48129163966400001</v>
      </c>
      <c r="W90" s="178">
        <f t="shared" si="32"/>
        <v>-0.139780975551</v>
      </c>
      <c r="AF90" s="115">
        <v>181</v>
      </c>
      <c r="AG90" s="115" t="s">
        <v>1075</v>
      </c>
      <c r="AH90" s="115">
        <v>0.14237400597200001</v>
      </c>
      <c r="AJ90" s="115" t="s">
        <v>1070</v>
      </c>
    </row>
    <row r="91" spans="2:36" x14ac:dyDescent="0.25">
      <c r="B91" s="3" t="s">
        <v>212</v>
      </c>
      <c r="C91" s="144">
        <f>E86*(LN(C50/L50)-$J7)</f>
        <v>0</v>
      </c>
      <c r="D91" s="144">
        <f>E86*(LN(D50/M50)-$J7)</f>
        <v>0</v>
      </c>
      <c r="E91" s="144">
        <f>E86*(LN(E50/N50)-$J7)</f>
        <v>0</v>
      </c>
      <c r="F91" s="144">
        <f>E86*(LN(F50/O50)-$J7)</f>
        <v>0</v>
      </c>
      <c r="G91" s="144">
        <f>E86*(LN(G50/P50)-$J7)</f>
        <v>0</v>
      </c>
      <c r="H91" s="144">
        <f>E86*(LN(H50/Q50)-$J7)</f>
        <v>0</v>
      </c>
      <c r="I91" s="144">
        <f>E86*(LN(I50/R50)-$J7)</f>
        <v>0</v>
      </c>
      <c r="K91" s="166">
        <v>605</v>
      </c>
      <c r="L91" s="129" t="str">
        <f t="shared" si="28"/>
        <v>M-UNI</v>
      </c>
      <c r="M91" s="182">
        <f t="shared" si="34"/>
        <v>0</v>
      </c>
      <c r="N91" s="193">
        <f t="shared" si="30"/>
        <v>0</v>
      </c>
      <c r="O91" s="174">
        <f t="shared" si="31"/>
        <v>0</v>
      </c>
      <c r="T91" s="137">
        <f>DayPatternCoefficients!A99</f>
        <v>405</v>
      </c>
      <c r="U91" s="137" t="str">
        <f>DayPatternCoefficients!B99</f>
        <v>P-UNI</v>
      </c>
      <c r="V91" s="138">
        <f>DayPatternCoefficients!D99</f>
        <v>1</v>
      </c>
      <c r="W91" s="178">
        <f t="shared" si="32"/>
        <v>-0.18567872516700001</v>
      </c>
      <c r="AF91" s="115">
        <v>183</v>
      </c>
      <c r="AG91" s="115" t="s">
        <v>1076</v>
      </c>
      <c r="AH91" s="115">
        <v>1.1661510393600001</v>
      </c>
      <c r="AJ91" s="115" t="s">
        <v>1070</v>
      </c>
    </row>
    <row r="92" spans="2:36" x14ac:dyDescent="0.25">
      <c r="B92" s="3" t="s">
        <v>213</v>
      </c>
      <c r="C92" s="144">
        <f>E86*(LN(C51/L51)-$J8)</f>
        <v>0</v>
      </c>
      <c r="D92" s="144">
        <f>E86*(LN(D51/M51)-$J8)</f>
        <v>0</v>
      </c>
      <c r="E92" s="144">
        <f>E86*(LN(E51/N51)-$J8)</f>
        <v>0</v>
      </c>
      <c r="F92" s="144">
        <f>E86*(LN(F51/O51)-$J8)</f>
        <v>0</v>
      </c>
      <c r="G92" s="144">
        <f>E86*(LN(G51/P51)-$J8)</f>
        <v>0</v>
      </c>
      <c r="H92" s="144">
        <f>E86*(LN(H51/Q51)-$J8)</f>
        <v>0</v>
      </c>
      <c r="I92" s="144">
        <f>E86*(LN(I51/R51)-$J8)</f>
        <v>0</v>
      </c>
      <c r="K92" s="166">
        <v>705</v>
      </c>
      <c r="L92" s="129" t="str">
        <f t="shared" si="28"/>
        <v>D-UNI</v>
      </c>
      <c r="M92" s="182">
        <f t="shared" si="34"/>
        <v>-0.181999194674</v>
      </c>
      <c r="N92" s="193">
        <f t="shared" si="30"/>
        <v>-0.181999194674</v>
      </c>
      <c r="O92" s="174">
        <f t="shared" si="31"/>
        <v>0</v>
      </c>
      <c r="T92" s="137">
        <f>DayPatternCoefficients!A100</f>
        <v>406</v>
      </c>
      <c r="U92" s="137" t="str">
        <f>DayPatternCoefficients!B100</f>
        <v>P-DAS</v>
      </c>
      <c r="V92" s="138">
        <f>DayPatternCoefficients!D100</f>
        <v>0.215923195688</v>
      </c>
      <c r="W92" s="178">
        <f t="shared" si="32"/>
        <v>0</v>
      </c>
      <c r="AF92" s="115">
        <v>184</v>
      </c>
      <c r="AG92" s="115" t="s">
        <v>1077</v>
      </c>
      <c r="AH92" s="115">
        <v>1.59404940426</v>
      </c>
      <c r="AJ92" s="115" t="s">
        <v>1070</v>
      </c>
    </row>
    <row r="93" spans="2:36" x14ac:dyDescent="0.25">
      <c r="B93" s="3" t="s">
        <v>214</v>
      </c>
      <c r="C93" s="144">
        <f>E86*(LN(C52/L52)-$J9)</f>
        <v>0</v>
      </c>
      <c r="D93" s="144">
        <f>E86*(LN(D52/M52)-$J9)</f>
        <v>0</v>
      </c>
      <c r="E93" s="144">
        <f>E86*(LN(E52/N52)-$J9)</f>
        <v>0</v>
      </c>
      <c r="F93" s="144">
        <f>E86*(LN(F52/O52)-$J9)</f>
        <v>0</v>
      </c>
      <c r="G93" s="144">
        <f>E86*(LN(G52/P52)-$J9)</f>
        <v>0</v>
      </c>
      <c r="H93" s="144">
        <f>E86*(LN(H52/Q52)-$J9)</f>
        <v>0</v>
      </c>
      <c r="I93" s="144">
        <f>E86*(LN(I52/R52)-$J9)</f>
        <v>0</v>
      </c>
      <c r="K93" s="166">
        <v>106</v>
      </c>
      <c r="L93" s="129" t="str">
        <f t="shared" si="28"/>
        <v>W-DAS</v>
      </c>
      <c r="M93" s="182">
        <f>H102</f>
        <v>-1.3932</v>
      </c>
      <c r="N93" s="193">
        <f t="shared" si="30"/>
        <v>-1.3932</v>
      </c>
      <c r="O93" s="174">
        <f t="shared" si="31"/>
        <v>0</v>
      </c>
      <c r="T93" s="137">
        <f>DayPatternCoefficients!A101</f>
        <v>407</v>
      </c>
      <c r="U93" s="137" t="str">
        <f>DayPatternCoefficients!B101</f>
        <v>P-PAS</v>
      </c>
      <c r="V93" s="138">
        <f>DayPatternCoefficients!D101</f>
        <v>0.107808678654</v>
      </c>
      <c r="W93" s="178">
        <f t="shared" si="32"/>
        <v>-0.38992988658400002</v>
      </c>
      <c r="AF93" s="115">
        <v>195</v>
      </c>
      <c r="AG93" s="115" t="s">
        <v>1086</v>
      </c>
      <c r="AH93" s="117">
        <v>4.5416395363000003E-2</v>
      </c>
      <c r="AJ93" s="115" t="s">
        <v>1078</v>
      </c>
    </row>
    <row r="94" spans="2:36" x14ac:dyDescent="0.25">
      <c r="B94" s="3" t="s">
        <v>129</v>
      </c>
      <c r="C94" s="144">
        <f>E86*(LN(C53/L53)-$J10)</f>
        <v>0</v>
      </c>
      <c r="D94" s="144">
        <f>E86*(LN(D53/M53)-$J10)</f>
        <v>0</v>
      </c>
      <c r="E94" s="144">
        <f>E86*(LN(E53/N53)-$J10)</f>
        <v>0</v>
      </c>
      <c r="F94" s="144">
        <f>E86*(LN(F53/O53)-$J10)</f>
        <v>0</v>
      </c>
      <c r="G94" s="144">
        <f>E86*(LN(G53/P53)-$J10)</f>
        <v>0</v>
      </c>
      <c r="H94" s="144">
        <f>IF(H53&gt;0,E86*(LN(H53/Q53)-$J10),0)</f>
        <v>0</v>
      </c>
      <c r="I94" s="144">
        <f>E86*(LN(I53/R53)-$J10)</f>
        <v>0</v>
      </c>
      <c r="K94" s="166">
        <v>206</v>
      </c>
      <c r="L94" s="129" t="str">
        <f t="shared" si="28"/>
        <v>S-DAS</v>
      </c>
      <c r="M94" s="182">
        <f t="shared" ref="M94:M99" si="35">H103</f>
        <v>0</v>
      </c>
      <c r="N94" s="193">
        <f t="shared" si="30"/>
        <v>0</v>
      </c>
      <c r="O94" s="174">
        <f t="shared" si="31"/>
        <v>0</v>
      </c>
      <c r="T94" s="163">
        <f>DayPatternCoefficients!A102</f>
        <v>408</v>
      </c>
      <c r="U94" s="163" t="str">
        <f>DayPatternCoefficients!B102</f>
        <v>P-CU5</v>
      </c>
      <c r="V94" s="157">
        <f>DayPatternCoefficients!D102</f>
        <v>0.19371902950100001</v>
      </c>
      <c r="W94" s="178">
        <f t="shared" si="32"/>
        <v>0.19371902950100001</v>
      </c>
      <c r="AF94" s="115">
        <v>196</v>
      </c>
      <c r="AG94" s="115" t="s">
        <v>1076</v>
      </c>
      <c r="AH94" s="115">
        <v>0.14396484352399999</v>
      </c>
      <c r="AJ94" s="115" t="s">
        <v>1085</v>
      </c>
    </row>
    <row r="95" spans="2:36" ht="15.75" thickBot="1" x14ac:dyDescent="0.3">
      <c r="B95" s="15" t="s">
        <v>130</v>
      </c>
      <c r="C95" s="145">
        <f>E86*(LN(C54/L54)-$J11)</f>
        <v>0</v>
      </c>
      <c r="D95" s="145">
        <f>E86*(LN(D54/M54)-$J11)</f>
        <v>0</v>
      </c>
      <c r="E95" s="145">
        <f>E86*(LN(E54/N54)-$J11)</f>
        <v>0</v>
      </c>
      <c r="F95" s="145">
        <f>E86*(LN(F54/O54)-$J11)</f>
        <v>0</v>
      </c>
      <c r="G95" s="145">
        <f>E86*(LN(G54/P54)-$J11)</f>
        <v>0</v>
      </c>
      <c r="H95" s="145">
        <f>E86*(LN(H54/Q54)-$J11)</f>
        <v>0</v>
      </c>
      <c r="I95" s="145">
        <f>E86*(LN(I54/R54)-$J11)</f>
        <v>0</v>
      </c>
      <c r="K95" s="166">
        <v>306</v>
      </c>
      <c r="L95" s="129" t="str">
        <f t="shared" si="28"/>
        <v>E-DAS</v>
      </c>
      <c r="M95" s="182">
        <f t="shared" si="35"/>
        <v>-0.547945531682</v>
      </c>
      <c r="N95" s="193">
        <f t="shared" si="30"/>
        <v>-0.547945531682</v>
      </c>
      <c r="O95" s="174">
        <f t="shared" si="31"/>
        <v>0</v>
      </c>
      <c r="T95" s="163">
        <f>DayPatternCoefficients!A103</f>
        <v>409</v>
      </c>
      <c r="U95" s="163" t="str">
        <f>DayPatternCoefficients!B103</f>
        <v>P-VLINC</v>
      </c>
      <c r="V95" s="157">
        <f>DayPatternCoefficients!D103</f>
        <v>0.23285953464299999</v>
      </c>
      <c r="W95" s="178">
        <f t="shared" si="32"/>
        <v>0.23285953464299999</v>
      </c>
      <c r="AF95" s="115">
        <v>197</v>
      </c>
      <c r="AG95" s="115" t="s">
        <v>1077</v>
      </c>
      <c r="AH95" s="115">
        <v>0.21876493547600001</v>
      </c>
      <c r="AJ95" s="115" t="s">
        <v>1078</v>
      </c>
    </row>
    <row r="96" spans="2:36" x14ac:dyDescent="0.25">
      <c r="K96" s="166">
        <v>406</v>
      </c>
      <c r="L96" s="129" t="str">
        <f t="shared" si="28"/>
        <v>P-DAS</v>
      </c>
      <c r="M96" s="182">
        <f t="shared" si="35"/>
        <v>0</v>
      </c>
      <c r="N96" s="193">
        <f t="shared" si="30"/>
        <v>0</v>
      </c>
      <c r="O96" s="174">
        <f t="shared" si="31"/>
        <v>0</v>
      </c>
      <c r="T96" s="163">
        <f>DayPatternCoefficients!A104</f>
        <v>410</v>
      </c>
      <c r="U96" s="163" t="str">
        <f>DayPatternCoefficients!B104</f>
        <v>P-LOINC</v>
      </c>
      <c r="V96" s="157">
        <f>DayPatternCoefficients!D104</f>
        <v>0.242866712762</v>
      </c>
      <c r="W96" s="178">
        <f t="shared" si="32"/>
        <v>0.242866712762</v>
      </c>
      <c r="AF96" s="115">
        <v>207</v>
      </c>
      <c r="AG96" s="115" t="s">
        <v>1075</v>
      </c>
      <c r="AH96" s="115">
        <v>0.114269623332</v>
      </c>
      <c r="AJ96" s="115" t="s">
        <v>1087</v>
      </c>
    </row>
    <row r="97" spans="2:36" x14ac:dyDescent="0.25">
      <c r="K97" s="166">
        <v>506</v>
      </c>
      <c r="L97" s="129" t="str">
        <f t="shared" si="28"/>
        <v>H-DAS</v>
      </c>
      <c r="M97" s="182">
        <f t="shared" si="35"/>
        <v>0.109643763442</v>
      </c>
      <c r="N97" s="193">
        <f t="shared" si="30"/>
        <v>0.109643763442</v>
      </c>
      <c r="O97" s="174">
        <f t="shared" si="31"/>
        <v>0</v>
      </c>
      <c r="T97" s="163">
        <f>DayPatternCoefficients!A105</f>
        <v>411</v>
      </c>
      <c r="U97" s="163" t="str">
        <f>DayPatternCoefficients!B105</f>
        <v>P-HIINC</v>
      </c>
      <c r="V97" s="157">
        <f>DayPatternCoefficients!D105</f>
        <v>-5.4110020185400003E-2</v>
      </c>
      <c r="W97" s="178">
        <f t="shared" si="32"/>
        <v>-5.4110020185400003E-2</v>
      </c>
      <c r="AF97" s="115">
        <v>209</v>
      </c>
      <c r="AG97" s="115" t="s">
        <v>1076</v>
      </c>
      <c r="AH97" s="115">
        <v>0.249122719479</v>
      </c>
      <c r="AJ97" s="115" t="s">
        <v>1087</v>
      </c>
    </row>
    <row r="98" spans="2:36" x14ac:dyDescent="0.25">
      <c r="B98" s="106" t="s">
        <v>175</v>
      </c>
      <c r="C98" s="3"/>
      <c r="D98" s="3"/>
      <c r="E98" s="3"/>
      <c r="F98" s="3"/>
      <c r="G98" s="3"/>
      <c r="H98" s="3"/>
      <c r="I98" s="3"/>
      <c r="K98" s="166">
        <v>606</v>
      </c>
      <c r="L98" s="129" t="str">
        <f t="shared" si="28"/>
        <v>M-DAS</v>
      </c>
      <c r="M98" s="182">
        <f t="shared" si="35"/>
        <v>0.1</v>
      </c>
      <c r="N98" s="193">
        <f t="shared" si="30"/>
        <v>0.1</v>
      </c>
      <c r="O98" s="174">
        <f t="shared" si="31"/>
        <v>0</v>
      </c>
      <c r="P98" s="149"/>
      <c r="Q98" s="149"/>
      <c r="R98" s="149"/>
      <c r="T98" s="163">
        <f>DayPatternCoefficients!A106</f>
        <v>412</v>
      </c>
      <c r="U98" s="163" t="str">
        <f>DayPatternCoefficients!B106</f>
        <v>P-CARSPD</v>
      </c>
      <c r="V98" s="157">
        <f>DayPatternCoefficients!D106</f>
        <v>4.72182862768E-3</v>
      </c>
      <c r="W98" s="178">
        <f t="shared" si="32"/>
        <v>4.72182862768E-3</v>
      </c>
      <c r="AF98" s="115">
        <v>210</v>
      </c>
      <c r="AG98" s="115" t="s">
        <v>1077</v>
      </c>
      <c r="AH98" s="115">
        <v>0.25694206716599999</v>
      </c>
      <c r="AJ98" s="115" t="s">
        <v>1087</v>
      </c>
    </row>
    <row r="99" spans="2:36" x14ac:dyDescent="0.25">
      <c r="B99" s="106" t="s">
        <v>1039</v>
      </c>
      <c r="C99" s="3"/>
      <c r="F99" s="3"/>
      <c r="G99" s="3"/>
      <c r="H99" s="3"/>
      <c r="I99" s="3"/>
      <c r="K99" s="166">
        <v>706</v>
      </c>
      <c r="L99" s="129" t="str">
        <f t="shared" si="28"/>
        <v>D-DAS</v>
      </c>
      <c r="M99" s="182">
        <f t="shared" si="35"/>
        <v>0.48216116208199999</v>
      </c>
      <c r="N99" s="193">
        <f t="shared" si="30"/>
        <v>0.48216116208199999</v>
      </c>
      <c r="O99" s="174">
        <f t="shared" si="31"/>
        <v>0</v>
      </c>
      <c r="P99" s="149"/>
      <c r="Q99" s="149"/>
      <c r="R99" s="149"/>
      <c r="T99" s="163">
        <f>DayPatternCoefficients!A107</f>
        <v>413</v>
      </c>
      <c r="U99" s="163" t="str">
        <f>DayPatternCoefficients!B107</f>
        <v>P-ONLYAD</v>
      </c>
      <c r="V99" s="157">
        <f>DayPatternCoefficients!D107</f>
        <v>0.22859365528200001</v>
      </c>
      <c r="W99" s="178">
        <f t="shared" ref="W99:W130" si="36">_xlfn.IFNA(VLOOKUP(T99,$K$63:$M$105,3,FALSE),_xlfn.IFNA(VLOOKUP(T99,$G$5:$K$11,5,FALSE),_xlfn.IFNA(VLOOKUP(T99,$G$19:$K$25,5,FALSE),V99)))</f>
        <v>0.22859365528200001</v>
      </c>
      <c r="AF99" s="115">
        <v>221</v>
      </c>
      <c r="AG99" s="115" t="s">
        <v>1086</v>
      </c>
      <c r="AH99" s="115">
        <v>0.12529901139999999</v>
      </c>
      <c r="AJ99" s="115" t="s">
        <v>1092</v>
      </c>
    </row>
    <row r="100" spans="2:36" ht="15.75" thickBot="1" x14ac:dyDescent="0.3">
      <c r="B100" s="3"/>
      <c r="C100" s="4"/>
      <c r="D100" s="4"/>
      <c r="E100" s="4"/>
      <c r="F100" s="4"/>
      <c r="G100" s="4"/>
      <c r="H100" s="4"/>
      <c r="I100" s="4"/>
      <c r="K100" s="166">
        <v>207</v>
      </c>
      <c r="L100" s="129" t="str">
        <f t="shared" si="28"/>
        <v>S-PAS</v>
      </c>
      <c r="M100" s="183">
        <f>I103</f>
        <v>0</v>
      </c>
      <c r="N100" s="193">
        <f t="shared" si="30"/>
        <v>0</v>
      </c>
      <c r="O100" s="174">
        <f t="shared" si="31"/>
        <v>0</v>
      </c>
      <c r="P100" s="148"/>
      <c r="Q100" s="148"/>
      <c r="R100" s="148"/>
      <c r="T100" s="163">
        <f>DayPatternCoefficients!A108</f>
        <v>414</v>
      </c>
      <c r="U100" s="163" t="str">
        <f>DayPatternCoefficients!B108</f>
        <v>P-ONLYWK</v>
      </c>
      <c r="V100" s="157">
        <f>DayPatternCoefficients!D108</f>
        <v>0</v>
      </c>
      <c r="W100" s="178">
        <f t="shared" si="36"/>
        <v>0</v>
      </c>
      <c r="AF100" s="115">
        <v>222</v>
      </c>
      <c r="AG100" s="115" t="s">
        <v>1076</v>
      </c>
      <c r="AH100" s="115">
        <v>0.51645107443399996</v>
      </c>
      <c r="AJ100" s="115" t="s">
        <v>1092</v>
      </c>
    </row>
    <row r="101" spans="2:36" x14ac:dyDescent="0.25">
      <c r="B101" s="5" t="s">
        <v>159</v>
      </c>
      <c r="C101" s="6" t="s">
        <v>146</v>
      </c>
      <c r="D101" s="6" t="s">
        <v>147</v>
      </c>
      <c r="E101" s="6" t="s">
        <v>148</v>
      </c>
      <c r="F101" s="6" t="s">
        <v>243</v>
      </c>
      <c r="G101" s="6" t="s">
        <v>244</v>
      </c>
      <c r="H101" s="6" t="s">
        <v>245</v>
      </c>
      <c r="I101" s="6" t="s">
        <v>246</v>
      </c>
      <c r="K101" s="166">
        <v>307</v>
      </c>
      <c r="L101" s="129" t="str">
        <f t="shared" si="28"/>
        <v>E-PAS</v>
      </c>
      <c r="M101" s="183">
        <f t="shared" ref="M101:M105" si="37">I104</f>
        <v>0</v>
      </c>
      <c r="N101" s="193">
        <f t="shared" si="30"/>
        <v>0</v>
      </c>
      <c r="O101" s="174">
        <f t="shared" si="31"/>
        <v>0</v>
      </c>
      <c r="P101" s="150"/>
      <c r="Q101" s="150"/>
      <c r="R101" s="150"/>
      <c r="T101" s="163">
        <f>DayPatternCoefficients!A109</f>
        <v>416</v>
      </c>
      <c r="U101" s="163" t="str">
        <f>DayPatternCoefficients!B109</f>
        <v>P-FEMNOC</v>
      </c>
      <c r="V101" s="157">
        <f>DayPatternCoefficients!D109</f>
        <v>0</v>
      </c>
      <c r="W101" s="178">
        <f t="shared" si="36"/>
        <v>0</v>
      </c>
      <c r="AF101" s="115">
        <v>223</v>
      </c>
      <c r="AG101" s="115" t="s">
        <v>1077</v>
      </c>
      <c r="AH101" s="115">
        <v>0.61577891945899998</v>
      </c>
      <c r="AJ101" s="115" t="s">
        <v>1092</v>
      </c>
    </row>
    <row r="102" spans="2:36" x14ac:dyDescent="0.25">
      <c r="B102" s="3" t="s">
        <v>210</v>
      </c>
      <c r="C102" s="144">
        <f>C76+C89</f>
        <v>0.8</v>
      </c>
      <c r="D102" s="144">
        <f>D76+D89</f>
        <v>-1.3062598161100001</v>
      </c>
      <c r="E102" s="210" t="s">
        <v>1031</v>
      </c>
      <c r="F102" s="210" t="s">
        <v>1031</v>
      </c>
      <c r="G102" s="144">
        <f>G76+G89</f>
        <v>9.5</v>
      </c>
      <c r="H102" s="144">
        <f>H76+H89</f>
        <v>-1.3932</v>
      </c>
      <c r="I102" s="210" t="s">
        <v>1031</v>
      </c>
      <c r="K102" s="166">
        <v>407</v>
      </c>
      <c r="L102" s="129" t="str">
        <f t="shared" si="28"/>
        <v>P-PAS</v>
      </c>
      <c r="M102" s="183">
        <f t="shared" si="37"/>
        <v>-0.38992988658400002</v>
      </c>
      <c r="N102" s="193">
        <f t="shared" si="30"/>
        <v>-0.38992988658400002</v>
      </c>
      <c r="O102" s="174">
        <f t="shared" si="31"/>
        <v>0</v>
      </c>
      <c r="P102" s="149"/>
      <c r="Q102" s="149"/>
      <c r="R102" s="149"/>
      <c r="T102" s="163">
        <f>DayPatternCoefficients!A110</f>
        <v>417</v>
      </c>
      <c r="U102" s="163" t="str">
        <f>DayPatternCoefficients!B110</f>
        <v>P-FADCU5</v>
      </c>
      <c r="V102" s="157">
        <f>DayPatternCoefficients!D110</f>
        <v>-0.139780975551</v>
      </c>
      <c r="W102" s="178">
        <f t="shared" si="36"/>
        <v>-0.139780975551</v>
      </c>
      <c r="AF102" s="115">
        <v>226</v>
      </c>
      <c r="AG102" s="115" t="s">
        <v>1097</v>
      </c>
      <c r="AH102" s="117">
        <v>2.2703091891400001E-2</v>
      </c>
      <c r="AJ102" s="115" t="s">
        <v>1092</v>
      </c>
    </row>
    <row r="103" spans="2:36" x14ac:dyDescent="0.25">
      <c r="B103" s="3" t="s">
        <v>211</v>
      </c>
      <c r="C103" s="144">
        <f>C77+C90</f>
        <v>0</v>
      </c>
      <c r="D103" s="210" t="s">
        <v>1031</v>
      </c>
      <c r="E103" s="210" t="s">
        <v>1031</v>
      </c>
      <c r="F103" s="210" t="s">
        <v>1031</v>
      </c>
      <c r="G103" s="144">
        <f t="shared" ref="G103:I103" si="38">G77+G90</f>
        <v>0</v>
      </c>
      <c r="H103" s="144">
        <f t="shared" si="38"/>
        <v>0</v>
      </c>
      <c r="I103" s="144">
        <f t="shared" si="38"/>
        <v>0</v>
      </c>
      <c r="K103" s="166">
        <v>507</v>
      </c>
      <c r="L103" s="129" t="str">
        <f t="shared" si="28"/>
        <v>H-PAS</v>
      </c>
      <c r="M103" s="183">
        <f t="shared" si="37"/>
        <v>0</v>
      </c>
      <c r="N103" s="193">
        <f t="shared" si="30"/>
        <v>0</v>
      </c>
      <c r="O103" s="174">
        <f t="shared" si="31"/>
        <v>0</v>
      </c>
      <c r="P103" s="149"/>
      <c r="Q103" s="149"/>
      <c r="R103" s="149"/>
      <c r="T103" s="163">
        <f>DayPatternCoefficients!A111</f>
        <v>418</v>
      </c>
      <c r="U103" s="163" t="str">
        <f>DayPatternCoefficients!B111</f>
        <v>P-FAD515</v>
      </c>
      <c r="V103" s="157">
        <f>DayPatternCoefficients!D111</f>
        <v>-0.18567872516700001</v>
      </c>
      <c r="W103" s="178">
        <f t="shared" si="36"/>
        <v>-0.18567872516700001</v>
      </c>
      <c r="AF103" s="115">
        <v>228</v>
      </c>
      <c r="AG103" s="115" t="s">
        <v>1098</v>
      </c>
      <c r="AH103" s="115">
        <v>-0.124677687572</v>
      </c>
      <c r="AJ103" s="115" t="s">
        <v>1092</v>
      </c>
    </row>
    <row r="104" spans="2:36" x14ac:dyDescent="0.25">
      <c r="B104" s="3" t="s">
        <v>212</v>
      </c>
      <c r="C104" s="144">
        <f t="shared" ref="C104:I104" si="39">C78+C91</f>
        <v>-5.4110020185400003E-2</v>
      </c>
      <c r="D104" s="144">
        <f t="shared" si="39"/>
        <v>-0.29925114340999998</v>
      </c>
      <c r="E104" s="144">
        <f t="shared" si="39"/>
        <v>0</v>
      </c>
      <c r="F104" s="144">
        <f t="shared" si="39"/>
        <v>0</v>
      </c>
      <c r="G104" s="144">
        <f t="shared" si="39"/>
        <v>-0.31883301010699999</v>
      </c>
      <c r="H104" s="144">
        <f t="shared" si="39"/>
        <v>-0.547945531682</v>
      </c>
      <c r="I104" s="144">
        <f t="shared" si="39"/>
        <v>0</v>
      </c>
      <c r="K104" s="166">
        <v>607</v>
      </c>
      <c r="L104" s="129" t="str">
        <f t="shared" si="28"/>
        <v>M-PAS</v>
      </c>
      <c r="M104" s="183">
        <f t="shared" si="37"/>
        <v>2.7065283978900002E-2</v>
      </c>
      <c r="N104" s="193">
        <f t="shared" si="30"/>
        <v>2.7065283978900002E-2</v>
      </c>
      <c r="O104" s="174">
        <f t="shared" si="31"/>
        <v>0</v>
      </c>
      <c r="P104" s="149"/>
      <c r="Q104" s="149"/>
      <c r="R104" s="149"/>
      <c r="T104" s="163">
        <f>DayPatternCoefficients!A112</f>
        <v>419</v>
      </c>
      <c r="U104" s="163" t="str">
        <f>DayPatternCoefficients!B112</f>
        <v>P-MADCU5</v>
      </c>
      <c r="V104" s="157">
        <f>DayPatternCoefficients!D112</f>
        <v>0</v>
      </c>
      <c r="W104" s="178">
        <f t="shared" si="36"/>
        <v>0</v>
      </c>
      <c r="AF104" s="115">
        <v>235</v>
      </c>
      <c r="AG104" s="115" t="s">
        <v>1076</v>
      </c>
      <c r="AH104" s="115">
        <v>0.29394375688000002</v>
      </c>
      <c r="AJ104" s="115" t="s">
        <v>1100</v>
      </c>
    </row>
    <row r="105" spans="2:36" ht="15.75" thickBot="1" x14ac:dyDescent="0.3">
      <c r="B105" s="3" t="s">
        <v>213</v>
      </c>
      <c r="C105" s="144">
        <f t="shared" ref="C105:I105" si="40">C79+C92</f>
        <v>0.145509111734</v>
      </c>
      <c r="D105" s="144">
        <f t="shared" si="40"/>
        <v>0</v>
      </c>
      <c r="E105" s="144">
        <f t="shared" si="40"/>
        <v>0</v>
      </c>
      <c r="F105" s="144">
        <f t="shared" si="40"/>
        <v>-0.139780975551</v>
      </c>
      <c r="G105" s="144">
        <f t="shared" si="40"/>
        <v>-0.18567872516700001</v>
      </c>
      <c r="H105" s="144">
        <f t="shared" si="40"/>
        <v>0</v>
      </c>
      <c r="I105" s="144">
        <f t="shared" si="40"/>
        <v>-0.38992988658400002</v>
      </c>
      <c r="K105" s="170">
        <v>707</v>
      </c>
      <c r="L105" s="132" t="str">
        <f t="shared" si="28"/>
        <v>D-PAS</v>
      </c>
      <c r="M105" s="184">
        <f t="shared" si="37"/>
        <v>4.1439464708299997E-2</v>
      </c>
      <c r="N105" s="192">
        <f t="shared" si="30"/>
        <v>4.1439464708299997E-2</v>
      </c>
      <c r="O105" s="171">
        <f t="shared" si="31"/>
        <v>0</v>
      </c>
      <c r="P105" s="149"/>
      <c r="Q105" s="149"/>
      <c r="R105" s="149"/>
      <c r="T105" s="163">
        <f>DayPatternCoefficients!A113</f>
        <v>420</v>
      </c>
      <c r="U105" s="163" t="str">
        <f>DayPatternCoefficients!B113</f>
        <v>P-MAD515</v>
      </c>
      <c r="V105" s="157">
        <f>DayPatternCoefficients!D113</f>
        <v>-0.38992988658400002</v>
      </c>
      <c r="W105" s="178">
        <f t="shared" si="36"/>
        <v>-0.38992988658400002</v>
      </c>
      <c r="AF105" s="115">
        <v>236</v>
      </c>
      <c r="AG105" s="115" t="s">
        <v>1077</v>
      </c>
      <c r="AH105" s="115">
        <v>0.352789652234</v>
      </c>
      <c r="AJ105" s="115" t="s">
        <v>1100</v>
      </c>
    </row>
    <row r="106" spans="2:36" x14ac:dyDescent="0.25">
      <c r="B106" s="3" t="s">
        <v>214</v>
      </c>
      <c r="C106" s="144">
        <f t="shared" ref="C106:I106" si="41">C80+C93</f>
        <v>-0.48080125201099999</v>
      </c>
      <c r="D106" s="144">
        <f t="shared" si="41"/>
        <v>-0.39019421704099999</v>
      </c>
      <c r="E106" s="144">
        <f t="shared" si="41"/>
        <v>0</v>
      </c>
      <c r="F106" s="144">
        <f t="shared" si="41"/>
        <v>-0.664842450325</v>
      </c>
      <c r="G106" s="144">
        <f t="shared" si="41"/>
        <v>-0.128206129379</v>
      </c>
      <c r="H106" s="144">
        <f t="shared" si="41"/>
        <v>0.109643763442</v>
      </c>
      <c r="I106" s="144">
        <f t="shared" si="41"/>
        <v>0</v>
      </c>
      <c r="K106" s="149"/>
      <c r="L106" s="149"/>
      <c r="M106" s="149"/>
      <c r="N106" s="149"/>
      <c r="O106" s="148">
        <f>SUM(O63:O105)</f>
        <v>0</v>
      </c>
      <c r="P106" s="149"/>
      <c r="Q106" s="149"/>
      <c r="R106" s="149"/>
      <c r="T106" s="163">
        <f>DayPatternCoefficients!A114</f>
        <v>421</v>
      </c>
      <c r="U106" s="163" t="str">
        <f>DayPatternCoefficients!B114</f>
        <v>P-AG1825</v>
      </c>
      <c r="V106" s="157">
        <f>DayPatternCoefficients!D114</f>
        <v>-0.51640682858599996</v>
      </c>
      <c r="W106" s="178">
        <f t="shared" si="36"/>
        <v>-0.51640682858599996</v>
      </c>
      <c r="AF106" s="115">
        <v>237</v>
      </c>
      <c r="AG106" s="115" t="s">
        <v>1069</v>
      </c>
      <c r="AH106" s="115">
        <v>-1.3902039335800001</v>
      </c>
      <c r="AJ106" s="115" t="s">
        <v>1065</v>
      </c>
    </row>
    <row r="107" spans="2:36" x14ac:dyDescent="0.25">
      <c r="B107" s="3" t="s">
        <v>129</v>
      </c>
      <c r="C107" s="144">
        <f t="shared" ref="C107:I107" si="42">C81+C94</f>
        <v>-5</v>
      </c>
      <c r="D107" s="144">
        <f t="shared" si="42"/>
        <v>0</v>
      </c>
      <c r="E107" s="144">
        <f t="shared" si="42"/>
        <v>0</v>
      </c>
      <c r="F107" s="144">
        <f t="shared" si="42"/>
        <v>0</v>
      </c>
      <c r="G107" s="144">
        <f t="shared" si="42"/>
        <v>0</v>
      </c>
      <c r="H107" s="144">
        <f t="shared" si="42"/>
        <v>0.1</v>
      </c>
      <c r="I107" s="144">
        <f t="shared" si="42"/>
        <v>2.7065283978900002E-2</v>
      </c>
      <c r="K107" s="149"/>
      <c r="L107" s="149"/>
      <c r="M107" s="149"/>
      <c r="N107" s="149"/>
      <c r="O107" s="149"/>
      <c r="P107" s="149"/>
      <c r="Q107" s="149"/>
      <c r="R107" s="149"/>
      <c r="T107" s="163">
        <f>DayPatternCoefficients!A115</f>
        <v>422</v>
      </c>
      <c r="U107" s="163" t="str">
        <f>DayPatternCoefficients!B115</f>
        <v>P-AG2635</v>
      </c>
      <c r="V107" s="157">
        <f>DayPatternCoefficients!D115</f>
        <v>-0.240789136184</v>
      </c>
      <c r="W107" s="178">
        <f t="shared" si="36"/>
        <v>-0.240789136184</v>
      </c>
      <c r="AF107" s="115">
        <v>238</v>
      </c>
      <c r="AG107" s="115" t="s">
        <v>1069</v>
      </c>
      <c r="AH107" s="115">
        <v>0.31366055622900002</v>
      </c>
      <c r="AJ107" s="115" t="s">
        <v>1070</v>
      </c>
    </row>
    <row r="108" spans="2:36" ht="15.75" thickBot="1" x14ac:dyDescent="0.3">
      <c r="B108" s="15" t="s">
        <v>130</v>
      </c>
      <c r="C108" s="145">
        <f t="shared" ref="C108:I108" si="43">C82+C95</f>
        <v>0</v>
      </c>
      <c r="D108" s="145">
        <f t="shared" si="43"/>
        <v>0</v>
      </c>
      <c r="E108" s="145">
        <f t="shared" si="43"/>
        <v>4.7101136486500002E-2</v>
      </c>
      <c r="F108" s="145">
        <f t="shared" si="43"/>
        <v>3.3043148208000001E-2</v>
      </c>
      <c r="G108" s="145">
        <f t="shared" si="43"/>
        <v>-0.181999194674</v>
      </c>
      <c r="H108" s="145">
        <f t="shared" si="43"/>
        <v>0.48216116208199999</v>
      </c>
      <c r="I108" s="145">
        <f t="shared" si="43"/>
        <v>4.1439464708299997E-2</v>
      </c>
      <c r="K108" s="149"/>
      <c r="L108" s="149"/>
      <c r="M108" s="149"/>
      <c r="N108" s="149"/>
      <c r="O108" s="149"/>
      <c r="P108" s="149"/>
      <c r="Q108" s="149"/>
      <c r="R108" s="149"/>
      <c r="T108" s="163">
        <f>DayPatternCoefficients!A116</f>
        <v>423</v>
      </c>
      <c r="U108" s="163" t="str">
        <f>DayPatternCoefficients!B116</f>
        <v>P-AG5165</v>
      </c>
      <c r="V108" s="157">
        <f>DayPatternCoefficients!D116</f>
        <v>0.16802377205999999</v>
      </c>
      <c r="W108" s="178">
        <f t="shared" si="36"/>
        <v>0.16802377205999999</v>
      </c>
      <c r="AF108" s="115">
        <v>239</v>
      </c>
      <c r="AG108" s="115" t="s">
        <v>1069</v>
      </c>
      <c r="AH108" s="115">
        <v>0.61850625713600005</v>
      </c>
      <c r="AJ108" s="115" t="s">
        <v>1092</v>
      </c>
    </row>
    <row r="109" spans="2:36" x14ac:dyDescent="0.25">
      <c r="K109" s="151"/>
      <c r="L109" s="151"/>
      <c r="M109" s="151"/>
      <c r="N109" s="151"/>
      <c r="O109" s="151"/>
      <c r="P109" s="151"/>
      <c r="Q109" s="151"/>
      <c r="R109" s="151"/>
      <c r="T109" s="163">
        <f>DayPatternCoefficients!A117</f>
        <v>424</v>
      </c>
      <c r="U109" s="163" t="str">
        <f>DayPatternCoefficients!B117</f>
        <v>P-WAHOME</v>
      </c>
      <c r="V109" s="157">
        <f>DayPatternCoefficients!D117</f>
        <v>0</v>
      </c>
      <c r="W109" s="178">
        <f t="shared" si="36"/>
        <v>0</v>
      </c>
    </row>
    <row r="110" spans="2:36" x14ac:dyDescent="0.25">
      <c r="K110" s="151"/>
      <c r="L110" s="151"/>
      <c r="M110" s="151"/>
      <c r="N110" s="151"/>
      <c r="O110" s="151"/>
      <c r="P110" s="151"/>
      <c r="Q110" s="151"/>
      <c r="R110" s="151"/>
      <c r="T110" s="163">
        <f>DayPatternCoefficients!A118</f>
        <v>425</v>
      </c>
      <c r="U110" s="163" t="str">
        <f>DayPatternCoefficients!B118</f>
        <v>P-MIXDEN</v>
      </c>
      <c r="V110" s="157">
        <f>DayPatternCoefficients!D118</f>
        <v>0</v>
      </c>
      <c r="W110" s="178">
        <f t="shared" si="36"/>
        <v>0</v>
      </c>
    </row>
    <row r="111" spans="2:36" x14ac:dyDescent="0.25">
      <c r="K111" s="151"/>
      <c r="L111" s="151"/>
      <c r="M111" s="151"/>
      <c r="N111" s="151"/>
      <c r="O111" s="151"/>
      <c r="P111" s="151"/>
      <c r="Q111" s="151"/>
      <c r="R111" s="151"/>
      <c r="T111" s="163">
        <f>DayPatternCoefficients!A119</f>
        <v>426</v>
      </c>
      <c r="U111" s="163" t="str">
        <f>DayPatternCoefficients!B119</f>
        <v>P-INTDEN</v>
      </c>
      <c r="V111" s="157">
        <f>DayPatternCoefficients!D119</f>
        <v>0</v>
      </c>
      <c r="W111" s="178">
        <f t="shared" si="36"/>
        <v>0</v>
      </c>
    </row>
    <row r="112" spans="2:36" x14ac:dyDescent="0.25">
      <c r="B112" s="147" t="s">
        <v>1102</v>
      </c>
      <c r="C112" s="3"/>
      <c r="D112" s="3"/>
      <c r="E112" s="3"/>
      <c r="F112" s="3"/>
      <c r="G112" s="162" t="s">
        <v>1102</v>
      </c>
      <c r="H112" s="3" t="s">
        <v>1132</v>
      </c>
      <c r="I112" s="176">
        <v>0.5</v>
      </c>
      <c r="K112" s="151"/>
      <c r="L112" s="151"/>
      <c r="M112" s="151"/>
      <c r="N112" s="151"/>
      <c r="O112" s="151"/>
      <c r="P112" s="151"/>
      <c r="Q112" s="151"/>
      <c r="R112" s="151"/>
      <c r="T112" s="163">
        <f>DayPatternCoefficients!A120</f>
        <v>427</v>
      </c>
      <c r="U112" s="163" t="str">
        <f>DayPatternCoefficients!B120</f>
        <v>P-ACCLOG</v>
      </c>
      <c r="V112" s="157">
        <f>DayPatternCoefficients!D120</f>
        <v>0</v>
      </c>
      <c r="W112" s="178">
        <f t="shared" si="36"/>
        <v>0</v>
      </c>
    </row>
    <row r="113" spans="2:23" ht="15.75" thickBot="1" x14ac:dyDescent="0.3">
      <c r="B113" s="15"/>
      <c r="C113" s="15"/>
      <c r="D113" s="15"/>
      <c r="E113" s="15"/>
      <c r="F113" s="3"/>
      <c r="G113" s="143" t="s">
        <v>1035</v>
      </c>
      <c r="H113" s="124"/>
      <c r="I113" s="124"/>
      <c r="J113" s="1"/>
      <c r="K113" s="124"/>
      <c r="L113" s="185"/>
      <c r="M113" s="185"/>
      <c r="N113" s="151"/>
      <c r="O113" s="151"/>
      <c r="P113" s="151"/>
      <c r="Q113" s="151"/>
      <c r="R113" s="151"/>
      <c r="T113" s="163">
        <f>DayPatternCoefficients!A121</f>
        <v>428</v>
      </c>
      <c r="U113" s="163" t="str">
        <f>DayPatternCoefficients!B121</f>
        <v>P-T-LOGS</v>
      </c>
      <c r="V113" s="157">
        <f>DayPatternCoefficients!D121</f>
        <v>-3.0323782283900001E-2</v>
      </c>
      <c r="W113" s="178">
        <f t="shared" si="36"/>
        <v>-3.0323782283900001E-2</v>
      </c>
    </row>
    <row r="114" spans="2:23" x14ac:dyDescent="0.25">
      <c r="B114" s="152" t="s">
        <v>159</v>
      </c>
      <c r="C114" s="152" t="s">
        <v>260</v>
      </c>
      <c r="D114" s="152" t="s">
        <v>261</v>
      </c>
      <c r="E114" s="152" t="s">
        <v>1027</v>
      </c>
      <c r="F114" s="3"/>
      <c r="G114" s="120" t="s">
        <v>1021</v>
      </c>
      <c r="H114" s="120" t="s">
        <v>317</v>
      </c>
      <c r="I114" s="167" t="s">
        <v>1028</v>
      </c>
      <c r="J114" s="165" t="s">
        <v>1029</v>
      </c>
      <c r="K114" s="180" t="s">
        <v>1030</v>
      </c>
      <c r="L114" s="186" t="s">
        <v>10836</v>
      </c>
      <c r="M114" s="186" t="s">
        <v>10835</v>
      </c>
      <c r="N114" s="151"/>
      <c r="O114" s="151"/>
      <c r="P114" s="151"/>
      <c r="Q114" s="151"/>
      <c r="R114" s="151"/>
      <c r="T114" s="163">
        <f>DayPatternCoefficients!A122</f>
        <v>429</v>
      </c>
      <c r="U114" s="163" t="str">
        <f>DayPatternCoefficients!B122</f>
        <v>P-S-LOGS</v>
      </c>
      <c r="V114" s="157">
        <f>DayPatternCoefficients!D122</f>
        <v>-3.3157486963999998E-2</v>
      </c>
      <c r="W114" s="178">
        <f t="shared" si="36"/>
        <v>-3.3157486963999998E-2</v>
      </c>
    </row>
    <row r="115" spans="2:23" x14ac:dyDescent="0.25">
      <c r="B115" s="3" t="s">
        <v>117</v>
      </c>
      <c r="C115" s="7">
        <f>output_NHTS!D136</f>
        <v>37126.893900549803</v>
      </c>
      <c r="D115" s="7">
        <f>output!D136</f>
        <v>36943.78777355529</v>
      </c>
      <c r="E115" s="153">
        <f>C115/D115</f>
        <v>1.0049563441658136</v>
      </c>
      <c r="F115" s="3"/>
      <c r="G115" s="3">
        <v>1</v>
      </c>
      <c r="H115" s="3" t="s">
        <v>117</v>
      </c>
      <c r="I115" s="189">
        <f>VLOOKUP(G115,$Y$3:$AA$17,3,FALSE)</f>
        <v>1.2260140529550001</v>
      </c>
      <c r="J115" s="154">
        <f t="shared" ref="J115:J121" si="44">$I$112*LN(E115)</f>
        <v>2.4720509632862398E-3</v>
      </c>
      <c r="K115" s="187">
        <f>I115+J115</f>
        <v>1.2284861039182864</v>
      </c>
      <c r="L115" s="191">
        <f>VLOOKUP(G115,$Y$3:$AB$17,4,FALSE)</f>
        <v>1.2284861039182864</v>
      </c>
      <c r="M115" s="168">
        <f>IF(K115=L115,0,1)</f>
        <v>0</v>
      </c>
      <c r="T115" s="137">
        <f>DayPatternCoefficients!A123</f>
        <v>451</v>
      </c>
      <c r="U115" s="137" t="str">
        <f>DayPatternCoefficients!B123</f>
        <v>P-FTW</v>
      </c>
      <c r="V115" s="138">
        <f>DayPatternCoefficients!D123</f>
        <v>0</v>
      </c>
      <c r="W115" s="178">
        <f t="shared" si="36"/>
        <v>0.145509111734</v>
      </c>
    </row>
    <row r="116" spans="2:23" x14ac:dyDescent="0.25">
      <c r="B116" s="3" t="s">
        <v>118</v>
      </c>
      <c r="C116" s="7">
        <f>output_NHTS!D137</f>
        <v>591.03222056499999</v>
      </c>
      <c r="D116" s="7">
        <f>output!D137</f>
        <v>675.44156705958358</v>
      </c>
      <c r="E116" s="153">
        <f t="shared" ref="E116:E121" si="45">C116/D116</f>
        <v>0.87503086778913408</v>
      </c>
      <c r="F116" s="3"/>
      <c r="G116" s="3">
        <v>3</v>
      </c>
      <c r="H116" s="3" t="s">
        <v>118</v>
      </c>
      <c r="I116" s="189">
        <f t="shared" ref="I116:I121" si="46">VLOOKUP(G116,$Y$3:$AA$17,3,FALSE)</f>
        <v>0.58949163187999998</v>
      </c>
      <c r="J116" s="154">
        <f t="shared" si="44"/>
        <v>-6.674805788673098E-2</v>
      </c>
      <c r="K116" s="187">
        <f t="shared" ref="K116:K121" si="47">I116+J116</f>
        <v>0.52274357399326898</v>
      </c>
      <c r="L116" s="191">
        <f t="shared" ref="L116:L121" si="48">VLOOKUP(G116,$Y$3:$AB$17,4,FALSE)</f>
        <v>0.52274357399326898</v>
      </c>
      <c r="M116" s="168">
        <f t="shared" ref="M116:M121" si="49">IF(K116=L116,0,1)</f>
        <v>0</v>
      </c>
      <c r="T116" s="137">
        <f>DayPatternCoefficients!A124</f>
        <v>500</v>
      </c>
      <c r="U116" s="137" t="str">
        <f>DayPatternCoefficients!B124</f>
        <v>H-TASC</v>
      </c>
      <c r="V116" s="138">
        <f>DayPatternCoefficients!D124</f>
        <v>-1.8648554903800001</v>
      </c>
      <c r="W116" s="178">
        <f t="shared" si="36"/>
        <v>-1.8648554903800001</v>
      </c>
    </row>
    <row r="117" spans="2:23" x14ac:dyDescent="0.25">
      <c r="B117" s="3" t="s">
        <v>4</v>
      </c>
      <c r="C117" s="7">
        <f>output_NHTS!D138</f>
        <v>5556.6033203454999</v>
      </c>
      <c r="D117" s="7">
        <f>output!D138</f>
        <v>5653.3511948870973</v>
      </c>
      <c r="E117" s="153">
        <f t="shared" si="45"/>
        <v>0.98288663286492861</v>
      </c>
      <c r="F117" s="3"/>
      <c r="G117" s="3">
        <v>4</v>
      </c>
      <c r="H117" s="3" t="s">
        <v>4</v>
      </c>
      <c r="I117" s="189">
        <f t="shared" si="46"/>
        <v>0.13633704997000001</v>
      </c>
      <c r="J117" s="154">
        <f t="shared" si="44"/>
        <v>-8.6307465958982005E-3</v>
      </c>
      <c r="K117" s="187">
        <f t="shared" si="47"/>
        <v>0.12770630337410183</v>
      </c>
      <c r="L117" s="191">
        <f t="shared" si="48"/>
        <v>0.12770630337410183</v>
      </c>
      <c r="M117" s="168">
        <f t="shared" si="49"/>
        <v>0</v>
      </c>
      <c r="T117" s="137">
        <f>DayPatternCoefficients!A125</f>
        <v>501</v>
      </c>
      <c r="U117" s="137" t="str">
        <f>DayPatternCoefficients!B125</f>
        <v>H-SASC</v>
      </c>
      <c r="V117" s="138">
        <f>DayPatternCoefficients!D125</f>
        <v>0.68463974939799999</v>
      </c>
      <c r="W117" s="178">
        <f t="shared" si="36"/>
        <v>0.68463974939799999</v>
      </c>
    </row>
    <row r="118" spans="2:23" x14ac:dyDescent="0.25">
      <c r="B118" s="3" t="s">
        <v>5</v>
      </c>
      <c r="C118" s="7">
        <f>output_NHTS!D139</f>
        <v>19521.3942349094</v>
      </c>
      <c r="D118" s="7">
        <f>output!D139</f>
        <v>19354.567741564333</v>
      </c>
      <c r="E118" s="153">
        <f t="shared" si="45"/>
        <v>1.0086194894958467</v>
      </c>
      <c r="F118" s="3"/>
      <c r="G118" s="3">
        <v>6</v>
      </c>
      <c r="H118" s="3" t="s">
        <v>5</v>
      </c>
      <c r="I118" s="189">
        <f t="shared" si="46"/>
        <v>0.30036927294999999</v>
      </c>
      <c r="J118" s="154">
        <f t="shared" si="44"/>
        <v>4.2912768945649092E-3</v>
      </c>
      <c r="K118" s="187">
        <f t="shared" si="47"/>
        <v>0.30466054984456492</v>
      </c>
      <c r="L118" s="191">
        <f t="shared" si="48"/>
        <v>0.30466054984456492</v>
      </c>
      <c r="M118" s="168">
        <f t="shared" si="49"/>
        <v>0</v>
      </c>
      <c r="T118" s="137">
        <f>DayPatternCoefficients!A126</f>
        <v>502</v>
      </c>
      <c r="U118" s="137" t="str">
        <f>DayPatternCoefficients!B126</f>
        <v>H-PTW</v>
      </c>
      <c r="V118" s="138">
        <f>DayPatternCoefficients!D126</f>
        <v>0.18</v>
      </c>
      <c r="W118" s="178">
        <f t="shared" si="36"/>
        <v>-0.39019421704099999</v>
      </c>
    </row>
    <row r="119" spans="2:23" x14ac:dyDescent="0.25">
      <c r="B119" s="3" t="s">
        <v>6</v>
      </c>
      <c r="C119" s="7">
        <f>output_NHTS!D140</f>
        <v>20902.5969487281</v>
      </c>
      <c r="D119" s="7">
        <f>output!D140</f>
        <v>20785.520521730523</v>
      </c>
      <c r="E119" s="153">
        <f t="shared" si="45"/>
        <v>1.0056325953865421</v>
      </c>
      <c r="F119" s="3"/>
      <c r="G119" s="3">
        <v>8</v>
      </c>
      <c r="H119" s="3" t="s">
        <v>6</v>
      </c>
      <c r="I119" s="189">
        <f t="shared" si="46"/>
        <v>0.39617773946000001</v>
      </c>
      <c r="J119" s="154">
        <f t="shared" si="44"/>
        <v>2.80839581872948E-3</v>
      </c>
      <c r="K119" s="187">
        <f t="shared" si="47"/>
        <v>0.3989861352787295</v>
      </c>
      <c r="L119" s="191">
        <f t="shared" si="48"/>
        <v>0.3989861352787295</v>
      </c>
      <c r="M119" s="168">
        <f t="shared" si="49"/>
        <v>0</v>
      </c>
      <c r="T119" s="137">
        <f>DayPatternCoefficients!A127</f>
        <v>503</v>
      </c>
      <c r="U119" s="137" t="str">
        <f>DayPatternCoefficients!B127</f>
        <v>H-RET</v>
      </c>
      <c r="V119" s="138">
        <f>DayPatternCoefficients!D127</f>
        <v>0.29169321065699999</v>
      </c>
      <c r="W119" s="178">
        <f t="shared" si="36"/>
        <v>0</v>
      </c>
    </row>
    <row r="120" spans="2:23" x14ac:dyDescent="0.25">
      <c r="B120" s="3" t="s">
        <v>7</v>
      </c>
      <c r="C120" s="7">
        <f>output_NHTS!D141</f>
        <v>80129.822759339397</v>
      </c>
      <c r="D120" s="7">
        <f>output!D141</f>
        <v>73000.536504512784</v>
      </c>
      <c r="E120" s="153">
        <f t="shared" si="45"/>
        <v>1.097660737800001</v>
      </c>
      <c r="F120" s="3"/>
      <c r="G120" s="3">
        <v>10</v>
      </c>
      <c r="H120" s="3" t="s">
        <v>7</v>
      </c>
      <c r="I120" s="189">
        <f t="shared" si="46"/>
        <v>0.57146970345199999</v>
      </c>
      <c r="J120" s="154">
        <f t="shared" si="44"/>
        <v>4.6590656687681753E-2</v>
      </c>
      <c r="K120" s="187">
        <f t="shared" si="47"/>
        <v>0.61806036013968169</v>
      </c>
      <c r="L120" s="191">
        <f t="shared" si="48"/>
        <v>0.61806036013968169</v>
      </c>
      <c r="M120" s="168">
        <f t="shared" si="49"/>
        <v>0</v>
      </c>
      <c r="T120" s="137">
        <f>DayPatternCoefficients!A128</f>
        <v>504</v>
      </c>
      <c r="U120" s="137" t="str">
        <f>DayPatternCoefficients!B128</f>
        <v>H-NWA</v>
      </c>
      <c r="V120" s="138">
        <f>DayPatternCoefficients!D128</f>
        <v>0.333741739378</v>
      </c>
      <c r="W120" s="178">
        <f t="shared" si="36"/>
        <v>-0.664842450325</v>
      </c>
    </row>
    <row r="121" spans="2:23" ht="15.75" thickBot="1" x14ac:dyDescent="0.3">
      <c r="B121" s="15" t="s">
        <v>8</v>
      </c>
      <c r="C121" s="22">
        <f>output_NHTS!D142</f>
        <v>20214.822012986999</v>
      </c>
      <c r="D121" s="22">
        <f>output!D142</f>
        <v>19574.209431187202</v>
      </c>
      <c r="E121" s="155">
        <f t="shared" si="45"/>
        <v>1.0327273795680922</v>
      </c>
      <c r="F121" s="3"/>
      <c r="G121" s="15">
        <v>13</v>
      </c>
      <c r="H121" s="15" t="s">
        <v>8</v>
      </c>
      <c r="I121" s="190">
        <f t="shared" si="46"/>
        <v>0.12974858328</v>
      </c>
      <c r="J121" s="145">
        <f t="shared" si="44"/>
        <v>1.6101621974824145E-2</v>
      </c>
      <c r="K121" s="188">
        <f t="shared" si="47"/>
        <v>0.14585020525482414</v>
      </c>
      <c r="L121" s="192">
        <f t="shared" si="48"/>
        <v>0.14585020525482414</v>
      </c>
      <c r="M121" s="171">
        <f t="shared" si="49"/>
        <v>0</v>
      </c>
      <c r="T121" s="137">
        <f>DayPatternCoefficients!A129</f>
        <v>505</v>
      </c>
      <c r="U121" s="137" t="str">
        <f>DayPatternCoefficients!B129</f>
        <v>H-UNI</v>
      </c>
      <c r="V121" s="138">
        <f>DayPatternCoefficients!D129</f>
        <v>1.5</v>
      </c>
      <c r="W121" s="178">
        <f t="shared" si="36"/>
        <v>-0.128206129379</v>
      </c>
    </row>
    <row r="122" spans="2:23" x14ac:dyDescent="0.25">
      <c r="M122" s="119">
        <f>SUM(M115:M121)</f>
        <v>0</v>
      </c>
      <c r="T122" s="137">
        <f>DayPatternCoefficients!A130</f>
        <v>506</v>
      </c>
      <c r="U122" s="137" t="str">
        <f>DayPatternCoefficients!B130</f>
        <v>H-DAS</v>
      </c>
      <c r="V122" s="138">
        <f>DayPatternCoefficients!D130</f>
        <v>-1.4398761743499999</v>
      </c>
      <c r="W122" s="178">
        <f t="shared" si="36"/>
        <v>0.109643763442</v>
      </c>
    </row>
    <row r="123" spans="2:23" x14ac:dyDescent="0.25">
      <c r="T123" s="137">
        <f>DayPatternCoefficients!A131</f>
        <v>507</v>
      </c>
      <c r="U123" s="137" t="str">
        <f>DayPatternCoefficients!B131</f>
        <v>H-PAS</v>
      </c>
      <c r="V123" s="138">
        <f>DayPatternCoefficients!D131</f>
        <v>-0.67158773351000001</v>
      </c>
      <c r="W123" s="178">
        <f t="shared" si="36"/>
        <v>0</v>
      </c>
    </row>
    <row r="124" spans="2:23" x14ac:dyDescent="0.25">
      <c r="T124" s="163">
        <f>DayPatternCoefficients!A132</f>
        <v>508</v>
      </c>
      <c r="U124" s="163" t="str">
        <f>DayPatternCoefficients!B132</f>
        <v>H-CU5</v>
      </c>
      <c r="V124" s="157">
        <f>DayPatternCoefficients!D132</f>
        <v>-0.2</v>
      </c>
      <c r="W124" s="178">
        <f t="shared" si="36"/>
        <v>-0.2</v>
      </c>
    </row>
    <row r="125" spans="2:23" x14ac:dyDescent="0.25">
      <c r="T125" s="163">
        <f>DayPatternCoefficients!A133</f>
        <v>509</v>
      </c>
      <c r="U125" s="163" t="str">
        <f>DayPatternCoefficients!B133</f>
        <v>H-VLINC</v>
      </c>
      <c r="V125" s="157">
        <f>DayPatternCoefficients!D133</f>
        <v>0.19765755271499999</v>
      </c>
      <c r="W125" s="178">
        <f t="shared" si="36"/>
        <v>0.19765755271499999</v>
      </c>
    </row>
    <row r="126" spans="2:23" x14ac:dyDescent="0.25">
      <c r="T126" s="163">
        <f>DayPatternCoefficients!A134</f>
        <v>510</v>
      </c>
      <c r="U126" s="163" t="str">
        <f>DayPatternCoefficients!B134</f>
        <v>H-LOINC</v>
      </c>
      <c r="V126" s="157">
        <f>DayPatternCoefficients!D134</f>
        <v>0</v>
      </c>
      <c r="W126" s="178">
        <f t="shared" si="36"/>
        <v>0</v>
      </c>
    </row>
    <row r="127" spans="2:23" x14ac:dyDescent="0.25">
      <c r="T127" s="163">
        <f>DayPatternCoefficients!A135</f>
        <v>511</v>
      </c>
      <c r="U127" s="163" t="str">
        <f>DayPatternCoefficients!B135</f>
        <v>H-HIINC</v>
      </c>
      <c r="V127" s="157">
        <f>DayPatternCoefficients!D135</f>
        <v>0</v>
      </c>
      <c r="W127" s="178">
        <f t="shared" si="36"/>
        <v>0</v>
      </c>
    </row>
    <row r="128" spans="2:23" x14ac:dyDescent="0.25">
      <c r="T128" s="163">
        <f>DayPatternCoefficients!A136</f>
        <v>512</v>
      </c>
      <c r="U128" s="163" t="str">
        <f>DayPatternCoefficients!B136</f>
        <v>H-CARSPD</v>
      </c>
      <c r="V128" s="157">
        <f>DayPatternCoefficients!D136</f>
        <v>-9.62795835993E-2</v>
      </c>
      <c r="W128" s="178">
        <f t="shared" si="36"/>
        <v>-9.62795835993E-2</v>
      </c>
    </row>
    <row r="129" spans="20:23" x14ac:dyDescent="0.25">
      <c r="T129" s="163">
        <f>DayPatternCoefficients!A137</f>
        <v>513</v>
      </c>
      <c r="U129" s="163" t="str">
        <f>DayPatternCoefficients!B137</f>
        <v>H-ONLYAD</v>
      </c>
      <c r="V129" s="157">
        <f>DayPatternCoefficients!D137</f>
        <v>0.31837119660899998</v>
      </c>
      <c r="W129" s="178">
        <f t="shared" si="36"/>
        <v>0.31837119660899998</v>
      </c>
    </row>
    <row r="130" spans="20:23" x14ac:dyDescent="0.25">
      <c r="T130" s="163">
        <f>DayPatternCoefficients!A138</f>
        <v>514</v>
      </c>
      <c r="U130" s="163" t="str">
        <f>DayPatternCoefficients!B138</f>
        <v>H-ONLYWK</v>
      </c>
      <c r="V130" s="157">
        <f>DayPatternCoefficients!D138</f>
        <v>0</v>
      </c>
      <c r="W130" s="178">
        <f t="shared" si="36"/>
        <v>0</v>
      </c>
    </row>
    <row r="131" spans="20:23" x14ac:dyDescent="0.25">
      <c r="T131" s="163">
        <f>DayPatternCoefficients!A139</f>
        <v>516</v>
      </c>
      <c r="U131" s="163" t="str">
        <f>DayPatternCoefficients!B139</f>
        <v>H-FEMNOC</v>
      </c>
      <c r="V131" s="157">
        <f>DayPatternCoefficients!D139</f>
        <v>0.145509111734</v>
      </c>
      <c r="W131" s="178">
        <f t="shared" ref="W131" si="50">_xlfn.IFNA(VLOOKUP(T131,$K$63:$M$105,3,FALSE),_xlfn.IFNA(VLOOKUP(T131,$G$5:$K$11,5,FALSE),_xlfn.IFNA(VLOOKUP(T131,$G$19:$K$25,5,FALSE),V131)))</f>
        <v>0.145509111734</v>
      </c>
    </row>
    <row r="132" spans="20:23" x14ac:dyDescent="0.25">
      <c r="T132" s="163">
        <f>DayPatternCoefficients!A140</f>
        <v>517</v>
      </c>
      <c r="U132" s="163" t="str">
        <f>DayPatternCoefficients!B140</f>
        <v>H-FADCU5</v>
      </c>
      <c r="V132" s="157">
        <f>DayPatternCoefficients!D140</f>
        <v>0</v>
      </c>
      <c r="W132" s="178">
        <f t="shared" ref="W132:W195" si="51">_xlfn.IFNA(VLOOKUP(T132,$K$63:$M$105,3,FALSE),_xlfn.IFNA(VLOOKUP(T132,$G$5:$K$11,5,FALSE),_xlfn.IFNA(VLOOKUP(T132,$G$19:$K$25,5,FALSE),V132)))</f>
        <v>0</v>
      </c>
    </row>
    <row r="133" spans="20:23" x14ac:dyDescent="0.25">
      <c r="T133" s="163">
        <f>DayPatternCoefficients!A141</f>
        <v>518</v>
      </c>
      <c r="U133" s="163" t="str">
        <f>DayPatternCoefficients!B141</f>
        <v>H-FAD515</v>
      </c>
      <c r="V133" s="157">
        <f>DayPatternCoefficients!D141</f>
        <v>0</v>
      </c>
      <c r="W133" s="178">
        <f t="shared" si="51"/>
        <v>0</v>
      </c>
    </row>
    <row r="134" spans="20:23" x14ac:dyDescent="0.25">
      <c r="T134" s="163">
        <f>DayPatternCoefficients!A142</f>
        <v>519</v>
      </c>
      <c r="U134" s="163" t="str">
        <f>DayPatternCoefficients!B142</f>
        <v>H-MADCU5</v>
      </c>
      <c r="V134" s="157">
        <f>DayPatternCoefficients!D142</f>
        <v>-0.39019421704099999</v>
      </c>
      <c r="W134" s="178">
        <f t="shared" si="51"/>
        <v>-0.39019421704099999</v>
      </c>
    </row>
    <row r="135" spans="20:23" x14ac:dyDescent="0.25">
      <c r="T135" s="163">
        <f>DayPatternCoefficients!A143</f>
        <v>520</v>
      </c>
      <c r="U135" s="163" t="str">
        <f>DayPatternCoefficients!B143</f>
        <v>H-MAD515</v>
      </c>
      <c r="V135" s="157">
        <f>DayPatternCoefficients!D143</f>
        <v>0</v>
      </c>
      <c r="W135" s="178">
        <f t="shared" si="51"/>
        <v>0</v>
      </c>
    </row>
    <row r="136" spans="20:23" x14ac:dyDescent="0.25">
      <c r="T136" s="163">
        <f>DayPatternCoefficients!A144</f>
        <v>521</v>
      </c>
      <c r="U136" s="163" t="str">
        <f>DayPatternCoefficients!B144</f>
        <v>H-AG1825</v>
      </c>
      <c r="V136" s="157">
        <f>DayPatternCoefficients!D144</f>
        <v>-0.664842450325</v>
      </c>
      <c r="W136" s="178">
        <f t="shared" si="51"/>
        <v>-0.664842450325</v>
      </c>
    </row>
    <row r="137" spans="20:23" x14ac:dyDescent="0.25">
      <c r="T137" s="163">
        <f>DayPatternCoefficients!A145</f>
        <v>522</v>
      </c>
      <c r="U137" s="163" t="str">
        <f>DayPatternCoefficients!B145</f>
        <v>H-AG2635</v>
      </c>
      <c r="V137" s="157">
        <f>DayPatternCoefficients!D145</f>
        <v>-0.128206129379</v>
      </c>
      <c r="W137" s="178">
        <f t="shared" si="51"/>
        <v>-0.128206129379</v>
      </c>
    </row>
    <row r="138" spans="20:23" x14ac:dyDescent="0.25">
      <c r="T138" s="163">
        <f>DayPatternCoefficients!A146</f>
        <v>523</v>
      </c>
      <c r="U138" s="163" t="str">
        <f>DayPatternCoefficients!B146</f>
        <v>H-AG5165</v>
      </c>
      <c r="V138" s="157">
        <f>DayPatternCoefficients!D146</f>
        <v>0.109643763442</v>
      </c>
      <c r="W138" s="178">
        <f t="shared" si="51"/>
        <v>0.109643763442</v>
      </c>
    </row>
    <row r="139" spans="20:23" x14ac:dyDescent="0.25">
      <c r="T139" s="163">
        <f>DayPatternCoefficients!A147</f>
        <v>524</v>
      </c>
      <c r="U139" s="163" t="str">
        <f>DayPatternCoefficients!B147</f>
        <v>H-WAHOME</v>
      </c>
      <c r="V139" s="157">
        <f>DayPatternCoefficients!D147</f>
        <v>0</v>
      </c>
      <c r="W139" s="178">
        <f t="shared" si="51"/>
        <v>0</v>
      </c>
    </row>
    <row r="140" spans="20:23" x14ac:dyDescent="0.25">
      <c r="T140" s="163">
        <f>DayPatternCoefficients!A148</f>
        <v>525</v>
      </c>
      <c r="U140" s="163" t="str">
        <f>DayPatternCoefficients!B148</f>
        <v>H-MIXDEN</v>
      </c>
      <c r="V140" s="157">
        <f>DayPatternCoefficients!D148</f>
        <v>0</v>
      </c>
      <c r="W140" s="178">
        <f t="shared" si="51"/>
        <v>0</v>
      </c>
    </row>
    <row r="141" spans="20:23" x14ac:dyDescent="0.25">
      <c r="T141" s="163">
        <f>DayPatternCoefficients!A149</f>
        <v>526</v>
      </c>
      <c r="U141" s="163" t="str">
        <f>DayPatternCoefficients!B149</f>
        <v>H-INTDEN</v>
      </c>
      <c r="V141" s="157">
        <f>DayPatternCoefficients!D149</f>
        <v>0</v>
      </c>
      <c r="W141" s="178">
        <f t="shared" si="51"/>
        <v>0</v>
      </c>
    </row>
    <row r="142" spans="20:23" x14ac:dyDescent="0.25">
      <c r="T142" s="163">
        <f>DayPatternCoefficients!A150</f>
        <v>527</v>
      </c>
      <c r="U142" s="163" t="str">
        <f>DayPatternCoefficients!B150</f>
        <v>H-ACCLOG</v>
      </c>
      <c r="V142" s="157">
        <f>DayPatternCoefficients!D150</f>
        <v>0</v>
      </c>
      <c r="W142" s="178">
        <f t="shared" si="51"/>
        <v>0</v>
      </c>
    </row>
    <row r="143" spans="20:23" x14ac:dyDescent="0.25">
      <c r="T143" s="163">
        <f>DayPatternCoefficients!A151</f>
        <v>528</v>
      </c>
      <c r="U143" s="163" t="str">
        <f>DayPatternCoefficients!B151</f>
        <v>H-T-LOGS</v>
      </c>
      <c r="V143" s="157">
        <f>DayPatternCoefficients!D151</f>
        <v>-9.9077299202899993E-3</v>
      </c>
      <c r="W143" s="178">
        <f t="shared" si="51"/>
        <v>-9.9077299202899993E-3</v>
      </c>
    </row>
    <row r="144" spans="20:23" x14ac:dyDescent="0.25">
      <c r="T144" s="163">
        <f>DayPatternCoefficients!A152</f>
        <v>529</v>
      </c>
      <c r="U144" s="163" t="str">
        <f>DayPatternCoefficients!B152</f>
        <v>H-S-LOGS</v>
      </c>
      <c r="V144" s="157">
        <f>DayPatternCoefficients!D152</f>
        <v>-3.40075996586E-2</v>
      </c>
      <c r="W144" s="178">
        <f t="shared" si="51"/>
        <v>-3.40075996586E-2</v>
      </c>
    </row>
    <row r="145" spans="20:23" x14ac:dyDescent="0.25">
      <c r="T145" s="137">
        <f>DayPatternCoefficients!A153</f>
        <v>551</v>
      </c>
      <c r="U145" s="137" t="str">
        <f>DayPatternCoefficients!B153</f>
        <v>H-FTW</v>
      </c>
      <c r="V145" s="138">
        <f>DayPatternCoefficients!D153</f>
        <v>0</v>
      </c>
      <c r="W145" s="178">
        <f t="shared" si="51"/>
        <v>-0.48080125201099999</v>
      </c>
    </row>
    <row r="146" spans="20:23" x14ac:dyDescent="0.25">
      <c r="T146" s="137">
        <f>DayPatternCoefficients!A154</f>
        <v>600</v>
      </c>
      <c r="U146" s="137" t="str">
        <f>DayPatternCoefficients!B154</f>
        <v>M-TASC</v>
      </c>
      <c r="V146" s="138">
        <f>DayPatternCoefficients!D154</f>
        <v>-3.1650076478</v>
      </c>
      <c r="W146" s="178">
        <f t="shared" si="51"/>
        <v>-3.1650076478</v>
      </c>
    </row>
    <row r="147" spans="20:23" x14ac:dyDescent="0.25">
      <c r="T147" s="137">
        <f>DayPatternCoefficients!A155</f>
        <v>601</v>
      </c>
      <c r="U147" s="137" t="str">
        <f>DayPatternCoefficients!B155</f>
        <v>M-SASC</v>
      </c>
      <c r="V147" s="138">
        <f>DayPatternCoefficients!D155</f>
        <v>-0.71412970660499997</v>
      </c>
      <c r="W147" s="178">
        <f t="shared" si="51"/>
        <v>-0.71412970660499997</v>
      </c>
    </row>
    <row r="148" spans="20:23" x14ac:dyDescent="0.25">
      <c r="T148" s="137">
        <f>DayPatternCoefficients!A156</f>
        <v>602</v>
      </c>
      <c r="U148" s="137" t="str">
        <f>DayPatternCoefficients!B156</f>
        <v>M-PTW</v>
      </c>
      <c r="V148" s="138">
        <f>DayPatternCoefficients!D156</f>
        <v>-8.5904702712299996E-2</v>
      </c>
      <c r="W148" s="178">
        <f t="shared" si="51"/>
        <v>0</v>
      </c>
    </row>
    <row r="149" spans="20:23" x14ac:dyDescent="0.25">
      <c r="T149" s="137">
        <f>DayPatternCoefficients!A157</f>
        <v>603</v>
      </c>
      <c r="U149" s="137" t="str">
        <f>DayPatternCoefficients!B157</f>
        <v>M-RET</v>
      </c>
      <c r="V149" s="138">
        <f>DayPatternCoefficients!D157</f>
        <v>0</v>
      </c>
      <c r="W149" s="178">
        <f t="shared" si="51"/>
        <v>0</v>
      </c>
    </row>
    <row r="150" spans="20:23" x14ac:dyDescent="0.25">
      <c r="T150" s="137">
        <f>DayPatternCoefficients!A158</f>
        <v>604</v>
      </c>
      <c r="U150" s="137" t="str">
        <f>DayPatternCoefficients!B158</f>
        <v>M-NWA</v>
      </c>
      <c r="V150" s="138">
        <f>DayPatternCoefficients!D158</f>
        <v>0</v>
      </c>
      <c r="W150" s="178">
        <f t="shared" si="51"/>
        <v>0</v>
      </c>
    </row>
    <row r="151" spans="20:23" x14ac:dyDescent="0.25">
      <c r="T151" s="137">
        <f>DayPatternCoefficients!A159</f>
        <v>605</v>
      </c>
      <c r="U151" s="137" t="str">
        <f>DayPatternCoefficients!B159</f>
        <v>M-UNI</v>
      </c>
      <c r="V151" s="138">
        <f>DayPatternCoefficients!D159</f>
        <v>0.5</v>
      </c>
      <c r="W151" s="178">
        <f t="shared" si="51"/>
        <v>0</v>
      </c>
    </row>
    <row r="152" spans="20:23" x14ac:dyDescent="0.25">
      <c r="T152" s="137">
        <f>DayPatternCoefficients!A160</f>
        <v>606</v>
      </c>
      <c r="U152" s="137" t="str">
        <f>DayPatternCoefficients!B160</f>
        <v>M-DAS</v>
      </c>
      <c r="V152" s="138">
        <f>DayPatternCoefficients!D160</f>
        <v>-0.93463365956900002</v>
      </c>
      <c r="W152" s="178">
        <f t="shared" si="51"/>
        <v>0.1</v>
      </c>
    </row>
    <row r="153" spans="20:23" x14ac:dyDescent="0.25">
      <c r="T153" s="137">
        <f>DayPatternCoefficients!A161</f>
        <v>607</v>
      </c>
      <c r="U153" s="137" t="str">
        <f>DayPatternCoefficients!B161</f>
        <v>M-PAS</v>
      </c>
      <c r="V153" s="138">
        <f>DayPatternCoefficients!D161</f>
        <v>-1.1748210207500001</v>
      </c>
      <c r="W153" s="178">
        <f t="shared" si="51"/>
        <v>2.7065283978900002E-2</v>
      </c>
    </row>
    <row r="154" spans="20:23" x14ac:dyDescent="0.25">
      <c r="T154" s="163">
        <f>DayPatternCoefficients!A162</f>
        <v>608</v>
      </c>
      <c r="U154" s="163" t="str">
        <f>DayPatternCoefficients!B162</f>
        <v>M-CU5</v>
      </c>
      <c r="V154" s="157">
        <f>DayPatternCoefficients!D162</f>
        <v>-0.691459195676</v>
      </c>
      <c r="W154" s="178">
        <f t="shared" si="51"/>
        <v>-0.691459195676</v>
      </c>
    </row>
    <row r="155" spans="20:23" x14ac:dyDescent="0.25">
      <c r="T155" s="163">
        <f>DayPatternCoefficients!A163</f>
        <v>609</v>
      </c>
      <c r="U155" s="163" t="str">
        <f>DayPatternCoefficients!B163</f>
        <v>M-VLINC</v>
      </c>
      <c r="V155" s="157">
        <f>DayPatternCoefficients!D163</f>
        <v>-0.29980229741199999</v>
      </c>
      <c r="W155" s="178">
        <f t="shared" si="51"/>
        <v>-0.29980229741199999</v>
      </c>
    </row>
    <row r="156" spans="20:23" x14ac:dyDescent="0.25">
      <c r="T156" s="163">
        <f>DayPatternCoefficients!A164</f>
        <v>610</v>
      </c>
      <c r="U156" s="163" t="str">
        <f>DayPatternCoefficients!B164</f>
        <v>M-LOINC</v>
      </c>
      <c r="V156" s="157">
        <f>DayPatternCoefficients!D164</f>
        <v>1.67667697238E-2</v>
      </c>
      <c r="W156" s="178">
        <f t="shared" si="51"/>
        <v>1.67667697238E-2</v>
      </c>
    </row>
    <row r="157" spans="20:23" x14ac:dyDescent="0.25">
      <c r="T157" s="163">
        <f>DayPatternCoefficients!A165</f>
        <v>611</v>
      </c>
      <c r="U157" s="163" t="str">
        <f>DayPatternCoefficients!B165</f>
        <v>M-HIINC</v>
      </c>
      <c r="V157" s="157">
        <f>DayPatternCoefficients!D165</f>
        <v>0</v>
      </c>
      <c r="W157" s="178">
        <f t="shared" si="51"/>
        <v>0</v>
      </c>
    </row>
    <row r="158" spans="20:23" x14ac:dyDescent="0.25">
      <c r="T158" s="163">
        <f>DayPatternCoefficients!A166</f>
        <v>612</v>
      </c>
      <c r="U158" s="163" t="str">
        <f>DayPatternCoefficients!B166</f>
        <v>M-CARSPD</v>
      </c>
      <c r="V158" s="157">
        <f>DayPatternCoefficients!D166</f>
        <v>-0.22841745929999999</v>
      </c>
      <c r="W158" s="178">
        <f t="shared" si="51"/>
        <v>-0.22841745929999999</v>
      </c>
    </row>
    <row r="159" spans="20:23" x14ac:dyDescent="0.25">
      <c r="T159" s="163">
        <f>DayPatternCoefficients!A167</f>
        <v>613</v>
      </c>
      <c r="U159" s="163" t="str">
        <f>DayPatternCoefficients!B167</f>
        <v>M-ONLYAD</v>
      </c>
      <c r="V159" s="157">
        <f>DayPatternCoefficients!D167</f>
        <v>0</v>
      </c>
      <c r="W159" s="178">
        <f t="shared" si="51"/>
        <v>0</v>
      </c>
    </row>
    <row r="160" spans="20:23" x14ac:dyDescent="0.25">
      <c r="T160" s="163">
        <f>DayPatternCoefficients!A168</f>
        <v>614</v>
      </c>
      <c r="U160" s="163" t="str">
        <f>DayPatternCoefficients!B168</f>
        <v>M-ONLYWK</v>
      </c>
      <c r="V160" s="157">
        <f>DayPatternCoefficients!D168</f>
        <v>0</v>
      </c>
      <c r="W160" s="178">
        <f t="shared" si="51"/>
        <v>0</v>
      </c>
    </row>
    <row r="161" spans="20:23" x14ac:dyDescent="0.25">
      <c r="T161" s="163">
        <f>DayPatternCoefficients!A169</f>
        <v>616</v>
      </c>
      <c r="U161" s="163" t="str">
        <f>DayPatternCoefficients!B169</f>
        <v>M-FEMNOC</v>
      </c>
      <c r="V161" s="157">
        <f>DayPatternCoefficients!D169</f>
        <v>-5.8983816757300002E-2</v>
      </c>
      <c r="W161" s="178">
        <f t="shared" si="51"/>
        <v>-5.8983816757300002E-2</v>
      </c>
    </row>
    <row r="162" spans="20:23" x14ac:dyDescent="0.25">
      <c r="T162" s="163">
        <f>DayPatternCoefficients!A170</f>
        <v>617</v>
      </c>
      <c r="U162" s="163" t="str">
        <f>DayPatternCoefficients!B170</f>
        <v>M-FADCU5</v>
      </c>
      <c r="V162" s="157">
        <f>DayPatternCoefficients!D170</f>
        <v>0</v>
      </c>
      <c r="W162" s="178">
        <f t="shared" si="51"/>
        <v>0</v>
      </c>
    </row>
    <row r="163" spans="20:23" x14ac:dyDescent="0.25">
      <c r="T163" s="163">
        <f>DayPatternCoefficients!A171</f>
        <v>618</v>
      </c>
      <c r="U163" s="163" t="str">
        <f>DayPatternCoefficients!B171</f>
        <v>M-FAD515</v>
      </c>
      <c r="V163" s="157">
        <f>DayPatternCoefficients!D171</f>
        <v>-0.59216940411100005</v>
      </c>
      <c r="W163" s="178">
        <f t="shared" si="51"/>
        <v>-0.59216940411100005</v>
      </c>
    </row>
    <row r="164" spans="20:23" x14ac:dyDescent="0.25">
      <c r="T164" s="163">
        <f>DayPatternCoefficients!A172</f>
        <v>619</v>
      </c>
      <c r="U164" s="163" t="str">
        <f>DayPatternCoefficients!B172</f>
        <v>M-MADCU5</v>
      </c>
      <c r="V164" s="157">
        <f>DayPatternCoefficients!D172</f>
        <v>0</v>
      </c>
      <c r="W164" s="178">
        <f t="shared" si="51"/>
        <v>0</v>
      </c>
    </row>
    <row r="165" spans="20:23" x14ac:dyDescent="0.25">
      <c r="T165" s="163">
        <f>DayPatternCoefficients!A173</f>
        <v>620</v>
      </c>
      <c r="U165" s="163" t="str">
        <f>DayPatternCoefficients!B173</f>
        <v>M-MAD515</v>
      </c>
      <c r="V165" s="157">
        <f>DayPatternCoefficients!D173</f>
        <v>-0.48080125201099999</v>
      </c>
      <c r="W165" s="178">
        <f t="shared" si="51"/>
        <v>-0.48080125201099999</v>
      </c>
    </row>
    <row r="166" spans="20:23" x14ac:dyDescent="0.25">
      <c r="T166" s="163">
        <f>DayPatternCoefficients!A174</f>
        <v>621</v>
      </c>
      <c r="U166" s="163" t="str">
        <f>DayPatternCoefficients!B174</f>
        <v>M-AG1825</v>
      </c>
      <c r="V166" s="157">
        <f>DayPatternCoefficients!D174</f>
        <v>0</v>
      </c>
      <c r="W166" s="178">
        <f t="shared" si="51"/>
        <v>0</v>
      </c>
    </row>
    <row r="167" spans="20:23" x14ac:dyDescent="0.25">
      <c r="T167" s="163">
        <f>DayPatternCoefficients!A175</f>
        <v>622</v>
      </c>
      <c r="U167" s="163" t="str">
        <f>DayPatternCoefficients!B175</f>
        <v>M-AG2635</v>
      </c>
      <c r="V167" s="157">
        <f>DayPatternCoefficients!D175</f>
        <v>0</v>
      </c>
      <c r="W167" s="178">
        <f t="shared" si="51"/>
        <v>0</v>
      </c>
    </row>
    <row r="168" spans="20:23" x14ac:dyDescent="0.25">
      <c r="T168" s="163">
        <f>DayPatternCoefficients!A176</f>
        <v>623</v>
      </c>
      <c r="U168" s="163" t="str">
        <f>DayPatternCoefficients!B176</f>
        <v>M-AG5165</v>
      </c>
      <c r="V168" s="157">
        <f>DayPatternCoefficients!D176</f>
        <v>0</v>
      </c>
      <c r="W168" s="178">
        <f t="shared" si="51"/>
        <v>0</v>
      </c>
    </row>
    <row r="169" spans="20:23" x14ac:dyDescent="0.25">
      <c r="T169" s="163">
        <f>DayPatternCoefficients!A177</f>
        <v>624</v>
      </c>
      <c r="U169" s="163" t="str">
        <f>DayPatternCoefficients!B177</f>
        <v>M-WAHOME</v>
      </c>
      <c r="V169" s="157">
        <f>DayPatternCoefficients!D177</f>
        <v>0</v>
      </c>
      <c r="W169" s="178">
        <f t="shared" si="51"/>
        <v>0</v>
      </c>
    </row>
    <row r="170" spans="20:23" x14ac:dyDescent="0.25">
      <c r="T170" s="163">
        <f>DayPatternCoefficients!A178</f>
        <v>625</v>
      </c>
      <c r="U170" s="163" t="str">
        <f>DayPatternCoefficients!B178</f>
        <v>M-MIXDEN</v>
      </c>
      <c r="V170" s="157">
        <f>DayPatternCoefficients!D178</f>
        <v>0</v>
      </c>
      <c r="W170" s="178">
        <f t="shared" si="51"/>
        <v>0</v>
      </c>
    </row>
    <row r="171" spans="20:23" x14ac:dyDescent="0.25">
      <c r="T171" s="163">
        <f>DayPatternCoefficients!A179</f>
        <v>626</v>
      </c>
      <c r="U171" s="163" t="str">
        <f>DayPatternCoefficients!B179</f>
        <v>M-INTDEN</v>
      </c>
      <c r="V171" s="157">
        <f>DayPatternCoefficients!D179</f>
        <v>0</v>
      </c>
      <c r="W171" s="178">
        <f t="shared" si="51"/>
        <v>0</v>
      </c>
    </row>
    <row r="172" spans="20:23" x14ac:dyDescent="0.25">
      <c r="T172" s="163">
        <f>DayPatternCoefficients!A180</f>
        <v>627</v>
      </c>
      <c r="U172" s="163" t="str">
        <f>DayPatternCoefficients!B180</f>
        <v>M-ACCLOG</v>
      </c>
      <c r="V172" s="157">
        <f>DayPatternCoefficients!D180</f>
        <v>0.1</v>
      </c>
      <c r="W172" s="178">
        <f t="shared" si="51"/>
        <v>0.1</v>
      </c>
    </row>
    <row r="173" spans="20:23" x14ac:dyDescent="0.25">
      <c r="T173" s="163">
        <f>DayPatternCoefficients!A181</f>
        <v>628</v>
      </c>
      <c r="U173" s="163" t="str">
        <f>DayPatternCoefficients!B181</f>
        <v>M-T-LOGS</v>
      </c>
      <c r="V173" s="157">
        <f>DayPatternCoefficients!D181</f>
        <v>2.7065283978900002E-2</v>
      </c>
      <c r="W173" s="178">
        <f t="shared" si="51"/>
        <v>2.7065283978900002E-2</v>
      </c>
    </row>
    <row r="174" spans="20:23" x14ac:dyDescent="0.25">
      <c r="T174" s="163">
        <f>DayPatternCoefficients!A182</f>
        <v>629</v>
      </c>
      <c r="U174" s="163" t="str">
        <f>DayPatternCoefficients!B182</f>
        <v>M-S-LOGS</v>
      </c>
      <c r="V174" s="157">
        <f>DayPatternCoefficients!D182</f>
        <v>-2.37266979579E-2</v>
      </c>
      <c r="W174" s="178">
        <f t="shared" si="51"/>
        <v>-2.37266979579E-2</v>
      </c>
    </row>
    <row r="175" spans="20:23" x14ac:dyDescent="0.25">
      <c r="T175" s="137">
        <f>DayPatternCoefficients!A183</f>
        <v>651</v>
      </c>
      <c r="U175" s="137" t="str">
        <f>DayPatternCoefficients!B183</f>
        <v>M-FTW</v>
      </c>
      <c r="V175" s="138">
        <f>DayPatternCoefficients!D183</f>
        <v>0</v>
      </c>
      <c r="W175" s="178">
        <f t="shared" si="51"/>
        <v>-5</v>
      </c>
    </row>
    <row r="176" spans="20:23" x14ac:dyDescent="0.25">
      <c r="T176" s="137">
        <f>DayPatternCoefficients!A184</f>
        <v>700</v>
      </c>
      <c r="U176" s="137" t="str">
        <f>DayPatternCoefficients!B184</f>
        <v>D-TASC</v>
      </c>
      <c r="V176" s="138">
        <f>DayPatternCoefficients!D184</f>
        <v>-2.1192921546600001</v>
      </c>
      <c r="W176" s="178">
        <f t="shared" si="51"/>
        <v>-2.1192921546600001</v>
      </c>
    </row>
    <row r="177" spans="20:23" x14ac:dyDescent="0.25">
      <c r="T177" s="137">
        <f>DayPatternCoefficients!A185</f>
        <v>701</v>
      </c>
      <c r="U177" s="137" t="str">
        <f>DayPatternCoefficients!B185</f>
        <v>D-SASC</v>
      </c>
      <c r="V177" s="138">
        <f>DayPatternCoefficients!D185</f>
        <v>-0.4</v>
      </c>
      <c r="W177" s="178">
        <f t="shared" si="51"/>
        <v>-0.4</v>
      </c>
    </row>
    <row r="178" spans="20:23" x14ac:dyDescent="0.25">
      <c r="T178" s="137">
        <f>DayPatternCoefficients!A186</f>
        <v>702</v>
      </c>
      <c r="U178" s="137" t="str">
        <f>DayPatternCoefficients!B186</f>
        <v>D-PTW</v>
      </c>
      <c r="V178" s="138">
        <f>DayPatternCoefficients!D186</f>
        <v>0.25</v>
      </c>
      <c r="W178" s="178">
        <f t="shared" si="51"/>
        <v>0</v>
      </c>
    </row>
    <row r="179" spans="20:23" x14ac:dyDescent="0.25">
      <c r="T179" s="137">
        <f>DayPatternCoefficients!A187</f>
        <v>703</v>
      </c>
      <c r="U179" s="137" t="str">
        <f>DayPatternCoefficients!B187</f>
        <v>D-RET</v>
      </c>
      <c r="V179" s="138">
        <f>DayPatternCoefficients!D187</f>
        <v>0</v>
      </c>
      <c r="W179" s="178">
        <f t="shared" si="51"/>
        <v>4.7101136486500002E-2</v>
      </c>
    </row>
    <row r="180" spans="20:23" x14ac:dyDescent="0.25">
      <c r="T180" s="137">
        <f>DayPatternCoefficients!A188</f>
        <v>704</v>
      </c>
      <c r="U180" s="137" t="str">
        <f>DayPatternCoefficients!B188</f>
        <v>D-NWA</v>
      </c>
      <c r="V180" s="138">
        <f>DayPatternCoefficients!D188</f>
        <v>0</v>
      </c>
      <c r="W180" s="178">
        <f t="shared" si="51"/>
        <v>3.3043148208000001E-2</v>
      </c>
    </row>
    <row r="181" spans="20:23" x14ac:dyDescent="0.25">
      <c r="T181" s="137">
        <f>DayPatternCoefficients!A189</f>
        <v>705</v>
      </c>
      <c r="U181" s="137" t="str">
        <f>DayPatternCoefficients!B189</f>
        <v>D-UNI</v>
      </c>
      <c r="V181" s="138">
        <f>DayPatternCoefficients!D189</f>
        <v>0.4</v>
      </c>
      <c r="W181" s="178">
        <f t="shared" si="51"/>
        <v>-0.181999194674</v>
      </c>
    </row>
    <row r="182" spans="20:23" x14ac:dyDescent="0.25">
      <c r="T182" s="137">
        <f>DayPatternCoefficients!A190</f>
        <v>706</v>
      </c>
      <c r="U182" s="137" t="str">
        <f>DayPatternCoefficients!B190</f>
        <v>D-DAS</v>
      </c>
      <c r="V182" s="138">
        <f>DayPatternCoefficients!D190</f>
        <v>0</v>
      </c>
      <c r="W182" s="178">
        <f t="shared" si="51"/>
        <v>0.48216116208199999</v>
      </c>
    </row>
    <row r="183" spans="20:23" x14ac:dyDescent="0.25">
      <c r="T183" s="137">
        <f>DayPatternCoefficients!A191</f>
        <v>707</v>
      </c>
      <c r="U183" s="137" t="str">
        <f>DayPatternCoefficients!B191</f>
        <v>D-PAS</v>
      </c>
      <c r="V183" s="138">
        <f>DayPatternCoefficients!D191</f>
        <v>0.10984351682100001</v>
      </c>
      <c r="W183" s="178">
        <f t="shared" si="51"/>
        <v>4.1439464708299997E-2</v>
      </c>
    </row>
    <row r="184" spans="20:23" x14ac:dyDescent="0.25">
      <c r="T184" s="163">
        <f>DayPatternCoefficients!A192</f>
        <v>708</v>
      </c>
      <c r="U184" s="163" t="str">
        <f>DayPatternCoefficients!B192</f>
        <v>D-CU5</v>
      </c>
      <c r="V184" s="157">
        <f>DayPatternCoefficients!D192</f>
        <v>0.116602358763</v>
      </c>
      <c r="W184" s="178">
        <f t="shared" si="51"/>
        <v>0.116602358763</v>
      </c>
    </row>
    <row r="185" spans="20:23" x14ac:dyDescent="0.25">
      <c r="T185" s="163">
        <f>DayPatternCoefficients!A193</f>
        <v>709</v>
      </c>
      <c r="U185" s="163" t="str">
        <f>DayPatternCoefficients!B193</f>
        <v>D-VLINC</v>
      </c>
      <c r="V185" s="157">
        <f>DayPatternCoefficients!D193</f>
        <v>-0.37024939587599998</v>
      </c>
      <c r="W185" s="178">
        <f t="shared" si="51"/>
        <v>-0.37024939587599998</v>
      </c>
    </row>
    <row r="186" spans="20:23" x14ac:dyDescent="0.25">
      <c r="T186" s="163">
        <f>DayPatternCoefficients!A194</f>
        <v>710</v>
      </c>
      <c r="U186" s="163" t="str">
        <f>DayPatternCoefficients!B194</f>
        <v>D-LOINC</v>
      </c>
      <c r="V186" s="157">
        <f>DayPatternCoefficients!D194</f>
        <v>-2.8143568197899999E-2</v>
      </c>
      <c r="W186" s="178">
        <f t="shared" si="51"/>
        <v>-2.8143568197899999E-2</v>
      </c>
    </row>
    <row r="187" spans="20:23" x14ac:dyDescent="0.25">
      <c r="T187" s="163">
        <f>DayPatternCoefficients!A195</f>
        <v>711</v>
      </c>
      <c r="U187" s="163" t="str">
        <f>DayPatternCoefficients!B195</f>
        <v>D-HIINC</v>
      </c>
      <c r="V187" s="157">
        <f>DayPatternCoefficients!D195</f>
        <v>0.11288399086799999</v>
      </c>
      <c r="W187" s="178">
        <f t="shared" si="51"/>
        <v>0.11288399086799999</v>
      </c>
    </row>
    <row r="188" spans="20:23" x14ac:dyDescent="0.25">
      <c r="T188" s="163">
        <f>DayPatternCoefficients!A196</f>
        <v>712</v>
      </c>
      <c r="U188" s="163" t="str">
        <f>DayPatternCoefficients!B196</f>
        <v>D-CARSPD</v>
      </c>
      <c r="V188" s="157">
        <f>DayPatternCoefficients!D196</f>
        <v>0.19420487187800001</v>
      </c>
      <c r="W188" s="178">
        <f t="shared" si="51"/>
        <v>0.19420487187800001</v>
      </c>
    </row>
    <row r="189" spans="20:23" x14ac:dyDescent="0.25">
      <c r="T189" s="163">
        <f>DayPatternCoefficients!A197</f>
        <v>713</v>
      </c>
      <c r="U189" s="163" t="str">
        <f>DayPatternCoefficients!B197</f>
        <v>D-ONLYAD</v>
      </c>
      <c r="V189" s="157">
        <f>DayPatternCoefficients!D197</f>
        <v>-5.0667690583899999E-2</v>
      </c>
      <c r="W189" s="178">
        <f t="shared" si="51"/>
        <v>-5.0667690583899999E-2</v>
      </c>
    </row>
    <row r="190" spans="20:23" x14ac:dyDescent="0.25">
      <c r="T190" s="163">
        <f>DayPatternCoefficients!A198</f>
        <v>714</v>
      </c>
      <c r="U190" s="163" t="str">
        <f>DayPatternCoefficients!B198</f>
        <v>D-ONLYWK</v>
      </c>
      <c r="V190" s="157">
        <f>DayPatternCoefficients!D198</f>
        <v>0</v>
      </c>
      <c r="W190" s="178">
        <f t="shared" si="51"/>
        <v>0</v>
      </c>
    </row>
    <row r="191" spans="20:23" x14ac:dyDescent="0.25">
      <c r="T191" s="163">
        <f>DayPatternCoefficients!A199</f>
        <v>716</v>
      </c>
      <c r="U191" s="163" t="str">
        <f>DayPatternCoefficients!B199</f>
        <v>D-FEMNOC</v>
      </c>
      <c r="V191" s="157">
        <f>DayPatternCoefficients!D199</f>
        <v>0</v>
      </c>
      <c r="W191" s="178">
        <f t="shared" si="51"/>
        <v>0</v>
      </c>
    </row>
    <row r="192" spans="20:23" x14ac:dyDescent="0.25">
      <c r="T192" s="163">
        <f>DayPatternCoefficients!A200</f>
        <v>717</v>
      </c>
      <c r="U192" s="163" t="str">
        <f>DayPatternCoefficients!B200</f>
        <v>D-FADCU5</v>
      </c>
      <c r="V192" s="157">
        <f>DayPatternCoefficients!D200</f>
        <v>0</v>
      </c>
      <c r="W192" s="178">
        <f t="shared" si="51"/>
        <v>0</v>
      </c>
    </row>
    <row r="193" spans="20:23" x14ac:dyDescent="0.25">
      <c r="T193" s="163">
        <f>DayPatternCoefficients!A201</f>
        <v>718</v>
      </c>
      <c r="U193" s="163" t="str">
        <f>DayPatternCoefficients!B201</f>
        <v>D-FAD515</v>
      </c>
      <c r="V193" s="157">
        <f>DayPatternCoefficients!D201</f>
        <v>-0.24386623187299999</v>
      </c>
      <c r="W193" s="178">
        <f t="shared" si="51"/>
        <v>-0.24386623187299999</v>
      </c>
    </row>
    <row r="194" spans="20:23" x14ac:dyDescent="0.25">
      <c r="T194" s="163">
        <f>DayPatternCoefficients!A202</f>
        <v>719</v>
      </c>
      <c r="U194" s="163" t="str">
        <f>DayPatternCoefficients!B202</f>
        <v>D-MADCU5</v>
      </c>
      <c r="V194" s="157">
        <f>DayPatternCoefficients!D202</f>
        <v>0</v>
      </c>
      <c r="W194" s="178">
        <f t="shared" si="51"/>
        <v>0</v>
      </c>
    </row>
    <row r="195" spans="20:23" x14ac:dyDescent="0.25">
      <c r="T195" s="163">
        <f>DayPatternCoefficients!A203</f>
        <v>720</v>
      </c>
      <c r="U195" s="163" t="str">
        <f>DayPatternCoefficients!B203</f>
        <v>D-MAD515</v>
      </c>
      <c r="V195" s="157">
        <f>DayPatternCoefficients!D203</f>
        <v>-0.50528967094099997</v>
      </c>
      <c r="W195" s="178">
        <f t="shared" si="51"/>
        <v>-0.50528967094099997</v>
      </c>
    </row>
    <row r="196" spans="20:23" x14ac:dyDescent="0.25">
      <c r="T196" s="163">
        <f>DayPatternCoefficients!A204</f>
        <v>721</v>
      </c>
      <c r="U196" s="163" t="str">
        <f>DayPatternCoefficients!B204</f>
        <v>D-AG1825</v>
      </c>
      <c r="V196" s="157">
        <f>DayPatternCoefficients!D204</f>
        <v>0</v>
      </c>
      <c r="W196" s="178">
        <f t="shared" ref="W196:W259" si="52">_xlfn.IFNA(VLOOKUP(T196,$K$63:$M$105,3,FALSE),_xlfn.IFNA(VLOOKUP(T196,$G$5:$K$11,5,FALSE),_xlfn.IFNA(VLOOKUP(T196,$G$19:$K$25,5,FALSE),V196)))</f>
        <v>0</v>
      </c>
    </row>
    <row r="197" spans="20:23" x14ac:dyDescent="0.25">
      <c r="T197" s="163">
        <f>DayPatternCoefficients!A205</f>
        <v>722</v>
      </c>
      <c r="U197" s="163" t="str">
        <f>DayPatternCoefficients!B205</f>
        <v>D-AG2635</v>
      </c>
      <c r="V197" s="157">
        <f>DayPatternCoefficients!D205</f>
        <v>0</v>
      </c>
      <c r="W197" s="178">
        <f t="shared" si="52"/>
        <v>0</v>
      </c>
    </row>
    <row r="198" spans="20:23" x14ac:dyDescent="0.25">
      <c r="T198" s="163">
        <f>DayPatternCoefficients!A206</f>
        <v>723</v>
      </c>
      <c r="U198" s="163" t="str">
        <f>DayPatternCoefficients!B206</f>
        <v>D-AG5165</v>
      </c>
      <c r="V198" s="157">
        <f>DayPatternCoefficients!D206</f>
        <v>-9.4417426909799998E-2</v>
      </c>
      <c r="W198" s="178">
        <f t="shared" si="52"/>
        <v>-9.4417426909799998E-2</v>
      </c>
    </row>
    <row r="199" spans="20:23" x14ac:dyDescent="0.25">
      <c r="T199" s="163">
        <f>DayPatternCoefficients!A207</f>
        <v>724</v>
      </c>
      <c r="U199" s="163" t="str">
        <f>DayPatternCoefficients!B207</f>
        <v>D-WAHOME</v>
      </c>
      <c r="V199" s="157">
        <f>DayPatternCoefficients!D207</f>
        <v>-5</v>
      </c>
      <c r="W199" s="178">
        <f t="shared" si="52"/>
        <v>-5</v>
      </c>
    </row>
    <row r="200" spans="20:23" x14ac:dyDescent="0.25">
      <c r="T200" s="163">
        <f>DayPatternCoefficients!A208</f>
        <v>725</v>
      </c>
      <c r="U200" s="163" t="str">
        <f>DayPatternCoefficients!B208</f>
        <v>D-MIXDEN</v>
      </c>
      <c r="V200" s="157">
        <f>DayPatternCoefficients!D208</f>
        <v>0</v>
      </c>
      <c r="W200" s="178">
        <f t="shared" si="52"/>
        <v>0</v>
      </c>
    </row>
    <row r="201" spans="20:23" x14ac:dyDescent="0.25">
      <c r="T201" s="163">
        <f>DayPatternCoefficients!A209</f>
        <v>726</v>
      </c>
      <c r="U201" s="163" t="str">
        <f>DayPatternCoefficients!B209</f>
        <v>D-INTDEN</v>
      </c>
      <c r="V201" s="157">
        <f>DayPatternCoefficients!D209</f>
        <v>0</v>
      </c>
      <c r="W201" s="178">
        <f t="shared" si="52"/>
        <v>0</v>
      </c>
    </row>
    <row r="202" spans="20:23" x14ac:dyDescent="0.25">
      <c r="T202" s="163">
        <f>DayPatternCoefficients!A210</f>
        <v>727</v>
      </c>
      <c r="U202" s="163" t="str">
        <f>DayPatternCoefficients!B210</f>
        <v>D-ACCLOG</v>
      </c>
      <c r="V202" s="157">
        <f>DayPatternCoefficients!D210</f>
        <v>0</v>
      </c>
      <c r="W202" s="178">
        <f t="shared" si="52"/>
        <v>0</v>
      </c>
    </row>
    <row r="203" spans="20:23" x14ac:dyDescent="0.25">
      <c r="T203" s="163">
        <f>DayPatternCoefficients!A211</f>
        <v>728</v>
      </c>
      <c r="U203" s="163" t="str">
        <f>DayPatternCoefficients!B211</f>
        <v>D-T-LOGS</v>
      </c>
      <c r="V203" s="157">
        <f>DayPatternCoefficients!D211</f>
        <v>4.7101136486500002E-2</v>
      </c>
      <c r="W203" s="178">
        <f t="shared" si="52"/>
        <v>4.7101136486500002E-2</v>
      </c>
    </row>
    <row r="204" spans="20:23" x14ac:dyDescent="0.25">
      <c r="T204" s="163">
        <f>DayPatternCoefficients!A212</f>
        <v>729</v>
      </c>
      <c r="U204" s="163" t="str">
        <f>DayPatternCoefficients!B212</f>
        <v>D-S-LOGS</v>
      </c>
      <c r="V204" s="157">
        <f>DayPatternCoefficients!D212</f>
        <v>3.3043148208000001E-2</v>
      </c>
      <c r="W204" s="178">
        <f t="shared" si="52"/>
        <v>3.3043148208000001E-2</v>
      </c>
    </row>
    <row r="205" spans="20:23" x14ac:dyDescent="0.25">
      <c r="T205" s="137">
        <f>DayPatternCoefficients!A213</f>
        <v>751</v>
      </c>
      <c r="U205" s="137" t="str">
        <f>DayPatternCoefficients!B213</f>
        <v>D-FTW</v>
      </c>
      <c r="V205" s="138">
        <f>DayPatternCoefficients!D213</f>
        <v>-0.181999194674</v>
      </c>
      <c r="W205" s="178">
        <f t="shared" si="52"/>
        <v>0</v>
      </c>
    </row>
    <row r="206" spans="20:23" x14ac:dyDescent="0.25">
      <c r="T206" s="163">
        <f>DayPatternCoefficients!A214</f>
        <v>802</v>
      </c>
      <c r="U206" s="163" t="str">
        <f>DayPatternCoefficients!B214</f>
        <v>T-PTW</v>
      </c>
      <c r="V206" s="157">
        <f>DayPatternCoefficients!D214</f>
        <v>0.48216116208199999</v>
      </c>
      <c r="W206" s="178">
        <f t="shared" si="52"/>
        <v>0.48216116208199999</v>
      </c>
    </row>
    <row r="207" spans="20:23" x14ac:dyDescent="0.25">
      <c r="T207" s="163">
        <f>DayPatternCoefficients!A215</f>
        <v>803</v>
      </c>
      <c r="U207" s="163" t="str">
        <f>DayPatternCoefficients!B215</f>
        <v>T-RET</v>
      </c>
      <c r="V207" s="157">
        <f>DayPatternCoefficients!D215</f>
        <v>4.1439464708299997E-2</v>
      </c>
      <c r="W207" s="178">
        <f t="shared" si="52"/>
        <v>4.1439464708299997E-2</v>
      </c>
    </row>
    <row r="208" spans="20:23" x14ac:dyDescent="0.25">
      <c r="T208" s="163">
        <f>DayPatternCoefficients!A216</f>
        <v>804</v>
      </c>
      <c r="U208" s="163" t="str">
        <f>DayPatternCoefficients!B216</f>
        <v>T-NWA</v>
      </c>
      <c r="V208" s="157">
        <f>DayPatternCoefficients!D216</f>
        <v>6.9579968419499996E-2</v>
      </c>
      <c r="W208" s="178">
        <f t="shared" si="52"/>
        <v>6.9579968419499996E-2</v>
      </c>
    </row>
    <row r="209" spans="20:23" x14ac:dyDescent="0.25">
      <c r="T209" s="163">
        <f>DayPatternCoefficients!A217</f>
        <v>805</v>
      </c>
      <c r="U209" s="163" t="str">
        <f>DayPatternCoefficients!B217</f>
        <v>T-UNI</v>
      </c>
      <c r="V209" s="157">
        <f>DayPatternCoefficients!D217</f>
        <v>-0.43103620622200001</v>
      </c>
      <c r="W209" s="178">
        <f t="shared" si="52"/>
        <v>-0.43103620622200001</v>
      </c>
    </row>
    <row r="210" spans="20:23" x14ac:dyDescent="0.25">
      <c r="T210" s="163">
        <f>DayPatternCoefficients!A218</f>
        <v>806</v>
      </c>
      <c r="U210" s="163" t="str">
        <f>DayPatternCoefficients!B218</f>
        <v>T-DAS</v>
      </c>
      <c r="V210" s="157">
        <f>DayPatternCoefficients!D218</f>
        <v>0.18339092563000001</v>
      </c>
      <c r="W210" s="178">
        <f t="shared" si="52"/>
        <v>0.18339092563000001</v>
      </c>
    </row>
    <row r="211" spans="20:23" x14ac:dyDescent="0.25">
      <c r="T211" s="163">
        <f>DayPatternCoefficients!A219</f>
        <v>807</v>
      </c>
      <c r="U211" s="163" t="str">
        <f>DayPatternCoefficients!B219</f>
        <v>T-PAS</v>
      </c>
      <c r="V211" s="157">
        <f>DayPatternCoefficients!D219</f>
        <v>0.66879116640400005</v>
      </c>
      <c r="W211" s="178">
        <f t="shared" si="52"/>
        <v>0.66879116640400005</v>
      </c>
    </row>
    <row r="212" spans="20:23" x14ac:dyDescent="0.25">
      <c r="T212" s="163">
        <f>DayPatternCoefficients!A220</f>
        <v>808</v>
      </c>
      <c r="U212" s="163" t="str">
        <f>DayPatternCoefficients!B220</f>
        <v>T-CU5</v>
      </c>
      <c r="V212" s="157">
        <f>DayPatternCoefficients!D220</f>
        <v>0</v>
      </c>
      <c r="W212" s="178">
        <f t="shared" si="52"/>
        <v>0</v>
      </c>
    </row>
    <row r="213" spans="20:23" x14ac:dyDescent="0.25">
      <c r="T213" s="163">
        <f>DayPatternCoefficients!A221</f>
        <v>809</v>
      </c>
      <c r="U213" s="163" t="str">
        <f>DayPatternCoefficients!B221</f>
        <v>T-VLINC</v>
      </c>
      <c r="V213" s="157">
        <f>DayPatternCoefficients!D221</f>
        <v>0</v>
      </c>
      <c r="W213" s="178">
        <f t="shared" si="52"/>
        <v>0</v>
      </c>
    </row>
    <row r="214" spans="20:23" x14ac:dyDescent="0.25">
      <c r="T214" s="163">
        <f>DayPatternCoefficients!A222</f>
        <v>810</v>
      </c>
      <c r="U214" s="163" t="str">
        <f>DayPatternCoefficients!B222</f>
        <v>T-LOINC</v>
      </c>
      <c r="V214" s="157">
        <f>DayPatternCoefficients!D222</f>
        <v>0</v>
      </c>
      <c r="W214" s="178">
        <f t="shared" si="52"/>
        <v>0</v>
      </c>
    </row>
    <row r="215" spans="20:23" x14ac:dyDescent="0.25">
      <c r="T215" s="163">
        <f>DayPatternCoefficients!A223</f>
        <v>811</v>
      </c>
      <c r="U215" s="163" t="str">
        <f>DayPatternCoefficients!B223</f>
        <v>T-HIINC</v>
      </c>
      <c r="V215" s="157">
        <f>DayPatternCoefficients!D223</f>
        <v>0</v>
      </c>
      <c r="W215" s="178">
        <f t="shared" si="52"/>
        <v>0</v>
      </c>
    </row>
    <row r="216" spans="20:23" x14ac:dyDescent="0.25">
      <c r="T216" s="163">
        <f>DayPatternCoefficients!A224</f>
        <v>812</v>
      </c>
      <c r="U216" s="163" t="str">
        <f>DayPatternCoefficients!B224</f>
        <v>T-CARSPD</v>
      </c>
      <c r="V216" s="157">
        <f>DayPatternCoefficients!D224</f>
        <v>0</v>
      </c>
      <c r="W216" s="178">
        <f t="shared" si="52"/>
        <v>0</v>
      </c>
    </row>
    <row r="217" spans="20:23" x14ac:dyDescent="0.25">
      <c r="T217" s="163">
        <f>DayPatternCoefficients!A225</f>
        <v>813</v>
      </c>
      <c r="U217" s="163" t="str">
        <f>DayPatternCoefficients!B225</f>
        <v>T-ONLYAD</v>
      </c>
      <c r="V217" s="157">
        <f>DayPatternCoefficients!D225</f>
        <v>0.2</v>
      </c>
      <c r="W217" s="178">
        <f t="shared" si="52"/>
        <v>0.2</v>
      </c>
    </row>
    <row r="218" spans="20:23" x14ac:dyDescent="0.25">
      <c r="T218" s="163">
        <f>DayPatternCoefficients!A226</f>
        <v>814</v>
      </c>
      <c r="U218" s="163" t="str">
        <f>DayPatternCoefficients!B226</f>
        <v>T-ONLYWK</v>
      </c>
      <c r="V218" s="157">
        <f>DayPatternCoefficients!D226</f>
        <v>0.2</v>
      </c>
      <c r="W218" s="178">
        <f t="shared" si="52"/>
        <v>0.2</v>
      </c>
    </row>
    <row r="219" spans="20:23" x14ac:dyDescent="0.25">
      <c r="T219" s="163">
        <f>DayPatternCoefficients!A227</f>
        <v>816</v>
      </c>
      <c r="U219" s="163" t="str">
        <f>DayPatternCoefficients!B227</f>
        <v>T-FEMNOC</v>
      </c>
      <c r="V219" s="157">
        <f>DayPatternCoefficients!D227</f>
        <v>-0.133527374536</v>
      </c>
      <c r="W219" s="178">
        <f t="shared" si="52"/>
        <v>-0.133527374536</v>
      </c>
    </row>
    <row r="220" spans="20:23" x14ac:dyDescent="0.25">
      <c r="T220" s="163">
        <f>DayPatternCoefficients!A228</f>
        <v>817</v>
      </c>
      <c r="U220" s="163" t="str">
        <f>DayPatternCoefficients!B228</f>
        <v>T-FADCU5</v>
      </c>
      <c r="V220" s="157">
        <f>DayPatternCoefficients!D228</f>
        <v>-0.19409057072399999</v>
      </c>
      <c r="W220" s="178">
        <f t="shared" si="52"/>
        <v>-0.19409057072399999</v>
      </c>
    </row>
    <row r="221" spans="20:23" x14ac:dyDescent="0.25">
      <c r="T221" s="163">
        <f>DayPatternCoefficients!A229</f>
        <v>818</v>
      </c>
      <c r="U221" s="163" t="str">
        <f>DayPatternCoefficients!B229</f>
        <v>T-FAD515</v>
      </c>
      <c r="V221" s="157">
        <f>DayPatternCoefficients!D229</f>
        <v>0.3240162721</v>
      </c>
      <c r="W221" s="178">
        <f t="shared" si="52"/>
        <v>0.3240162721</v>
      </c>
    </row>
    <row r="222" spans="20:23" x14ac:dyDescent="0.25">
      <c r="T222" s="163">
        <f>DayPatternCoefficients!A230</f>
        <v>819</v>
      </c>
      <c r="U222" s="163" t="str">
        <f>DayPatternCoefficients!B230</f>
        <v>T-MADCU5</v>
      </c>
      <c r="V222" s="157">
        <f>DayPatternCoefficients!D230</f>
        <v>-0.30256536065299999</v>
      </c>
      <c r="W222" s="178">
        <f t="shared" si="52"/>
        <v>-0.30256536065299999</v>
      </c>
    </row>
    <row r="223" spans="20:23" x14ac:dyDescent="0.25">
      <c r="T223" s="163">
        <f>DayPatternCoefficients!A231</f>
        <v>820</v>
      </c>
      <c r="U223" s="163" t="str">
        <f>DayPatternCoefficients!B231</f>
        <v>T-MAD515</v>
      </c>
      <c r="V223" s="157">
        <f>DayPatternCoefficients!D231</f>
        <v>0.46909146537899998</v>
      </c>
      <c r="W223" s="178">
        <f t="shared" si="52"/>
        <v>0.46909146537899998</v>
      </c>
    </row>
    <row r="224" spans="20:23" x14ac:dyDescent="0.25">
      <c r="T224" s="163">
        <f>DayPatternCoefficients!A232</f>
        <v>821</v>
      </c>
      <c r="U224" s="163" t="str">
        <f>DayPatternCoefficients!B232</f>
        <v>T-AG1825</v>
      </c>
      <c r="V224" s="157">
        <f>DayPatternCoefficients!D232</f>
        <v>9.8106343641299998E-2</v>
      </c>
      <c r="W224" s="178">
        <f t="shared" si="52"/>
        <v>9.8106343641299998E-2</v>
      </c>
    </row>
    <row r="225" spans="20:23" x14ac:dyDescent="0.25">
      <c r="T225" s="163">
        <f>DayPatternCoefficients!A233</f>
        <v>822</v>
      </c>
      <c r="U225" s="163" t="str">
        <f>DayPatternCoefficients!B233</f>
        <v>T-AG2635</v>
      </c>
      <c r="V225" s="157">
        <f>DayPatternCoefficients!D233</f>
        <v>0.2</v>
      </c>
      <c r="W225" s="178">
        <f t="shared" si="52"/>
        <v>0.2</v>
      </c>
    </row>
    <row r="226" spans="20:23" x14ac:dyDescent="0.25">
      <c r="T226" s="163">
        <f>DayPatternCoefficients!A234</f>
        <v>823</v>
      </c>
      <c r="U226" s="163" t="str">
        <f>DayPatternCoefficients!B234</f>
        <v>T-AG5165</v>
      </c>
      <c r="V226" s="157">
        <f>DayPatternCoefficients!D234</f>
        <v>0</v>
      </c>
      <c r="W226" s="178">
        <f t="shared" si="52"/>
        <v>0</v>
      </c>
    </row>
    <row r="227" spans="20:23" x14ac:dyDescent="0.25">
      <c r="T227" s="163">
        <f>DayPatternCoefficients!A235</f>
        <v>824</v>
      </c>
      <c r="U227" s="163" t="str">
        <f>DayPatternCoefficients!B235</f>
        <v>T-WAHOME</v>
      </c>
      <c r="V227" s="157">
        <f>DayPatternCoefficients!D235</f>
        <v>1.7061575260799999</v>
      </c>
      <c r="W227" s="178">
        <f t="shared" si="52"/>
        <v>1.7061575260799999</v>
      </c>
    </row>
    <row r="228" spans="20:23" x14ac:dyDescent="0.25">
      <c r="T228" s="163">
        <f>DayPatternCoefficients!A236</f>
        <v>825</v>
      </c>
      <c r="U228" s="163" t="str">
        <f>DayPatternCoefficients!B236</f>
        <v>T-MIXDEN</v>
      </c>
      <c r="V228" s="157">
        <f>DayPatternCoefficients!D236</f>
        <v>0</v>
      </c>
      <c r="W228" s="178">
        <f t="shared" si="52"/>
        <v>0</v>
      </c>
    </row>
    <row r="229" spans="20:23" x14ac:dyDescent="0.25">
      <c r="T229" s="163">
        <f>DayPatternCoefficients!A237</f>
        <v>826</v>
      </c>
      <c r="U229" s="163" t="str">
        <f>DayPatternCoefficients!B237</f>
        <v>T-INTDEN</v>
      </c>
      <c r="V229" s="157">
        <f>DayPatternCoefficients!D237</f>
        <v>7.7639467671599999E-4</v>
      </c>
      <c r="W229" s="178">
        <f t="shared" si="52"/>
        <v>7.7639467671599999E-4</v>
      </c>
    </row>
    <row r="230" spans="20:23" x14ac:dyDescent="0.25">
      <c r="T230" s="163">
        <f>DayPatternCoefficients!A238</f>
        <v>827</v>
      </c>
      <c r="U230" s="163" t="str">
        <f>DayPatternCoefficients!B238</f>
        <v>T-ACCLOG</v>
      </c>
      <c r="V230" s="157">
        <f>DayPatternCoefficients!D238</f>
        <v>6.0680986142000001E-2</v>
      </c>
      <c r="W230" s="178">
        <f t="shared" si="52"/>
        <v>6.0680986142000001E-2</v>
      </c>
    </row>
    <row r="231" spans="20:23" x14ac:dyDescent="0.25">
      <c r="T231" s="163">
        <f>DayPatternCoefficients!A239</f>
        <v>851</v>
      </c>
      <c r="U231" s="163" t="str">
        <f>DayPatternCoefficients!B239</f>
        <v>T-FTW</v>
      </c>
      <c r="V231" s="157">
        <f>DayPatternCoefficients!D239</f>
        <v>0.1</v>
      </c>
      <c r="W231" s="178">
        <f t="shared" si="52"/>
        <v>0.1</v>
      </c>
    </row>
    <row r="232" spans="20:23" x14ac:dyDescent="0.25">
      <c r="T232" s="163">
        <f>DayPatternCoefficients!A240</f>
        <v>902</v>
      </c>
      <c r="U232" s="163" t="str">
        <f>DayPatternCoefficients!B240</f>
        <v>I-PTW</v>
      </c>
      <c r="V232" s="157">
        <f>DayPatternCoefficients!D240</f>
        <v>0</v>
      </c>
      <c r="W232" s="178">
        <f t="shared" si="52"/>
        <v>0</v>
      </c>
    </row>
    <row r="233" spans="20:23" x14ac:dyDescent="0.25">
      <c r="T233" s="163">
        <f>DayPatternCoefficients!A241</f>
        <v>903</v>
      </c>
      <c r="U233" s="163" t="str">
        <f>DayPatternCoefficients!B241</f>
        <v>I-RET</v>
      </c>
      <c r="V233" s="157">
        <f>DayPatternCoefficients!D241</f>
        <v>0</v>
      </c>
      <c r="W233" s="178">
        <f t="shared" si="52"/>
        <v>0</v>
      </c>
    </row>
    <row r="234" spans="20:23" x14ac:dyDescent="0.25">
      <c r="T234" s="163">
        <f>DayPatternCoefficients!A242</f>
        <v>904</v>
      </c>
      <c r="U234" s="163" t="str">
        <f>DayPatternCoefficients!B242</f>
        <v>I-NWA</v>
      </c>
      <c r="V234" s="157">
        <f>DayPatternCoefficients!D242</f>
        <v>0</v>
      </c>
      <c r="W234" s="178">
        <f t="shared" si="52"/>
        <v>0</v>
      </c>
    </row>
    <row r="235" spans="20:23" x14ac:dyDescent="0.25">
      <c r="T235" s="163">
        <f>DayPatternCoefficients!A243</f>
        <v>905</v>
      </c>
      <c r="U235" s="163" t="str">
        <f>DayPatternCoefficients!B243</f>
        <v>I-UNI</v>
      </c>
      <c r="V235" s="157">
        <f>DayPatternCoefficients!D243</f>
        <v>0.1</v>
      </c>
      <c r="W235" s="178">
        <f t="shared" si="52"/>
        <v>0.1</v>
      </c>
    </row>
    <row r="236" spans="20:23" x14ac:dyDescent="0.25">
      <c r="T236" s="163">
        <f>DayPatternCoefficients!A244</f>
        <v>906</v>
      </c>
      <c r="U236" s="163" t="str">
        <f>DayPatternCoefficients!B244</f>
        <v>I-DAS</v>
      </c>
      <c r="V236" s="157">
        <f>DayPatternCoefficients!D244</f>
        <v>-0.74970232918900004</v>
      </c>
      <c r="W236" s="178">
        <f t="shared" si="52"/>
        <v>-0.74970232918900004</v>
      </c>
    </row>
    <row r="237" spans="20:23" x14ac:dyDescent="0.25">
      <c r="T237" s="163">
        <f>DayPatternCoefficients!A245</f>
        <v>907</v>
      </c>
      <c r="U237" s="163" t="str">
        <f>DayPatternCoefficients!B245</f>
        <v>I-PAS</v>
      </c>
      <c r="V237" s="157">
        <f>DayPatternCoefficients!D245</f>
        <v>-0.45273598904899998</v>
      </c>
      <c r="W237" s="178">
        <f t="shared" si="52"/>
        <v>-0.45273598904899998</v>
      </c>
    </row>
    <row r="238" spans="20:23" x14ac:dyDescent="0.25">
      <c r="T238" s="163">
        <f>DayPatternCoefficients!A246</f>
        <v>908</v>
      </c>
      <c r="U238" s="163" t="str">
        <f>DayPatternCoefficients!B246</f>
        <v>I-CU5</v>
      </c>
      <c r="V238" s="157">
        <f>DayPatternCoefficients!D246</f>
        <v>0</v>
      </c>
      <c r="W238" s="178">
        <f t="shared" si="52"/>
        <v>0</v>
      </c>
    </row>
    <row r="239" spans="20:23" x14ac:dyDescent="0.25">
      <c r="T239" s="163">
        <f>DayPatternCoefficients!A247</f>
        <v>909</v>
      </c>
      <c r="U239" s="163" t="str">
        <f>DayPatternCoefficients!B247</f>
        <v>I-VLINC</v>
      </c>
      <c r="V239" s="157">
        <f>DayPatternCoefficients!D247</f>
        <v>0</v>
      </c>
      <c r="W239" s="178">
        <f t="shared" si="52"/>
        <v>0</v>
      </c>
    </row>
    <row r="240" spans="20:23" x14ac:dyDescent="0.25">
      <c r="T240" s="163">
        <f>DayPatternCoefficients!A248</f>
        <v>910</v>
      </c>
      <c r="U240" s="163" t="str">
        <f>DayPatternCoefficients!B248</f>
        <v>I-LOINC</v>
      </c>
      <c r="V240" s="157">
        <f>DayPatternCoefficients!D248</f>
        <v>0</v>
      </c>
      <c r="W240" s="178">
        <f t="shared" si="52"/>
        <v>0</v>
      </c>
    </row>
    <row r="241" spans="20:23" x14ac:dyDescent="0.25">
      <c r="T241" s="163">
        <f>DayPatternCoefficients!A249</f>
        <v>911</v>
      </c>
      <c r="U241" s="163" t="str">
        <f>DayPatternCoefficients!B249</f>
        <v>I-HIINC</v>
      </c>
      <c r="V241" s="157">
        <f>DayPatternCoefficients!D249</f>
        <v>0.1</v>
      </c>
      <c r="W241" s="178">
        <f t="shared" si="52"/>
        <v>0.1</v>
      </c>
    </row>
    <row r="242" spans="20:23" x14ac:dyDescent="0.25">
      <c r="T242" s="163">
        <f>DayPatternCoefficients!A250</f>
        <v>912</v>
      </c>
      <c r="U242" s="163" t="str">
        <f>DayPatternCoefficients!B250</f>
        <v>I-CARSPD</v>
      </c>
      <c r="V242" s="157">
        <f>DayPatternCoefficients!D250</f>
        <v>0</v>
      </c>
      <c r="W242" s="178">
        <f t="shared" si="52"/>
        <v>0</v>
      </c>
    </row>
    <row r="243" spans="20:23" x14ac:dyDescent="0.25">
      <c r="T243" s="163">
        <f>DayPatternCoefficients!A251</f>
        <v>913</v>
      </c>
      <c r="U243" s="163" t="str">
        <f>DayPatternCoefficients!B251</f>
        <v>I-ONLYAD</v>
      </c>
      <c r="V243" s="157">
        <f>DayPatternCoefficients!D251</f>
        <v>0</v>
      </c>
      <c r="W243" s="178">
        <f t="shared" si="52"/>
        <v>0</v>
      </c>
    </row>
    <row r="244" spans="20:23" x14ac:dyDescent="0.25">
      <c r="T244" s="163">
        <f>DayPatternCoefficients!A252</f>
        <v>914</v>
      </c>
      <c r="U244" s="163" t="str">
        <f>DayPatternCoefficients!B252</f>
        <v>I-ONLYWK</v>
      </c>
      <c r="V244" s="157">
        <f>DayPatternCoefficients!D252</f>
        <v>0</v>
      </c>
      <c r="W244" s="178">
        <f t="shared" si="52"/>
        <v>0</v>
      </c>
    </row>
    <row r="245" spans="20:23" x14ac:dyDescent="0.25">
      <c r="T245" s="163">
        <f>DayPatternCoefficients!A253</f>
        <v>916</v>
      </c>
      <c r="U245" s="163" t="str">
        <f>DayPatternCoefficients!B253</f>
        <v>I-FEMNOC</v>
      </c>
      <c r="V245" s="157">
        <f>DayPatternCoefficients!D253</f>
        <v>0</v>
      </c>
      <c r="W245" s="178">
        <f t="shared" si="52"/>
        <v>0</v>
      </c>
    </row>
    <row r="246" spans="20:23" x14ac:dyDescent="0.25">
      <c r="T246" s="163">
        <f>DayPatternCoefficients!A254</f>
        <v>917</v>
      </c>
      <c r="U246" s="163" t="str">
        <f>DayPatternCoefficients!B254</f>
        <v>I-FADCU5</v>
      </c>
      <c r="V246" s="157">
        <f>DayPatternCoefficients!D254</f>
        <v>0.1</v>
      </c>
      <c r="W246" s="178">
        <f t="shared" si="52"/>
        <v>0.1</v>
      </c>
    </row>
    <row r="247" spans="20:23" x14ac:dyDescent="0.25">
      <c r="T247" s="163">
        <f>DayPatternCoefficients!A255</f>
        <v>918</v>
      </c>
      <c r="U247" s="163" t="str">
        <f>DayPatternCoefficients!B255</f>
        <v>I-FAD515</v>
      </c>
      <c r="V247" s="157">
        <f>DayPatternCoefficients!D255</f>
        <v>0.1</v>
      </c>
      <c r="W247" s="178">
        <f t="shared" si="52"/>
        <v>0.1</v>
      </c>
    </row>
    <row r="248" spans="20:23" x14ac:dyDescent="0.25">
      <c r="T248" s="163">
        <f>DayPatternCoefficients!A256</f>
        <v>919</v>
      </c>
      <c r="U248" s="163" t="str">
        <f>DayPatternCoefficients!B256</f>
        <v>I-MADCU5</v>
      </c>
      <c r="V248" s="157">
        <f>DayPatternCoefficients!D256</f>
        <v>0.1</v>
      </c>
      <c r="W248" s="178">
        <f t="shared" si="52"/>
        <v>0.1</v>
      </c>
    </row>
    <row r="249" spans="20:23" x14ac:dyDescent="0.25">
      <c r="T249" s="163">
        <f>DayPatternCoefficients!A257</f>
        <v>920</v>
      </c>
      <c r="U249" s="163" t="str">
        <f>DayPatternCoefficients!B257</f>
        <v>I-MAD515</v>
      </c>
      <c r="V249" s="157">
        <f>DayPatternCoefficients!D257</f>
        <v>0.1</v>
      </c>
      <c r="W249" s="178">
        <f t="shared" si="52"/>
        <v>0.1</v>
      </c>
    </row>
    <row r="250" spans="20:23" x14ac:dyDescent="0.25">
      <c r="T250" s="163">
        <f>DayPatternCoefficients!A258</f>
        <v>921</v>
      </c>
      <c r="U250" s="163" t="str">
        <f>DayPatternCoefficients!B258</f>
        <v>I-AG1825</v>
      </c>
      <c r="V250" s="157">
        <f>DayPatternCoefficients!D258</f>
        <v>0</v>
      </c>
      <c r="W250" s="178">
        <f t="shared" si="52"/>
        <v>0</v>
      </c>
    </row>
    <row r="251" spans="20:23" x14ac:dyDescent="0.25">
      <c r="T251" s="163">
        <f>DayPatternCoefficients!A259</f>
        <v>922</v>
      </c>
      <c r="U251" s="163" t="str">
        <f>DayPatternCoefficients!B259</f>
        <v>I-AG2635</v>
      </c>
      <c r="V251" s="157">
        <f>DayPatternCoefficients!D259</f>
        <v>0</v>
      </c>
      <c r="W251" s="178">
        <f t="shared" si="52"/>
        <v>0</v>
      </c>
    </row>
    <row r="252" spans="20:23" x14ac:dyDescent="0.25">
      <c r="T252" s="163">
        <f>DayPatternCoefficients!A260</f>
        <v>923</v>
      </c>
      <c r="U252" s="163" t="str">
        <f>DayPatternCoefficients!B260</f>
        <v>I-AG5165</v>
      </c>
      <c r="V252" s="157">
        <f>DayPatternCoefficients!D260</f>
        <v>0</v>
      </c>
      <c r="W252" s="178">
        <f t="shared" si="52"/>
        <v>0</v>
      </c>
    </row>
    <row r="253" spans="20:23" x14ac:dyDescent="0.25">
      <c r="T253" s="163">
        <f>DayPatternCoefficients!A261</f>
        <v>924</v>
      </c>
      <c r="U253" s="163" t="str">
        <f>DayPatternCoefficients!B261</f>
        <v>I-WAHOME</v>
      </c>
      <c r="V253" s="157">
        <f>DayPatternCoefficients!D261</f>
        <v>1.0089226032800001</v>
      </c>
      <c r="W253" s="178">
        <f t="shared" si="52"/>
        <v>1.0089226032800001</v>
      </c>
    </row>
    <row r="254" spans="20:23" x14ac:dyDescent="0.25">
      <c r="T254" s="163">
        <f>DayPatternCoefficients!A262</f>
        <v>925</v>
      </c>
      <c r="U254" s="163" t="str">
        <f>DayPatternCoefficients!B262</f>
        <v>I-MIXDEN</v>
      </c>
      <c r="V254" s="157">
        <f>DayPatternCoefficients!D262</f>
        <v>0</v>
      </c>
      <c r="W254" s="178">
        <f t="shared" si="52"/>
        <v>0</v>
      </c>
    </row>
    <row r="255" spans="20:23" x14ac:dyDescent="0.25">
      <c r="T255" s="163">
        <f>DayPatternCoefficients!A263</f>
        <v>926</v>
      </c>
      <c r="U255" s="163" t="str">
        <f>DayPatternCoefficients!B263</f>
        <v>I-INTDEN</v>
      </c>
      <c r="V255" s="157">
        <f>DayPatternCoefficients!D263</f>
        <v>0</v>
      </c>
      <c r="W255" s="178">
        <f t="shared" si="52"/>
        <v>0</v>
      </c>
    </row>
    <row r="256" spans="20:23" x14ac:dyDescent="0.25">
      <c r="T256" s="163">
        <f>DayPatternCoefficients!A264</f>
        <v>927</v>
      </c>
      <c r="U256" s="163" t="str">
        <f>DayPatternCoefficients!B264</f>
        <v>I-ACCLOG</v>
      </c>
      <c r="V256" s="157">
        <f>DayPatternCoefficients!D264</f>
        <v>0</v>
      </c>
      <c r="W256" s="178">
        <f t="shared" si="52"/>
        <v>0</v>
      </c>
    </row>
    <row r="257" spans="20:23" x14ac:dyDescent="0.25">
      <c r="T257" s="163">
        <f>DayPatternCoefficients!A265</f>
        <v>951</v>
      </c>
      <c r="U257" s="163" t="str">
        <f>DayPatternCoefficients!B265</f>
        <v>I-FTW</v>
      </c>
      <c r="V257" s="157">
        <f>DayPatternCoefficients!D265</f>
        <v>0</v>
      </c>
      <c r="W257" s="178">
        <f t="shared" si="52"/>
        <v>0</v>
      </c>
    </row>
    <row r="258" spans="20:23" x14ac:dyDescent="0.25">
      <c r="T258" s="163">
        <f>DayPatternCoefficients!A266</f>
        <v>1010</v>
      </c>
      <c r="U258" s="163" t="str">
        <f>DayPatternCoefficients!B266</f>
        <v>TW/S-LS</v>
      </c>
      <c r="V258" s="157">
        <f>DayPatternCoefficients!D266</f>
        <v>0.46702494856799998</v>
      </c>
      <c r="W258" s="178">
        <f t="shared" si="52"/>
        <v>0.46702494856799998</v>
      </c>
    </row>
    <row r="259" spans="20:23" x14ac:dyDescent="0.25">
      <c r="T259" s="163">
        <f>DayPatternCoefficients!A267</f>
        <v>1011</v>
      </c>
      <c r="U259" s="163" t="str">
        <f>DayPatternCoefficients!B267</f>
        <v>T/S-W/W</v>
      </c>
      <c r="V259" s="157">
        <f>DayPatternCoefficients!D267</f>
        <v>0.35627106766599997</v>
      </c>
      <c r="W259" s="178">
        <f t="shared" si="52"/>
        <v>0.35627106766599997</v>
      </c>
    </row>
    <row r="260" spans="20:23" x14ac:dyDescent="0.25">
      <c r="T260" s="163">
        <f>DayPatternCoefficients!A268</f>
        <v>1012</v>
      </c>
      <c r="U260" s="163" t="str">
        <f>DayPatternCoefficients!B268</f>
        <v>T/S-W/S</v>
      </c>
      <c r="V260" s="157">
        <f>DayPatternCoefficients!D268</f>
        <v>0</v>
      </c>
      <c r="W260" s="178">
        <f t="shared" ref="W260:W323" si="53">_xlfn.IFNA(VLOOKUP(T260,$K$63:$M$105,3,FALSE),_xlfn.IFNA(VLOOKUP(T260,$G$5:$K$11,5,FALSE),_xlfn.IFNA(VLOOKUP(T260,$G$19:$K$25,5,FALSE),V260)))</f>
        <v>0</v>
      </c>
    </row>
    <row r="261" spans="20:23" x14ac:dyDescent="0.25">
      <c r="T261" s="163">
        <f>DayPatternCoefficients!A269</f>
        <v>1013</v>
      </c>
      <c r="U261" s="163" t="str">
        <f>DayPatternCoefficients!B269</f>
        <v>T/S-W/E</v>
      </c>
      <c r="V261" s="157">
        <f>DayPatternCoefficients!D269</f>
        <v>1.31138129947</v>
      </c>
      <c r="W261" s="178">
        <f t="shared" si="53"/>
        <v>1.31138129947</v>
      </c>
    </row>
    <row r="262" spans="20:23" x14ac:dyDescent="0.25">
      <c r="T262" s="163">
        <f>DayPatternCoefficients!A270</f>
        <v>1014</v>
      </c>
      <c r="U262" s="163" t="str">
        <f>DayPatternCoefficients!B270</f>
        <v>T/S-W/P</v>
      </c>
      <c r="V262" s="157">
        <f>DayPatternCoefficients!D270</f>
        <v>-0.22715085959799999</v>
      </c>
      <c r="W262" s="178">
        <f t="shared" si="53"/>
        <v>-0.22715085959799999</v>
      </c>
    </row>
    <row r="263" spans="20:23" x14ac:dyDescent="0.25">
      <c r="T263" s="163">
        <f>DayPatternCoefficients!A271</f>
        <v>1015</v>
      </c>
      <c r="U263" s="163" t="str">
        <f>DayPatternCoefficients!B271</f>
        <v>T/S-W/H</v>
      </c>
      <c r="V263" s="157">
        <f>DayPatternCoefficients!D271</f>
        <v>-0.38633537797900003</v>
      </c>
      <c r="W263" s="178">
        <f t="shared" si="53"/>
        <v>-0.38633537797900003</v>
      </c>
    </row>
    <row r="264" spans="20:23" x14ac:dyDescent="0.25">
      <c r="T264" s="163">
        <f>DayPatternCoefficients!A272</f>
        <v>1016</v>
      </c>
      <c r="U264" s="163" t="str">
        <f>DayPatternCoefficients!B272</f>
        <v>T/S-W/M</v>
      </c>
      <c r="V264" s="157">
        <f>DayPatternCoefficients!D272</f>
        <v>8.8964159717400002E-2</v>
      </c>
      <c r="W264" s="178">
        <f t="shared" si="53"/>
        <v>8.8964159717400002E-2</v>
      </c>
    </row>
    <row r="265" spans="20:23" x14ac:dyDescent="0.25">
      <c r="T265" s="163">
        <f>DayPatternCoefficients!A273</f>
        <v>1018</v>
      </c>
      <c r="U265" s="163" t="str">
        <f>DayPatternCoefficients!B273</f>
        <v>TW/S-HLS</v>
      </c>
      <c r="V265" s="157">
        <f>DayPatternCoefficients!D273</f>
        <v>-7.9538981434700007E-2</v>
      </c>
      <c r="W265" s="178">
        <f t="shared" si="53"/>
        <v>-7.9538981434700007E-2</v>
      </c>
    </row>
    <row r="266" spans="20:23" x14ac:dyDescent="0.25">
      <c r="T266" s="163">
        <f>DayPatternCoefficients!A274</f>
        <v>1019</v>
      </c>
      <c r="U266" s="163" t="str">
        <f>DayPatternCoefficients!B274</f>
        <v>TW/S-WLS</v>
      </c>
      <c r="V266" s="157">
        <f>DayPatternCoefficients!D274</f>
        <v>7.9494235797800003E-2</v>
      </c>
      <c r="W266" s="178">
        <f t="shared" si="53"/>
        <v>7.9494235797800003E-2</v>
      </c>
    </row>
    <row r="267" spans="20:23" x14ac:dyDescent="0.25">
      <c r="T267" s="163">
        <f>DayPatternCoefficients!A275</f>
        <v>1020</v>
      </c>
      <c r="U267" s="163" t="str">
        <f>DayPatternCoefficients!B275</f>
        <v>TS/S-LS</v>
      </c>
      <c r="V267" s="157">
        <f>DayPatternCoefficients!D275</f>
        <v>0</v>
      </c>
      <c r="W267" s="178">
        <f t="shared" si="53"/>
        <v>0</v>
      </c>
    </row>
    <row r="268" spans="20:23" x14ac:dyDescent="0.25">
      <c r="T268" s="163">
        <f>DayPatternCoefficients!A276</f>
        <v>1021</v>
      </c>
      <c r="U268" s="163" t="str">
        <f>DayPatternCoefficients!B276</f>
        <v>T/S-S/W</v>
      </c>
      <c r="V268" s="157">
        <f>DayPatternCoefficients!D276</f>
        <v>0</v>
      </c>
      <c r="W268" s="178">
        <f t="shared" si="53"/>
        <v>0</v>
      </c>
    </row>
    <row r="269" spans="20:23" x14ac:dyDescent="0.25">
      <c r="T269" s="163">
        <f>DayPatternCoefficients!A277</f>
        <v>1022</v>
      </c>
      <c r="U269" s="163" t="str">
        <f>DayPatternCoefficients!B277</f>
        <v>T/S-S/S</v>
      </c>
      <c r="V269" s="157">
        <f>DayPatternCoefficients!D277</f>
        <v>3.1456067642599998E-2</v>
      </c>
      <c r="W269" s="178">
        <f t="shared" si="53"/>
        <v>3.1456067642599998E-2</v>
      </c>
    </row>
    <row r="270" spans="20:23" x14ac:dyDescent="0.25">
      <c r="T270" s="163">
        <f>DayPatternCoefficients!A278</f>
        <v>1023</v>
      </c>
      <c r="U270" s="163" t="str">
        <f>DayPatternCoefficients!B278</f>
        <v>T/S-S/E</v>
      </c>
      <c r="V270" s="157">
        <f>DayPatternCoefficients!D278</f>
        <v>1.4072425159899999</v>
      </c>
      <c r="W270" s="178">
        <f t="shared" si="53"/>
        <v>1.4072425159899999</v>
      </c>
    </row>
    <row r="271" spans="20:23" x14ac:dyDescent="0.25">
      <c r="T271" s="163">
        <f>DayPatternCoefficients!A279</f>
        <v>1024</v>
      </c>
      <c r="U271" s="163" t="str">
        <f>DayPatternCoefficients!B279</f>
        <v>T/S-S/P</v>
      </c>
      <c r="V271" s="157">
        <f>DayPatternCoefficients!D279</f>
        <v>-0.26026898348499999</v>
      </c>
      <c r="W271" s="178">
        <f t="shared" si="53"/>
        <v>-0.26026898348499999</v>
      </c>
    </row>
    <row r="272" spans="20:23" x14ac:dyDescent="0.25">
      <c r="T272" s="163">
        <f>DayPatternCoefficients!A280</f>
        <v>1025</v>
      </c>
      <c r="U272" s="163" t="str">
        <f>DayPatternCoefficients!B280</f>
        <v>T/S-S/H</v>
      </c>
      <c r="V272" s="157">
        <f>DayPatternCoefficients!D280</f>
        <v>-0.32971865148700003</v>
      </c>
      <c r="W272" s="178">
        <f t="shared" si="53"/>
        <v>-0.32971865148700003</v>
      </c>
    </row>
    <row r="273" spans="20:23" x14ac:dyDescent="0.25">
      <c r="T273" s="163">
        <f>DayPatternCoefficients!A281</f>
        <v>1026</v>
      </c>
      <c r="U273" s="163" t="str">
        <f>DayPatternCoefficients!B281</f>
        <v>T/S-S/M</v>
      </c>
      <c r="V273" s="157">
        <f>DayPatternCoefficients!D281</f>
        <v>6.50875202667E-3</v>
      </c>
      <c r="W273" s="178">
        <f t="shared" si="53"/>
        <v>6.50875202667E-3</v>
      </c>
    </row>
    <row r="274" spans="20:23" x14ac:dyDescent="0.25">
      <c r="T274" s="163">
        <f>DayPatternCoefficients!A282</f>
        <v>1028</v>
      </c>
      <c r="U274" s="163" t="str">
        <f>DayPatternCoefficients!B282</f>
        <v>TS/S-HLS</v>
      </c>
      <c r="V274" s="157">
        <f>DayPatternCoefficients!D282</f>
        <v>1.13927128862E-2</v>
      </c>
      <c r="W274" s="178">
        <f t="shared" si="53"/>
        <v>1.13927128862E-2</v>
      </c>
    </row>
    <row r="275" spans="20:23" x14ac:dyDescent="0.25">
      <c r="T275" s="163">
        <f>DayPatternCoefficients!A283</f>
        <v>1029</v>
      </c>
      <c r="U275" s="163" t="str">
        <f>DayPatternCoefficients!B283</f>
        <v>TS/S-SLS</v>
      </c>
      <c r="V275" s="157">
        <f>DayPatternCoefficients!D283</f>
        <v>0</v>
      </c>
      <c r="W275" s="178">
        <f t="shared" si="53"/>
        <v>0</v>
      </c>
    </row>
    <row r="276" spans="20:23" x14ac:dyDescent="0.25">
      <c r="T276" s="163">
        <f>DayPatternCoefficients!A284</f>
        <v>1033</v>
      </c>
      <c r="U276" s="163" t="str">
        <f>DayPatternCoefficients!B284</f>
        <v>T/S-E/E</v>
      </c>
      <c r="V276" s="157">
        <f>DayPatternCoefficients!D284</f>
        <v>2.4989891222699998</v>
      </c>
      <c r="W276" s="178">
        <f t="shared" si="53"/>
        <v>2.4989891222699998</v>
      </c>
    </row>
    <row r="277" spans="20:23" x14ac:dyDescent="0.25">
      <c r="T277" s="163">
        <f>DayPatternCoefficients!A285</f>
        <v>1034</v>
      </c>
      <c r="U277" s="163" t="str">
        <f>DayPatternCoefficients!B285</f>
        <v>T/S-E/P</v>
      </c>
      <c r="V277" s="157">
        <f>DayPatternCoefficients!D285</f>
        <v>0.42155755741200002</v>
      </c>
      <c r="W277" s="178">
        <f t="shared" si="53"/>
        <v>0.42155755741200002</v>
      </c>
    </row>
    <row r="278" spans="20:23" x14ac:dyDescent="0.25">
      <c r="T278" s="163">
        <f>DayPatternCoefficients!A286</f>
        <v>1035</v>
      </c>
      <c r="U278" s="163" t="str">
        <f>DayPatternCoefficients!B286</f>
        <v>T/S-E/H</v>
      </c>
      <c r="V278" s="157">
        <f>DayPatternCoefficients!D286</f>
        <v>0.188249465196</v>
      </c>
      <c r="W278" s="178">
        <f t="shared" si="53"/>
        <v>0.188249465196</v>
      </c>
    </row>
    <row r="279" spans="20:23" x14ac:dyDescent="0.25">
      <c r="T279" s="163">
        <f>DayPatternCoefficients!A287</f>
        <v>1036</v>
      </c>
      <c r="U279" s="163" t="str">
        <f>DayPatternCoefficients!B287</f>
        <v>T/S-E/M</v>
      </c>
      <c r="V279" s="157">
        <f>DayPatternCoefficients!D287</f>
        <v>0.23932223079699999</v>
      </c>
      <c r="W279" s="178">
        <f t="shared" si="53"/>
        <v>0.23932223079699999</v>
      </c>
    </row>
    <row r="280" spans="20:23" x14ac:dyDescent="0.25">
      <c r="T280" s="163">
        <f>DayPatternCoefficients!A288</f>
        <v>1043</v>
      </c>
      <c r="U280" s="163" t="str">
        <f>DayPatternCoefficients!B288</f>
        <v>T/S-P/E</v>
      </c>
      <c r="V280" s="157">
        <f>DayPatternCoefficients!D288</f>
        <v>-0.31733811965499997</v>
      </c>
      <c r="W280" s="178">
        <f t="shared" si="53"/>
        <v>-0.31733811965499997</v>
      </c>
    </row>
    <row r="281" spans="20:23" x14ac:dyDescent="0.25">
      <c r="T281" s="163">
        <f>DayPatternCoefficients!A289</f>
        <v>1044</v>
      </c>
      <c r="U281" s="163" t="str">
        <f>DayPatternCoefficients!B289</f>
        <v>T/S-P/P</v>
      </c>
      <c r="V281" s="157">
        <f>DayPatternCoefficients!D289</f>
        <v>0.852308722982</v>
      </c>
      <c r="W281" s="178">
        <f t="shared" si="53"/>
        <v>0.852308722982</v>
      </c>
    </row>
    <row r="282" spans="20:23" x14ac:dyDescent="0.25">
      <c r="T282" s="163">
        <f>DayPatternCoefficients!A290</f>
        <v>1045</v>
      </c>
      <c r="U282" s="163" t="str">
        <f>DayPatternCoefficients!B290</f>
        <v>T/S-P/H</v>
      </c>
      <c r="V282" s="157">
        <f>DayPatternCoefficients!D290</f>
        <v>7.7300054790300004E-3</v>
      </c>
      <c r="W282" s="178">
        <f t="shared" si="53"/>
        <v>7.7300054790300004E-3</v>
      </c>
    </row>
    <row r="283" spans="20:23" x14ac:dyDescent="0.25">
      <c r="T283" s="163">
        <f>DayPatternCoefficients!A291</f>
        <v>1046</v>
      </c>
      <c r="U283" s="163" t="str">
        <f>DayPatternCoefficients!B291</f>
        <v>T/S-P/M</v>
      </c>
      <c r="V283" s="157">
        <f>DayPatternCoefficients!D291</f>
        <v>-0.17096234816700001</v>
      </c>
      <c r="W283" s="178">
        <f t="shared" si="53"/>
        <v>-0.17096234816700001</v>
      </c>
    </row>
    <row r="284" spans="20:23" x14ac:dyDescent="0.25">
      <c r="T284" s="163">
        <f>DayPatternCoefficients!A292</f>
        <v>1053</v>
      </c>
      <c r="U284" s="163" t="str">
        <f>DayPatternCoefficients!B292</f>
        <v>T/S-H/E</v>
      </c>
      <c r="V284" s="157">
        <f>DayPatternCoefficients!D292</f>
        <v>-0.32416023566300001</v>
      </c>
      <c r="W284" s="178">
        <f t="shared" si="53"/>
        <v>-0.32416023566300001</v>
      </c>
    </row>
    <row r="285" spans="20:23" x14ac:dyDescent="0.25">
      <c r="T285" s="163">
        <f>DayPatternCoefficients!A293</f>
        <v>1054</v>
      </c>
      <c r="U285" s="163" t="str">
        <f>DayPatternCoefficients!B293</f>
        <v>T/S-H/P</v>
      </c>
      <c r="V285" s="157">
        <f>DayPatternCoefficients!D293</f>
        <v>0.19022174198299999</v>
      </c>
      <c r="W285" s="178">
        <f t="shared" si="53"/>
        <v>0.19022174198299999</v>
      </c>
    </row>
    <row r="286" spans="20:23" x14ac:dyDescent="0.25">
      <c r="T286" s="163">
        <f>DayPatternCoefficients!A294</f>
        <v>1055</v>
      </c>
      <c r="U286" s="163" t="str">
        <f>DayPatternCoefficients!B294</f>
        <v>T/S-H/H</v>
      </c>
      <c r="V286" s="157">
        <f>DayPatternCoefficients!D294</f>
        <v>0.34703104835999998</v>
      </c>
      <c r="W286" s="178">
        <f t="shared" si="53"/>
        <v>0.34703104835999998</v>
      </c>
    </row>
    <row r="287" spans="20:23" x14ac:dyDescent="0.25">
      <c r="T287" s="163">
        <f>DayPatternCoefficients!A295</f>
        <v>1056</v>
      </c>
      <c r="U287" s="163" t="str">
        <f>DayPatternCoefficients!B295</f>
        <v>T/S-H/M</v>
      </c>
      <c r="V287" s="157">
        <f>DayPatternCoefficients!D295</f>
        <v>-9.1791021150699995E-2</v>
      </c>
      <c r="W287" s="178">
        <f t="shared" si="53"/>
        <v>-9.1791021150699995E-2</v>
      </c>
    </row>
    <row r="288" spans="20:23" x14ac:dyDescent="0.25">
      <c r="T288" s="163">
        <f>DayPatternCoefficients!A296</f>
        <v>1063</v>
      </c>
      <c r="U288" s="163" t="str">
        <f>DayPatternCoefficients!B296</f>
        <v>T/S-M/E</v>
      </c>
      <c r="V288" s="157">
        <f>DayPatternCoefficients!D296</f>
        <v>-4.4033147256099997E-2</v>
      </c>
      <c r="W288" s="178">
        <f t="shared" si="53"/>
        <v>-4.4033147256099997E-2</v>
      </c>
    </row>
    <row r="289" spans="20:23" x14ac:dyDescent="0.25">
      <c r="T289" s="163">
        <f>DayPatternCoefficients!A297</f>
        <v>1064</v>
      </c>
      <c r="U289" s="163" t="str">
        <f>DayPatternCoefficients!B297</f>
        <v>T/S-M/P</v>
      </c>
      <c r="V289" s="157">
        <f>DayPatternCoefficients!D297</f>
        <v>0.13328175857800001</v>
      </c>
      <c r="W289" s="178">
        <f t="shared" si="53"/>
        <v>0.13328175857800001</v>
      </c>
    </row>
    <row r="290" spans="20:23" x14ac:dyDescent="0.25">
      <c r="T290" s="163">
        <f>DayPatternCoefficients!A298</f>
        <v>1065</v>
      </c>
      <c r="U290" s="163" t="str">
        <f>DayPatternCoefficients!B298</f>
        <v>T/S-M/H</v>
      </c>
      <c r="V290" s="157">
        <f>DayPatternCoefficients!D298</f>
        <v>-9.9638367623800003E-2</v>
      </c>
      <c r="W290" s="178">
        <f t="shared" si="53"/>
        <v>-9.9638367623800003E-2</v>
      </c>
    </row>
    <row r="291" spans="20:23" x14ac:dyDescent="0.25">
      <c r="T291" s="163">
        <f>DayPatternCoefficients!A299</f>
        <v>1066</v>
      </c>
      <c r="U291" s="163" t="str">
        <f>DayPatternCoefficients!B299</f>
        <v>T/S-M/M</v>
      </c>
      <c r="V291" s="157">
        <f>DayPatternCoefficients!D299</f>
        <v>0.45879604656799999</v>
      </c>
      <c r="W291" s="178">
        <f t="shared" si="53"/>
        <v>0.45879604656799999</v>
      </c>
    </row>
    <row r="292" spans="20:23" x14ac:dyDescent="0.25">
      <c r="T292" s="163">
        <f>DayPatternCoefficients!A300</f>
        <v>1073</v>
      </c>
      <c r="U292" s="163" t="str">
        <f>DayPatternCoefficients!B300</f>
        <v>T/S-D/E</v>
      </c>
      <c r="V292" s="157">
        <f>DayPatternCoefficients!D300</f>
        <v>-0.18955960247199999</v>
      </c>
      <c r="W292" s="178">
        <f t="shared" si="53"/>
        <v>-0.18955960247199999</v>
      </c>
    </row>
    <row r="293" spans="20:23" x14ac:dyDescent="0.25">
      <c r="T293" s="163">
        <f>DayPatternCoefficients!A301</f>
        <v>1074</v>
      </c>
      <c r="U293" s="163" t="str">
        <f>DayPatternCoefficients!B301</f>
        <v>T/S-D/P</v>
      </c>
      <c r="V293" s="157">
        <f>DayPatternCoefficients!D301</f>
        <v>-9.7610811434499997E-3</v>
      </c>
      <c r="W293" s="178">
        <f t="shared" si="53"/>
        <v>-9.7610811434499997E-3</v>
      </c>
    </row>
    <row r="294" spans="20:23" x14ac:dyDescent="0.25">
      <c r="T294" s="163">
        <f>DayPatternCoefficients!A302</f>
        <v>1075</v>
      </c>
      <c r="U294" s="163" t="str">
        <f>DayPatternCoefficients!B302</f>
        <v>T/S-D/H</v>
      </c>
      <c r="V294" s="157">
        <f>DayPatternCoefficients!D302</f>
        <v>7.1526049743299999E-2</v>
      </c>
      <c r="W294" s="178">
        <f t="shared" si="53"/>
        <v>7.1526049743299999E-2</v>
      </c>
    </row>
    <row r="295" spans="20:23" x14ac:dyDescent="0.25">
      <c r="T295" s="163">
        <f>DayPatternCoefficients!A303</f>
        <v>1076</v>
      </c>
      <c r="U295" s="163" t="str">
        <f>DayPatternCoefficients!B303</f>
        <v>T/S-D/M</v>
      </c>
      <c r="V295" s="157">
        <f>DayPatternCoefficients!D303</f>
        <v>0.13756738340899999</v>
      </c>
      <c r="W295" s="178">
        <f t="shared" si="53"/>
        <v>0.13756738340899999</v>
      </c>
    </row>
    <row r="296" spans="20:23" x14ac:dyDescent="0.25">
      <c r="T296" s="163">
        <f>DayPatternCoefficients!A304</f>
        <v>1112</v>
      </c>
      <c r="U296" s="163" t="str">
        <f>DayPatternCoefficients!B304</f>
        <v>T/T-W/S</v>
      </c>
      <c r="V296" s="157">
        <f>DayPatternCoefficients!D304</f>
        <v>-2.5994126514599998</v>
      </c>
      <c r="W296" s="178">
        <f t="shared" si="53"/>
        <v>-2.5994126514599998</v>
      </c>
    </row>
    <row r="297" spans="20:23" x14ac:dyDescent="0.25">
      <c r="T297" s="163">
        <f>DayPatternCoefficients!A305</f>
        <v>1113</v>
      </c>
      <c r="U297" s="163" t="str">
        <f>DayPatternCoefficients!B305</f>
        <v>T/T-W/E</v>
      </c>
      <c r="V297" s="157">
        <f>DayPatternCoefficients!D305</f>
        <v>-1.71754382306</v>
      </c>
      <c r="W297" s="178">
        <f t="shared" si="53"/>
        <v>-1.71754382306</v>
      </c>
    </row>
    <row r="298" spans="20:23" x14ac:dyDescent="0.25">
      <c r="T298" s="163">
        <f>DayPatternCoefficients!A306</f>
        <v>1114</v>
      </c>
      <c r="U298" s="163" t="str">
        <f>DayPatternCoefficients!B306</f>
        <v>T/T-W/P</v>
      </c>
      <c r="V298" s="157">
        <f>DayPatternCoefficients!D306</f>
        <v>-1.26550258109</v>
      </c>
      <c r="W298" s="178">
        <f t="shared" si="53"/>
        <v>-1.26550258109</v>
      </c>
    </row>
    <row r="299" spans="20:23" x14ac:dyDescent="0.25">
      <c r="T299" s="163">
        <f>DayPatternCoefficients!A307</f>
        <v>1115</v>
      </c>
      <c r="U299" s="163" t="str">
        <f>DayPatternCoefficients!B307</f>
        <v>T/T-W/H</v>
      </c>
      <c r="V299" s="157">
        <f>DayPatternCoefficients!D307</f>
        <v>-1.2119912740300001</v>
      </c>
      <c r="W299" s="178">
        <f t="shared" si="53"/>
        <v>-1.2119912740300001</v>
      </c>
    </row>
    <row r="300" spans="20:23" x14ac:dyDescent="0.25">
      <c r="T300" s="163">
        <f>DayPatternCoefficients!A308</f>
        <v>1116</v>
      </c>
      <c r="U300" s="163" t="str">
        <f>DayPatternCoefficients!B308</f>
        <v>T/T-W/M</v>
      </c>
      <c r="V300" s="157">
        <f>DayPatternCoefficients!D308</f>
        <v>-0.79329386713299999</v>
      </c>
      <c r="W300" s="178">
        <f t="shared" si="53"/>
        <v>-0.79329386713299999</v>
      </c>
    </row>
    <row r="301" spans="20:23" x14ac:dyDescent="0.25">
      <c r="T301" s="163">
        <f>DayPatternCoefficients!A309</f>
        <v>1117</v>
      </c>
      <c r="U301" s="163" t="str">
        <f>DayPatternCoefficients!B309</f>
        <v>T/T-W/D</v>
      </c>
      <c r="V301" s="157">
        <f>DayPatternCoefficients!D309</f>
        <v>-0.52349938843999999</v>
      </c>
      <c r="W301" s="178">
        <f t="shared" si="53"/>
        <v>-0.52349938843999999</v>
      </c>
    </row>
    <row r="302" spans="20:23" x14ac:dyDescent="0.25">
      <c r="T302" s="163">
        <f>DayPatternCoefficients!A310</f>
        <v>1123</v>
      </c>
      <c r="U302" s="163" t="str">
        <f>DayPatternCoefficients!B310</f>
        <v>T/T-S/E</v>
      </c>
      <c r="V302" s="157">
        <f>DayPatternCoefficients!D310</f>
        <v>-1.3733550834799999</v>
      </c>
      <c r="W302" s="178">
        <f t="shared" si="53"/>
        <v>-1.3733550834799999</v>
      </c>
    </row>
    <row r="303" spans="20:23" x14ac:dyDescent="0.25">
      <c r="T303" s="163">
        <f>DayPatternCoefficients!A311</f>
        <v>1124</v>
      </c>
      <c r="U303" s="163" t="str">
        <f>DayPatternCoefficients!B311</f>
        <v>T/T-S/P</v>
      </c>
      <c r="V303" s="157">
        <f>DayPatternCoefficients!D311</f>
        <v>-1.06502176181</v>
      </c>
      <c r="W303" s="178">
        <f t="shared" si="53"/>
        <v>-1.06502176181</v>
      </c>
    </row>
    <row r="304" spans="20:23" x14ac:dyDescent="0.25">
      <c r="T304" s="163">
        <f>DayPatternCoefficients!A312</f>
        <v>1125</v>
      </c>
      <c r="U304" s="163" t="str">
        <f>DayPatternCoefficients!B312</f>
        <v>T/T-S/H</v>
      </c>
      <c r="V304" s="157">
        <f>DayPatternCoefficients!D312</f>
        <v>-1.1892653198600001</v>
      </c>
      <c r="W304" s="178">
        <f t="shared" si="53"/>
        <v>-1.1892653198600001</v>
      </c>
    </row>
    <row r="305" spans="20:23" x14ac:dyDescent="0.25">
      <c r="T305" s="163">
        <f>DayPatternCoefficients!A313</f>
        <v>1126</v>
      </c>
      <c r="U305" s="163" t="str">
        <f>DayPatternCoefficients!B313</f>
        <v>T/T-S/M</v>
      </c>
      <c r="V305" s="157">
        <f>DayPatternCoefficients!D313</f>
        <v>-0.74621794669599995</v>
      </c>
      <c r="W305" s="178">
        <f t="shared" si="53"/>
        <v>-0.74621794669599995</v>
      </c>
    </row>
    <row r="306" spans="20:23" x14ac:dyDescent="0.25">
      <c r="T306" s="163">
        <f>DayPatternCoefficients!A314</f>
        <v>1127</v>
      </c>
      <c r="U306" s="163" t="str">
        <f>DayPatternCoefficients!B314</f>
        <v>T/T-S/D</v>
      </c>
      <c r="V306" s="157">
        <f>DayPatternCoefficients!D314</f>
        <v>-0.72968899023</v>
      </c>
      <c r="W306" s="178">
        <f t="shared" si="53"/>
        <v>-0.72968899023</v>
      </c>
    </row>
    <row r="307" spans="20:23" x14ac:dyDescent="0.25">
      <c r="T307" s="163">
        <f>DayPatternCoefficients!A315</f>
        <v>1134</v>
      </c>
      <c r="U307" s="163" t="str">
        <f>DayPatternCoefficients!B315</f>
        <v>T/T-E/P</v>
      </c>
      <c r="V307" s="157">
        <f>DayPatternCoefficients!D315</f>
        <v>5.4528016064599998E-2</v>
      </c>
      <c r="W307" s="178">
        <f t="shared" si="53"/>
        <v>5.4528016064599998E-2</v>
      </c>
    </row>
    <row r="308" spans="20:23" x14ac:dyDescent="0.25">
      <c r="T308" s="163">
        <f>DayPatternCoefficients!A316</f>
        <v>1135</v>
      </c>
      <c r="U308" s="163" t="str">
        <f>DayPatternCoefficients!B316</f>
        <v>T/T-E/H</v>
      </c>
      <c r="V308" s="157">
        <f>DayPatternCoefficients!D316</f>
        <v>-7.8362597510999998E-2</v>
      </c>
      <c r="W308" s="178">
        <f t="shared" si="53"/>
        <v>-7.8362597510999998E-2</v>
      </c>
    </row>
    <row r="309" spans="20:23" x14ac:dyDescent="0.25">
      <c r="T309" s="163">
        <f>DayPatternCoefficients!A317</f>
        <v>1136</v>
      </c>
      <c r="U309" s="163" t="str">
        <f>DayPatternCoefficients!B317</f>
        <v>T/T-E/M</v>
      </c>
      <c r="V309" s="157">
        <f>DayPatternCoefficients!D317</f>
        <v>8.58579439458E-2</v>
      </c>
      <c r="W309" s="178">
        <f t="shared" si="53"/>
        <v>8.58579439458E-2</v>
      </c>
    </row>
    <row r="310" spans="20:23" x14ac:dyDescent="0.25">
      <c r="T310" s="163">
        <f>DayPatternCoefficients!A318</f>
        <v>1137</v>
      </c>
      <c r="U310" s="163" t="str">
        <f>DayPatternCoefficients!B318</f>
        <v>T/T-E/D</v>
      </c>
      <c r="V310" s="157">
        <f>DayPatternCoefficients!D318</f>
        <v>0.40109888872799998</v>
      </c>
      <c r="W310" s="178">
        <f t="shared" si="53"/>
        <v>0.40109888872799998</v>
      </c>
    </row>
    <row r="311" spans="20:23" x14ac:dyDescent="0.25">
      <c r="T311" s="163">
        <f>DayPatternCoefficients!A319</f>
        <v>1145</v>
      </c>
      <c r="U311" s="163" t="str">
        <f>DayPatternCoefficients!B319</f>
        <v>T/T-P/H</v>
      </c>
      <c r="V311" s="157">
        <f>DayPatternCoefficients!D319</f>
        <v>-0.131395429753</v>
      </c>
      <c r="W311" s="178">
        <f t="shared" si="53"/>
        <v>-0.131395429753</v>
      </c>
    </row>
    <row r="312" spans="20:23" x14ac:dyDescent="0.25">
      <c r="T312" s="163">
        <f>DayPatternCoefficients!A320</f>
        <v>1146</v>
      </c>
      <c r="U312" s="163" t="str">
        <f>DayPatternCoefficients!B320</f>
        <v>T/T-P/M</v>
      </c>
      <c r="V312" s="157">
        <f>DayPatternCoefficients!D320</f>
        <v>-1.4362851378E-2</v>
      </c>
      <c r="W312" s="178">
        <f t="shared" si="53"/>
        <v>-1.4362851378E-2</v>
      </c>
    </row>
    <row r="313" spans="20:23" x14ac:dyDescent="0.25">
      <c r="T313" s="163">
        <f>DayPatternCoefficients!A321</f>
        <v>1147</v>
      </c>
      <c r="U313" s="163" t="str">
        <f>DayPatternCoefficients!B321</f>
        <v>T/T-P/D</v>
      </c>
      <c r="V313" s="157">
        <f>DayPatternCoefficients!D321</f>
        <v>5.4348679202199997E-2</v>
      </c>
      <c r="W313" s="178">
        <f t="shared" si="53"/>
        <v>5.4348679202199997E-2</v>
      </c>
    </row>
    <row r="314" spans="20:23" x14ac:dyDescent="0.25">
      <c r="T314" s="163">
        <f>DayPatternCoefficients!A322</f>
        <v>1156</v>
      </c>
      <c r="U314" s="163" t="str">
        <f>DayPatternCoefficients!B322</f>
        <v>T/T-H/M</v>
      </c>
      <c r="V314" s="157">
        <f>DayPatternCoefficients!D322</f>
        <v>-2.98287847052E-2</v>
      </c>
      <c r="W314" s="178">
        <f t="shared" si="53"/>
        <v>-2.98287847052E-2</v>
      </c>
    </row>
    <row r="315" spans="20:23" x14ac:dyDescent="0.25">
      <c r="T315" s="163">
        <f>DayPatternCoefficients!A323</f>
        <v>1157</v>
      </c>
      <c r="U315" s="163" t="str">
        <f>DayPatternCoefficients!B323</f>
        <v>T/T-H/D</v>
      </c>
      <c r="V315" s="157">
        <f>DayPatternCoefficients!D323</f>
        <v>0.163451916709</v>
      </c>
      <c r="W315" s="178">
        <f t="shared" si="53"/>
        <v>0.163451916709</v>
      </c>
    </row>
    <row r="316" spans="20:23" x14ac:dyDescent="0.25">
      <c r="T316" s="163">
        <f>DayPatternCoefficients!A324</f>
        <v>1213</v>
      </c>
      <c r="U316" s="163" t="str">
        <f>DayPatternCoefficients!B324</f>
        <v>S/S-W/E</v>
      </c>
      <c r="V316" s="157">
        <f>DayPatternCoefficients!D324</f>
        <v>-0.58856263239899997</v>
      </c>
      <c r="W316" s="178">
        <f t="shared" si="53"/>
        <v>-0.58856263239899997</v>
      </c>
    </row>
    <row r="317" spans="20:23" x14ac:dyDescent="0.25">
      <c r="T317" s="163">
        <f>DayPatternCoefficients!A325</f>
        <v>1214</v>
      </c>
      <c r="U317" s="163" t="str">
        <f>DayPatternCoefficients!B325</f>
        <v>S/S-W/P</v>
      </c>
      <c r="V317" s="157">
        <f>DayPatternCoefficients!D325</f>
        <v>-0.24210518212900001</v>
      </c>
      <c r="W317" s="178">
        <f t="shared" si="53"/>
        <v>-0.24210518212900001</v>
      </c>
    </row>
    <row r="318" spans="20:23" x14ac:dyDescent="0.25">
      <c r="T318" s="163">
        <f>DayPatternCoefficients!A326</f>
        <v>1215</v>
      </c>
      <c r="U318" s="163" t="str">
        <f>DayPatternCoefficients!B326</f>
        <v>S/S-W/H</v>
      </c>
      <c r="V318" s="157">
        <f>DayPatternCoefficients!D326</f>
        <v>-0.44236569695599998</v>
      </c>
      <c r="W318" s="178">
        <f t="shared" si="53"/>
        <v>-0.44236569695599998</v>
      </c>
    </row>
    <row r="319" spans="20:23" x14ac:dyDescent="0.25">
      <c r="T319" s="163">
        <f>DayPatternCoefficients!A327</f>
        <v>1216</v>
      </c>
      <c r="U319" s="163" t="str">
        <f>DayPatternCoefficients!B327</f>
        <v>S/S-W/M</v>
      </c>
      <c r="V319" s="157">
        <f>DayPatternCoefficients!D327</f>
        <v>0.30457547522900003</v>
      </c>
      <c r="W319" s="178">
        <f t="shared" si="53"/>
        <v>0.30457547522900003</v>
      </c>
    </row>
    <row r="320" spans="20:23" x14ac:dyDescent="0.25">
      <c r="T320" s="163">
        <f>DayPatternCoefficients!A328</f>
        <v>1217</v>
      </c>
      <c r="U320" s="163" t="str">
        <f>DayPatternCoefficients!B328</f>
        <v>S/S-W/D</v>
      </c>
      <c r="V320" s="157">
        <f>DayPatternCoefficients!D328</f>
        <v>-0.38276467722899998</v>
      </c>
      <c r="W320" s="178">
        <f t="shared" si="53"/>
        <v>-0.38276467722899998</v>
      </c>
    </row>
    <row r="321" spans="20:23" x14ac:dyDescent="0.25">
      <c r="T321" s="163">
        <f>DayPatternCoefficients!A329</f>
        <v>1223</v>
      </c>
      <c r="U321" s="163" t="str">
        <f>DayPatternCoefficients!B329</f>
        <v>S/S-S/E</v>
      </c>
      <c r="V321" s="157">
        <f>DayPatternCoefficients!D329</f>
        <v>-1.4817002100900001</v>
      </c>
      <c r="W321" s="178">
        <f t="shared" si="53"/>
        <v>-1.4817002100900001</v>
      </c>
    </row>
    <row r="322" spans="20:23" x14ac:dyDescent="0.25">
      <c r="T322" s="163">
        <f>DayPatternCoefficients!A330</f>
        <v>1224</v>
      </c>
      <c r="U322" s="163" t="str">
        <f>DayPatternCoefficients!B330</f>
        <v>S/S-S/P</v>
      </c>
      <c r="V322" s="157">
        <f>DayPatternCoefficients!D330</f>
        <v>-0.33988648641800001</v>
      </c>
      <c r="W322" s="178">
        <f t="shared" si="53"/>
        <v>-0.33988648641800001</v>
      </c>
    </row>
    <row r="323" spans="20:23" x14ac:dyDescent="0.25">
      <c r="T323" s="163">
        <f>DayPatternCoefficients!A331</f>
        <v>1225</v>
      </c>
      <c r="U323" s="163" t="str">
        <f>DayPatternCoefficients!B331</f>
        <v>S/S-S/H</v>
      </c>
      <c r="V323" s="157">
        <f>DayPatternCoefficients!D331</f>
        <v>-0.68291840383500002</v>
      </c>
      <c r="W323" s="178">
        <f t="shared" si="53"/>
        <v>-0.68291840383500002</v>
      </c>
    </row>
    <row r="324" spans="20:23" x14ac:dyDescent="0.25">
      <c r="T324" s="163">
        <f>DayPatternCoefficients!A332</f>
        <v>1226</v>
      </c>
      <c r="U324" s="163" t="str">
        <f>DayPatternCoefficients!B332</f>
        <v>S/S-S/M</v>
      </c>
      <c r="V324" s="157">
        <f>DayPatternCoefficients!D332</f>
        <v>0.99448337865199998</v>
      </c>
      <c r="W324" s="178">
        <f t="shared" ref="W324:W352" si="54">_xlfn.IFNA(VLOOKUP(T324,$K$63:$M$105,3,FALSE),_xlfn.IFNA(VLOOKUP(T324,$G$5:$K$11,5,FALSE),_xlfn.IFNA(VLOOKUP(T324,$G$19:$K$25,5,FALSE),V324)))</f>
        <v>0.99448337865199998</v>
      </c>
    </row>
    <row r="325" spans="20:23" x14ac:dyDescent="0.25">
      <c r="T325" s="163">
        <f>DayPatternCoefficients!A333</f>
        <v>1227</v>
      </c>
      <c r="U325" s="163" t="str">
        <f>DayPatternCoefficients!B333</f>
        <v>S/S-S/D</v>
      </c>
      <c r="V325" s="157">
        <f>DayPatternCoefficients!D333</f>
        <v>-0.24271310233000001</v>
      </c>
      <c r="W325" s="178">
        <f t="shared" si="54"/>
        <v>-0.24271310233000001</v>
      </c>
    </row>
    <row r="326" spans="20:23" x14ac:dyDescent="0.25">
      <c r="T326" s="163">
        <f>DayPatternCoefficients!A334</f>
        <v>1234</v>
      </c>
      <c r="U326" s="163" t="str">
        <f>DayPatternCoefficients!B334</f>
        <v>S/S-E/P</v>
      </c>
      <c r="V326" s="157">
        <f>DayPatternCoefficients!D334</f>
        <v>-0.20743183744900001</v>
      </c>
      <c r="W326" s="178">
        <f t="shared" si="54"/>
        <v>-0.20743183744900001</v>
      </c>
    </row>
    <row r="327" spans="20:23" x14ac:dyDescent="0.25">
      <c r="T327" s="163">
        <f>DayPatternCoefficients!A335</f>
        <v>1235</v>
      </c>
      <c r="U327" s="163" t="str">
        <f>DayPatternCoefficients!B335</f>
        <v>S/S-E/H</v>
      </c>
      <c r="V327" s="157">
        <f>DayPatternCoefficients!D335</f>
        <v>-0.362858881134</v>
      </c>
      <c r="W327" s="178">
        <f t="shared" si="54"/>
        <v>-0.362858881134</v>
      </c>
    </row>
    <row r="328" spans="20:23" x14ac:dyDescent="0.25">
      <c r="T328" s="163">
        <f>DayPatternCoefficients!A336</f>
        <v>1236</v>
      </c>
      <c r="U328" s="163" t="str">
        <f>DayPatternCoefficients!B336</f>
        <v>S/S-E/M</v>
      </c>
      <c r="V328" s="157">
        <f>DayPatternCoefficients!D336</f>
        <v>-0.22587769484799999</v>
      </c>
      <c r="W328" s="178">
        <f t="shared" si="54"/>
        <v>-0.22587769484799999</v>
      </c>
    </row>
    <row r="329" spans="20:23" x14ac:dyDescent="0.25">
      <c r="T329" s="163">
        <f>DayPatternCoefficients!A337</f>
        <v>1237</v>
      </c>
      <c r="U329" s="163" t="str">
        <f>DayPatternCoefficients!B337</f>
        <v>S/S-E/D</v>
      </c>
      <c r="V329" s="157">
        <f>DayPatternCoefficients!D337</f>
        <v>2.8313275662500002E-2</v>
      </c>
      <c r="W329" s="178">
        <f t="shared" si="54"/>
        <v>2.8313275662500002E-2</v>
      </c>
    </row>
    <row r="330" spans="20:23" x14ac:dyDescent="0.25">
      <c r="T330" s="163">
        <f>DayPatternCoefficients!A338</f>
        <v>1245</v>
      </c>
      <c r="U330" s="163" t="str">
        <f>DayPatternCoefficients!B338</f>
        <v>S/S-P/H</v>
      </c>
      <c r="V330" s="157">
        <f>DayPatternCoefficients!D338</f>
        <v>-0.132943375374</v>
      </c>
      <c r="W330" s="178">
        <f t="shared" si="54"/>
        <v>-0.132943375374</v>
      </c>
    </row>
    <row r="331" spans="20:23" x14ac:dyDescent="0.25">
      <c r="T331" s="163">
        <f>DayPatternCoefficients!A339</f>
        <v>1246</v>
      </c>
      <c r="U331" s="163" t="str">
        <f>DayPatternCoefficients!B339</f>
        <v>S/S-P/M</v>
      </c>
      <c r="V331" s="157">
        <f>DayPatternCoefficients!D339</f>
        <v>-6.1171239687499997E-2</v>
      </c>
      <c r="W331" s="178">
        <f t="shared" si="54"/>
        <v>-6.1171239687499997E-2</v>
      </c>
    </row>
    <row r="332" spans="20:23" x14ac:dyDescent="0.25">
      <c r="T332" s="163">
        <f>DayPatternCoefficients!A340</f>
        <v>1247</v>
      </c>
      <c r="U332" s="163" t="str">
        <f>DayPatternCoefficients!B340</f>
        <v>S/S-P/D</v>
      </c>
      <c r="V332" s="157">
        <f>DayPatternCoefficients!D340</f>
        <v>-0.28246371089900002</v>
      </c>
      <c r="W332" s="178">
        <f t="shared" si="54"/>
        <v>-0.28246371089900002</v>
      </c>
    </row>
    <row r="333" spans="20:23" x14ac:dyDescent="0.25">
      <c r="T333" s="163">
        <f>DayPatternCoefficients!A341</f>
        <v>1256</v>
      </c>
      <c r="U333" s="163" t="str">
        <f>DayPatternCoefficients!B341</f>
        <v>S/S-H/M</v>
      </c>
      <c r="V333" s="157">
        <f>DayPatternCoefficients!D341</f>
        <v>-0.42730825529100003</v>
      </c>
      <c r="W333" s="178">
        <f t="shared" si="54"/>
        <v>-0.42730825529100003</v>
      </c>
    </row>
    <row r="334" spans="20:23" x14ac:dyDescent="0.25">
      <c r="T334" s="163">
        <f>DayPatternCoefficients!A342</f>
        <v>1257</v>
      </c>
      <c r="U334" s="163" t="str">
        <f>DayPatternCoefficients!B342</f>
        <v>S/S-H/D</v>
      </c>
      <c r="V334" s="157">
        <f>DayPatternCoefficients!D342</f>
        <v>-0.39541284004499999</v>
      </c>
      <c r="W334" s="178">
        <f t="shared" si="54"/>
        <v>-0.39541284004499999</v>
      </c>
    </row>
    <row r="335" spans="20:23" x14ac:dyDescent="0.25">
      <c r="T335" s="163">
        <f>DayPatternCoefficients!A343</f>
        <v>1311</v>
      </c>
      <c r="U335" s="163" t="str">
        <f>DayPatternCoefficients!B343</f>
        <v>NT/NS-1/1</v>
      </c>
      <c r="V335" s="157">
        <f>DayPatternCoefficients!D343</f>
        <v>-2.3636261105099998</v>
      </c>
      <c r="W335" s="178">
        <f t="shared" si="54"/>
        <v>-2.3636261105099998</v>
      </c>
    </row>
    <row r="336" spans="20:23" x14ac:dyDescent="0.25">
      <c r="T336" s="163">
        <f>DayPatternCoefficients!A344</f>
        <v>1312</v>
      </c>
      <c r="U336" s="163" t="str">
        <f>DayPatternCoefficients!B344</f>
        <v>NT/NS-1/2</v>
      </c>
      <c r="V336" s="157">
        <f>DayPatternCoefficients!D344</f>
        <v>-3.3984471460900001</v>
      </c>
      <c r="W336" s="178">
        <f t="shared" si="54"/>
        <v>-3.3984471460900001</v>
      </c>
    </row>
    <row r="337" spans="20:23" x14ac:dyDescent="0.25">
      <c r="T337" s="163">
        <f>DayPatternCoefficients!A345</f>
        <v>1313</v>
      </c>
      <c r="U337" s="163" t="str">
        <f>DayPatternCoefficients!B345</f>
        <v>NT/NS-1/3</v>
      </c>
      <c r="V337" s="157">
        <f>DayPatternCoefficients!D345</f>
        <v>-4.0690844656999996</v>
      </c>
      <c r="W337" s="178">
        <f t="shared" si="54"/>
        <v>-4.0690844656999996</v>
      </c>
    </row>
    <row r="338" spans="20:23" x14ac:dyDescent="0.25">
      <c r="T338" s="163">
        <f>DayPatternCoefficients!A346</f>
        <v>1321</v>
      </c>
      <c r="U338" s="163" t="str">
        <f>DayPatternCoefficients!B346</f>
        <v>NT/NS-2/1</v>
      </c>
      <c r="V338" s="157">
        <f>DayPatternCoefficients!D346</f>
        <v>-2.3291602995099998</v>
      </c>
      <c r="W338" s="178">
        <f t="shared" si="54"/>
        <v>-2.3291602995099998</v>
      </c>
    </row>
    <row r="339" spans="20:23" x14ac:dyDescent="0.25">
      <c r="T339" s="163">
        <f>DayPatternCoefficients!A347</f>
        <v>1322</v>
      </c>
      <c r="U339" s="163" t="str">
        <f>DayPatternCoefficients!B347</f>
        <v>NT/NS-2/2</v>
      </c>
      <c r="V339" s="157">
        <f>DayPatternCoefficients!D347</f>
        <v>-3.3320340260300001</v>
      </c>
      <c r="W339" s="178">
        <f t="shared" si="54"/>
        <v>-3.3320340260300001</v>
      </c>
    </row>
    <row r="340" spans="20:23" x14ac:dyDescent="0.25">
      <c r="T340" s="163">
        <f>DayPatternCoefficients!A348</f>
        <v>1323</v>
      </c>
      <c r="U340" s="163" t="str">
        <f>DayPatternCoefficients!B348</f>
        <v>NT/NS-2/3</v>
      </c>
      <c r="V340" s="157">
        <f>DayPatternCoefficients!D348</f>
        <v>-3.9915902374400001</v>
      </c>
      <c r="W340" s="178">
        <f t="shared" si="54"/>
        <v>-3.9915902374400001</v>
      </c>
    </row>
    <row r="341" spans="20:23" x14ac:dyDescent="0.25">
      <c r="T341" s="163">
        <f>DayPatternCoefficients!A349</f>
        <v>1331</v>
      </c>
      <c r="U341" s="163" t="str">
        <f>DayPatternCoefficients!B349</f>
        <v>NT/NS-3/1</v>
      </c>
      <c r="V341" s="157">
        <f>DayPatternCoefficients!D349</f>
        <v>-2.2118895961699998</v>
      </c>
      <c r="W341" s="178">
        <f t="shared" si="54"/>
        <v>-2.2118895961699998</v>
      </c>
    </row>
    <row r="342" spans="20:23" x14ac:dyDescent="0.25">
      <c r="T342" s="163">
        <f>DayPatternCoefficients!A350</f>
        <v>1332</v>
      </c>
      <c r="U342" s="163" t="str">
        <f>DayPatternCoefficients!B350</f>
        <v>NT/NS-3/2</v>
      </c>
      <c r="V342" s="157">
        <f>DayPatternCoefficients!D350</f>
        <v>-3.4027467696499998</v>
      </c>
      <c r="W342" s="178">
        <f t="shared" si="54"/>
        <v>-3.4027467696499998</v>
      </c>
    </row>
    <row r="343" spans="20:23" x14ac:dyDescent="0.25">
      <c r="T343" s="163">
        <f>DayPatternCoefficients!A351</f>
        <v>1401</v>
      </c>
      <c r="U343" s="163" t="str">
        <f>DayPatternCoefficients!B351</f>
        <v>TxCARSPD</v>
      </c>
      <c r="V343" s="157">
        <f>DayPatternCoefficients!D351</f>
        <v>0.105372392743</v>
      </c>
      <c r="W343" s="178">
        <f t="shared" si="54"/>
        <v>0.105372392743</v>
      </c>
    </row>
    <row r="344" spans="20:23" x14ac:dyDescent="0.25">
      <c r="T344" s="163">
        <f>DayPatternCoefficients!A352</f>
        <v>1402</v>
      </c>
      <c r="U344" s="163" t="str">
        <f>DayPatternCoefficients!B352</f>
        <v>TxWAHOME</v>
      </c>
      <c r="V344" s="157">
        <f>DayPatternCoefficients!D352</f>
        <v>-1.9733408504600001</v>
      </c>
      <c r="W344" s="178">
        <f t="shared" si="54"/>
        <v>-1.9733408504600001</v>
      </c>
    </row>
    <row r="345" spans="20:23" x14ac:dyDescent="0.25">
      <c r="T345" s="163">
        <f>DayPatternCoefficients!A353</f>
        <v>1403</v>
      </c>
      <c r="U345" s="163" t="str">
        <f>DayPatternCoefficients!B353</f>
        <v>TxMIXDEN</v>
      </c>
      <c r="V345" s="157">
        <f>DayPatternCoefficients!D353</f>
        <v>-9.4848733646700004E-2</v>
      </c>
      <c r="W345" s="178">
        <f t="shared" si="54"/>
        <v>-9.4848733646700004E-2</v>
      </c>
    </row>
    <row r="346" spans="20:23" x14ac:dyDescent="0.25">
      <c r="T346" s="163">
        <f>DayPatternCoefficients!A354</f>
        <v>1404</v>
      </c>
      <c r="U346" s="163" t="str">
        <f>DayPatternCoefficients!B354</f>
        <v>TxMDEN515</v>
      </c>
      <c r="V346" s="157">
        <f>DayPatternCoefficients!D354</f>
        <v>-0.32757978397600002</v>
      </c>
      <c r="W346" s="178">
        <f t="shared" si="54"/>
        <v>-0.32757978397600002</v>
      </c>
    </row>
    <row r="347" spans="20:23" x14ac:dyDescent="0.25">
      <c r="T347" s="163">
        <f>DayPatternCoefficients!A355</f>
        <v>1405</v>
      </c>
      <c r="U347" s="163" t="str">
        <f>DayPatternCoefficients!B355</f>
        <v>TxHLOGS</v>
      </c>
      <c r="V347" s="157">
        <f>DayPatternCoefficients!D355</f>
        <v>5.1200790919799996E-4</v>
      </c>
      <c r="W347" s="178">
        <f t="shared" si="54"/>
        <v>5.1200790919799996E-4</v>
      </c>
    </row>
    <row r="348" spans="20:23" x14ac:dyDescent="0.25">
      <c r="T348" s="163">
        <f>DayPatternCoefficients!A356</f>
        <v>1411</v>
      </c>
      <c r="U348" s="163" t="str">
        <f>DayPatternCoefficients!B356</f>
        <v>SxCARSPD</v>
      </c>
      <c r="V348" s="157">
        <f>DayPatternCoefficients!D356</f>
        <v>0.12070867719099999</v>
      </c>
      <c r="W348" s="178">
        <f t="shared" si="54"/>
        <v>0.12070867719099999</v>
      </c>
    </row>
    <row r="349" spans="20:23" x14ac:dyDescent="0.25">
      <c r="T349" s="163">
        <f>DayPatternCoefficients!A357</f>
        <v>1412</v>
      </c>
      <c r="U349" s="163" t="str">
        <f>DayPatternCoefficients!B357</f>
        <v>SxWAHOME</v>
      </c>
      <c r="V349" s="157">
        <f>DayPatternCoefficients!D357</f>
        <v>1.43935300972</v>
      </c>
      <c r="W349" s="178">
        <f t="shared" si="54"/>
        <v>1.43935300972</v>
      </c>
    </row>
    <row r="350" spans="20:23" x14ac:dyDescent="0.25">
      <c r="T350" s="163">
        <f>DayPatternCoefficients!A358</f>
        <v>1413</v>
      </c>
      <c r="U350" s="163" t="str">
        <f>DayPatternCoefficients!B358</f>
        <v>SxMIXDEN</v>
      </c>
      <c r="V350" s="157">
        <f>DayPatternCoefficients!D358</f>
        <v>5.8889368276700001E-2</v>
      </c>
      <c r="W350" s="178">
        <f t="shared" si="54"/>
        <v>5.8889368276700001E-2</v>
      </c>
    </row>
    <row r="351" spans="20:23" x14ac:dyDescent="0.25">
      <c r="T351" s="163">
        <f>DayPatternCoefficients!A359</f>
        <v>1414</v>
      </c>
      <c r="U351" s="163" t="str">
        <f>DayPatternCoefficients!B359</f>
        <v>SxMDEN515</v>
      </c>
      <c r="V351" s="157">
        <f>DayPatternCoefficients!D359</f>
        <v>-0.41526082283299998</v>
      </c>
      <c r="W351" s="178">
        <f t="shared" si="54"/>
        <v>-0.41526082283299998</v>
      </c>
    </row>
    <row r="352" spans="20:23" x14ac:dyDescent="0.25">
      <c r="T352" s="163">
        <f>DayPatternCoefficients!A360</f>
        <v>1415</v>
      </c>
      <c r="U352" s="163" t="str">
        <f>DayPatternCoefficients!B360</f>
        <v>SxHLOGS</v>
      </c>
      <c r="V352" s="157">
        <f>DayPatternCoefficients!D360</f>
        <v>1.2275638646799999E-2</v>
      </c>
      <c r="W352" s="178">
        <f t="shared" si="54"/>
        <v>1.2275638646799999E-2</v>
      </c>
    </row>
    <row r="367" spans="20:23" x14ac:dyDescent="0.25">
      <c r="T367" s="163"/>
      <c r="U367" s="163"/>
      <c r="V367" s="157"/>
      <c r="W367" s="157"/>
    </row>
    <row r="368" spans="20:23" x14ac:dyDescent="0.25">
      <c r="T368" s="163"/>
      <c r="U368" s="163"/>
      <c r="V368" s="157"/>
      <c r="W368" s="157"/>
    </row>
    <row r="369" spans="20:23" x14ac:dyDescent="0.25">
      <c r="T369" s="163"/>
      <c r="U369" s="163"/>
      <c r="V369" s="157"/>
      <c r="W369" s="157"/>
    </row>
    <row r="370" spans="20:23" x14ac:dyDescent="0.25">
      <c r="T370" s="163"/>
      <c r="U370" s="163"/>
      <c r="V370" s="157"/>
      <c r="W370" s="157"/>
    </row>
    <row r="371" spans="20:23" x14ac:dyDescent="0.25">
      <c r="T371" s="163"/>
      <c r="U371" s="163"/>
      <c r="V371" s="157"/>
      <c r="W371" s="157"/>
    </row>
    <row r="372" spans="20:23" x14ac:dyDescent="0.25">
      <c r="T372" s="163"/>
      <c r="U372" s="163"/>
      <c r="V372" s="157"/>
      <c r="W372" s="157"/>
    </row>
    <row r="373" spans="20:23" x14ac:dyDescent="0.25">
      <c r="T373" s="163"/>
      <c r="U373" s="163"/>
      <c r="V373" s="157"/>
      <c r="W373" s="157"/>
    </row>
    <row r="374" spans="20:23" x14ac:dyDescent="0.25">
      <c r="T374" s="163"/>
      <c r="U374" s="163"/>
      <c r="V374" s="157"/>
      <c r="W374" s="157"/>
    </row>
    <row r="375" spans="20:23" x14ac:dyDescent="0.25">
      <c r="T375" s="163"/>
      <c r="U375" s="163"/>
      <c r="V375" s="157"/>
      <c r="W375" s="157"/>
    </row>
    <row r="376" spans="20:23" x14ac:dyDescent="0.25">
      <c r="T376" s="163"/>
      <c r="U376" s="163"/>
      <c r="V376" s="157"/>
      <c r="W376" s="157"/>
    </row>
    <row r="377" spans="20:23" x14ac:dyDescent="0.25">
      <c r="T377" s="163"/>
      <c r="U377" s="163"/>
      <c r="V377" s="157"/>
      <c r="W377" s="157"/>
    </row>
    <row r="378" spans="20:23" x14ac:dyDescent="0.25">
      <c r="T378" s="163"/>
      <c r="U378" s="163"/>
      <c r="V378" s="157"/>
      <c r="W378" s="157"/>
    </row>
    <row r="379" spans="20:23" x14ac:dyDescent="0.25">
      <c r="T379" s="163"/>
      <c r="U379" s="163"/>
      <c r="V379" s="157"/>
      <c r="W379" s="157"/>
    </row>
    <row r="380" spans="20:23" x14ac:dyDescent="0.25">
      <c r="T380" s="163"/>
      <c r="U380" s="163"/>
      <c r="V380" s="157"/>
      <c r="W380" s="157"/>
    </row>
    <row r="381" spans="20:23" x14ac:dyDescent="0.25">
      <c r="T381" s="163"/>
      <c r="U381" s="163"/>
      <c r="V381" s="157"/>
      <c r="W381" s="157"/>
    </row>
    <row r="382" spans="20:23" x14ac:dyDescent="0.25">
      <c r="T382" s="163"/>
      <c r="U382" s="163"/>
      <c r="V382" s="157"/>
      <c r="W382" s="157"/>
    </row>
    <row r="383" spans="20:23" x14ac:dyDescent="0.25">
      <c r="T383" s="163"/>
      <c r="U383" s="163"/>
      <c r="V383" s="157"/>
      <c r="W383" s="157"/>
    </row>
    <row r="384" spans="20:23" x14ac:dyDescent="0.25">
      <c r="T384" s="163"/>
      <c r="U384" s="163"/>
      <c r="V384" s="157"/>
      <c r="W384" s="157"/>
    </row>
    <row r="385" spans="20:23" x14ac:dyDescent="0.25">
      <c r="T385" s="163"/>
      <c r="U385" s="163"/>
      <c r="V385" s="157"/>
      <c r="W385" s="157"/>
    </row>
    <row r="386" spans="20:23" x14ac:dyDescent="0.25">
      <c r="T386" s="163"/>
      <c r="U386" s="163"/>
      <c r="V386" s="157"/>
      <c r="W386" s="157"/>
    </row>
    <row r="387" spans="20:23" x14ac:dyDescent="0.25">
      <c r="T387" s="163"/>
      <c r="U387" s="163"/>
      <c r="V387" s="157"/>
      <c r="W387" s="157"/>
    </row>
    <row r="388" spans="20:23" x14ac:dyDescent="0.25">
      <c r="T388" s="163"/>
      <c r="U388" s="163"/>
      <c r="V388" s="157"/>
      <c r="W388" s="157"/>
    </row>
    <row r="389" spans="20:23" x14ac:dyDescent="0.25">
      <c r="T389" s="163"/>
      <c r="U389" s="163"/>
      <c r="V389" s="157"/>
      <c r="W389" s="157"/>
    </row>
    <row r="390" spans="20:23" x14ac:dyDescent="0.25">
      <c r="T390" s="163"/>
      <c r="U390" s="163"/>
      <c r="V390" s="157"/>
      <c r="W390" s="157"/>
    </row>
    <row r="391" spans="20:23" x14ac:dyDescent="0.25">
      <c r="T391" s="163"/>
      <c r="U391" s="163"/>
      <c r="V391" s="157"/>
      <c r="W391" s="157"/>
    </row>
    <row r="392" spans="20:23" x14ac:dyDescent="0.25">
      <c r="T392" s="163"/>
      <c r="U392" s="163"/>
      <c r="V392" s="157"/>
      <c r="W392" s="157"/>
    </row>
    <row r="393" spans="20:23" x14ac:dyDescent="0.25">
      <c r="T393" s="163"/>
      <c r="U393" s="163"/>
      <c r="V393" s="157"/>
      <c r="W393" s="157"/>
    </row>
    <row r="394" spans="20:23" x14ac:dyDescent="0.25">
      <c r="T394" s="163"/>
      <c r="U394" s="163"/>
      <c r="V394" s="157"/>
      <c r="W394" s="157"/>
    </row>
    <row r="395" spans="20:23" x14ac:dyDescent="0.25">
      <c r="T395" s="163"/>
      <c r="U395" s="163"/>
      <c r="V395" s="157"/>
      <c r="W395" s="157"/>
    </row>
    <row r="396" spans="20:23" x14ac:dyDescent="0.25">
      <c r="T396" s="163"/>
      <c r="U396" s="163"/>
      <c r="V396" s="157"/>
      <c r="W396" s="157"/>
    </row>
    <row r="397" spans="20:23" x14ac:dyDescent="0.25">
      <c r="T397" s="163"/>
      <c r="U397" s="163"/>
      <c r="V397" s="157"/>
      <c r="W397" s="157"/>
    </row>
    <row r="398" spans="20:23" x14ac:dyDescent="0.25">
      <c r="T398" s="163"/>
      <c r="U398" s="163"/>
      <c r="V398" s="157"/>
      <c r="W398" s="157"/>
    </row>
  </sheetData>
  <autoFilter ref="AF2:AJ122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133</vt:i4>
      </vt:variant>
    </vt:vector>
  </HeadingPairs>
  <TitlesOfParts>
    <vt:vector size="151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Castiglione</dc:creator>
  <cp:lastModifiedBy>Nagendra Dhakar</cp:lastModifiedBy>
  <dcterms:created xsi:type="dcterms:W3CDTF">2008-04-30T13:33:45Z</dcterms:created>
  <dcterms:modified xsi:type="dcterms:W3CDTF">2017-06-23T18:05:08Z</dcterms:modified>
</cp:coreProperties>
</file>