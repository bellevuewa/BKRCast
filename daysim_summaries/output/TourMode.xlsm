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16" firstSheet="10"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45621"/>
</workbook>
</file>

<file path=xl/calcChain.xml><?xml version="1.0" encoding="utf-8"?>
<calcChain xmlns="http://schemas.openxmlformats.org/spreadsheetml/2006/main">
  <c i="15" l="1" r="AR11"/>
  <c i="15" r="AS11" s="1"/>
  <c i="15" l="1" r="V60"/>
  <c i="15" r="V59"/>
  <c i="15" r="U60"/>
  <c i="15" r="U59"/>
  <c i="15" r="T60"/>
  <c i="15" r="S62"/>
  <c i="15" r="S60"/>
  <c i="15" r="S59"/>
  <c i="15" r="V56"/>
  <c i="15" r="V57"/>
  <c i="15" r="U56"/>
  <c i="15" r="U57"/>
  <c i="15" r="T56"/>
  <c i="15" r="T57"/>
  <c i="15" r="S56"/>
  <c i="15" r="S57"/>
  <c i="15" r="S55"/>
  <c i="15" r="T55"/>
  <c i="15" r="U55"/>
  <c i="15" r="V55"/>
  <c i="15" r="R56"/>
  <c i="15" r="R57"/>
  <c i="15" r="R58"/>
  <c i="15" r="R59"/>
  <c i="15" r="R60"/>
  <c i="15" r="R55"/>
  <c i="15" r="BB4"/>
  <c i="15" r="BC4" s="1"/>
  <c i="15" r="BB5"/>
  <c i="15" r="BB6"/>
  <c i="15" r="BB7"/>
  <c i="15" r="BB8"/>
  <c i="15" r="BB9"/>
  <c i="15" r="BC9" s="1"/>
  <c i="15" r="BB10"/>
  <c i="15" r="BC10" s="1"/>
  <c i="15" r="BB11"/>
  <c i="15" r="BC11" s="1"/>
  <c i="15" r="BB12"/>
  <c i="15" r="BC12" s="1"/>
  <c i="15" r="BB13"/>
  <c i="15" r="BB14"/>
  <c i="15" r="BC14" s="1"/>
  <c i="15" r="BB15"/>
  <c i="15" r="BC15" s="1"/>
  <c i="15" r="BB16"/>
  <c i="15" r="BC16" s="1"/>
  <c i="15" r="BB17"/>
  <c i="15" r="BC17" s="1"/>
  <c i="15" r="BB18"/>
  <c i="15" r="BC18" s="1"/>
  <c i="15" r="BB19"/>
  <c i="15" r="BC19" s="1"/>
  <c i="15" r="BB3"/>
  <c i="15" r="BC3" s="1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Z4"/>
  <c i="15" r="AZ5"/>
  <c i="15" r="AZ6"/>
  <c i="15" r="AZ7"/>
  <c i="15" r="AZ8"/>
  <c i="15" r="AZ9"/>
  <c i="15" r="AZ10"/>
  <c i="15" r="AZ11"/>
  <c i="15" r="AZ12"/>
  <c i="15" r="AZ13"/>
  <c i="15" r="AZ14"/>
  <c i="15" r="AZ15"/>
  <c i="15" r="AZ16"/>
  <c i="15" r="AZ17"/>
  <c i="15" r="AZ18"/>
  <c i="15" r="AZ19"/>
  <c i="15" r="AZ3"/>
  <c i="15" r="AW4"/>
  <c i="15" r="AX4" s="1"/>
  <c i="15" r="AW5"/>
  <c i="15" r="AW6"/>
  <c i="15" r="AX6" s="1"/>
  <c i="15" r="AW7"/>
  <c i="15" r="AW8"/>
  <c i="15" r="AX8" s="1"/>
  <c i="15" r="AW9"/>
  <c i="15" r="AX9" s="1"/>
  <c i="15" r="AW10"/>
  <c i="15" r="AX10" s="1"/>
  <c i="15" r="AW11"/>
  <c i="15" r="AX11" s="1"/>
  <c i="15" r="AW12"/>
  <c i="15" r="AX12" s="1"/>
  <c i="15" r="AW13"/>
  <c i="15" r="AX13" s="1"/>
  <c i="15" r="AW14"/>
  <c i="15" r="AW15"/>
  <c i="15" r="AX15" s="1"/>
  <c i="15" r="AW16"/>
  <c i="15" r="AX16" s="1"/>
  <c i="15" r="AW17"/>
  <c i="15" r="AX17" s="1"/>
  <c i="15" r="AW18"/>
  <c i="15" r="AW19"/>
  <c i="15" r="AX19" s="1"/>
  <c i="15" r="AW20"/>
  <c i="15" r="AX20" s="1"/>
  <c i="15" r="AW21"/>
  <c i="15" r="AW22"/>
  <c i="15" r="AX22" s="1"/>
  <c i="15" r="AW23"/>
  <c i="15" r="AX23" s="1"/>
  <c i="15" r="AW24"/>
  <c i="15" r="AX24" s="1"/>
  <c i="15" r="AW25"/>
  <c i="15" r="AX25" s="1"/>
  <c i="15" r="AW26"/>
  <c i="15" r="AX26" s="1"/>
  <c i="15" r="AW27"/>
  <c i="15" r="AX27" s="1"/>
  <c i="15" r="AW28"/>
  <c i="15" r="AX28" s="1"/>
  <c i="15" r="AW29"/>
  <c i="15" r="AX29" s="1"/>
  <c i="15" r="AW30"/>
  <c i="15" r="AX30" s="1"/>
  <c i="15" r="AW31"/>
  <c i="15" r="AX31" s="1"/>
  <c i="15" r="AW32"/>
  <c i="15" r="AX32" s="1"/>
  <c i="15" r="AW33"/>
  <c i="15" r="AX33" s="1"/>
  <c i="15" r="AW34"/>
  <c i="15" r="AX34" s="1"/>
  <c i="15" r="AW35"/>
  <c i="15" r="AX35" s="1"/>
  <c i="15" r="AW36"/>
  <c i="15" r="AX36" s="1"/>
  <c i="15" r="AW37"/>
  <c i="15" r="AX37" s="1"/>
  <c i="15" r="AW38"/>
  <c i="15" r="AX38" s="1"/>
  <c i="15" r="AW39"/>
  <c i="15" r="AX39" s="1"/>
  <c i="15" r="AW40"/>
  <c i="15" r="AX40" s="1"/>
  <c i="15" r="AW41"/>
  <c i="15" r="AX41" s="1"/>
  <c i="15" r="AW42"/>
  <c i="15" r="AX42" s="1"/>
  <c i="15" r="AW43"/>
  <c i="15" r="AX43" s="1"/>
  <c i="15" r="AW44"/>
  <c i="15" r="AX44" s="1"/>
  <c i="15" r="AW45"/>
  <c i="15" r="AX45" s="1"/>
  <c i="15" r="AW46"/>
  <c i="15" r="AX46" s="1"/>
  <c i="15" r="AW47"/>
  <c i="15" r="AX47" s="1"/>
  <c i="15" r="AW3"/>
  <c i="15" r="AX3" s="1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U4"/>
  <c i="15" r="AU5"/>
  <c i="15" r="AU6"/>
  <c i="15" r="AU7"/>
  <c i="15" r="AU8"/>
  <c i="15" r="AU9"/>
  <c i="15" r="AU10"/>
  <c i="15" r="AU11"/>
  <c i="15" r="AU12"/>
  <c i="15" r="AU13"/>
  <c i="15" r="AU14"/>
  <c i="15" r="AU15"/>
  <c i="15" r="AU16"/>
  <c i="15" r="AU17"/>
  <c i="15" r="AU18"/>
  <c i="15" r="AU19"/>
  <c i="15" r="AU20"/>
  <c i="15" r="AU21"/>
  <c i="15" r="AU22"/>
  <c i="15" r="AU23"/>
  <c i="15" r="AU24"/>
  <c i="15" r="AU25"/>
  <c i="15" r="AU26"/>
  <c i="15" r="AU27"/>
  <c i="15" r="AU28"/>
  <c i="15" r="AU29"/>
  <c i="15" r="AU30"/>
  <c i="15" r="AU31"/>
  <c i="15" r="AU32"/>
  <c i="15" r="AU33"/>
  <c i="15" r="AU34"/>
  <c i="15" r="AU35"/>
  <c i="15" r="AU36"/>
  <c i="15" r="AU37"/>
  <c i="15" r="AU38"/>
  <c i="15" r="AU39"/>
  <c i="15" r="AU40"/>
  <c i="15" r="AU41"/>
  <c i="15" r="AU42"/>
  <c i="15" r="AU43"/>
  <c i="15" r="AU44"/>
  <c i="15" r="AU45"/>
  <c i="15" r="AU46"/>
  <c i="15" r="AU47"/>
  <c i="15" r="AU3"/>
  <c i="15" r="AR4"/>
  <c i="15" r="AR5"/>
  <c i="15" r="AS5" s="1"/>
  <c i="15" r="AR6"/>
  <c i="15" r="AS6" s="1"/>
  <c i="15" r="AR7"/>
  <c i="15" r="AS7" s="1"/>
  <c i="15" r="AR8"/>
  <c i="15" r="AR9"/>
  <c i="15" r="AS9" s="1"/>
  <c i="15" r="AR10"/>
  <c i="15" r="AS10" s="1"/>
  <c i="15" r="AR12"/>
  <c i="15" r="AR13"/>
  <c i="15" r="AS13" s="1"/>
  <c i="15" r="AR14"/>
  <c i="15" r="AS14" s="1"/>
  <c i="15" r="AR15"/>
  <c i="15" r="AS15" s="1"/>
  <c i="15" r="AR16"/>
  <c i="15" r="AS16" s="1"/>
  <c i="15" r="AR17"/>
  <c i="15" r="AS17" s="1"/>
  <c i="15" r="AR3"/>
  <c i="15" r="AS3" s="1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17"/>
  <c i="15" r="AQ3"/>
  <c i="15" r="AP17"/>
  <c i="15" r="AP4"/>
  <c i="15" r="AP5"/>
  <c i="15" r="AP6"/>
  <c i="15" r="AP7"/>
  <c i="15" r="AP8"/>
  <c i="15" r="AP9"/>
  <c i="15" r="AP10"/>
  <c i="15" r="AP11"/>
  <c i="15" r="AP12"/>
  <c i="15" r="AP13"/>
  <c i="15" r="AP14"/>
  <c i="15" r="AP15"/>
  <c i="15" r="AP16"/>
  <c i="15" r="AP3"/>
  <c i="15" r="AM4"/>
  <c i="15" r="AN4" s="1"/>
  <c i="15" r="AM5"/>
  <c i="15" r="AM6"/>
  <c i="15" r="AN6" s="1"/>
  <c i="15" r="AM7"/>
  <c i="15" r="AN7" s="1"/>
  <c i="15" r="AM8"/>
  <c i="15" r="AM9"/>
  <c i="15" r="AN9" s="1"/>
  <c i="15" r="AM10"/>
  <c i="15" r="AN10" s="1"/>
  <c i="15" r="AM11"/>
  <c i="15" r="AN11" s="1"/>
  <c i="15" r="AM12"/>
  <c i="15" r="AN12" s="1"/>
  <c i="15" r="AM13"/>
  <c i="15" r="AN13" s="1"/>
  <c i="15" r="AM14"/>
  <c i="15" r="AM15"/>
  <c i="15" r="AN15" s="1"/>
  <c i="15" r="AM16"/>
  <c i="15" r="AN16" s="1"/>
  <c i="15" r="AM17"/>
  <c i="15" r="AM18"/>
  <c i="15" r="AN18" s="1"/>
  <c i="15" r="AM19"/>
  <c i="15" r="AN19" s="1"/>
  <c i="15" r="AM20"/>
  <c i="15" r="AN20" s="1"/>
  <c i="15" r="AM21"/>
  <c i="15" r="AN21" s="1"/>
  <c i="15" r="AM22"/>
  <c i="15" r="AM23"/>
  <c i="15" r="AN23" s="1"/>
  <c i="15" r="AM24"/>
  <c i="15" r="AN24" s="1"/>
  <c i="15" r="AM25"/>
  <c i="15" r="AN25" s="1"/>
  <c i="15" r="AM26"/>
  <c i="15" r="AN26" s="1"/>
  <c i="15" r="AM27"/>
  <c i="15" r="AM28"/>
  <c i="15" r="AN28" s="1"/>
  <c i="15" r="AM29"/>
  <c i="15" r="AN29" s="1"/>
  <c i="15" r="AM30"/>
  <c i="15" r="AN30" s="1"/>
  <c i="15" r="AM31"/>
  <c i="15" r="AN31" s="1"/>
  <c i="15" r="AM32"/>
  <c i="15" r="AN32" s="1"/>
  <c i="15" r="AM33"/>
  <c i="15" r="AN33" s="1"/>
  <c i="15" r="AM34"/>
  <c i="15" r="AN34" s="1"/>
  <c i="15" r="AM35"/>
  <c i="15" r="AN35" s="1"/>
  <c i="15" r="AM36"/>
  <c i="15" r="AN36" s="1"/>
  <c i="15" r="AM37"/>
  <c i="15" r="AN37" s="1"/>
  <c i="15" r="AM38"/>
  <c i="15" r="AN38" s="1"/>
  <c i="15" r="AM39"/>
  <c i="15" r="AN39" s="1"/>
  <c i="15" r="AM40"/>
  <c i="15" r="AN40" s="1"/>
  <c i="15" r="AM41"/>
  <c i="15" r="AN41" s="1"/>
  <c i="15" r="AM42"/>
  <c i="15" r="AN42" s="1"/>
  <c i="15" r="AM43"/>
  <c i="15" r="AN43" s="1"/>
  <c i="15" r="AM44"/>
  <c i="15" r="AN44" s="1"/>
  <c i="15" r="AM3"/>
  <c i="15" r="AN3" s="1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L21"/>
  <c i="15" r="AL22"/>
  <c i="15" r="AL23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K4"/>
  <c i="15" r="AK5"/>
  <c i="15" r="AK6"/>
  <c i="15" r="AK7"/>
  <c i="15" r="AK8"/>
  <c i="15" r="AK9"/>
  <c i="15" r="AK10"/>
  <c i="15" r="AK11"/>
  <c i="15" r="AK12"/>
  <c i="15" r="AK13"/>
  <c i="15" r="AK14"/>
  <c i="15" r="AK15"/>
  <c i="15" r="AK16"/>
  <c i="15" r="AK17"/>
  <c i="15" r="AK18"/>
  <c i="15" r="AK19"/>
  <c i="15" r="AK20"/>
  <c i="15" r="AK21"/>
  <c i="15" r="AK22"/>
  <c i="15" r="AK23"/>
  <c i="15" r="AK24"/>
  <c i="15" r="AK25"/>
  <c i="15" r="AK26"/>
  <c i="15" r="AK27"/>
  <c i="15" r="AK28"/>
  <c i="15" r="AK29"/>
  <c i="15" r="AK30"/>
  <c i="15" r="AK31"/>
  <c i="15" r="AK32"/>
  <c i="15" r="AK33"/>
  <c i="15" r="AK34"/>
  <c i="15" r="AK35"/>
  <c i="15" r="AK36"/>
  <c i="15" r="AK37"/>
  <c i="15" r="AK38"/>
  <c i="15" r="AK39"/>
  <c i="15" r="AK40"/>
  <c i="15" r="AK41"/>
  <c i="15" r="AK42"/>
  <c i="15" r="AK43"/>
  <c i="15" r="AK44"/>
  <c i="15" r="AK3"/>
  <c i="15" r="AH4"/>
  <c i="15" r="AI4" s="1"/>
  <c i="15" r="AH5"/>
  <c i="15" r="AH6"/>
  <c i="15" r="AI6" s="1"/>
  <c i="15" r="AH7"/>
  <c i="15" r="AI7" s="1"/>
  <c i="15" r="AH8"/>
  <c i="15" r="AH9"/>
  <c i="15" r="AH10"/>
  <c i="15" r="AI10" s="1"/>
  <c i="15" r="AH11"/>
  <c i="15" r="AI11" s="1"/>
  <c i="15" r="AH12"/>
  <c i="15" r="AI12" s="1"/>
  <c i="15" r="AH13"/>
  <c i="15" r="AI13" s="1"/>
  <c i="15" r="AH14"/>
  <c i="15" r="AI14" s="1"/>
  <c i="15" r="AH15"/>
  <c i="15" r="AH16"/>
  <c i="15" r="AI16" s="1"/>
  <c i="15" r="AH17"/>
  <c i="15" r="AI17" s="1"/>
  <c i="15" r="AH18"/>
  <c i="15" r="AI18" s="1"/>
  <c i="15" r="AH19"/>
  <c i="15" r="AH20"/>
  <c i="15" r="AI20" s="1"/>
  <c i="15" r="AH21"/>
  <c i="15" r="AI21" s="1"/>
  <c i="15" r="AH22"/>
  <c i="15" r="AH23"/>
  <c i="15" r="AI23" s="1"/>
  <c i="15" r="AH24"/>
  <c i="15" r="AI24" s="1"/>
  <c i="15" r="AH25"/>
  <c i="15" r="AI25" s="1"/>
  <c i="15" r="AH26"/>
  <c i="15" r="AI26" s="1"/>
  <c i="15" r="AH27"/>
  <c i="15" r="AI27" s="1"/>
  <c i="15" r="AH28"/>
  <c i="15" r="AI28" s="1"/>
  <c i="15" r="AH29"/>
  <c i="15" r="AI29" s="1"/>
  <c i="15" r="AH30"/>
  <c i="15" r="AI30" s="1"/>
  <c i="15" r="AH31"/>
  <c i="15" r="AI31" s="1"/>
  <c i="15" r="AH32"/>
  <c i="15" r="AI32" s="1"/>
  <c i="15" r="AH33"/>
  <c i="15" r="AI33" s="1"/>
  <c i="15" r="AH34"/>
  <c i="15" r="AI34" s="1"/>
  <c i="15" r="AH35"/>
  <c i="15" r="AI35" s="1"/>
  <c i="15" r="AH36"/>
  <c i="15" r="AI36" s="1"/>
  <c i="15" r="AH37"/>
  <c i="15" r="AI37" s="1"/>
  <c i="15" r="AH38"/>
  <c i="15" r="AI38" s="1"/>
  <c i="15" r="AH3"/>
  <c i="15" r="AI3" s="1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r="AF4"/>
  <c i="15" r="AF5"/>
  <c i="15" r="AF6"/>
  <c i="15" r="AF7"/>
  <c i="15" r="AF8"/>
  <c i="15" r="AF9"/>
  <c i="15" r="AF10"/>
  <c i="15" r="AF11"/>
  <c i="15" r="AF12"/>
  <c i="15" r="AF13"/>
  <c i="15" r="AF14"/>
  <c i="15" r="AF15"/>
  <c i="15" r="AF16"/>
  <c i="15" r="AF17"/>
  <c i="15" r="AF18"/>
  <c i="15" r="AF19"/>
  <c i="15" r="AF20"/>
  <c i="15" r="AF21"/>
  <c i="15" r="AF22"/>
  <c i="15" r="AF23"/>
  <c i="15" r="AF24"/>
  <c i="15" r="AF25"/>
  <c i="15" r="AF26"/>
  <c i="15" r="AF27"/>
  <c i="15" r="AF28"/>
  <c i="15" r="AF29"/>
  <c i="15" r="AF30"/>
  <c i="15" r="AF31"/>
  <c i="15" r="AF32"/>
  <c i="15" r="AF33"/>
  <c i="15" r="AF34"/>
  <c i="15" r="AF35"/>
  <c i="15" r="AF36"/>
  <c i="15" r="AF37"/>
  <c i="15" r="AF38"/>
  <c i="15" r="AF3"/>
  <c i="15" l="1" r="R46"/>
  <c i="15" r="U48"/>
  <c i="15" r="S44"/>
  <c i="15" r="R43"/>
  <c i="15" r="V48"/>
  <c i="15" r="T43"/>
  <c i="15" r="T48"/>
  <c i="15" r="T45"/>
  <c i="15" r="T44"/>
  <c i="15" r="U43"/>
  <c i="15" r="U45"/>
  <c i="15" r="U44"/>
  <c i="15" r="U47"/>
  <c i="15" r="V43"/>
  <c i="15" r="V45"/>
  <c i="15" r="V44"/>
  <c i="15" r="V47"/>
  <c i="15" r="R45"/>
  <c i="15" r="R44"/>
  <c i="15" r="R48"/>
  <c i="15" r="R47"/>
  <c i="15" r="S43"/>
  <c i="15" r="S50"/>
  <c i="15" r="S48"/>
  <c i="15" r="S47"/>
  <c i="15" r="S45"/>
  <c i="7" l="1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10" r="I12" s="1"/>
  <c i="8" r="H12"/>
  <c i="8" r="G12"/>
  <c i="8" r="I12" s="1"/>
  <c i="6" r="H12"/>
  <c i="6" r="G12"/>
  <c i="9" r="H12"/>
  <c i="9" r="G12"/>
  <c i="4" r="H12"/>
  <c i="4" r="G12"/>
  <c i="9" l="1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V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4" r="D10"/>
  <c i="4" r="D9"/>
  <c i="4" r="D8"/>
  <c i="4" r="D7"/>
  <c i="4" r="D6"/>
  <c i="4" r="D5"/>
  <c i="4" r="D4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5" r="D10"/>
  <c i="5" r="D9"/>
  <c i="5" r="D8"/>
  <c i="5" r="D7"/>
  <c i="5" r="D6"/>
  <c i="5" r="D5"/>
  <c i="5" r="D4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7" r="I10"/>
  <c i="7" r="I9"/>
  <c i="7" r="I8"/>
  <c i="7" r="I7"/>
  <c i="7" r="I6"/>
  <c i="7" r="I5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" r="D10"/>
  <c i="1" r="D9"/>
  <c i="1" r="D8"/>
  <c i="1" r="D7"/>
  <c i="1" r="D6"/>
  <c i="1" r="D5"/>
  <c i="1" r="D4"/>
  <c i="1" r="C12"/>
  <c i="1" r="B12"/>
  <c i="15" l="1" r="O37"/>
  <c i="15" r="O31"/>
  <c i="15" r="N18"/>
  <c i="15" r="N19"/>
  <c i="15" r="N20"/>
  <c i="15" r="P20" s="1"/>
  <c i="15" r="N21"/>
  <c i="15" r="P21" s="1"/>
  <c i="15" r="N22"/>
  <c i="15" r="N23"/>
  <c i="15" r="N24"/>
  <c i="15" r="P24" s="1"/>
  <c i="15" r="N25"/>
  <c i="15" r="G38"/>
  <c i="15" r="G36"/>
  <c i="15" r="G31"/>
  <c i="15" r="G34"/>
  <c i="15" r="C35"/>
  <c i="15" r="C31"/>
  <c i="15" r="L26"/>
  <c i="15" r="L37" s="1"/>
  <c i="15" r="O36"/>
  <c i="15" r="G37"/>
  <c i="15" r="P19"/>
  <c i="15" r="D38"/>
  <c i="15" r="E37"/>
  <c i="11" r="E9"/>
  <c i="15" r="K23"/>
  <c i="15" r="O33"/>
  <c i="15" r="M26"/>
  <c i="15" r="M36" s="1"/>
  <c i="11" r="E11"/>
  <c i="15" r="K25"/>
  <c i="15" r="O35"/>
  <c i="15" r="P18"/>
  <c i="15" r="P22"/>
  <c i="15" r="O34"/>
  <c i="15" r="O32"/>
  <c i="1" r="I12"/>
  <c i="11" r="E5"/>
  <c i="11" r="E10"/>
  <c i="11" r="E6"/>
  <c i="11" r="E8"/>
  <c i="11" r="E7"/>
  <c i="11" r="B11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7" r="I22" s="1"/>
  <c i="8" r="D12"/>
  <c i="8" r="D24" s="1"/>
  <c i="1" r="D12"/>
  <c i="1" r="B25" s="1"/>
  <c i="15" l="1" r="M33"/>
  <c i="15" r="O39"/>
  <c i="15" r="G32"/>
  <c i="15" r="G35"/>
  <c i="15" r="V35" s="1"/>
  <c i="15" r="AC35" s="1"/>
  <c i="15" r="G33"/>
  <c i="15" r="D34"/>
  <c i="15" r="E35"/>
  <c i="15" r="M31"/>
  <c i="15" r="D36"/>
  <c i="15" r="E34"/>
  <c i="15" r="E33"/>
  <c i="15" r="T33" s="1"/>
  <c i="15" r="AA33" s="1"/>
  <c i="15" r="E38"/>
  <c i="15" r="D33"/>
  <c i="15" r="S33" s="1"/>
  <c i="15" r="Z33" s="1"/>
  <c i="15" r="D32"/>
  <c i="15" r="D37"/>
  <c i="15" r="C34"/>
  <c i="15" r="K26"/>
  <c i="15" r="K38" s="1"/>
  <c i="15" r="M38"/>
  <c i="15" r="D31"/>
  <c i="10" r="C17"/>
  <c i="15" r="N26"/>
  <c i="15" r="K35"/>
  <c i="15" r="R35" s="1"/>
  <c i="15" r="Y35" s="1"/>
  <c i="15" r="C36"/>
  <c i="15" r="M32"/>
  <c i="15" r="F34"/>
  <c i="15" r="D35"/>
  <c i="15" r="L32"/>
  <c i="15" r="E36"/>
  <c i="15" r="T36" s="1"/>
  <c i="15" r="AA36" s="1"/>
  <c i="15" r="L31"/>
  <c i="15" r="M35"/>
  <c i="15" r="M37"/>
  <c i="15" r="V31"/>
  <c i="15" r="L33"/>
  <c i="15" r="M34"/>
  <c i="15" r="C38"/>
  <c i="15" r="C32"/>
  <c i="15" r="E31"/>
  <c i="15" r="E32"/>
  <c i="15" r="C37"/>
  <c i="15" r="V33"/>
  <c i="15" r="AC33" s="1"/>
  <c i="15" r="P23"/>
  <c i="15" r="L35"/>
  <c i="15" r="V36"/>
  <c i="15" r="AC36" s="1"/>
  <c i="15" r="C33"/>
  <c i="15" r="L34"/>
  <c i="15" r="L38"/>
  <c i="15" r="S38" s="1"/>
  <c i="15" r="Z38" s="1"/>
  <c i="15" r="L36"/>
  <c i="15" r="S36" s="1"/>
  <c i="15" r="Z36" s="1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G35" s="1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15" l="1" r="K37"/>
  <c i="15" r="K31"/>
  <c i="15" r="R31" s="1"/>
  <c i="15" r="K34"/>
  <c i="15" r="K32"/>
  <c i="15" r="P26"/>
  <c i="7" r="S36"/>
  <c i="9" r="H36"/>
  <c i="5" r="G34"/>
  <c i="6" r="G35"/>
  <c i="15" r="K36"/>
  <c i="10" r="N38"/>
  <c i="5" r="H32"/>
  <c i="9" r="N35"/>
  <c i="4" r="N38"/>
  <c i="15" r="G39"/>
  <c i="15" r="V32"/>
  <c i="15" r="AC32" s="1"/>
  <c i="15" r="K33"/>
  <c i="15" r="R33" s="1"/>
  <c i="15" r="Y33" s="1"/>
  <c i="15" r="Y57" s="1"/>
  <c i="15" r="AI9" s="1"/>
  <c i="9" r="H38"/>
  <c i="15" r="S35"/>
  <c i="15" r="Z35" s="1"/>
  <c i="15" r="Y31"/>
  <c i="15" r="Y55" s="1"/>
  <c i="15" r="AI19" s="1"/>
  <c i="15" r="F33"/>
  <c i="15" r="R34"/>
  <c i="15" r="Y34" s="1"/>
  <c i="15" r="Y58" s="1"/>
  <c i="15" r="AI5" s="1"/>
  <c i="10" r="G35"/>
  <c i="10" r="H30"/>
  <c i="15" r="AC31"/>
  <c i="15" r="AC55" s="1"/>
  <c i="15" r="BC8" s="1"/>
  <c i="15" r="F31"/>
  <c i="15" r="F38"/>
  <c i="15" r="F32"/>
  <c i="15" r="S32"/>
  <c i="15" r="Z32" s="1"/>
  <c i="15" r="AC59"/>
  <c i="15" r="BC5" s="1"/>
  <c i="15" r="AC56"/>
  <c i="15" r="BC7" s="1"/>
  <c i="15" r="M39"/>
  <c i="15" r="AC60"/>
  <c i="15" r="BC13" s="1"/>
  <c i="15" r="AC57"/>
  <c i="15" r="BC6" s="1"/>
  <c i="15" r="N31"/>
  <c i="15" r="N32"/>
  <c i="15" r="N35"/>
  <c i="15" r="N33"/>
  <c i="15" r="N34"/>
  <c i="15" r="N38"/>
  <c i="15" r="N36"/>
  <c i="15" r="R32"/>
  <c i="15" r="N37"/>
  <c i="15" r="L39"/>
  <c i="15" r="C39"/>
  <c i="15" r="F37"/>
  <c i="15" r="D39"/>
  <c i="15" r="S31"/>
  <c i="15" r="Z57"/>
  <c i="15" r="AN14" s="1"/>
  <c i="15" r="F35"/>
  <c i="15" r="F36"/>
  <c i="15" r="R36"/>
  <c i="15" r="T32"/>
  <c i="15" r="AA32" s="1"/>
  <c i="15" r="E39"/>
  <c i="15" r="T31"/>
  <c i="15" r="Y59"/>
  <c i="15" r="AI8" s="1"/>
  <c i="6" r="N37"/>
  <c i="15" r="K39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U32"/>
  <c i="15" r="AB32" s="1"/>
  <c i="15" r="U33"/>
  <c i="15" r="AB33" s="1"/>
  <c i="15" r="AB57" s="1"/>
  <c i="15" r="AX7" s="1"/>
  <c i="15" r="U31"/>
  <c i="15" r="AB31" s="1"/>
  <c i="15" r="AB55" s="1"/>
  <c i="15" r="AX18" s="1"/>
  <c i="15" r="Y32"/>
  <c i="15" r="Y56" s="1"/>
  <c i="15" r="AI15" s="1"/>
  <c i="15" r="AA31"/>
  <c i="15" r="AA55" s="1"/>
  <c i="15" r="Y36"/>
  <c i="15" r="Y60" s="1"/>
  <c i="15" r="AI22" s="1"/>
  <c i="15" r="U36"/>
  <c i="15" r="Z31"/>
  <c i="15" r="Z55" s="1"/>
  <c i="15" r="AN22" s="1"/>
  <c i="15" r="U35"/>
  <c i="15" r="N39"/>
  <c i="15" r="AA56"/>
  <c i="15" r="AS8" s="1"/>
  <c i="15" r="F39"/>
  <c i="15" r="Z59"/>
  <c i="15" r="AN8" s="1"/>
  <c i="15" r="AA60"/>
  <c i="15" r="AS12" s="1"/>
  <c i="15" r="AA57"/>
  <c i="15" r="AS4" s="1"/>
  <c i="15" r="AB56"/>
  <c i="15" r="AX14" s="1"/>
  <c i="15" r="Z56"/>
  <c i="15" r="AN17" s="1"/>
  <c i="15" r="Z60"/>
  <c i="15" r="AN27" s="1"/>
  <c i="15" r="Z62"/>
  <c i="15" r="AN5" s="1"/>
  <c i="11" r="E33"/>
  <c i="11" r="E36"/>
  <c i="11" r="E34"/>
  <c i="11" r="E32"/>
  <c i="11" r="E35"/>
  <c i="11" r="E30"/>
  <c i="11" r="E38"/>
  <c i="11" r="E37"/>
  <c i="15" l="1" r="AB36"/>
  <c i="15" r="AB60" s="1"/>
  <c i="15" r="AX21" s="1"/>
  <c i="15" r="AB35"/>
  <c i="15" r="AB59" s="1"/>
  <c i="15" r="AX5" s="1"/>
</calcChain>
</file>

<file path=xl/sharedStrings.xml><?xml version="1.0" encoding="utf-8"?>
<sst xmlns="http://schemas.openxmlformats.org/spreadsheetml/2006/main" count="1839" uniqueCount="253">
  <si>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</si>
  <si>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</si>
  <si>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</si>
  <si>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</si>
  <si>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</si>
  <si>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</si>
  <si>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</si>
  <si>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</si>
  <si>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</si>
  <si>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</si>
  <si>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</si>
  <si>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</si>
  <si>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</si>
  <si>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</si>
  <si>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</si>
  <si>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</si>
  <si>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</si>
  <si>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</si>
  <si>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</si>
  <si>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</si>
  <si>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</si>
  <si>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</si>
  <si>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</si>
  <si>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</si>
  <si>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</si>
  <si>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</si>
  <si>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</si>
  <si>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</si>
  <si>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</si>
  <si>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</si>
  <si>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</si>
  <si>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</si>
  <si>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</si>
  <si>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</si>
  <si>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</si>
  <si>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</si>
  <si>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</si>
  <si>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</si>
  <si>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</si>
  <si>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</si>
  <si>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</si>
  <si>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</si>
  <si>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</si>
  <si>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</si>
  <si>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</si>
  <si>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</si>
  <si>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</si>
  <si>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</si>
  <si>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</si>
  <si>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</si>
  <si>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</si>
  <si>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</si>
  <si>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</si>
  <si>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</si>
  <si>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</si>
  <si>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</si>
  <si>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</si>
  <si>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</si>
  <si>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</si>
  <si>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</si>
  <si>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</si>
  <si>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</si>
  <si>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</si>
  <si>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</si>
  <si>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</si>
  <si>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</si>
  <si>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</si>
  <si>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</si>
  <si>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</si>
  <si>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</si>
  <si>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</si>
  <si>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</si>
  <si>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</si>
  <si>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</si>
  <si>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</si>
  <si>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</si>
  <si>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</si>
  <si>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</si>
  <si>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</si>
  <si>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</si>
  <si>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</si>
  <si>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</si>
  <si>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</si>
  <si>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</si>
  <si>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</si>
  <si>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</si>
  <si>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</si>
  <si>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</si>
  <si>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</si>
  <si>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</si>
  <si>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</si>
  <si>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</si>
  <si>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</si>
  <si>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</si>
  <si>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</si>
  <si>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</si>
  <si>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</si>
  <si>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</si>
  <si>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</si>
  <si>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</si>
  <si>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</si>
  <si>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</si>
  <si>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</si>
  <si>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</si>
  <si>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</si>
  <si>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</si>
  <si>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</si>
  <si>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</si>
  <si>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</si>
  <si>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</si>
  <si>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</si>
  <si>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</si>
  <si>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</si>
  <si>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</si>
  <si>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</si>
  <si>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</si>
  <si>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</si>
  <si>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</si>
  <si>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</si>
  <si>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</si>
  <si>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</si>
  <si>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</si>
  <si>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</si>
  <si>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</si>
  <si>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</si>
  <si>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</si>
  <si>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</si>
  <si>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</si>
  <si>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</si>
  <si>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</si>
  <si>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</si>
  <si>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</si>
  <si>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</si>
  <si>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</si>
  <si>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</si>
  <si>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</si>
  <si>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</si>
  <si>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</si>
  <si>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</si>
  <si>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</si>
  <si>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</si>
  <si>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</si>
  <si>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</si>
  <si>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</si>
  <si>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</si>
  <si>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</si>
  <si>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</si>
  <si>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</si>
  <si>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</si>
  <si>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</si>
  <si>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</si>
  <si>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</si>
  <si>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</si>
  <si>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</si>
  <si>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</si>
  <si>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</si>
  <si>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</si>
  <si>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</si>
  <si>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</si>
  <si>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</si>
  <si>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</si>
  <si>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</si>
  <si>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</si>
  <si>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</si>
  <si>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</si>
  <si>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</si>
  <si>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</si>
  <si>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</si>
  <si>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</si>
  <si>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</si>
  <si>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</si>
  <si>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</si>
  <si>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</si>
  <si>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</si>
  <si>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</si>
  <si>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</si>
  <si>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</si>
  <si>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</si>
  <si>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</si>
  <si>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</si>
  <si>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</si>
  <si>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</si>
  <si>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</si>
  <si>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</si>
  <si>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</si>
  <si>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</si>
  <si>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</si>
  <si>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</si>
  <si>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</si>
  <si>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</si>
  <si>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</si>
  <si>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</si>
  <si>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</si>
  <si>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</si>
  <si>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</si>
  <si>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</si>
  <si>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</si>
  <si>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</si>
  <si>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</si>
  <si>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</si>
  <si>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</si>
  <si>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</si>
  <si>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</si>
  <si>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</si>
  <si>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</si>
  <si>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</si>
  <si>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</si>
  <si>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</si>
  <si>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</si>
  <si>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</si>
  <si>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</si>
  <si>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</si>
  <si>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</si>
  <si>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</si>
  <si>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</si>
  <si>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</si>
  <si>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</si>
  <si>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</si>
  <si>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</si>
  <si>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</si>
  <si>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</si>
  <si>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</si>
  <si>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</si>
  <si>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</si>
  <si>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</si>
  <si>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</si>
  <si>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</si>
  <si>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</si>
  <si>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</si>
  <si>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</si>
  <si>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</si>
  <si>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</si>
  <si>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</si>
  <si>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</si>
  <si>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</si>
  <si>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</si>
  <si>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</si>
  <si>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</si>
  <si>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</si>
  <si>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014:02:09</t>
  </si>
  <si>
    <t>School</t>
  </si>
  <si>
    <t>014:17:24</t>
  </si>
  <si>
    <t>015:26:24</t>
  </si>
  <si>
    <t>HB</t>
  </si>
  <si>
    <t>015:24:16</t>
  </si>
  <si>
    <t>work-based</t>
  </si>
  <si>
    <t>subtour</t>
  </si>
  <si>
    <t>015:55:36</t>
  </si>
  <si>
    <t>Old</t>
  </si>
  <si>
    <t>New</t>
  </si>
  <si>
    <t>Coeff Index</t>
  </si>
  <si>
    <t>0 count from DaySim</t>
  </si>
  <si>
    <t>SurveyAdjusted (Reduce transit share)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</si>
</sst>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</cellStyleXfs>
  <cellXfs count="64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Fill="1" applyNumberFormat="1" borderId="0" fillId="7" fontId="0" numFmtId="2" xfId="0"/>
    <xf applyBorder="1" applyFill="1" applyFont="1" applyNumberFormat="1" borderId="0" fillId="0" fontId="6" numFmtId="3" xfId="0"/>
    <xf applyFill="1" borderId="0" fillId="7" fontId="0" numFmtId="0" xfId="0"/>
    <xf applyFill="1" borderId="0" fillId="0" fontId="0" numFmtId="0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theme/theme1.xml" Type="http://schemas.openxmlformats.org/officeDocument/2006/relationships/theme"/>
<Relationship Id="rId19" Target="styles.xml" Type="http://schemas.openxmlformats.org/officeDocument/2006/relationships/styles"/>
<Relationship Id="rId2" Target="worksheets/sheet2.xml" Type="http://schemas.openxmlformats.org/officeDocument/2006/relationships/worksheet"/>
<Relationship Id="rId20" Target="sharedStrings.xml" Type="http://schemas.openxmlformats.org/officeDocument/2006/relationships/sharedStrings"/>
<Relationship Id="rId21" Target="calcChain.xml" Type="http://schemas.openxmlformats.org/officeDocument/2006/relationships/calcChain"/>
<Relationship Id="rId22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E38"/>
  <sheetViews>
    <sheetView workbookViewId="0">
      <selection activeCell="E3" sqref="E3:E12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709468.35677512293</v>
      </c>
      <c r="D4" s="9" t="s">
        <v>1</v>
      </c>
      <c r="E4" s="9">
        <f>SUM(Work!I4,Workbased!S5,School!I4,Escort!I4,Personal_Business!I4,Shop!I4,Meal!I4,SocRec!I4)</f>
        <v>723170</v>
      </c>
    </row>
    <row r="5" spans="1:5" x14ac:dyDescent="0.25">
      <c r="A5" s="9" t="s">
        <v>2</v>
      </c>
      <c r="B5" s="9">
        <f>SUM(Work!D5,Workbased!I6,School!D5,Escort!D5,Personal_Business!D5,Shop!D5,Meal!D5,SocRec!D5)</f>
        <v>452967.78520594904</v>
      </c>
      <c r="D5" s="9" t="s">
        <v>2</v>
      </c>
      <c r="E5" s="9">
        <f>SUM(Work!I5,Workbased!S6,School!I5,Escort!I5,Personal_Business!I5,Shop!I5,Meal!I5,SocRec!I5)</f>
        <v>465750</v>
      </c>
    </row>
    <row r="6" spans="1:5" x14ac:dyDescent="0.25">
      <c r="A6" s="9" t="s">
        <v>3</v>
      </c>
      <c r="B6" s="9">
        <f>SUM(Work!D6,Workbased!I7,School!D6,Escort!D6,Personal_Business!D6,Shop!D6,Meal!D6,SocRec!D6)</f>
        <v>335209.73591131932</v>
      </c>
      <c r="D6" s="9" t="s">
        <v>3</v>
      </c>
      <c r="E6" s="9">
        <f>SUM(Work!I6,Workbased!S7,School!I6,Escort!I6,Personal_Business!I6,Shop!I6,Meal!I6,SocRec!I6)</f>
        <v>348185</v>
      </c>
    </row>
    <row r="7" spans="1:5" x14ac:dyDescent="0.25">
      <c r="A7" s="9" t="s">
        <v>4</v>
      </c>
      <c r="B7" s="9">
        <f>SUM(Work!D7,Workbased!I8,School!D7,Escort!D7,Personal_Business!D7,Shop!D7,Meal!D7,SocRec!D7)</f>
        <v>7920.5986439544658</v>
      </c>
      <c r="D7" s="9" t="s">
        <v>4</v>
      </c>
      <c r="E7" s="9">
        <f>SUM(Work!I7,Workbased!S8,School!I7,Escort!I7,Personal_Business!I7,Shop!I7,Meal!I7,SocRec!I7)</f>
        <v>1940</v>
      </c>
    </row>
    <row r="8" spans="1:5" x14ac:dyDescent="0.25">
      <c r="A8" s="9" t="s">
        <v>5</v>
      </c>
      <c r="B8" s="9">
        <f>SUM(Work!D8,Workbased!I9,School!D8,Escort!D8,Personal_Business!D8,Shop!D8,Meal!D8,SocRec!D8)</f>
        <v>22934.312709766429</v>
      </c>
      <c r="D8" s="9" t="s">
        <v>5</v>
      </c>
      <c r="E8" s="9">
        <f>SUM(Work!I8,Workbased!S9,School!I8,Escort!I8,Personal_Business!I8,Shop!I8,Meal!I8,SocRec!I8)</f>
        <v>8665</v>
      </c>
    </row>
    <row r="9" spans="1:5" x14ac:dyDescent="0.25">
      <c r="A9" s="9" t="s">
        <v>6</v>
      </c>
      <c r="B9" s="9">
        <f>SUM(Work!D9,Workbased!I10,School!D9,Escort!D9,Personal_Business!D9,Shop!D9,Meal!D9,SocRec!D9)</f>
        <v>8641.3515225210958</v>
      </c>
      <c r="D9" s="9" t="s">
        <v>6</v>
      </c>
      <c r="E9" s="9">
        <f>SUM(Work!I9,Workbased!S10,School!I9,Escort!I9,Personal_Business!I9,Shop!I9,Meal!I9,SocRec!I9)</f>
        <v>10630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64057.880106193523</v>
      </c>
      <c r="D10" s="9" t="s">
        <v>7</v>
      </c>
      <c r="E10" s="9">
        <f>SUM(Work!I10,Workbased!S11,School!I10,Escort!I10,Personal_Business!I10,Shop!I10,Meal!I10,SocRec!I10)</f>
        <v>54695</v>
      </c>
    </row>
    <row r="11" spans="1:5" x14ac:dyDescent="0.25">
      <c r="A11" s="14" t="s">
        <v>8</v>
      </c>
      <c r="B11" s="14">
        <f>SUM(Work!D11,School!D11,Escort!D11,Personal_Business!D11,Shop!D11,Meal!D11,SocRec!D11)</f>
        <v>88719.169228924089</v>
      </c>
      <c r="D11" s="14" t="s">
        <v>8</v>
      </c>
      <c r="E11" s="14">
        <f>SUM(Work!I11,School!I11,Escort!I11,Personal_Business!I11,Shop!I11,Meal!I11,SocRec!I11)</f>
        <v>93075</v>
      </c>
    </row>
    <row ht="15.75" r="12" spans="1:5" thickBot="1" x14ac:dyDescent="0.3">
      <c r="A12" s="13" t="s">
        <v>19</v>
      </c>
      <c r="B12" s="10">
        <f>SUM(B4:B11)</f>
        <v>1689919.1901037507</v>
      </c>
      <c r="D12" s="13" t="s">
        <v>19</v>
      </c>
      <c r="E12" s="10">
        <f>SUM(E4:E11)</f>
        <v>1706110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0.41982383591464273</v>
      </c>
      <c r="D17" s="9" t="s">
        <v>1</v>
      </c>
      <c r="E17" s="16">
        <f ref="E17:E25" si="1" t="shared">E4/$E$12</f>
        <v>0.42387067656833383</v>
      </c>
    </row>
    <row r="18" spans="1:5" x14ac:dyDescent="0.25">
      <c r="A18" s="9" t="s">
        <v>2</v>
      </c>
      <c r="B18" s="16">
        <f si="0" t="shared"/>
        <v>0.26804109205845494</v>
      </c>
      <c r="D18" s="9" t="s">
        <v>2</v>
      </c>
      <c r="E18" s="16">
        <f si="1" t="shared"/>
        <v>0.27298943209992321</v>
      </c>
    </row>
    <row r="19" spans="1:5" x14ac:dyDescent="0.25">
      <c r="A19" s="9" t="s">
        <v>3</v>
      </c>
      <c r="B19" s="16">
        <f si="0" t="shared"/>
        <v>0.19835844096825689</v>
      </c>
      <c r="D19" s="9" t="s">
        <v>3</v>
      </c>
      <c r="E19" s="16">
        <f si="1" t="shared"/>
        <v>0.20408121398971929</v>
      </c>
    </row>
    <row r="20" spans="1:5" x14ac:dyDescent="0.25">
      <c r="A20" s="9" t="s">
        <v>4</v>
      </c>
      <c r="B20" s="16">
        <f si="0" t="shared"/>
        <v>4.6869688742147428E-3</v>
      </c>
      <c r="D20" s="9" t="s">
        <v>4</v>
      </c>
      <c r="E20" s="16">
        <f si="1" t="shared"/>
        <v>1.137089636658832E-3</v>
      </c>
    </row>
    <row r="21" spans="1:5" x14ac:dyDescent="0.25">
      <c r="A21" s="9" t="s">
        <v>5</v>
      </c>
      <c r="B21" s="16">
        <f si="0" t="shared"/>
        <v>1.3571248166226459E-2</v>
      </c>
      <c r="D21" s="9" t="s">
        <v>5</v>
      </c>
      <c r="E21" s="16">
        <f si="1" t="shared"/>
        <v>5.0788050008498866E-3</v>
      </c>
    </row>
    <row r="22" spans="1:5" x14ac:dyDescent="0.25">
      <c r="A22" s="9" t="s">
        <v>6</v>
      </c>
      <c r="B22" s="16">
        <f si="0" t="shared"/>
        <v>5.113470261255847E-3</v>
      </c>
      <c r="D22" s="9" t="s">
        <v>6</v>
      </c>
      <c r="E22" s="16">
        <f si="1" t="shared"/>
        <v>6.2305478544759712E-3</v>
      </c>
    </row>
    <row r="23" spans="1:5" x14ac:dyDescent="0.25">
      <c r="A23" s="9" t="s">
        <v>7</v>
      </c>
      <c r="B23" s="16">
        <f si="0" t="shared"/>
        <v>3.7905883595688833E-2</v>
      </c>
      <c r="D23" s="9" t="s">
        <v>7</v>
      </c>
      <c r="E23" s="16">
        <f si="1" t="shared"/>
        <v>3.205830808095609E-2</v>
      </c>
    </row>
    <row r="24" spans="1:5" x14ac:dyDescent="0.25">
      <c r="A24" s="14" t="s">
        <v>8</v>
      </c>
      <c r="B24" s="17">
        <f si="0" t="shared"/>
        <v>5.2499060161259707E-2</v>
      </c>
      <c r="D24" s="14" t="s">
        <v>8</v>
      </c>
      <c r="E24" s="17">
        <f si="1" t="shared"/>
        <v>5.4553926769082883E-2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4.0468406536910972E-3</v>
      </c>
    </row>
    <row r="31" spans="1:5" x14ac:dyDescent="0.25">
      <c r="D31" s="9" t="s">
        <v>2</v>
      </c>
      <c r="E31" s="16">
        <f ref="E31:E36" si="2" t="shared">E18-B18</f>
        <v>4.9483400414682688E-3</v>
      </c>
    </row>
    <row r="32" spans="1:5" x14ac:dyDescent="0.25">
      <c r="D32" s="9" t="s">
        <v>3</v>
      </c>
      <c r="E32" s="16">
        <f si="2" t="shared"/>
        <v>5.7227730214624017E-3</v>
      </c>
    </row>
    <row r="33" spans="4:5" x14ac:dyDescent="0.25">
      <c r="D33" s="9" t="s">
        <v>4</v>
      </c>
      <c r="E33" s="16">
        <f si="2" t="shared"/>
        <v>-3.5498792375559108E-3</v>
      </c>
    </row>
    <row r="34" spans="4:5" x14ac:dyDescent="0.25">
      <c r="D34" s="9" t="s">
        <v>5</v>
      </c>
      <c r="E34" s="16">
        <f si="2" t="shared"/>
        <v>-8.4924431653765724E-3</v>
      </c>
    </row>
    <row r="35" spans="4:5" x14ac:dyDescent="0.25">
      <c r="D35" s="9" t="s">
        <v>6</v>
      </c>
      <c r="E35" s="16">
        <f si="2" t="shared"/>
        <v>1.1170775932201242E-3</v>
      </c>
    </row>
    <row r="36" spans="4:5" x14ac:dyDescent="0.25">
      <c r="D36" s="9" t="s">
        <v>7</v>
      </c>
      <c r="E36" s="16">
        <f si="2" t="shared"/>
        <v>-5.8475755147327432E-3</v>
      </c>
    </row>
    <row r="37" spans="4:5" x14ac:dyDescent="0.25">
      <c r="D37" s="14" t="s">
        <v>8</v>
      </c>
      <c r="E37" s="17">
        <f>E24-B24</f>
        <v>2.0548666078231762E-3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602.1179</v>
      </c>
      <c r="C4" s="9" t="n">
        <v>838269.232</v>
      </c>
      <c r="D4" s="9">
        <f>SUM(B4:C4)</f>
        <v>394193.8954412078</v>
      </c>
      <c r="F4" s="9" t="s">
        <v>1</v>
      </c>
      <c r="G4" s="9" t="n">
        <v>0.0</v>
      </c>
      <c r="H4" s="9" t="n">
        <v>837424.0</v>
      </c>
      <c r="I4" s="9">
        <f>SUM(G4:H4)</f>
        <v>397700</v>
      </c>
    </row>
    <row r="5" spans="1:9" x14ac:dyDescent="0.25">
      <c r="A5" s="9" t="s">
        <v>2</v>
      </c>
      <c r="B5" s="9" t="n">
        <v>1965.5859</v>
      </c>
      <c r="C5" s="9" t="n">
        <v>182959.855</v>
      </c>
      <c r="D5" s="9">
        <f ref="D5:D11" si="0" t="shared">SUM(B5:C5)</f>
        <v>110743.55730595058</v>
      </c>
      <c r="F5" s="9" t="s">
        <v>2</v>
      </c>
      <c r="G5" s="9" t="n">
        <v>3970.0</v>
      </c>
      <c r="H5" s="9" t="n">
        <v>188429.0</v>
      </c>
      <c r="I5" s="9">
        <f ref="I5:I11" si="1" t="shared">SUM(G5:H5)</f>
        <v>111230</v>
      </c>
    </row>
    <row r="6" spans="1:9" x14ac:dyDescent="0.25">
      <c r="A6" s="9" t="s">
        <v>3</v>
      </c>
      <c r="B6" s="9" t="n">
        <v>621.8804</v>
      </c>
      <c r="C6" s="9" t="n">
        <v>99483.4032</v>
      </c>
      <c r="D6" s="9">
        <f si="0" t="shared"/>
        <v>41384.664683675117</v>
      </c>
      <c r="F6" s="9" t="s">
        <v>3</v>
      </c>
      <c r="G6" s="9" t="n">
        <v>1984.0</v>
      </c>
      <c r="H6" s="9" t="n">
        <v>94586.0</v>
      </c>
      <c r="I6" s="9">
        <f si="1" t="shared"/>
        <v>41550</v>
      </c>
    </row>
    <row r="7" spans="1:9" x14ac:dyDescent="0.25">
      <c r="A7" s="9" t="s">
        <v>4</v>
      </c>
      <c r="B7" s="9" t="n">
        <v>8.322</v>
      </c>
      <c r="C7" s="9" t="n">
        <v>37908.6517</v>
      </c>
      <c r="D7" s="9">
        <f si="0" t="shared"/>
        <v>5767.671628244856</v>
      </c>
      <c r="F7" s="9" t="s">
        <v>4</v>
      </c>
      <c r="G7" s="9" t="n">
        <v>1048.0</v>
      </c>
      <c r="H7" s="9" t="n">
        <v>39199.0</v>
      </c>
      <c r="I7" s="9">
        <f si="1" t="shared"/>
        <v>1940</v>
      </c>
    </row>
    <row r="8" spans="1:9" x14ac:dyDescent="0.25">
      <c r="A8" s="9" t="s">
        <v>5</v>
      </c>
      <c r="B8" s="9" t="n">
        <v>31965.0102</v>
      </c>
      <c r="C8" s="9" t="n">
        <v>120972.8088</v>
      </c>
      <c r="D8" s="9">
        <f si="0" t="shared"/>
        <v>10105.8897897889</v>
      </c>
      <c r="F8" s="9" t="s">
        <v>5</v>
      </c>
      <c r="G8" s="9" t="n">
        <v>15211.0</v>
      </c>
      <c r="H8" s="9" t="n">
        <v>90315.0</v>
      </c>
      <c r="I8" s="9">
        <f si="1" t="shared"/>
        <v>3105</v>
      </c>
    </row>
    <row r="9" spans="1:9" x14ac:dyDescent="0.25">
      <c r="A9" s="9" t="s">
        <v>6</v>
      </c>
      <c r="B9" s="9" t="n">
        <v>2346.5773</v>
      </c>
      <c r="C9" s="9" t="n">
        <v>30091.3155</v>
      </c>
      <c r="D9" s="9">
        <f si="0" t="shared"/>
        <v>3704.5440896904424</v>
      </c>
      <c r="F9" s="9" t="s">
        <v>6</v>
      </c>
      <c r="G9" s="9" t="n">
        <v>6325.0</v>
      </c>
      <c r="H9" s="9" t="n">
        <v>31427.0</v>
      </c>
      <c r="I9" s="9">
        <f si="1" t="shared"/>
        <v>3750</v>
      </c>
    </row>
    <row r="10" spans="1:9" x14ac:dyDescent="0.25">
      <c r="A10" s="9" t="s">
        <v>7</v>
      </c>
      <c r="B10" s="9" t="n">
        <v>7113.3362</v>
      </c>
      <c r="C10" s="9" t="n">
        <v>24376.5493</v>
      </c>
      <c r="D10" s="9">
        <f si="0" t="shared"/>
        <v>5425.1189021264772</v>
      </c>
      <c r="F10" s="9" t="s">
        <v>7</v>
      </c>
      <c r="G10" s="9" t="n">
        <v>7379.0</v>
      </c>
      <c r="H10" s="9" t="n">
        <v>49625.0</v>
      </c>
      <c r="I10" s="9">
        <f si="1" t="shared"/>
        <v>5535</v>
      </c>
    </row>
    <row r="11" spans="1:9" x14ac:dyDescent="0.25">
      <c r="A11" s="14" t="s">
        <v>8</v>
      </c>
      <c r="B11" s="14" t="n">
        <v>0.0</v>
      </c>
      <c r="C11" s="14" t="n">
        <v>786.4971</v>
      </c>
      <c r="D11" s="14">
        <f si="0" t="shared"/>
        <v>386.03081526662845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6793.0260004661277</v>
      </c>
      <c r="C12" s="10">
        <f>SUM(C4:C11)</f>
        <v>564918.34665548475</v>
      </c>
      <c r="D12" s="10">
        <f>SUM(D4:D11)</f>
        <v>571711.37265595072</v>
      </c>
      <c r="F12" s="13" t="s">
        <v>19</v>
      </c>
      <c r="G12" s="10">
        <f>SUM(G4:G11)</f>
        <v>5225</v>
      </c>
      <c r="H12" s="10">
        <f>SUM(H4:H11)</f>
        <v>559585</v>
      </c>
      <c r="I12" s="10">
        <f>SUM(I4:I11)</f>
        <v>564810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1.3366746135126629E-3</v>
      </c>
      <c r="C17" s="16">
        <f ref="C17:D17" si="2" t="shared">C4/$D$12</f>
        <v>0.68816140832637163</v>
      </c>
      <c r="D17" s="16">
        <f si="2" t="shared"/>
        <v>0.68949808293988424</v>
      </c>
      <c r="F17" s="9" t="s">
        <v>1</v>
      </c>
      <c r="G17" s="16">
        <f ref="G17:I25" si="3" t="shared">G4/$I$12</f>
        <v>0</v>
      </c>
      <c r="H17" s="16">
        <f si="3" t="shared"/>
        <v>0.70413059258865818</v>
      </c>
      <c r="I17" s="16">
        <f si="3" t="shared"/>
        <v>0.70413059258865818</v>
      </c>
    </row>
    <row r="18" spans="1:14" x14ac:dyDescent="0.25">
      <c r="A18" s="9" t="s">
        <v>2</v>
      </c>
      <c r="B18" s="16">
        <f ref="B18:D18" si="4" t="shared">B5/$D$12</f>
        <v>6.7446511258706528E-4</v>
      </c>
      <c r="C18" s="16">
        <f si="4" t="shared"/>
        <v>0.19303089497405715</v>
      </c>
      <c r="D18" s="16">
        <f si="4" t="shared"/>
        <v>0.19370536008664424</v>
      </c>
      <c r="F18" s="9" t="s">
        <v>2</v>
      </c>
      <c r="G18" s="16">
        <f si="3" t="shared"/>
        <v>2.0006727926205272E-3</v>
      </c>
      <c r="H18" s="16">
        <f si="3" t="shared"/>
        <v>0.19493280926329207</v>
      </c>
      <c r="I18" s="16">
        <f si="3" t="shared"/>
        <v>0.1969334820559126</v>
      </c>
    </row>
    <row r="19" spans="1:14" x14ac:dyDescent="0.25">
      <c r="A19" s="9" t="s">
        <v>3</v>
      </c>
      <c r="B19" s="16">
        <f ref="B19:D19" si="5" t="shared">B6/$D$12</f>
        <v>0</v>
      </c>
      <c r="C19" s="16">
        <f si="5" t="shared"/>
        <v>7.2387338547102734E-2</v>
      </c>
      <c r="D19" s="16">
        <f si="5" t="shared"/>
        <v>7.2387338547102734E-2</v>
      </c>
      <c r="F19" s="9" t="s">
        <v>3</v>
      </c>
      <c r="G19" s="16">
        <f si="3" t="shared"/>
        <v>7.5246543085285319E-4</v>
      </c>
      <c r="H19" s="16">
        <f si="3" t="shared"/>
        <v>7.2812096103114315E-2</v>
      </c>
      <c r="I19" s="16">
        <f si="3" t="shared"/>
        <v>7.3564561533967177E-2</v>
      </c>
    </row>
    <row r="20" spans="1:14" x14ac:dyDescent="0.25">
      <c r="A20" s="9" t="s">
        <v>4</v>
      </c>
      <c r="B20" s="16">
        <f ref="B20:D20" si="6" t="shared">B7/$D$12</f>
        <v>2.350564759815259E-4</v>
      </c>
      <c r="C20" s="16">
        <f si="6" t="shared"/>
        <v>9.8533760865027152E-3</v>
      </c>
      <c r="D20" s="16">
        <f si="6" t="shared"/>
        <v>1.0088432562484241E-2</v>
      </c>
      <c r="F20" s="9" t="s">
        <v>4</v>
      </c>
      <c r="G20" s="16">
        <f si="3" t="shared"/>
        <v>1.8590322409305784E-4</v>
      </c>
      <c r="H20" s="16">
        <f si="3" t="shared"/>
        <v>3.2488801543882014E-3</v>
      </c>
      <c r="I20" s="16">
        <f si="3" t="shared"/>
        <v>3.4347833784812592E-3</v>
      </c>
    </row>
    <row r="21" spans="1:14" x14ac:dyDescent="0.25">
      <c r="A21" s="9" t="s">
        <v>5</v>
      </c>
      <c r="B21" s="16">
        <f ref="B21:D21" si="7" t="shared">B8/$D$12</f>
        <v>8.242809363492214E-3</v>
      </c>
      <c r="C21" s="16">
        <f si="7" t="shared"/>
        <v>9.4337496016387926E-3</v>
      </c>
      <c r="D21" s="16">
        <f si="7" t="shared"/>
        <v>1.7676558965131008E-2</v>
      </c>
      <c r="F21" s="9" t="s">
        <v>5</v>
      </c>
      <c r="G21" s="16">
        <f si="3" t="shared"/>
        <v>1.52263593066695E-3</v>
      </c>
      <c r="H21" s="16">
        <f si="3" t="shared"/>
        <v>3.9747879817991893E-3</v>
      </c>
      <c r="I21" s="16">
        <f si="3" t="shared"/>
        <v>5.4974239124661387E-3</v>
      </c>
    </row>
    <row r="22" spans="1:14" x14ac:dyDescent="0.25">
      <c r="A22" s="9" t="s">
        <v>6</v>
      </c>
      <c r="B22" s="16">
        <f ref="B22:D22" si="8" t="shared">B9/$D$12</f>
        <v>5.1562379830881499E-4</v>
      </c>
      <c r="C22" s="16">
        <f si="8" t="shared"/>
        <v>5.9641215187741002E-3</v>
      </c>
      <c r="D22" s="16">
        <f si="8" t="shared"/>
        <v>6.4797453170829158E-3</v>
      </c>
      <c r="F22" s="9" t="s">
        <v>6</v>
      </c>
      <c r="G22" s="16">
        <f si="3" t="shared"/>
        <v>2.2485437580779376E-3</v>
      </c>
      <c r="H22" s="16">
        <f si="3" t="shared"/>
        <v>4.3908571023884135E-3</v>
      </c>
      <c r="I22" s="16">
        <f si="3" t="shared"/>
        <v>6.6394008604663511E-3</v>
      </c>
    </row>
    <row r="23" spans="1:14" x14ac:dyDescent="0.25">
      <c r="A23" s="9" t="s">
        <v>7</v>
      </c>
      <c r="B23" s="16">
        <f ref="B23:D23" si="9" t="shared">B10/$D$12</f>
        <v>6.1298318893678472E-4</v>
      </c>
      <c r="C23" s="16">
        <f si="9" t="shared"/>
        <v>8.8762786337263973E-3</v>
      </c>
      <c r="D23" s="16">
        <f si="9" t="shared"/>
        <v>9.4892618226631829E-3</v>
      </c>
      <c r="F23" s="9" t="s">
        <v>7</v>
      </c>
      <c r="G23" s="16">
        <f si="3" t="shared"/>
        <v>2.5406773959384572E-3</v>
      </c>
      <c r="H23" s="16">
        <f si="3" t="shared"/>
        <v>7.2590782741098776E-3</v>
      </c>
      <c r="I23" s="16">
        <f si="3" t="shared"/>
        <v>9.7997556700483348E-3</v>
      </c>
    </row>
    <row r="24" spans="1:14" x14ac:dyDescent="0.25">
      <c r="A24" s="14" t="s">
        <v>8</v>
      </c>
      <c r="B24" s="17">
        <f ref="B24:D24" si="10" t="shared">B11/$D$12</f>
        <v>2.6430256268466308E-4</v>
      </c>
      <c r="C24" s="17">
        <f si="10" t="shared"/>
        <v>4.1091719632288997E-4</v>
      </c>
      <c r="D24" s="17">
        <f si="10" t="shared"/>
        <v>6.7521975900755311E-4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1.1881915115503731E-2</v>
      </c>
      <c r="C25" s="18">
        <f si="11" t="shared"/>
        <v>0.98811808488449659</v>
      </c>
      <c r="D25" s="18">
        <f si="11" t="shared"/>
        <v>1</v>
      </c>
      <c r="F25" s="13" t="s">
        <v>19</v>
      </c>
      <c r="G25" s="18">
        <f si="3" t="shared"/>
        <v>9.2508985322497829E-3</v>
      </c>
      <c r="H25" s="18">
        <f si="3" t="shared"/>
        <v>0.99074910146775019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-1.3366746135126629E-3</v>
      </c>
      <c r="H30" s="16">
        <f ref="H30:H38" si="13" t="shared">H17-C17</f>
        <v>1.5969184262286551E-2</v>
      </c>
      <c r="I30" s="16">
        <f ref="I30:I38" si="14" t="shared">I17-D17</f>
        <v>1.4632509648773939E-2</v>
      </c>
      <c r="K30" s="23" t="s">
        <v>1</v>
      </c>
      <c r="L30" s="24">
        <f>D17</f>
        <v>0.68949808293988424</v>
      </c>
      <c r="M30" s="24">
        <f ref="M30:M38" si="15" t="shared">I17</f>
        <v>0.70413059258865818</v>
      </c>
      <c r="N30" s="24">
        <f>M30-L30</f>
        <v>1.4632509648773939E-2</v>
      </c>
    </row>
    <row r="31" spans="1:14" x14ac:dyDescent="0.25">
      <c r="F31" s="9" t="s">
        <v>2</v>
      </c>
      <c r="G31" s="16">
        <f si="12" t="shared"/>
        <v>1.3262076800334619E-3</v>
      </c>
      <c r="H31" s="16">
        <f si="13" t="shared"/>
        <v>1.9019142892349183E-3</v>
      </c>
      <c r="I31" s="16">
        <f si="14" t="shared"/>
        <v>3.2281219692683605E-3</v>
      </c>
      <c r="K31" s="30" t="s">
        <v>2</v>
      </c>
      <c r="L31" s="31">
        <f ref="L31:L38" si="16" t="shared">D18</f>
        <v>0.19370536008664424</v>
      </c>
      <c r="M31" s="31">
        <f si="15" t="shared"/>
        <v>0.1969334820559126</v>
      </c>
      <c r="N31" s="31">
        <f ref="N31:N38" si="17" t="shared">M31-L31</f>
        <v>3.2281219692683605E-3</v>
      </c>
    </row>
    <row r="32" spans="1:14" x14ac:dyDescent="0.25">
      <c r="F32" s="9" t="s">
        <v>3</v>
      </c>
      <c r="G32" s="16">
        <f si="12" t="shared"/>
        <v>7.5246543085285319E-4</v>
      </c>
      <c r="H32" s="16">
        <f si="13" t="shared"/>
        <v>4.2475755601158183E-4</v>
      </c>
      <c r="I32" s="16">
        <f si="14" t="shared"/>
        <v>1.1772229868644429E-3</v>
      </c>
      <c r="K32" s="23" t="s">
        <v>3</v>
      </c>
      <c r="L32" s="24">
        <f si="16" t="shared"/>
        <v>7.2387338547102734E-2</v>
      </c>
      <c r="M32" s="24">
        <f si="15" t="shared"/>
        <v>7.3564561533967177E-2</v>
      </c>
      <c r="N32" s="24">
        <f si="17" t="shared"/>
        <v>1.1772229868644429E-3</v>
      </c>
    </row>
    <row r="33" spans="6:14" x14ac:dyDescent="0.25">
      <c r="F33" s="9" t="s">
        <v>4</v>
      </c>
      <c r="G33" s="16">
        <f si="12" t="shared"/>
        <v>-4.9153251888468059E-5</v>
      </c>
      <c r="H33" s="16">
        <f si="13" t="shared"/>
        <v>-6.6044959321145142E-3</v>
      </c>
      <c r="I33" s="16">
        <f si="14" t="shared"/>
        <v>-6.6536491840029823E-3</v>
      </c>
      <c r="K33" s="30" t="s">
        <v>4</v>
      </c>
      <c r="L33" s="31">
        <f si="16" t="shared"/>
        <v>1.0088432562484241E-2</v>
      </c>
      <c r="M33" s="31">
        <f si="15" t="shared"/>
        <v>3.4347833784812592E-3</v>
      </c>
      <c r="N33" s="31">
        <f si="17" t="shared"/>
        <v>-6.6536491840029823E-3</v>
      </c>
    </row>
    <row r="34" spans="6:14" x14ac:dyDescent="0.25">
      <c r="F34" s="9" t="s">
        <v>5</v>
      </c>
      <c r="G34" s="16">
        <f si="12" t="shared"/>
        <v>-6.7201734328252638E-3</v>
      </c>
      <c r="H34" s="16">
        <f si="13" t="shared"/>
        <v>-5.4589616198396033E-3</v>
      </c>
      <c r="I34" s="16">
        <f si="14" t="shared"/>
        <v>-1.217913505266487E-2</v>
      </c>
      <c r="K34" s="23" t="s">
        <v>5</v>
      </c>
      <c r="L34" s="24">
        <f si="16" t="shared"/>
        <v>1.7676558965131008E-2</v>
      </c>
      <c r="M34" s="24">
        <f si="15" t="shared"/>
        <v>5.4974239124661387E-3</v>
      </c>
      <c r="N34" s="24">
        <f si="17" t="shared"/>
        <v>-1.217913505266487E-2</v>
      </c>
    </row>
    <row r="35" spans="6:14" x14ac:dyDescent="0.25">
      <c r="F35" s="9" t="s">
        <v>6</v>
      </c>
      <c r="G35" s="16">
        <f si="12" t="shared"/>
        <v>1.7329199597691225E-3</v>
      </c>
      <c r="H35" s="16">
        <f si="13" t="shared"/>
        <v>-1.5732644163856868E-3</v>
      </c>
      <c r="I35" s="16">
        <f si="14" t="shared"/>
        <v>1.5965554338343534E-4</v>
      </c>
      <c r="K35" s="30" t="s">
        <v>6</v>
      </c>
      <c r="L35" s="31">
        <f si="16" t="shared"/>
        <v>6.4797453170829158E-3</v>
      </c>
      <c r="M35" s="31">
        <f si="15" t="shared"/>
        <v>6.6394008604663511E-3</v>
      </c>
      <c r="N35" s="31">
        <f si="17" t="shared"/>
        <v>1.5965554338343534E-4</v>
      </c>
    </row>
    <row r="36" spans="6:14" x14ac:dyDescent="0.25">
      <c r="F36" s="9" t="s">
        <v>7</v>
      </c>
      <c r="G36" s="16">
        <f si="12" t="shared"/>
        <v>1.9276942070016725E-3</v>
      </c>
      <c r="H36" s="16">
        <f si="13" t="shared"/>
        <v>-1.6172003596165198E-3</v>
      </c>
      <c r="I36" s="16">
        <f si="14" t="shared"/>
        <v>3.1049384738515186E-4</v>
      </c>
      <c r="K36" s="23" t="s">
        <v>7</v>
      </c>
      <c r="L36" s="24">
        <f si="16" t="shared"/>
        <v>9.4892618226631829E-3</v>
      </c>
      <c r="M36" s="24">
        <f si="15" t="shared"/>
        <v>9.7997556700483348E-3</v>
      </c>
      <c r="N36" s="24">
        <f si="17" t="shared"/>
        <v>3.1049384738515186E-4</v>
      </c>
    </row>
    <row r="37" spans="6:14" x14ac:dyDescent="0.25">
      <c r="F37" s="14" t="s">
        <v>8</v>
      </c>
      <c r="G37" s="17">
        <f si="12" t="shared"/>
        <v>-2.6430256268466308E-4</v>
      </c>
      <c r="H37" s="17">
        <f si="13" t="shared"/>
        <v>-4.1091719632288997E-4</v>
      </c>
      <c r="I37" s="17">
        <f si="14" t="shared"/>
        <v>-6.7521975900755311E-4</v>
      </c>
      <c r="K37" s="32" t="s">
        <v>8</v>
      </c>
      <c r="L37" s="33">
        <f si="16" t="shared"/>
        <v>6.7521975900755311E-4</v>
      </c>
      <c r="M37" s="33">
        <f si="15" t="shared"/>
        <v>0</v>
      </c>
      <c r="N37" s="33">
        <f si="17" t="shared"/>
        <v>-6.7521975900755311E-4</v>
      </c>
    </row>
    <row ht="15.75" r="38" spans="6:14" thickBot="1" x14ac:dyDescent="0.3">
      <c r="F38" s="13" t="s">
        <v>19</v>
      </c>
      <c r="G38" s="18">
        <f si="12" t="shared"/>
        <v>-2.6310165832539485E-3</v>
      </c>
      <c r="H38" s="18">
        <f si="13" t="shared"/>
        <v>2.6310165832535981E-3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4.161</v>
      </c>
      <c r="C4" s="9" t="n">
        <v>65470.8681</v>
      </c>
      <c r="D4" s="9">
        <f>SUM(B4:C4)</f>
        <v>25693.869771558013</v>
      </c>
      <c r="E4" s="9"/>
      <c r="F4" s="9" t="s">
        <v>1</v>
      </c>
      <c r="G4" s="9" t="n">
        <v>0.0</v>
      </c>
      <c r="H4" s="9" t="n">
        <v>60174.0</v>
      </c>
      <c r="I4" s="9">
        <f>SUM(G4:H4)</f>
        <v>28215</v>
      </c>
    </row>
    <row r="5" spans="1:9" x14ac:dyDescent="0.25">
      <c r="A5" s="9" t="s">
        <v>2</v>
      </c>
      <c r="B5" s="9" t="n">
        <v>177.466</v>
      </c>
      <c r="C5" s="9" t="n">
        <v>89057.3426</v>
      </c>
      <c r="D5" s="9">
        <f ref="D5:D12" si="0" t="shared">SUM(B5:C5)</f>
        <v>35341.477595209413</v>
      </c>
      <c r="E5" s="9"/>
      <c r="F5" s="9" t="s">
        <v>2</v>
      </c>
      <c r="G5" s="9" t="n">
        <v>2527.0</v>
      </c>
      <c r="H5" s="9" t="n">
        <v>101444.0</v>
      </c>
      <c r="I5" s="9">
        <f ref="I5:I12" si="1" t="shared">SUM(G5:H5)</f>
        <v>38670</v>
      </c>
    </row>
    <row r="6" spans="1:9" x14ac:dyDescent="0.25">
      <c r="A6" s="9" t="s">
        <v>3</v>
      </c>
      <c r="B6" s="9" t="n">
        <v>914.8965000000001</v>
      </c>
      <c r="C6" s="9" t="n">
        <v>149667.3128</v>
      </c>
      <c r="D6" s="9">
        <f si="0" t="shared"/>
        <v>74110.673445559063</v>
      </c>
      <c r="E6" s="9"/>
      <c r="F6" s="9" t="s">
        <v>3</v>
      </c>
      <c r="G6" s="9" t="n">
        <v>2892.0</v>
      </c>
      <c r="H6" s="9" t="n">
        <v>156946.0</v>
      </c>
      <c r="I6" s="9">
        <f si="1" t="shared"/>
        <v>81370</v>
      </c>
    </row>
    <row r="7" spans="1:9" x14ac:dyDescent="0.25">
      <c r="A7" s="9" t="s">
        <v>4</v>
      </c>
      <c r="B7" s="9" t="n">
        <v>11.594999999999999</v>
      </c>
      <c r="C7" s="9" t="n">
        <v>4444.3432999999995</v>
      </c>
      <c r="D7" s="9">
        <f si="0" t="shared"/>
        <v>891.71326127174382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8496.1733</v>
      </c>
      <c r="C8" s="9" t="n">
        <v>27442.5644</v>
      </c>
      <c r="D8" s="9">
        <f si="0" t="shared"/>
        <v>3785.0578390292999</v>
      </c>
      <c r="E8" s="9"/>
      <c r="F8" s="9" t="s">
        <v>5</v>
      </c>
      <c r="G8" s="9" t="n">
        <v>3641.0</v>
      </c>
      <c r="H8" s="9" t="n">
        <v>25710.0</v>
      </c>
      <c r="I8" s="9">
        <f si="1" t="shared"/>
        <v>1295</v>
      </c>
    </row>
    <row r="9" spans="1:9" x14ac:dyDescent="0.25">
      <c r="A9" s="9" t="s">
        <v>6</v>
      </c>
      <c r="B9" s="9" t="n">
        <v>516.6722</v>
      </c>
      <c r="C9" s="9" t="n">
        <v>6593.2461</v>
      </c>
      <c r="D9" s="9">
        <f si="0" t="shared"/>
        <v>447.69757207799222</v>
      </c>
      <c r="E9" s="9"/>
      <c r="F9" s="9" t="s">
        <v>6</v>
      </c>
      <c r="G9" s="9" t="n">
        <v>1211.0</v>
      </c>
      <c r="H9" s="9" t="n">
        <v>8347.0</v>
      </c>
      <c r="I9" s="9">
        <f si="1" t="shared"/>
        <v>495</v>
      </c>
    </row>
    <row r="10" spans="1:9" x14ac:dyDescent="0.25">
      <c r="A10" s="9" t="s">
        <v>7</v>
      </c>
      <c r="B10" s="9" t="n">
        <v>10128.8265</v>
      </c>
      <c r="C10" s="9" t="n">
        <v>32511.3613</v>
      </c>
      <c r="D10" s="9">
        <f si="0" t="shared"/>
        <v>5918.4050423216759</v>
      </c>
      <c r="E10" s="9"/>
      <c r="F10" s="9" t="s">
        <v>7</v>
      </c>
      <c r="G10" s="9" t="n">
        <v>5175.0</v>
      </c>
      <c r="H10" s="9" t="n">
        <v>51000.0</v>
      </c>
      <c r="I10" s="9">
        <f si="1" t="shared"/>
        <v>11590</v>
      </c>
    </row>
    <row r="11" spans="1:9" x14ac:dyDescent="0.25">
      <c r="A11" s="14" t="s">
        <v>8</v>
      </c>
      <c r="B11" s="14" t="n">
        <v>3067.4437</v>
      </c>
      <c r="C11" s="14" t="n">
        <v>161137.151</v>
      </c>
      <c r="D11" s="14">
        <f si="0" t="shared"/>
        <v>85206.185309251538</v>
      </c>
      <c r="E11" s="9"/>
      <c r="F11" s="14" t="s">
        <v>8</v>
      </c>
      <c r="G11" s="14" t="n">
        <v>7296.0</v>
      </c>
      <c r="H11" s="14" t="n">
        <v>156117.0</v>
      </c>
      <c r="I11" s="14">
        <f si="1" t="shared"/>
        <v>93075</v>
      </c>
    </row>
    <row ht="15.75" r="12" spans="1:9" thickBot="1" x14ac:dyDescent="0.3">
      <c r="A12" s="13" t="s">
        <v>19</v>
      </c>
      <c r="B12" s="10">
        <f>SUM(B4:B11)</f>
        <v>5965.0519196975029</v>
      </c>
      <c r="C12" s="10">
        <f>SUM(C4:C11)</f>
        <v>225430.02791658122</v>
      </c>
      <c r="D12" s="10">
        <f si="0" t="shared"/>
        <v>231395.07983627872</v>
      </c>
      <c r="E12" s="9"/>
      <c r="F12" s="13" t="s">
        <v>19</v>
      </c>
      <c r="G12" s="10">
        <f>SUM(G4:G11)</f>
        <v>8220</v>
      </c>
      <c r="H12" s="10">
        <f>SUM(H4:H11)</f>
        <v>246490</v>
      </c>
      <c r="I12" s="10">
        <f si="1" t="shared"/>
        <v>254710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0.11103896327327899</v>
      </c>
      <c r="D17" s="16">
        <f si="2" t="shared"/>
        <v>0.11103896327327899</v>
      </c>
      <c r="F17" s="9" t="s">
        <v>1</v>
      </c>
      <c r="G17" s="16">
        <f ref="G17:I25" si="3" t="shared">G4/$I$12</f>
        <v>0</v>
      </c>
      <c r="H17" s="16">
        <f si="3" t="shared"/>
        <v>0.11077303600172746</v>
      </c>
      <c r="I17" s="16">
        <f si="3" t="shared"/>
        <v>0.11077303600172746</v>
      </c>
    </row>
    <row r="18" spans="1:14" x14ac:dyDescent="0.25">
      <c r="A18" s="9" t="s">
        <v>2</v>
      </c>
      <c r="B18" s="16">
        <f ref="B18:D25" si="4" t="shared">B5/$D$12</f>
        <v>1.6177994414498338E-3</v>
      </c>
      <c r="C18" s="16">
        <f si="4" t="shared"/>
        <v>0.15111439184029621</v>
      </c>
      <c r="D18" s="16">
        <f si="4" t="shared"/>
        <v>0.15273219128174603</v>
      </c>
      <c r="F18" s="9" t="s">
        <v>2</v>
      </c>
      <c r="G18" s="16">
        <f si="3" t="shared"/>
        <v>1.9630167641631661E-3</v>
      </c>
      <c r="H18" s="16">
        <f si="3" t="shared"/>
        <v>0.1498566997762161</v>
      </c>
      <c r="I18" s="16">
        <f si="3" t="shared"/>
        <v>0.15181971654037926</v>
      </c>
    </row>
    <row r="19" spans="1:14" x14ac:dyDescent="0.25">
      <c r="A19" s="9" t="s">
        <v>3</v>
      </c>
      <c r="B19" s="16">
        <f si="4" t="shared"/>
        <v>1.5465935438446769E-3</v>
      </c>
      <c r="C19" s="16">
        <f si="4" t="shared"/>
        <v>0.31873106101127952</v>
      </c>
      <c r="D19" s="16">
        <f si="4" t="shared"/>
        <v>0.32027765455512419</v>
      </c>
      <c r="F19" s="9" t="s">
        <v>3</v>
      </c>
      <c r="G19" s="16">
        <f si="3" t="shared"/>
        <v>2.375250284637431E-3</v>
      </c>
      <c r="H19" s="16">
        <f si="3" t="shared"/>
        <v>0.3170860979152762</v>
      </c>
      <c r="I19" s="16">
        <f si="3" t="shared"/>
        <v>0.31946134819991362</v>
      </c>
    </row>
    <row r="20" spans="1:14" x14ac:dyDescent="0.25">
      <c r="A20" s="9" t="s">
        <v>4</v>
      </c>
      <c r="B20" s="16">
        <f si="4" t="shared"/>
        <v>2.60753440263665E-4</v>
      </c>
      <c r="C20" s="16">
        <f si="4" t="shared"/>
        <v>3.5928862391221999E-3</v>
      </c>
      <c r="D20" s="16">
        <f si="4" t="shared"/>
        <v>3.8536396793858651E-3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1.0131322357950431E-2</v>
      </c>
      <c r="C21" s="16">
        <f si="4" t="shared"/>
        <v>6.2262330477538723E-3</v>
      </c>
      <c r="D21" s="16">
        <f si="4" t="shared"/>
        <v>1.6357555405704303E-2</v>
      </c>
      <c r="F21" s="9" t="s">
        <v>5</v>
      </c>
      <c r="G21" s="16">
        <f si="3" t="shared"/>
        <v>3.631581013701857E-3</v>
      </c>
      <c r="H21" s="16">
        <f si="3" t="shared"/>
        <v>1.4526324054807429E-3</v>
      </c>
      <c r="I21" s="16">
        <f si="3" t="shared"/>
        <v>5.0842134191825998E-3</v>
      </c>
    </row>
    <row r="22" spans="1:14" x14ac:dyDescent="0.25">
      <c r="A22" s="9" t="s">
        <v>6</v>
      </c>
      <c r="B22" s="16">
        <f si="4" t="shared"/>
        <v>2.0488612131882458E-4</v>
      </c>
      <c r="C22" s="16">
        <f si="4" t="shared"/>
        <v>1.7298895549607064E-3</v>
      </c>
      <c r="D22" s="16">
        <f si="4" t="shared"/>
        <v>1.934775676279531E-3</v>
      </c>
      <c r="F22" s="9" t="s">
        <v>6</v>
      </c>
      <c r="G22" s="16">
        <f si="3" t="shared"/>
        <v>2.7482234698284321E-4</v>
      </c>
      <c r="H22" s="16">
        <f si="3" t="shared"/>
        <v>1.6685642495386911E-3</v>
      </c>
      <c r="I22" s="16">
        <f si="3" t="shared"/>
        <v>1.9433865965215343E-3</v>
      </c>
    </row>
    <row r="23" spans="1:14" x14ac:dyDescent="0.25">
      <c r="A23" s="9" t="s">
        <v>7</v>
      </c>
      <c r="B23" s="16">
        <f si="4" t="shared"/>
        <v>7.9758205067307286E-4</v>
      </c>
      <c r="C23" s="16">
        <f si="4" t="shared"/>
        <v>2.4779474499142872E-2</v>
      </c>
      <c r="D23" s="16">
        <f si="4" t="shared"/>
        <v>2.5577056549815944E-2</v>
      </c>
      <c r="F23" s="9" t="s">
        <v>7</v>
      </c>
      <c r="G23" s="16">
        <f si="3" t="shared"/>
        <v>5.7516391189980764E-3</v>
      </c>
      <c r="H23" s="16">
        <f si="3" t="shared"/>
        <v>3.9751089474304113E-2</v>
      </c>
      <c r="I23" s="16">
        <f si="3" t="shared"/>
        <v>4.5502728593302184E-2</v>
      </c>
    </row>
    <row r="24" spans="1:14" x14ac:dyDescent="0.25">
      <c r="A24" s="14" t="s">
        <v>8</v>
      </c>
      <c r="B24" s="17">
        <f si="4" t="shared"/>
        <v>1.1219709348984518E-2</v>
      </c>
      <c r="C24" s="17">
        <f si="4" t="shared"/>
        <v>0.35700845422968069</v>
      </c>
      <c r="D24" s="17">
        <f si="4" t="shared"/>
        <v>0.36822816357866522</v>
      </c>
      <c r="F24" s="14" t="s">
        <v>8</v>
      </c>
      <c r="G24" s="17">
        <f si="3" t="shared"/>
        <v>1.8275686074359074E-2</v>
      </c>
      <c r="H24" s="17">
        <f si="3" t="shared"/>
        <v>0.34713988457461425</v>
      </c>
      <c r="I24" s="17">
        <f si="3" t="shared"/>
        <v>0.36541557064897334</v>
      </c>
    </row>
    <row ht="15.75" r="25" spans="1:14" thickBot="1" x14ac:dyDescent="0.3">
      <c r="A25" s="13" t="s">
        <v>19</v>
      </c>
      <c r="B25" s="18">
        <f si="4" t="shared"/>
        <v>2.5778646304485023E-2</v>
      </c>
      <c r="C25" s="18">
        <f si="4" t="shared"/>
        <v>0.97422135369551499</v>
      </c>
      <c r="D25" s="18">
        <f si="4" t="shared"/>
        <v>1</v>
      </c>
      <c r="F25" s="13" t="s">
        <v>19</v>
      </c>
      <c r="G25" s="18">
        <f si="3" t="shared"/>
        <v>3.2271995602842447E-2</v>
      </c>
      <c r="H25" s="18">
        <f si="3" t="shared"/>
        <v>0.96772800439715756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-2.659272715515304E-4</v>
      </c>
      <c r="I30" s="16">
        <f ref="I30:I38" si="7" t="shared">I17-D17</f>
        <v>-2.659272715515304E-4</v>
      </c>
      <c r="K30" s="23" t="s">
        <v>1</v>
      </c>
      <c r="L30" s="24">
        <f>D17</f>
        <v>0.11103896327327899</v>
      </c>
      <c r="M30" s="24">
        <f ref="M30:M38" si="8" t="shared">I17</f>
        <v>0.11077303600172746</v>
      </c>
      <c r="N30" s="24">
        <f>M30-L30</f>
        <v>-2.659272715515304E-4</v>
      </c>
    </row>
    <row r="31" spans="1:14" x14ac:dyDescent="0.25">
      <c r="F31" s="9" t="s">
        <v>2</v>
      </c>
      <c r="G31" s="16">
        <f si="5" t="shared"/>
        <v>3.4521732271333228E-4</v>
      </c>
      <c r="H31" s="16">
        <f si="6" t="shared"/>
        <v>-1.257692064080107E-3</v>
      </c>
      <c r="I31" s="16">
        <f si="7" t="shared"/>
        <v>-9.1247474136676998E-4</v>
      </c>
      <c r="K31" s="30" t="s">
        <v>2</v>
      </c>
      <c r="L31" s="31">
        <f ref="L31:L38" si="9" t="shared">D18</f>
        <v>0.15273219128174603</v>
      </c>
      <c r="M31" s="31">
        <f si="8" t="shared"/>
        <v>0.15181971654037926</v>
      </c>
      <c r="N31" s="31">
        <f ref="N31:N38" si="10" t="shared">M31-L31</f>
        <v>-9.1247474136676998E-4</v>
      </c>
    </row>
    <row r="32" spans="1:14" x14ac:dyDescent="0.25">
      <c r="F32" s="9" t="s">
        <v>3</v>
      </c>
      <c r="G32" s="16">
        <f si="5" t="shared"/>
        <v>8.2865674079275406E-4</v>
      </c>
      <c r="H32" s="16">
        <f si="6" t="shared"/>
        <v>-1.6449630960033157E-3</v>
      </c>
      <c r="I32" s="16">
        <f si="7" t="shared"/>
        <v>-8.1630635521057204E-4</v>
      </c>
      <c r="K32" s="23" t="s">
        <v>3</v>
      </c>
      <c r="L32" s="24">
        <f si="9" t="shared"/>
        <v>0.32027765455512419</v>
      </c>
      <c r="M32" s="24">
        <f si="8" t="shared"/>
        <v>0.31946134819991362</v>
      </c>
      <c r="N32" s="24">
        <f si="10" t="shared"/>
        <v>-8.1630635521057204E-4</v>
      </c>
    </row>
    <row r="33" spans="6:14" x14ac:dyDescent="0.25">
      <c r="F33" s="9" t="s">
        <v>4</v>
      </c>
      <c r="G33" s="16">
        <f si="5" t="shared"/>
        <v>-2.60753440263665E-4</v>
      </c>
      <c r="H33" s="16">
        <f si="6" t="shared"/>
        <v>-3.5928862391221999E-3</v>
      </c>
      <c r="I33" s="16">
        <f si="7" t="shared"/>
        <v>-3.8536396793858651E-3</v>
      </c>
      <c r="K33" s="30" t="s">
        <v>4</v>
      </c>
      <c r="L33" s="31">
        <f si="9" t="shared"/>
        <v>3.8536396793858651E-3</v>
      </c>
      <c r="M33" s="31">
        <f si="8" t="shared"/>
        <v>0</v>
      </c>
      <c r="N33" s="31">
        <f si="10" t="shared"/>
        <v>-3.8536396793858651E-3</v>
      </c>
    </row>
    <row r="34" spans="6:14" x14ac:dyDescent="0.25">
      <c r="F34" s="9" t="s">
        <v>5</v>
      </c>
      <c r="G34" s="16">
        <f si="5" t="shared"/>
        <v>-6.4997413442485739E-3</v>
      </c>
      <c r="H34" s="16">
        <f si="6" t="shared"/>
        <v>-4.7736006422731299E-3</v>
      </c>
      <c r="I34" s="16">
        <f si="7" t="shared"/>
        <v>-1.1273341986521704E-2</v>
      </c>
      <c r="K34" s="23" t="s">
        <v>5</v>
      </c>
      <c r="L34" s="24">
        <f si="9" t="shared"/>
        <v>1.6357555405704303E-2</v>
      </c>
      <c r="M34" s="24">
        <f si="8" t="shared"/>
        <v>5.0842134191825998E-3</v>
      </c>
      <c r="N34" s="24">
        <f si="10" t="shared"/>
        <v>-1.1273341986521704E-2</v>
      </c>
    </row>
    <row r="35" spans="6:14" x14ac:dyDescent="0.25">
      <c r="F35" s="9" t="s">
        <v>6</v>
      </c>
      <c r="G35" s="16">
        <f si="5" t="shared"/>
        <v>6.9936225664018629E-5</v>
      </c>
      <c r="H35" s="16">
        <f si="6" t="shared"/>
        <v>-6.1325305422015247E-5</v>
      </c>
      <c r="I35" s="16">
        <f si="7" t="shared"/>
        <v>8.6109202420033004E-6</v>
      </c>
      <c r="K35" s="30" t="s">
        <v>6</v>
      </c>
      <c r="L35" s="31">
        <f si="9" t="shared"/>
        <v>1.934775676279531E-3</v>
      </c>
      <c r="M35" s="31">
        <f si="8" t="shared"/>
        <v>1.9433865965215343E-3</v>
      </c>
      <c r="N35" s="31">
        <f si="10" t="shared"/>
        <v>8.6109202420033004E-6</v>
      </c>
    </row>
    <row r="36" spans="6:14" x14ac:dyDescent="0.25">
      <c r="F36" s="9" t="s">
        <v>7</v>
      </c>
      <c r="G36" s="16">
        <f si="5" t="shared"/>
        <v>4.9540570683250032E-3</v>
      </c>
      <c r="H36" s="16">
        <f si="6" t="shared"/>
        <v>1.4971614975161241E-2</v>
      </c>
      <c r="I36" s="16">
        <f si="7" t="shared"/>
        <v>1.9925672043486241E-2</v>
      </c>
      <c r="K36" s="23" t="s">
        <v>7</v>
      </c>
      <c r="L36" s="24">
        <f si="9" t="shared"/>
        <v>2.5577056549815944E-2</v>
      </c>
      <c r="M36" s="24">
        <f si="8" t="shared"/>
        <v>4.5502728593302184E-2</v>
      </c>
      <c r="N36" s="24">
        <f si="10" t="shared"/>
        <v>1.9925672043486241E-2</v>
      </c>
    </row>
    <row r="37" spans="6:14" x14ac:dyDescent="0.25">
      <c r="F37" s="14" t="s">
        <v>8</v>
      </c>
      <c r="G37" s="17">
        <f si="5" t="shared"/>
        <v>7.0559767253745558E-3</v>
      </c>
      <c r="H37" s="17">
        <f si="6" t="shared"/>
        <v>-9.8685696550664392E-3</v>
      </c>
      <c r="I37" s="17">
        <f si="7" t="shared"/>
        <v>-2.8125929296918817E-3</v>
      </c>
      <c r="K37" s="32" t="s">
        <v>8</v>
      </c>
      <c r="L37" s="33">
        <f si="9" t="shared"/>
        <v>0.36822816357866522</v>
      </c>
      <c r="M37" s="33">
        <f si="8" t="shared"/>
        <v>0.36541557064897334</v>
      </c>
      <c r="N37" s="33">
        <f si="10" t="shared"/>
        <v>-2.8125929296918817E-3</v>
      </c>
    </row>
    <row ht="15.75" r="38" spans="6:14" thickBot="1" x14ac:dyDescent="0.3">
      <c r="F38" s="13" t="s">
        <v>19</v>
      </c>
      <c r="G38" s="18">
        <f si="5" t="shared"/>
        <v>6.4933492983574245E-3</v>
      </c>
      <c r="H38" s="18">
        <f si="6" t="shared"/>
        <v>-6.4933492983574315E-3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16085.4287</v>
      </c>
      <c r="D4" s="9">
        <f>SUM(B4:C4)</f>
        <v>3614.2796424409617</v>
      </c>
      <c r="F4" s="9" t="s">
        <v>1</v>
      </c>
      <c r="G4" s="9" t="n">
        <v>0.0</v>
      </c>
      <c r="H4" s="9" t="n">
        <v>2483.0</v>
      </c>
      <c r="I4" s="9">
        <f>SUM(G4:H4)</f>
        <v>200</v>
      </c>
    </row>
    <row r="5" spans="1:9" x14ac:dyDescent="0.25">
      <c r="A5" s="9" t="s">
        <v>2</v>
      </c>
      <c r="B5" s="9" t="n">
        <v>726.2294</v>
      </c>
      <c r="C5" s="9" t="n">
        <v>230750.4501</v>
      </c>
      <c r="D5" s="9">
        <f ref="D5:D12" si="0" t="shared">SUM(B5:C5)</f>
        <v>84168.410477562371</v>
      </c>
      <c r="F5" s="9" t="s">
        <v>2</v>
      </c>
      <c r="G5" s="9" t="n">
        <v>3571.0</v>
      </c>
      <c r="H5" s="9" t="n">
        <v>186637.0</v>
      </c>
      <c r="I5" s="9">
        <f ref="I5:I12" si="1" t="shared">SUM(G5:H5)</f>
        <v>86365</v>
      </c>
    </row>
    <row r="6" spans="1:9" x14ac:dyDescent="0.25">
      <c r="A6" s="9" t="s">
        <v>3</v>
      </c>
      <c r="B6" s="9" t="n">
        <v>444.9776</v>
      </c>
      <c r="C6" s="9" t="n">
        <v>210138.19210000001</v>
      </c>
      <c r="D6" s="9">
        <f si="0" t="shared"/>
        <v>85154.515909445094</v>
      </c>
      <c r="F6" s="9" t="s">
        <v>3</v>
      </c>
      <c r="G6" s="9" t="n">
        <v>4282.0</v>
      </c>
      <c r="H6" s="9" t="n">
        <v>235005.0</v>
      </c>
      <c r="I6" s="9">
        <f si="1" t="shared"/>
        <v>87085</v>
      </c>
    </row>
    <row r="7" spans="1:9" x14ac:dyDescent="0.25">
      <c r="A7" s="9" t="s">
        <v>4</v>
      </c>
      <c r="B7" s="9" t="n">
        <v>0.0</v>
      </c>
      <c r="C7" s="9" t="n">
        <v>158.3877</v>
      </c>
      <c r="D7" s="9">
        <f si="0" t="shared"/>
        <v>593.25632717503004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84.259</v>
      </c>
      <c r="C8" s="9" t="n">
        <v>2088.5966</v>
      </c>
      <c r="D8" s="9">
        <f si="0" t="shared"/>
        <v>669.11866343375164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1958.4013</v>
      </c>
      <c r="D9" s="9">
        <f si="0" t="shared"/>
        <v>0</v>
      </c>
      <c r="F9" s="9" t="s">
        <v>6</v>
      </c>
      <c r="G9" s="9" t="n">
        <v>1220.0</v>
      </c>
      <c r="H9" s="9" t="n">
        <v>1400.0</v>
      </c>
      <c r="I9" s="9">
        <f si="1" t="shared"/>
        <v>1660</v>
      </c>
    </row>
    <row r="10" spans="1:9" x14ac:dyDescent="0.25">
      <c r="A10" s="9" t="s">
        <v>7</v>
      </c>
      <c r="B10" s="9" t="n">
        <v>216.1899</v>
      </c>
      <c r="C10" s="9" t="n">
        <v>25799.7169</v>
      </c>
      <c r="D10" s="9">
        <f si="0" t="shared"/>
        <v>5449.1324197968115</v>
      </c>
      <c r="F10" s="9" t="s">
        <v>7</v>
      </c>
      <c r="G10" s="9" t="n">
        <v>5850.0</v>
      </c>
      <c r="H10" s="9" t="n">
        <v>7275.0</v>
      </c>
      <c r="I10" s="9">
        <f si="1" t="shared"/>
        <v>6310</v>
      </c>
    </row>
    <row r="11" spans="1:9" x14ac:dyDescent="0.25">
      <c r="A11" s="14" t="s">
        <v>8</v>
      </c>
      <c r="B11" s="14" t="n">
        <v>0.0</v>
      </c>
      <c r="C11" s="14" t="n">
        <v>527.7052</v>
      </c>
      <c r="D11" s="14">
        <f si="0" t="shared"/>
        <v>374.72771456945998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1445.7375403161386</v>
      </c>
      <c r="C12" s="10">
        <f>SUM(C4:C11)</f>
        <v>178577.70361410736</v>
      </c>
      <c r="D12" s="10">
        <f si="0" t="shared"/>
        <v>180023.44115442349</v>
      </c>
      <c r="F12" s="13" t="s">
        <v>19</v>
      </c>
      <c r="G12" s="10">
        <f>SUM(G4:G11)</f>
        <v>7285</v>
      </c>
      <c r="H12" s="10">
        <f>SUM(H4:H11)</f>
        <v>174335</v>
      </c>
      <c r="I12" s="10">
        <f si="1" t="shared"/>
        <v>181620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2.0076716783458466E-2</v>
      </c>
      <c r="D17" s="16">
        <f si="2" t="shared"/>
        <v>2.0076716783458466E-2</v>
      </c>
      <c r="F17" s="9" t="s">
        <v>1</v>
      </c>
      <c r="G17" s="16">
        <f ref="G17:I25" si="3" t="shared">G4/$I$12</f>
        <v>0</v>
      </c>
      <c r="H17" s="16">
        <f si="3" t="shared"/>
        <v>1.1012003083360864E-3</v>
      </c>
      <c r="I17" s="16">
        <f si="3" t="shared"/>
        <v>1.1012003083360864E-3</v>
      </c>
    </row>
    <row r="18" spans="1:14" x14ac:dyDescent="0.25">
      <c r="A18" s="9" t="s">
        <v>2</v>
      </c>
      <c r="B18" s="16">
        <f ref="B18:D25" si="4" t="shared">B5/$D$12</f>
        <v>1.2702348232283866E-4</v>
      </c>
      <c r="C18" s="16">
        <f si="4" t="shared"/>
        <v>0.46741436967082212</v>
      </c>
      <c r="D18" s="16">
        <f si="4" t="shared"/>
        <v>0.46754139315314497</v>
      </c>
      <c r="F18" s="9" t="s">
        <v>2</v>
      </c>
      <c r="G18" s="16">
        <f si="3" t="shared"/>
        <v>8.0662922585618326E-3</v>
      </c>
      <c r="H18" s="16">
        <f si="3" t="shared"/>
        <v>0.46745953088866865</v>
      </c>
      <c r="I18" s="16">
        <f si="3" t="shared"/>
        <v>0.47552582314723046</v>
      </c>
    </row>
    <row r="19" spans="1:14" x14ac:dyDescent="0.25">
      <c r="A19" s="9" t="s">
        <v>3</v>
      </c>
      <c r="B19" s="16">
        <f si="4" t="shared"/>
        <v>4.9443104522537583E-3</v>
      </c>
      <c r="C19" s="16">
        <f si="4" t="shared"/>
        <v>0.46807473286444318</v>
      </c>
      <c r="D19" s="16">
        <f si="4" t="shared"/>
        <v>0.47301904331669697</v>
      </c>
      <c r="F19" s="9" t="s">
        <v>3</v>
      </c>
      <c r="G19" s="16">
        <f si="3" t="shared"/>
        <v>8.6168924127298756E-3</v>
      </c>
      <c r="H19" s="16">
        <f si="3" t="shared"/>
        <v>0.47087325184451051</v>
      </c>
      <c r="I19" s="16">
        <f si="3" t="shared"/>
        <v>0.4794901442572404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3.2954393237386056E-3</v>
      </c>
      <c r="D20" s="16">
        <f si="4" t="shared"/>
        <v>3.2954393237386056E-3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1.3904209623865984E-3</v>
      </c>
      <c r="C21" s="16">
        <f si="4" t="shared"/>
        <v>2.3264209063330646E-3</v>
      </c>
      <c r="D21" s="16">
        <f si="4" t="shared"/>
        <v>3.7168418687196629E-3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0</v>
      </c>
      <c r="D22" s="16">
        <f si="4" t="shared"/>
        <v>0</v>
      </c>
      <c r="F22" s="9" t="s">
        <v>6</v>
      </c>
      <c r="G22" s="16">
        <f si="3" t="shared"/>
        <v>8.0938222662702338E-3</v>
      </c>
      <c r="H22" s="16">
        <f si="3" t="shared"/>
        <v>1.046140292919282E-3</v>
      </c>
      <c r="I22" s="16">
        <f si="3" t="shared"/>
        <v>9.1399625591895173E-3</v>
      </c>
    </row>
    <row r="23" spans="1:14" x14ac:dyDescent="0.25">
      <c r="A23" s="9" t="s">
        <v>7</v>
      </c>
      <c r="B23" s="16">
        <f si="4" t="shared"/>
        <v>1.5690744830617646E-3</v>
      </c>
      <c r="C23" s="16">
        <f si="4" t="shared"/>
        <v>2.8699941512041697E-2</v>
      </c>
      <c r="D23" s="16">
        <f si="4" t="shared"/>
        <v>3.0269015995103461E-2</v>
      </c>
      <c r="F23" s="9" t="s">
        <v>7</v>
      </c>
      <c r="G23" s="16">
        <f si="3" t="shared"/>
        <v>1.5334214293580003E-2</v>
      </c>
      <c r="H23" s="16">
        <f si="3" t="shared"/>
        <v>1.9408655434423522E-2</v>
      </c>
      <c r="I23" s="16">
        <f si="3" t="shared"/>
        <v>3.4742869728003521E-2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2.0815495591378005E-3</v>
      </c>
      <c r="D24" s="17">
        <f si="4" t="shared"/>
        <v>2.0815495591378005E-3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8.0308293800249592E-3</v>
      </c>
      <c r="C25" s="18">
        <f si="4" t="shared"/>
        <v>0.99196917061997514</v>
      </c>
      <c r="D25" s="18">
        <f si="4" t="shared"/>
        <v>1</v>
      </c>
      <c r="F25" s="13" t="s">
        <v>19</v>
      </c>
      <c r="G25" s="18">
        <f si="3" t="shared"/>
        <v>4.0111221231141941E-2</v>
      </c>
      <c r="H25" s="18">
        <f si="3" t="shared"/>
        <v>0.95988877876885803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-1.897551647512238E-2</v>
      </c>
      <c r="I30" s="16">
        <f ref="I30:I38" si="7" t="shared">I17-D17</f>
        <v>-1.897551647512238E-2</v>
      </c>
      <c r="K30" s="23" t="s">
        <v>1</v>
      </c>
      <c r="L30" s="24">
        <f>D17</f>
        <v>2.0076716783458466E-2</v>
      </c>
      <c r="M30" s="24">
        <f ref="M30:M38" si="8" t="shared">I17</f>
        <v>1.1012003083360864E-3</v>
      </c>
      <c r="N30" s="24">
        <f>M30-L30</f>
        <v>-1.897551647512238E-2</v>
      </c>
    </row>
    <row r="31" spans="1:14" x14ac:dyDescent="0.25">
      <c r="F31" s="9" t="s">
        <v>2</v>
      </c>
      <c r="G31" s="16">
        <f si="5" t="shared"/>
        <v>7.9392687762389943E-3</v>
      </c>
      <c r="H31" s="16">
        <f si="6" t="shared"/>
        <v>4.5161217846534374E-5</v>
      </c>
      <c r="I31" s="16">
        <f si="7" t="shared"/>
        <v>7.9844299940854957E-3</v>
      </c>
      <c r="K31" s="30" t="s">
        <v>2</v>
      </c>
      <c r="L31" s="31">
        <f ref="L31:L38" si="9" t="shared">D18</f>
        <v>0.46754139315314497</v>
      </c>
      <c r="M31" s="31">
        <f si="8" t="shared"/>
        <v>0.47552582314723046</v>
      </c>
      <c r="N31" s="31">
        <f ref="N31:N38" si="10" t="shared">M31-L31</f>
        <v>7.9844299940854957E-3</v>
      </c>
    </row>
    <row r="32" spans="1:14" x14ac:dyDescent="0.25">
      <c r="F32" s="9" t="s">
        <v>3</v>
      </c>
      <c r="G32" s="16">
        <f si="5" t="shared"/>
        <v>3.6725819604761173E-3</v>
      </c>
      <c r="H32" s="16">
        <f si="6" t="shared"/>
        <v>2.7985189800673327E-3</v>
      </c>
      <c r="I32" s="16">
        <f si="7" t="shared"/>
        <v>6.4711009405434283E-3</v>
      </c>
      <c r="K32" s="23" t="s">
        <v>3</v>
      </c>
      <c r="L32" s="24">
        <f si="9" t="shared"/>
        <v>0.47301904331669697</v>
      </c>
      <c r="M32" s="24">
        <f si="8" t="shared"/>
        <v>0.4794901442572404</v>
      </c>
      <c r="N32" s="24">
        <f si="10" t="shared"/>
        <v>6.4711009405434283E-3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-3.2954393237386056E-3</v>
      </c>
      <c r="I33" s="16">
        <f si="7" t="shared"/>
        <v>-3.2954393237386056E-3</v>
      </c>
      <c r="K33" s="30" t="s">
        <v>4</v>
      </c>
      <c r="L33" s="31">
        <f si="9" t="shared"/>
        <v>3.2954393237386056E-3</v>
      </c>
      <c r="M33" s="31">
        <f si="8" t="shared"/>
        <v>0</v>
      </c>
      <c r="N33" s="31">
        <f si="10" t="shared"/>
        <v>-3.2954393237386056E-3</v>
      </c>
    </row>
    <row r="34" spans="6:14" x14ac:dyDescent="0.25">
      <c r="F34" s="9" t="s">
        <v>5</v>
      </c>
      <c r="G34" s="16">
        <f si="5" t="shared"/>
        <v>-1.3904209623865984E-3</v>
      </c>
      <c r="H34" s="16">
        <f si="6" t="shared"/>
        <v>-2.3264209063330646E-3</v>
      </c>
      <c r="I34" s="16">
        <f si="7" t="shared"/>
        <v>-3.7168418687196629E-3</v>
      </c>
      <c r="K34" s="23" t="s">
        <v>5</v>
      </c>
      <c r="L34" s="24">
        <f si="9" t="shared"/>
        <v>3.7168418687196629E-3</v>
      </c>
      <c r="M34" s="24">
        <f si="8" t="shared"/>
        <v>0</v>
      </c>
      <c r="N34" s="24">
        <f si="10" t="shared"/>
        <v>-3.7168418687196629E-3</v>
      </c>
    </row>
    <row r="35" spans="6:14" x14ac:dyDescent="0.25">
      <c r="F35" s="9" t="s">
        <v>6</v>
      </c>
      <c r="G35" s="16">
        <f si="5" t="shared"/>
        <v>8.0938222662702338E-3</v>
      </c>
      <c r="H35" s="16">
        <f si="6" t="shared"/>
        <v>1.046140292919282E-3</v>
      </c>
      <c r="I35" s="16">
        <f si="7" t="shared"/>
        <v>9.1399625591895173E-3</v>
      </c>
      <c r="K35" s="30" t="s">
        <v>6</v>
      </c>
      <c r="L35" s="31">
        <f si="9" t="shared"/>
        <v>0</v>
      </c>
      <c r="M35" s="31">
        <f si="8" t="shared"/>
        <v>9.1399625591895173E-3</v>
      </c>
      <c r="N35" s="31">
        <f si="10" t="shared"/>
        <v>9.1399625591895173E-3</v>
      </c>
    </row>
    <row r="36" spans="6:14" x14ac:dyDescent="0.25">
      <c r="F36" s="9" t="s">
        <v>7</v>
      </c>
      <c r="G36" s="16">
        <f si="5" t="shared"/>
        <v>1.3765139810518238E-2</v>
      </c>
      <c r="H36" s="16">
        <f si="6" t="shared"/>
        <v>-9.2912860776181751E-3</v>
      </c>
      <c r="I36" s="16">
        <f si="7" t="shared"/>
        <v>4.4738537329000599E-3</v>
      </c>
      <c r="K36" s="23" t="s">
        <v>7</v>
      </c>
      <c r="L36" s="24">
        <f si="9" t="shared"/>
        <v>3.0269015995103461E-2</v>
      </c>
      <c r="M36" s="24">
        <f si="8" t="shared"/>
        <v>3.4742869728003521E-2</v>
      </c>
      <c r="N36" s="24">
        <f si="10" t="shared"/>
        <v>4.4738537329000599E-3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-2.0815495591378005E-3</v>
      </c>
      <c r="I37" s="17">
        <f si="7" t="shared"/>
        <v>-2.0815495591378005E-3</v>
      </c>
      <c r="K37" s="32" t="s">
        <v>8</v>
      </c>
      <c r="L37" s="33">
        <f si="9" t="shared"/>
        <v>2.0815495591378005E-3</v>
      </c>
      <c r="M37" s="33">
        <f si="8" t="shared"/>
        <v>0</v>
      </c>
      <c r="N37" s="33">
        <f si="10" t="shared"/>
        <v>-2.0815495591378005E-3</v>
      </c>
    </row>
    <row ht="15.75" r="38" spans="6:14" thickBot="1" x14ac:dyDescent="0.3">
      <c r="F38" s="13" t="s">
        <v>19</v>
      </c>
      <c r="G38" s="18">
        <f si="5" t="shared"/>
        <v>3.2080391851116982E-2</v>
      </c>
      <c r="H38" s="18">
        <f si="6" t="shared"/>
        <v>-3.2080391851117107E-2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1262.1553000000001</v>
      </c>
      <c r="C4" s="9" t="n">
        <v>216529.5141</v>
      </c>
      <c r="D4" s="9">
        <f>SUM(B4:C4)</f>
        <v>91090.445522289345</v>
      </c>
      <c r="E4" s="9"/>
      <c r="F4" s="9" t="s">
        <v>1</v>
      </c>
      <c r="G4" s="9" t="n">
        <v>0.0</v>
      </c>
      <c r="H4" s="9" t="n">
        <v>219293.0</v>
      </c>
      <c r="I4" s="9">
        <f>SUM(G4:H4)</f>
        <v>99625</v>
      </c>
    </row>
    <row r="5" spans="1:9" x14ac:dyDescent="0.25">
      <c r="A5" s="9" t="s">
        <v>2</v>
      </c>
      <c r="B5" s="9" t="n">
        <v>2312.2834000000003</v>
      </c>
      <c r="C5" s="9" t="n">
        <v>128712.8436</v>
      </c>
      <c r="D5" s="9">
        <f ref="D5:D12" si="0" t="shared">SUM(B5:C5)</f>
        <v>62108.290647371068</v>
      </c>
      <c r="E5" s="9"/>
      <c r="F5" s="9" t="s">
        <v>2</v>
      </c>
      <c r="G5" s="9" t="n">
        <v>9252.0</v>
      </c>
      <c r="H5" s="9" t="n">
        <v>123512.0</v>
      </c>
      <c r="I5" s="9">
        <f ref="I5:I12" si="1" t="shared">SUM(G5:H5)</f>
        <v>59985</v>
      </c>
    </row>
    <row r="6" spans="1:9" x14ac:dyDescent="0.25">
      <c r="A6" s="9" t="s">
        <v>3</v>
      </c>
      <c r="B6" s="9" t="n">
        <v>906.3639999999999</v>
      </c>
      <c r="C6" s="9" t="n">
        <v>80060.673</v>
      </c>
      <c r="D6" s="9">
        <f si="0" t="shared"/>
        <v>36430.759762409478</v>
      </c>
      <c r="E6" s="9"/>
      <c r="F6" s="9" t="s">
        <v>3</v>
      </c>
      <c r="G6" s="9" t="n">
        <v>4231.0</v>
      </c>
      <c r="H6" s="9" t="n">
        <v>94512.0</v>
      </c>
      <c r="I6" s="9">
        <f si="1" t="shared"/>
        <v>36325</v>
      </c>
    </row>
    <row r="7" spans="1:9" x14ac:dyDescent="0.25">
      <c r="A7" s="9" t="s">
        <v>4</v>
      </c>
      <c r="B7" s="9" t="n">
        <v>0.0</v>
      </c>
      <c r="C7" s="9" t="n">
        <v>1276.5308</v>
      </c>
      <c r="D7" s="9">
        <f si="0" t="shared"/>
        <v>303.19154853646114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16391.9561</v>
      </c>
      <c r="C8" s="9" t="n">
        <v>12647.9064</v>
      </c>
      <c r="D8" s="9">
        <f si="0" t="shared"/>
        <v>4159.058762837325</v>
      </c>
      <c r="E8" s="9"/>
      <c r="F8" s="9" t="s">
        <v>5</v>
      </c>
      <c r="G8" s="9" t="n">
        <v>9357.0</v>
      </c>
      <c r="H8" s="9" t="n">
        <v>7844.0</v>
      </c>
      <c r="I8" s="9">
        <f si="1" t="shared"/>
        <v>1585</v>
      </c>
    </row>
    <row r="9" spans="1:9" x14ac:dyDescent="0.25">
      <c r="A9" s="9" t="s">
        <v>6</v>
      </c>
      <c r="B9" s="9" t="n">
        <v>1565.2302</v>
      </c>
      <c r="C9" s="9" t="n">
        <v>3433.3428</v>
      </c>
      <c r="D9" s="9">
        <f si="0" t="shared"/>
        <v>612.68598941673326</v>
      </c>
      <c r="E9" s="9"/>
      <c r="F9" s="9" t="s">
        <v>6</v>
      </c>
      <c r="G9" s="9" t="n">
        <v>1452.0</v>
      </c>
      <c r="H9" s="9" t="n">
        <v>3142.0</v>
      </c>
      <c r="I9" s="9">
        <f si="1" t="shared"/>
        <v>1420</v>
      </c>
    </row>
    <row r="10" spans="1:9" x14ac:dyDescent="0.25">
      <c r="A10" s="9" t="s">
        <v>7</v>
      </c>
      <c r="B10" s="9" t="n">
        <v>9564.1638</v>
      </c>
      <c r="C10" s="9" t="n">
        <v>39355.629</v>
      </c>
      <c r="D10" s="9">
        <f si="0" t="shared"/>
        <v>8103.3677976532144</v>
      </c>
      <c r="E10" s="9"/>
      <c r="F10" s="9" t="s">
        <v>7</v>
      </c>
      <c r="G10" s="9" t="n">
        <v>13528.0</v>
      </c>
      <c r="H10" s="9" t="n">
        <v>42555.0</v>
      </c>
      <c r="I10" s="9">
        <f si="1" t="shared"/>
        <v>5850</v>
      </c>
    </row>
    <row r="11" spans="1:9" x14ac:dyDescent="0.25">
      <c r="A11" s="14" t="s">
        <v>8</v>
      </c>
      <c r="B11" s="14" t="n">
        <v>0.0</v>
      </c>
      <c r="C11" s="14" t="n">
        <v>2287.9514</v>
      </c>
      <c r="D11" s="14">
        <f si="0" t="shared"/>
        <v>126.19359879798191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9514.6904345388339</v>
      </c>
      <c r="C12" s="10">
        <f>SUM(C4:C11)</f>
        <v>193419.30319477274</v>
      </c>
      <c r="D12" s="10">
        <f si="0" t="shared"/>
        <v>202933.99362931159</v>
      </c>
      <c r="F12" s="13" t="s">
        <v>19</v>
      </c>
      <c r="G12" s="10">
        <f>SUM(G4:G11)</f>
        <v>9070</v>
      </c>
      <c r="H12" s="10">
        <f>SUM(H4:H11)</f>
        <v>195720</v>
      </c>
      <c r="I12" s="10">
        <f si="1" t="shared"/>
        <v>204790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1.050290233071075E-3</v>
      </c>
      <c r="C17" s="16">
        <f ref="C17:D17" si="2" t="shared">C4/$D$12</f>
        <v>0.44781706753784667</v>
      </c>
      <c r="D17" s="16">
        <f si="2" t="shared"/>
        <v>0.44886735777091774</v>
      </c>
      <c r="F17" s="9" t="s">
        <v>1</v>
      </c>
      <c r="G17" s="16">
        <f ref="G17:I25" si="3" t="shared">G4/$I$12</f>
        <v>0</v>
      </c>
      <c r="H17" s="16">
        <f si="3" t="shared"/>
        <v>0.48647394892328727</v>
      </c>
      <c r="I17" s="16">
        <f si="3" t="shared"/>
        <v>0.48647394892328727</v>
      </c>
    </row>
    <row r="18" spans="1:14" x14ac:dyDescent="0.25">
      <c r="A18" s="9" t="s">
        <v>2</v>
      </c>
      <c r="B18" s="16">
        <f ref="B18:D25" si="4" t="shared">B5/$D$12</f>
        <v>1.8549794176901183E-2</v>
      </c>
      <c r="C18" s="16">
        <f si="4" t="shared"/>
        <v>0.28750189059317671</v>
      </c>
      <c r="D18" s="16">
        <f si="4" t="shared"/>
        <v>0.30605168477007788</v>
      </c>
      <c r="F18" s="9" t="s">
        <v>2</v>
      </c>
      <c r="G18" s="16">
        <f si="3" t="shared"/>
        <v>1.8360271497631721E-2</v>
      </c>
      <c r="H18" s="16">
        <f si="3" t="shared"/>
        <v>0.27454953855168707</v>
      </c>
      <c r="I18" s="16">
        <f si="3" t="shared"/>
        <v>0.29290981004931882</v>
      </c>
    </row>
    <row r="19" spans="1:14" x14ac:dyDescent="0.25">
      <c r="A19" s="9" t="s">
        <v>3</v>
      </c>
      <c r="B19" s="16">
        <f si="4" t="shared"/>
        <v>5.126757967014282E-3</v>
      </c>
      <c r="C19" s="16">
        <f si="4" t="shared"/>
        <v>0.17439348460484164</v>
      </c>
      <c r="D19" s="16">
        <f si="4" t="shared"/>
        <v>0.17952024257185592</v>
      </c>
      <c r="F19" s="9" t="s">
        <v>3</v>
      </c>
      <c r="G19" s="16">
        <f si="3" t="shared"/>
        <v>5.9573221348698663E-3</v>
      </c>
      <c r="H19" s="16">
        <f si="3" t="shared"/>
        <v>0.1714195029054153</v>
      </c>
      <c r="I19" s="16">
        <f si="3" t="shared"/>
        <v>0.17737682504028518</v>
      </c>
    </row>
    <row r="20" spans="1:14" x14ac:dyDescent="0.25">
      <c r="A20" s="9" t="s">
        <v>4</v>
      </c>
      <c r="B20" s="16">
        <f si="4" t="shared"/>
        <v>1.3347018581988266E-4</v>
      </c>
      <c r="C20" s="16">
        <f si="4" t="shared"/>
        <v>1.3605700344218009E-3</v>
      </c>
      <c r="D20" s="16">
        <f si="4" t="shared"/>
        <v>1.4940402202416837E-3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1.7359892869802402E-2</v>
      </c>
      <c r="C21" s="16">
        <f si="4" t="shared"/>
        <v>3.134745255904868E-3</v>
      </c>
      <c r="D21" s="16">
        <f si="4" t="shared"/>
        <v>2.0494638125707267E-2</v>
      </c>
      <c r="F21" s="9" t="s">
        <v>5</v>
      </c>
      <c r="G21" s="16">
        <f si="3" t="shared"/>
        <v>7.3489916499829095E-3</v>
      </c>
      <c r="H21" s="16">
        <f si="3" t="shared"/>
        <v>3.9064407441769618E-4</v>
      </c>
      <c r="I21" s="16">
        <f si="3" t="shared"/>
        <v>7.7396357244006054E-3</v>
      </c>
    </row>
    <row r="22" spans="1:14" x14ac:dyDescent="0.25">
      <c r="A22" s="9" t="s">
        <v>6</v>
      </c>
      <c r="B22" s="16">
        <f si="4" t="shared"/>
        <v>1.4522147460796449E-4</v>
      </c>
      <c r="C22" s="16">
        <f si="4" t="shared"/>
        <v>2.8739177955524266E-3</v>
      </c>
      <c r="D22" s="16">
        <f si="4" t="shared"/>
        <v>3.0191392701603911E-3</v>
      </c>
      <c r="F22" s="9" t="s">
        <v>6</v>
      </c>
      <c r="G22" s="16">
        <f si="3" t="shared"/>
        <v>2.9786610674349331E-3</v>
      </c>
      <c r="H22" s="16">
        <f si="3" t="shared"/>
        <v>3.9552712534791741E-3</v>
      </c>
      <c r="I22" s="16">
        <f si="3" t="shared"/>
        <v>6.9339323209141072E-3</v>
      </c>
    </row>
    <row r="23" spans="1:14" x14ac:dyDescent="0.25">
      <c r="A23" s="9" t="s">
        <v>7</v>
      </c>
      <c r="B23" s="16">
        <f si="4" t="shared"/>
        <v>4.2628841940672776E-3</v>
      </c>
      <c r="C23" s="16">
        <f si="4" t="shared"/>
        <v>3.5668167537241932E-2</v>
      </c>
      <c r="D23" s="16">
        <f si="4" t="shared"/>
        <v>3.993105173130921E-2</v>
      </c>
      <c r="F23" s="9" t="s">
        <v>7</v>
      </c>
      <c r="G23" s="16">
        <f si="3" t="shared"/>
        <v>9.6440255871868743E-3</v>
      </c>
      <c r="H23" s="16">
        <f si="3" t="shared"/>
        <v>1.8921822354607157E-2</v>
      </c>
      <c r="I23" s="16">
        <f si="3" t="shared"/>
        <v>2.8565847941794033E-2</v>
      </c>
    </row>
    <row r="24" spans="1:14" x14ac:dyDescent="0.25">
      <c r="A24" s="14" t="s">
        <v>8</v>
      </c>
      <c r="B24" s="17">
        <f si="4" t="shared"/>
        <v>2.5733020688827832E-4</v>
      </c>
      <c r="C24" s="17">
        <f si="4" t="shared"/>
        <v>3.6451533284171306E-4</v>
      </c>
      <c r="D24" s="17">
        <f si="4" t="shared"/>
        <v>6.2184553972999138E-4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4.6885641308172341E-2</v>
      </c>
      <c r="C25" s="18">
        <f si="4" t="shared"/>
        <v>0.95311435869182759</v>
      </c>
      <c r="D25" s="18">
        <f si="4" t="shared"/>
        <v>1</v>
      </c>
      <c r="F25" s="13" t="s">
        <v>19</v>
      </c>
      <c r="G25" s="18">
        <f si="3" t="shared"/>
        <v>4.4289271937106307E-2</v>
      </c>
      <c r="H25" s="18">
        <f si="3" t="shared"/>
        <v>0.9557107280628937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-1.050290233071075E-3</v>
      </c>
      <c r="H30" s="16">
        <f ref="H30:H38" si="6" t="shared">H17-C17</f>
        <v>3.86568813854406E-2</v>
      </c>
      <c r="I30" s="16">
        <f ref="I30:I38" si="7" t="shared">I17-D17</f>
        <v>3.7606591152369528E-2</v>
      </c>
      <c r="K30" s="23" t="s">
        <v>1</v>
      </c>
      <c r="L30" s="24">
        <f>D17</f>
        <v>0.44886735777091774</v>
      </c>
      <c r="M30" s="24">
        <f ref="M30:M38" si="8" t="shared">I17</f>
        <v>0.48647394892328727</v>
      </c>
      <c r="N30" s="24">
        <f>M30-L30</f>
        <v>3.7606591152369528E-2</v>
      </c>
    </row>
    <row r="31" spans="1:14" x14ac:dyDescent="0.25">
      <c r="F31" s="9" t="s">
        <v>2</v>
      </c>
      <c r="G31" s="16">
        <f si="5" t="shared"/>
        <v>-1.8952267926946112E-4</v>
      </c>
      <c r="H31" s="16">
        <f si="6" t="shared"/>
        <v>-1.2952352041489645E-2</v>
      </c>
      <c r="I31" s="16">
        <f si="7" t="shared"/>
        <v>-1.3141874720759061E-2</v>
      </c>
      <c r="K31" s="30" t="s">
        <v>2</v>
      </c>
      <c r="L31" s="31">
        <f ref="L31:L38" si="9" t="shared">D18</f>
        <v>0.30605168477007788</v>
      </c>
      <c r="M31" s="31">
        <f si="8" t="shared"/>
        <v>0.29290981004931882</v>
      </c>
      <c r="N31" s="31">
        <f ref="N31:N38" si="10" t="shared">M31-L31</f>
        <v>-1.3141874720759061E-2</v>
      </c>
    </row>
    <row r="32" spans="1:14" x14ac:dyDescent="0.25">
      <c r="F32" s="9" t="s">
        <v>3</v>
      </c>
      <c r="G32" s="16">
        <f si="5" t="shared"/>
        <v>8.3056416785558425E-4</v>
      </c>
      <c r="H32" s="16">
        <f si="6" t="shared"/>
        <v>-2.9739816994263368E-3</v>
      </c>
      <c r="I32" s="16">
        <f si="7" t="shared"/>
        <v>-2.1434175315707404E-3</v>
      </c>
      <c r="K32" s="23" t="s">
        <v>3</v>
      </c>
      <c r="L32" s="24">
        <f si="9" t="shared"/>
        <v>0.17952024257185592</v>
      </c>
      <c r="M32" s="24">
        <f si="8" t="shared"/>
        <v>0.17737682504028518</v>
      </c>
      <c r="N32" s="24">
        <f si="10" t="shared"/>
        <v>-2.1434175315707404E-3</v>
      </c>
    </row>
    <row r="33" spans="6:14" x14ac:dyDescent="0.25">
      <c r="F33" s="9" t="s">
        <v>4</v>
      </c>
      <c r="G33" s="16">
        <f si="5" t="shared"/>
        <v>-1.3347018581988266E-4</v>
      </c>
      <c r="H33" s="16">
        <f si="6" t="shared"/>
        <v>-1.3605700344218009E-3</v>
      </c>
      <c r="I33" s="16">
        <f si="7" t="shared"/>
        <v>-1.4940402202416837E-3</v>
      </c>
      <c r="K33" s="30" t="s">
        <v>4</v>
      </c>
      <c r="L33" s="31">
        <f si="9" t="shared"/>
        <v>1.4940402202416837E-3</v>
      </c>
      <c r="M33" s="31">
        <f si="8" t="shared"/>
        <v>0</v>
      </c>
      <c r="N33" s="31">
        <f si="10" t="shared"/>
        <v>-1.4940402202416837E-3</v>
      </c>
    </row>
    <row r="34" spans="6:14" x14ac:dyDescent="0.25">
      <c r="F34" s="9" t="s">
        <v>5</v>
      </c>
      <c r="G34" s="16">
        <f si="5" t="shared"/>
        <v>-1.0010901219819492E-2</v>
      </c>
      <c r="H34" s="16">
        <f si="6" t="shared"/>
        <v>-2.7441011814871717E-3</v>
      </c>
      <c r="I34" s="16">
        <f si="7" t="shared"/>
        <v>-1.2755002401306661E-2</v>
      </c>
      <c r="K34" s="23" t="s">
        <v>5</v>
      </c>
      <c r="L34" s="24">
        <f si="9" t="shared"/>
        <v>2.0494638125707267E-2</v>
      </c>
      <c r="M34" s="24">
        <f si="8" t="shared"/>
        <v>7.7396357244006054E-3</v>
      </c>
      <c r="N34" s="24">
        <f si="10" t="shared"/>
        <v>-1.2755002401306661E-2</v>
      </c>
    </row>
    <row r="35" spans="6:14" x14ac:dyDescent="0.25">
      <c r="F35" s="9" t="s">
        <v>6</v>
      </c>
      <c r="G35" s="16">
        <f si="5" t="shared"/>
        <v>2.8334395928269686E-3</v>
      </c>
      <c r="H35" s="16">
        <f si="6" t="shared"/>
        <v>1.0813534579267475E-3</v>
      </c>
      <c r="I35" s="16">
        <f si="7" t="shared"/>
        <v>3.9147930507537161E-3</v>
      </c>
      <c r="K35" s="30" t="s">
        <v>6</v>
      </c>
      <c r="L35" s="31">
        <f si="9" t="shared"/>
        <v>3.0191392701603911E-3</v>
      </c>
      <c r="M35" s="31">
        <f si="8" t="shared"/>
        <v>6.9339323209141072E-3</v>
      </c>
      <c r="N35" s="31">
        <f si="10" t="shared"/>
        <v>3.9147930507537161E-3</v>
      </c>
    </row>
    <row r="36" spans="6:14" x14ac:dyDescent="0.25">
      <c r="F36" s="9" t="s">
        <v>7</v>
      </c>
      <c r="G36" s="16">
        <f si="5" t="shared"/>
        <v>5.3811413931195966E-3</v>
      </c>
      <c r="H36" s="16">
        <f si="6" t="shared"/>
        <v>-1.6746345182634775E-2</v>
      </c>
      <c r="I36" s="16">
        <f si="7" t="shared"/>
        <v>-1.1365203789515176E-2</v>
      </c>
      <c r="K36" s="23" t="s">
        <v>7</v>
      </c>
      <c r="L36" s="24">
        <f si="9" t="shared"/>
        <v>3.993105173130921E-2</v>
      </c>
      <c r="M36" s="24">
        <f si="8" t="shared"/>
        <v>2.8565847941794033E-2</v>
      </c>
      <c r="N36" s="24">
        <f si="10" t="shared"/>
        <v>-1.1365203789515176E-2</v>
      </c>
    </row>
    <row r="37" spans="6:14" x14ac:dyDescent="0.25">
      <c r="F37" s="14" t="s">
        <v>8</v>
      </c>
      <c r="G37" s="17">
        <f si="5" t="shared"/>
        <v>-2.5733020688827832E-4</v>
      </c>
      <c r="H37" s="17">
        <f si="6" t="shared"/>
        <v>-3.6451533284171306E-4</v>
      </c>
      <c r="I37" s="17">
        <f si="7" t="shared"/>
        <v>-6.2184553972999138E-4</v>
      </c>
      <c r="K37" s="32" t="s">
        <v>8</v>
      </c>
      <c r="L37" s="33">
        <f si="9" t="shared"/>
        <v>6.2184553972999138E-4</v>
      </c>
      <c r="M37" s="33">
        <f si="8" t="shared"/>
        <v>0</v>
      </c>
      <c r="N37" s="33">
        <f si="10" t="shared"/>
        <v>-6.2184553972999138E-4</v>
      </c>
    </row>
    <row ht="15.75" r="38" spans="6:14" thickBot="1" x14ac:dyDescent="0.3">
      <c r="F38" s="13" t="s">
        <v>19</v>
      </c>
      <c r="G38" s="18">
        <f si="5" t="shared"/>
        <v>-2.5963693710660332E-3</v>
      </c>
      <c r="H38" s="18">
        <f si="6" t="shared"/>
        <v>2.5963693710661095E-3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1576.8657</v>
      </c>
      <c r="C4" s="9" t="n">
        <v>218299.4845</v>
      </c>
      <c r="D4" s="9">
        <f>SUM(B4:C4)</f>
        <v>71460.578300636131</v>
      </c>
      <c r="E4" s="9"/>
      <c r="F4" s="9" t="s">
        <v>1</v>
      </c>
      <c r="G4" s="9" t="n">
        <v>0.0</v>
      </c>
      <c r="H4" s="9" t="n">
        <v>209103.0</v>
      </c>
      <c r="I4" s="9">
        <f>SUM(G4:H4)</f>
        <v>69560</v>
      </c>
    </row>
    <row r="5" spans="1:9" x14ac:dyDescent="0.25">
      <c r="A5" s="9" t="s">
        <v>2</v>
      </c>
      <c r="B5" s="9" t="n">
        <v>4228.0146</v>
      </c>
      <c r="C5" s="9" t="n">
        <v>117708.8139</v>
      </c>
      <c r="D5" s="9">
        <f ref="D5:D12" si="0" t="shared">SUM(B5:C5)</f>
        <v>43888.737577758853</v>
      </c>
      <c r="E5" s="9"/>
      <c r="F5" s="9" t="s">
        <v>2</v>
      </c>
      <c r="G5" s="9" t="n">
        <v>8063.0</v>
      </c>
      <c r="H5" s="9" t="n">
        <v>112626.0</v>
      </c>
      <c r="I5" s="9">
        <f ref="I5:I12" si="1" t="shared">SUM(G5:H5)</f>
        <v>40840</v>
      </c>
    </row>
    <row r="6" spans="1:9" x14ac:dyDescent="0.25">
      <c r="A6" s="9" t="s">
        <v>3</v>
      </c>
      <c r="B6" s="9" t="n">
        <v>908.8993</v>
      </c>
      <c r="C6" s="9" t="n">
        <v>61550.7561</v>
      </c>
      <c r="D6" s="9">
        <f si="0" t="shared"/>
        <v>16596.324134565893</v>
      </c>
      <c r="E6" s="9"/>
      <c r="F6" s="9" t="s">
        <v>3</v>
      </c>
      <c r="G6" s="9" t="n">
        <v>3947.0</v>
      </c>
      <c r="H6" s="9" t="n">
        <v>90173.0</v>
      </c>
      <c r="I6" s="9">
        <f si="1" t="shared"/>
        <v>24010</v>
      </c>
    </row>
    <row r="7" spans="1:9" x14ac:dyDescent="0.25">
      <c r="A7" s="9" t="s">
        <v>4</v>
      </c>
      <c r="B7" s="9" t="n">
        <v>19.977</v>
      </c>
      <c r="C7" s="9" t="n">
        <v>304.5005</v>
      </c>
      <c r="D7" s="9">
        <f si="0" t="shared"/>
        <v>222.44198059388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16771.0058</v>
      </c>
      <c r="C8" s="9" t="n">
        <v>10109.474</v>
      </c>
      <c r="D8" s="9">
        <f si="0" t="shared"/>
        <v>3665.8972711112942</v>
      </c>
      <c r="E8" s="9"/>
      <c r="F8" s="9" t="s">
        <v>5</v>
      </c>
      <c r="G8" s="9" t="n">
        <v>5899.0</v>
      </c>
      <c r="H8" s="9" t="n">
        <v>4755.0</v>
      </c>
      <c r="I8" s="9">
        <f si="1" t="shared"/>
        <v>915</v>
      </c>
    </row>
    <row r="9" spans="1:9" x14ac:dyDescent="0.25">
      <c r="A9" s="9" t="s">
        <v>6</v>
      </c>
      <c r="B9" s="9" t="n">
        <v>943.4054</v>
      </c>
      <c r="C9" s="9" t="n">
        <v>1755.927</v>
      </c>
      <c r="D9" s="9">
        <f si="0" t="shared"/>
        <v>494.16747265816628</v>
      </c>
      <c r="E9" s="9"/>
      <c r="F9" s="9" t="s">
        <v>6</v>
      </c>
      <c r="G9" s="9" t="n">
        <v>1488.0</v>
      </c>
      <c r="H9" s="9" t="n">
        <v>3446.0</v>
      </c>
      <c r="I9" s="9">
        <f si="1" t="shared"/>
        <v>1020</v>
      </c>
    </row>
    <row r="10" spans="1:9" x14ac:dyDescent="0.25">
      <c r="A10" s="9" t="s">
        <v>7</v>
      </c>
      <c r="B10" s="9" t="n">
        <v>25784.0149</v>
      </c>
      <c r="C10" s="9" t="n">
        <v>35592.8658</v>
      </c>
      <c r="D10" s="9">
        <f si="0" t="shared"/>
        <v>4139.7666191315584</v>
      </c>
      <c r="E10" s="9"/>
      <c r="F10" s="9" t="s">
        <v>7</v>
      </c>
      <c r="G10" s="9" t="n">
        <v>18583.0</v>
      </c>
      <c r="H10" s="9" t="n">
        <v>53823.0</v>
      </c>
      <c r="I10" s="9">
        <f si="1" t="shared"/>
        <v>3940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7684.0481240288082</v>
      </c>
      <c r="C12" s="10">
        <f>SUM(C4:C11)</f>
        <v>132783.86523242696</v>
      </c>
      <c r="D12" s="10">
        <f si="0" t="shared"/>
        <v>140467.91335645577</v>
      </c>
      <c r="F12" s="13" t="s">
        <v>19</v>
      </c>
      <c r="G12" s="10">
        <f>SUM(G4:G11)</f>
        <v>6635</v>
      </c>
      <c r="H12" s="10">
        <f>SUM(H4:H11)</f>
        <v>133650</v>
      </c>
      <c r="I12" s="10">
        <f si="1" t="shared"/>
        <v>140285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2.1832785643660386E-3</v>
      </c>
      <c r="C17" s="16">
        <f ref="C17:D17" si="2" t="shared">C4/$D$12</f>
        <v>0.50654911870059183</v>
      </c>
      <c r="D17" s="16">
        <f si="2" t="shared"/>
        <v>0.50873239726495778</v>
      </c>
      <c r="F17" s="9" t="s">
        <v>1</v>
      </c>
      <c r="G17" s="16">
        <f ref="G17:I25" si="3" t="shared">G4/$I$12</f>
        <v>0</v>
      </c>
      <c r="H17" s="16">
        <f si="3" t="shared"/>
        <v>0.4958477385322736</v>
      </c>
      <c r="I17" s="16">
        <f si="3" t="shared"/>
        <v>0.4958477385322736</v>
      </c>
    </row>
    <row r="18" spans="1:14" x14ac:dyDescent="0.25">
      <c r="A18" s="9" t="s">
        <v>2</v>
      </c>
      <c r="B18" s="16">
        <f ref="B18:D25" si="4" t="shared">B5/$D$12</f>
        <v>1.0372147389239066E-2</v>
      </c>
      <c r="C18" s="16">
        <f si="4" t="shared"/>
        <v>0.30207456395604459</v>
      </c>
      <c r="D18" s="16">
        <f si="4" t="shared"/>
        <v>0.31244671134528368</v>
      </c>
      <c r="F18" s="9" t="s">
        <v>2</v>
      </c>
      <c r="G18" s="16">
        <f si="3" t="shared"/>
        <v>1.9567309405852371E-2</v>
      </c>
      <c r="H18" s="16">
        <f si="3" t="shared"/>
        <v>0.27155433581637384</v>
      </c>
      <c r="I18" s="16">
        <f si="3" t="shared"/>
        <v>0.29112164522222617</v>
      </c>
    </row>
    <row r="19" spans="1:14" x14ac:dyDescent="0.25">
      <c r="A19" s="9" t="s">
        <v>3</v>
      </c>
      <c r="B19" s="16">
        <f si="4" t="shared"/>
        <v>6.0896819819915241E-3</v>
      </c>
      <c r="C19" s="16">
        <f si="4" t="shared"/>
        <v>0.11206060400147391</v>
      </c>
      <c r="D19" s="16">
        <f si="4" t="shared"/>
        <v>0.11815028598346544</v>
      </c>
      <c r="F19" s="9" t="s">
        <v>3</v>
      </c>
      <c r="G19" s="16">
        <f si="3" t="shared"/>
        <v>7.1996293260148982E-3</v>
      </c>
      <c r="H19" s="16">
        <f si="3" t="shared"/>
        <v>0.16395195494885412</v>
      </c>
      <c r="I19" s="16">
        <f si="3" t="shared"/>
        <v>0.17115158427486901</v>
      </c>
    </row>
    <row r="20" spans="1:14" x14ac:dyDescent="0.25">
      <c r="A20" s="9" t="s">
        <v>4</v>
      </c>
      <c r="B20" s="16">
        <f si="4" t="shared"/>
        <v>1.0552207398635621E-3</v>
      </c>
      <c r="C20" s="16">
        <f si="4" t="shared"/>
        <v>5.2835785313086979E-4</v>
      </c>
      <c r="D20" s="16">
        <f si="4" t="shared"/>
        <v>1.583578592994432E-3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2.3872004944792802E-2</v>
      </c>
      <c r="C21" s="16">
        <f si="4" t="shared"/>
        <v>2.2257506458992779E-3</v>
      </c>
      <c r="D21" s="16">
        <f si="4" t="shared"/>
        <v>2.6097755590692079E-2</v>
      </c>
      <c r="F21" s="9" t="s">
        <v>5</v>
      </c>
      <c r="G21" s="16">
        <f si="3" t="shared"/>
        <v>6.3085860925972126E-3</v>
      </c>
      <c r="H21" s="16">
        <f si="3" t="shared"/>
        <v>2.138503760202445E-4</v>
      </c>
      <c r="I21" s="16">
        <f si="3" t="shared"/>
        <v>6.5224364686174577E-3</v>
      </c>
    </row>
    <row r="22" spans="1:14" x14ac:dyDescent="0.25">
      <c r="A22" s="9" t="s">
        <v>6</v>
      </c>
      <c r="B22" s="16">
        <f si="4" t="shared"/>
        <v>1.7217306268099597E-3</v>
      </c>
      <c r="C22" s="16">
        <f si="4" t="shared"/>
        <v>1.7962790086300676E-3</v>
      </c>
      <c r="D22" s="16">
        <f si="4" t="shared"/>
        <v>3.5180096354400269E-3</v>
      </c>
      <c r="F22" s="9" t="s">
        <v>6</v>
      </c>
      <c r="G22" s="16">
        <f si="3" t="shared"/>
        <v>3.1364721816302529E-3</v>
      </c>
      <c r="H22" s="16">
        <f si="3" t="shared"/>
        <v>4.1344406030580606E-3</v>
      </c>
      <c r="I22" s="16">
        <f si="3" t="shared"/>
        <v>7.2709127846883135E-3</v>
      </c>
    </row>
    <row r="23" spans="1:14" x14ac:dyDescent="0.25">
      <c r="A23" s="9" t="s">
        <v>7</v>
      </c>
      <c r="B23" s="16">
        <f si="4" t="shared"/>
        <v>9.4091625640987352E-3</v>
      </c>
      <c r="C23" s="16">
        <f si="4" t="shared"/>
        <v>2.0062099023067846E-2</v>
      </c>
      <c r="D23" s="16">
        <f si="4" t="shared"/>
        <v>2.9471261587166581E-2</v>
      </c>
      <c r="F23" s="9" t="s">
        <v>7</v>
      </c>
      <c r="G23" s="16">
        <f si="3" t="shared"/>
        <v>1.1084577823716007E-2</v>
      </c>
      <c r="H23" s="16">
        <f si="3" t="shared"/>
        <v>1.7001104893609439E-2</v>
      </c>
      <c r="I23" s="16">
        <f si="3" t="shared"/>
        <v>2.8085682717325446E-2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5.4703226811161687E-2</v>
      </c>
      <c r="C25" s="18">
        <f si="4" t="shared"/>
        <v>0.94529677318883831</v>
      </c>
      <c r="D25" s="18">
        <f si="4" t="shared"/>
        <v>1</v>
      </c>
      <c r="F25" s="13" t="s">
        <v>19</v>
      </c>
      <c r="G25" s="18">
        <f si="3" t="shared"/>
        <v>4.7296574829810742E-2</v>
      </c>
      <c r="H25" s="18">
        <f si="3" t="shared"/>
        <v>0.95270342517018924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-2.1832785643660386E-3</v>
      </c>
      <c r="H30" s="16">
        <f ref="H30:H38" si="6" t="shared">H17-C17</f>
        <v>-1.0701380168318231E-2</v>
      </c>
      <c r="I30" s="16">
        <f ref="I30:I38" si="7" t="shared">I17-D17</f>
        <v>-1.2884658732684184E-2</v>
      </c>
      <c r="K30" s="23" t="s">
        <v>1</v>
      </c>
      <c r="L30" s="24">
        <f>D17</f>
        <v>0.50873239726495778</v>
      </c>
      <c r="M30" s="24">
        <f ref="M30:M38" si="8" t="shared">I17</f>
        <v>0.4958477385322736</v>
      </c>
      <c r="N30" s="24">
        <f>M30-L30</f>
        <v>-1.2884658732684184E-2</v>
      </c>
    </row>
    <row r="31" spans="1:14" x14ac:dyDescent="0.25">
      <c r="F31" s="9" t="s">
        <v>2</v>
      </c>
      <c r="G31" s="16">
        <f si="5" t="shared"/>
        <v>9.1951620166133043E-3</v>
      </c>
      <c r="H31" s="16">
        <f si="6" t="shared"/>
        <v>-3.0520228139670758E-2</v>
      </c>
      <c r="I31" s="16">
        <f si="7" t="shared"/>
        <v>-2.1325066123057512E-2</v>
      </c>
      <c r="K31" s="30" t="s">
        <v>2</v>
      </c>
      <c r="L31" s="31">
        <f ref="L31:L38" si="9" t="shared">D18</f>
        <v>0.31244671134528368</v>
      </c>
      <c r="M31" s="31">
        <f si="8" t="shared"/>
        <v>0.29112164522222617</v>
      </c>
      <c r="N31" s="31">
        <f ref="N31:N38" si="10" t="shared">M31-L31</f>
        <v>-2.1325066123057512E-2</v>
      </c>
    </row>
    <row r="32" spans="1:14" x14ac:dyDescent="0.25">
      <c r="F32" s="9" t="s">
        <v>3</v>
      </c>
      <c r="G32" s="16">
        <f si="5" t="shared"/>
        <v>1.109947344023374E-3</v>
      </c>
      <c r="H32" s="16">
        <f si="6" t="shared"/>
        <v>5.1891350947380205E-2</v>
      </c>
      <c r="I32" s="16">
        <f si="7" t="shared"/>
        <v>5.300129829140357E-2</v>
      </c>
      <c r="K32" s="23" t="s">
        <v>3</v>
      </c>
      <c r="L32" s="24">
        <f si="9" t="shared"/>
        <v>0.11815028598346544</v>
      </c>
      <c r="M32" s="24">
        <f si="8" t="shared"/>
        <v>0.17115158427486901</v>
      </c>
      <c r="N32" s="24">
        <f si="10" t="shared"/>
        <v>5.300129829140357E-2</v>
      </c>
    </row>
    <row r="33" spans="6:14" x14ac:dyDescent="0.25">
      <c r="F33" s="9" t="s">
        <v>4</v>
      </c>
      <c r="G33" s="16">
        <f si="5" t="shared"/>
        <v>-1.0552207398635621E-3</v>
      </c>
      <c r="H33" s="16">
        <f si="6" t="shared"/>
        <v>-5.2835785313086979E-4</v>
      </c>
      <c r="I33" s="16">
        <f si="7" t="shared"/>
        <v>-1.583578592994432E-3</v>
      </c>
      <c r="K33" s="30" t="s">
        <v>4</v>
      </c>
      <c r="L33" s="31">
        <f si="9" t="shared"/>
        <v>1.583578592994432E-3</v>
      </c>
      <c r="M33" s="31">
        <f si="8" t="shared"/>
        <v>0</v>
      </c>
      <c r="N33" s="31">
        <f si="10" t="shared"/>
        <v>-1.583578592994432E-3</v>
      </c>
    </row>
    <row r="34" spans="6:14" x14ac:dyDescent="0.25">
      <c r="F34" s="9" t="s">
        <v>5</v>
      </c>
      <c r="G34" s="16">
        <f si="5" t="shared"/>
        <v>-1.7563418852195589E-2</v>
      </c>
      <c r="H34" s="16">
        <f si="6" t="shared"/>
        <v>-2.0119002698790332E-3</v>
      </c>
      <c r="I34" s="16">
        <f si="7" t="shared"/>
        <v>-1.9575319122074622E-2</v>
      </c>
      <c r="K34" s="23" t="s">
        <v>5</v>
      </c>
      <c r="L34" s="24">
        <f si="9" t="shared"/>
        <v>2.6097755590692079E-2</v>
      </c>
      <c r="M34" s="24">
        <f si="8" t="shared"/>
        <v>6.5224364686174577E-3</v>
      </c>
      <c r="N34" s="24">
        <f si="10" t="shared"/>
        <v>-1.9575319122074622E-2</v>
      </c>
    </row>
    <row r="35" spans="6:14" x14ac:dyDescent="0.25">
      <c r="F35" s="9" t="s">
        <v>6</v>
      </c>
      <c r="G35" s="16">
        <f si="5" t="shared"/>
        <v>1.4147415548202932E-3</v>
      </c>
      <c r="H35" s="16">
        <f si="6" t="shared"/>
        <v>2.338161594427993E-3</v>
      </c>
      <c r="I35" s="16">
        <f si="7" t="shared"/>
        <v>3.7529031492482866E-3</v>
      </c>
      <c r="K35" s="30" t="s">
        <v>6</v>
      </c>
      <c r="L35" s="31">
        <f si="9" t="shared"/>
        <v>3.5180096354400269E-3</v>
      </c>
      <c r="M35" s="31">
        <f si="8" t="shared"/>
        <v>7.2709127846883135E-3</v>
      </c>
      <c r="N35" s="31">
        <f si="10" t="shared"/>
        <v>3.7529031492482866E-3</v>
      </c>
    </row>
    <row r="36" spans="6:14" x14ac:dyDescent="0.25">
      <c r="F36" s="9" t="s">
        <v>7</v>
      </c>
      <c r="G36" s="16">
        <f si="5" t="shared"/>
        <v>1.6754152596172717E-3</v>
      </c>
      <c r="H36" s="16">
        <f si="6" t="shared"/>
        <v>-3.0609941294584067E-3</v>
      </c>
      <c r="I36" s="16">
        <f si="7" t="shared"/>
        <v>-1.385578869841135E-3</v>
      </c>
      <c r="K36" s="23" t="s">
        <v>7</v>
      </c>
      <c r="L36" s="24">
        <f si="9" t="shared"/>
        <v>2.9471261587166581E-2</v>
      </c>
      <c r="M36" s="24">
        <f si="8" t="shared"/>
        <v>2.8085682717325446E-2</v>
      </c>
      <c r="N36" s="24">
        <f si="10" t="shared"/>
        <v>-1.385578869841135E-3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-7.4066519813509452E-3</v>
      </c>
      <c r="H38" s="18">
        <f si="6" t="shared"/>
        <v>7.4066519813509313E-3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65.3233</v>
      </c>
      <c r="C4" s="9" t="n">
        <v>41926.3718</v>
      </c>
      <c r="D4" s="9">
        <f>SUM(B4:C4)</f>
        <v>14997.742302743069</v>
      </c>
      <c r="E4" s="9"/>
      <c r="F4" s="9" t="s">
        <v>1</v>
      </c>
      <c r="G4" s="9" t="n">
        <v>0.0</v>
      </c>
      <c r="H4" s="9" t="n">
        <v>39535.0</v>
      </c>
      <c r="I4" s="9">
        <f>SUM(G4:H4)</f>
        <v>16890</v>
      </c>
    </row>
    <row r="5" spans="1:9" x14ac:dyDescent="0.25">
      <c r="A5" s="9" t="s">
        <v>2</v>
      </c>
      <c r="B5" s="9" t="n">
        <v>1549.5348</v>
      </c>
      <c r="C5" s="9" t="n">
        <v>62924.3211</v>
      </c>
      <c r="D5" s="9">
        <f ref="D5:D12" si="0" t="shared">SUM(B5:C5)</f>
        <v>38365.872455288452</v>
      </c>
      <c r="E5" s="9"/>
      <c r="F5" s="9" t="s">
        <v>2</v>
      </c>
      <c r="G5" s="9" t="n">
        <v>1528.0</v>
      </c>
      <c r="H5" s="9" t="n">
        <v>60450.0</v>
      </c>
      <c r="I5" s="9">
        <f ref="I5:I12" si="1" t="shared">SUM(G5:H5)</f>
        <v>38785</v>
      </c>
    </row>
    <row r="6" spans="1:9" x14ac:dyDescent="0.25">
      <c r="A6" s="9" t="s">
        <v>3</v>
      </c>
      <c r="B6" s="9" t="n">
        <v>328.1824</v>
      </c>
      <c r="C6" s="9" t="n">
        <v>27802.6536</v>
      </c>
      <c r="D6" s="9">
        <f si="0" t="shared"/>
        <v>23549.803377815657</v>
      </c>
      <c r="E6" s="9"/>
      <c r="F6" s="9" t="s">
        <v>3</v>
      </c>
      <c r="G6" s="9" t="n">
        <v>738.0</v>
      </c>
      <c r="H6" s="9" t="n">
        <v>41106.0</v>
      </c>
      <c r="I6" s="9">
        <f si="1" t="shared"/>
        <v>19800</v>
      </c>
    </row>
    <row r="7" spans="1:9" x14ac:dyDescent="0.25">
      <c r="A7" s="9" t="s">
        <v>4</v>
      </c>
      <c r="B7" s="9" t="n">
        <v>0.0</v>
      </c>
      <c r="C7" s="9" t="n">
        <v>233.8092</v>
      </c>
      <c r="D7" s="9">
        <f si="0" t="shared"/>
        <v>0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6725.636399999999</v>
      </c>
      <c r="C8" s="9" t="n">
        <v>2112.4071</v>
      </c>
      <c r="D8" s="9">
        <f si="0" t="shared"/>
        <v>21.2728495925376</v>
      </c>
      <c r="E8" s="9"/>
      <c r="F8" s="9" t="s">
        <v>5</v>
      </c>
      <c r="G8" s="9" t="n">
        <v>1225.0</v>
      </c>
      <c r="H8" s="9" t="n">
        <v>2436.0</v>
      </c>
      <c r="I8" s="9">
        <f si="1" t="shared"/>
        <v>605</v>
      </c>
    </row>
    <row r="9" spans="1:9" x14ac:dyDescent="0.25">
      <c r="A9" s="9" t="s">
        <v>6</v>
      </c>
      <c r="B9" s="9" t="n">
        <v>1483.8410999999999</v>
      </c>
      <c r="C9" s="9" t="n">
        <v>1053.0502</v>
      </c>
      <c r="D9" s="9">
        <f si="0" t="shared"/>
        <v>484.18946517307091</v>
      </c>
      <c r="E9" s="9"/>
      <c r="F9" s="9" t="s">
        <v>6</v>
      </c>
      <c r="G9" s="9" t="n">
        <v>102.0</v>
      </c>
      <c r="H9" s="9" t="n">
        <v>551.0</v>
      </c>
      <c r="I9" s="9">
        <f si="1" t="shared"/>
        <v>185</v>
      </c>
    </row>
    <row r="10" spans="1:9" x14ac:dyDescent="0.25">
      <c r="A10" s="9" t="s">
        <v>7</v>
      </c>
      <c r="B10" s="9" t="n">
        <v>7772.8808</v>
      </c>
      <c r="C10" s="9" t="n">
        <v>17626.0248</v>
      </c>
      <c r="D10" s="9">
        <f si="0" t="shared"/>
        <v>2479.432867325108</v>
      </c>
      <c r="E10" s="9"/>
      <c r="F10" s="9" t="s">
        <v>7</v>
      </c>
      <c r="G10" s="9" t="n">
        <v>4822.0</v>
      </c>
      <c r="H10" s="9" t="n">
        <v>26490.0</v>
      </c>
      <c r="I10" s="9">
        <f si="1" t="shared"/>
        <v>1695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189.35314035077201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1374.0609990934499</v>
      </c>
      <c r="C12" s="10">
        <f>SUM(C4:C11)</f>
        <v>78713.605459195212</v>
      </c>
      <c r="D12" s="10">
        <f si="0" t="shared"/>
        <v>80087.666458288659</v>
      </c>
      <c r="F12" s="13" t="s">
        <v>19</v>
      </c>
      <c r="G12" s="10">
        <f>SUM(G4:G11)</f>
        <v>3335</v>
      </c>
      <c r="H12" s="10">
        <f>SUM(H4:H11)</f>
        <v>74625</v>
      </c>
      <c r="I12" s="10">
        <f si="1" t="shared"/>
        <v>77960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3.3115114368522346E-4</v>
      </c>
      <c r="C17" s="16">
        <f ref="C17:D17" si="2" t="shared">C4/$D$12</f>
        <v>0.18693541518278164</v>
      </c>
      <c r="D17" s="16">
        <f si="2" t="shared"/>
        <v>0.18726656632646688</v>
      </c>
      <c r="F17" s="9" t="s">
        <v>1</v>
      </c>
      <c r="G17" s="16">
        <f ref="G17:I25" si="3" t="shared">G4/$I$12</f>
        <v>0</v>
      </c>
      <c r="H17" s="16">
        <f si="3" t="shared"/>
        <v>0.21664956387891227</v>
      </c>
      <c r="I17" s="16">
        <f si="3" t="shared"/>
        <v>0.21664956387891227</v>
      </c>
    </row>
    <row r="18" spans="1:14" x14ac:dyDescent="0.25">
      <c r="A18" s="9" t="s">
        <v>2</v>
      </c>
      <c r="B18" s="16">
        <f ref="B18:D25" si="4" t="shared">B5/$D$12</f>
        <v>1.3784032114105078E-2</v>
      </c>
      <c r="C18" s="16">
        <f si="4" t="shared"/>
        <v>0.46526441756534975</v>
      </c>
      <c r="D18" s="16">
        <f si="4" t="shared"/>
        <v>0.47904844967945476</v>
      </c>
      <c r="F18" s="9" t="s">
        <v>2</v>
      </c>
      <c r="G18" s="16">
        <f si="3" t="shared"/>
        <v>2.0266803488968702E-2</v>
      </c>
      <c r="H18" s="16">
        <f si="3" t="shared"/>
        <v>0.47723191380194974</v>
      </c>
      <c r="I18" s="16">
        <f si="3" t="shared"/>
        <v>0.49749871729091844</v>
      </c>
    </row>
    <row r="19" spans="1:14" x14ac:dyDescent="0.25">
      <c r="A19" s="9" t="s">
        <v>3</v>
      </c>
      <c r="B19" s="16">
        <f si="4" t="shared"/>
        <v>0</v>
      </c>
      <c r="C19" s="16">
        <f si="4" t="shared"/>
        <v>0.29405031285411332</v>
      </c>
      <c r="D19" s="16">
        <f si="4" t="shared"/>
        <v>0.29405031285411332</v>
      </c>
      <c r="F19" s="9" t="s">
        <v>3</v>
      </c>
      <c r="G19" s="16">
        <f si="3" t="shared"/>
        <v>7.3114417650076962E-3</v>
      </c>
      <c r="H19" s="16">
        <f si="3" t="shared"/>
        <v>0.24666495638789124</v>
      </c>
      <c r="I19" s="16">
        <f si="3" t="shared"/>
        <v>0.25397639815289891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0</v>
      </c>
      <c r="D20" s="16">
        <f si="4" t="shared"/>
        <v>0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0</v>
      </c>
      <c r="C21" s="16">
        <f si="4" t="shared"/>
        <v>2.656195458462627E-4</v>
      </c>
      <c r="D21" s="16">
        <f si="4" t="shared"/>
        <v>2.656195458462627E-4</v>
      </c>
      <c r="F21" s="9" t="s">
        <v>5</v>
      </c>
      <c r="G21" s="16">
        <f si="3" t="shared"/>
        <v>7.2473063109286815E-3</v>
      </c>
      <c r="H21" s="16">
        <f si="3" t="shared"/>
        <v>5.1308363263211901E-4</v>
      </c>
      <c r="I21" s="16">
        <f si="3" t="shared"/>
        <v>7.7603899435608002E-3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6.0457432034837343E-3</v>
      </c>
      <c r="D22" s="16">
        <f si="4" t="shared"/>
        <v>6.0457432034837343E-3</v>
      </c>
      <c r="F22" s="9" t="s">
        <v>6</v>
      </c>
      <c r="G22" s="16">
        <f si="3" t="shared"/>
        <v>8.9789635710620834E-4</v>
      </c>
      <c r="H22" s="16">
        <f si="3" t="shared"/>
        <v>1.4751154438173422E-3</v>
      </c>
      <c r="I22" s="16">
        <f si="3" t="shared"/>
        <v>2.3730118009235505E-3</v>
      </c>
    </row>
    <row r="23" spans="1:14" x14ac:dyDescent="0.25">
      <c r="A23" s="9" t="s">
        <v>7</v>
      </c>
      <c r="B23" s="16">
        <f si="4" t="shared"/>
        <v>3.041778105406488E-3</v>
      </c>
      <c r="C23" s="16">
        <f si="4" t="shared"/>
        <v>2.7917206929030106E-2</v>
      </c>
      <c r="D23" s="16">
        <f si="4" t="shared"/>
        <v>3.095898503443659E-2</v>
      </c>
      <c r="F23" s="9" t="s">
        <v>7</v>
      </c>
      <c r="G23" s="16">
        <f si="3" t="shared"/>
        <v>7.0548999486916364E-3</v>
      </c>
      <c r="H23" s="16">
        <f si="3" t="shared"/>
        <v>1.4687018984094408E-2</v>
      </c>
      <c r="I23" s="16">
        <f si="3" t="shared"/>
        <v>2.1741918932786045E-2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2.3643233561985617E-3</v>
      </c>
      <c r="D24" s="17">
        <f si="4" t="shared"/>
        <v>2.3643233561985617E-3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1.715696136319679E-2</v>
      </c>
      <c r="C25" s="18">
        <f si="4" t="shared"/>
        <v>0.98284303863680322</v>
      </c>
      <c r="D25" s="18">
        <f si="4" t="shared"/>
        <v>1</v>
      </c>
      <c r="F25" s="13" t="s">
        <v>19</v>
      </c>
      <c r="G25" s="18">
        <f si="3" t="shared"/>
        <v>4.2778347870702928E-2</v>
      </c>
      <c r="H25" s="18">
        <f si="3" t="shared"/>
        <v>0.95722165212929711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-3.3115114368522346E-4</v>
      </c>
      <c r="H30" s="16">
        <f ref="H30:H38" si="6" t="shared">H17-C17</f>
        <v>2.9714148696130621E-2</v>
      </c>
      <c r="I30" s="16">
        <f ref="I30:I38" si="7" t="shared">I17-D17</f>
        <v>2.9382997552445389E-2</v>
      </c>
      <c r="K30" s="23" t="s">
        <v>1</v>
      </c>
      <c r="L30" s="24">
        <f>D17</f>
        <v>0.18726656632646688</v>
      </c>
      <c r="M30" s="24">
        <f ref="M30:M38" si="8" t="shared">I17</f>
        <v>0.21664956387891227</v>
      </c>
      <c r="N30" s="24">
        <f>M30-L30</f>
        <v>2.9382997552445389E-2</v>
      </c>
    </row>
    <row r="31" spans="1:14" x14ac:dyDescent="0.25">
      <c r="F31" s="9" t="s">
        <v>2</v>
      </c>
      <c r="G31" s="16">
        <f si="5" t="shared"/>
        <v>6.4827713748636245E-3</v>
      </c>
      <c r="H31" s="16">
        <f si="6" t="shared"/>
        <v>1.1967496236599984E-2</v>
      </c>
      <c r="I31" s="16">
        <f si="7" t="shared"/>
        <v>1.8450267611463678E-2</v>
      </c>
      <c r="K31" s="30" t="s">
        <v>2</v>
      </c>
      <c r="L31" s="31">
        <f ref="L31:L38" si="9" t="shared">D18</f>
        <v>0.47904844967945476</v>
      </c>
      <c r="M31" s="31">
        <f si="8" t="shared"/>
        <v>0.49749871729091844</v>
      </c>
      <c r="N31" s="31">
        <f ref="N31:N38" si="10" t="shared">M31-L31</f>
        <v>1.8450267611463678E-2</v>
      </c>
    </row>
    <row r="32" spans="1:14" x14ac:dyDescent="0.25">
      <c r="F32" s="9" t="s">
        <v>3</v>
      </c>
      <c r="G32" s="16">
        <f si="5" t="shared"/>
        <v>7.3114417650076962E-3</v>
      </c>
      <c r="H32" s="16">
        <f si="6" t="shared"/>
        <v>-4.7385356466222078E-2</v>
      </c>
      <c r="I32" s="16">
        <f si="7" t="shared"/>
        <v>-4.0073914701214408E-2</v>
      </c>
      <c r="K32" s="23" t="s">
        <v>3</v>
      </c>
      <c r="L32" s="24">
        <f si="9" t="shared"/>
        <v>0.29405031285411332</v>
      </c>
      <c r="M32" s="24">
        <f si="8" t="shared"/>
        <v>0.25397639815289891</v>
      </c>
      <c r="N32" s="24">
        <f si="10" t="shared"/>
        <v>-4.0073914701214408E-2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0</v>
      </c>
      <c r="I33" s="16">
        <f si="7" t="shared"/>
        <v>0</v>
      </c>
      <c r="K33" s="30" t="s">
        <v>4</v>
      </c>
      <c r="L33" s="31">
        <f si="9" t="shared"/>
        <v>0</v>
      </c>
      <c r="M33" s="31">
        <f si="8" t="shared"/>
        <v>0</v>
      </c>
      <c r="N33" s="31">
        <f si="10" t="shared"/>
        <v>0</v>
      </c>
    </row>
    <row r="34" spans="6:14" x14ac:dyDescent="0.25">
      <c r="F34" s="9" t="s">
        <v>5</v>
      </c>
      <c r="G34" s="16">
        <f si="5" t="shared"/>
        <v>7.2473063109286815E-3</v>
      </c>
      <c r="H34" s="16">
        <f si="6" t="shared"/>
        <v>2.4746408678585631E-4</v>
      </c>
      <c r="I34" s="16">
        <f si="7" t="shared"/>
        <v>7.4947703977145371E-3</v>
      </c>
      <c r="K34" s="23" t="s">
        <v>5</v>
      </c>
      <c r="L34" s="24">
        <f si="9" t="shared"/>
        <v>2.656195458462627E-4</v>
      </c>
      <c r="M34" s="24">
        <f si="8" t="shared"/>
        <v>7.7603899435608002E-3</v>
      </c>
      <c r="N34" s="24">
        <f si="10" t="shared"/>
        <v>7.4947703977145371E-3</v>
      </c>
    </row>
    <row r="35" spans="6:14" x14ac:dyDescent="0.25">
      <c r="F35" s="9" t="s">
        <v>6</v>
      </c>
      <c r="G35" s="16">
        <f si="5" t="shared"/>
        <v>8.9789635710620834E-4</v>
      </c>
      <c r="H35" s="16">
        <f si="6" t="shared"/>
        <v>-4.5706277596663921E-3</v>
      </c>
      <c r="I35" s="16">
        <f si="7" t="shared"/>
        <v>-3.6727314025601838E-3</v>
      </c>
      <c r="K35" s="30" t="s">
        <v>6</v>
      </c>
      <c r="L35" s="31">
        <f si="9" t="shared"/>
        <v>6.0457432034837343E-3</v>
      </c>
      <c r="M35" s="31">
        <f si="8" t="shared"/>
        <v>2.3730118009235505E-3</v>
      </c>
      <c r="N35" s="31">
        <f si="10" t="shared"/>
        <v>-3.6727314025601838E-3</v>
      </c>
    </row>
    <row r="36" spans="6:14" x14ac:dyDescent="0.25">
      <c r="F36" s="9" t="s">
        <v>7</v>
      </c>
      <c r="G36" s="16">
        <f si="5" t="shared"/>
        <v>4.013121843285148E-3</v>
      </c>
      <c r="H36" s="16">
        <f si="6" t="shared"/>
        <v>-1.3230187944935698E-2</v>
      </c>
      <c r="I36" s="16">
        <f si="7" t="shared"/>
        <v>-9.2170661016505451E-3</v>
      </c>
      <c r="K36" s="23" t="s">
        <v>7</v>
      </c>
      <c r="L36" s="24">
        <f si="9" t="shared"/>
        <v>3.095898503443659E-2</v>
      </c>
      <c r="M36" s="24">
        <f si="8" t="shared"/>
        <v>2.1741918932786045E-2</v>
      </c>
      <c r="N36" s="24">
        <f si="10" t="shared"/>
        <v>-9.2170661016505451E-3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-2.3643233561985617E-3</v>
      </c>
      <c r="I37" s="17">
        <f si="7" t="shared"/>
        <v>-2.3643233561985617E-3</v>
      </c>
      <c r="K37" s="32" t="s">
        <v>8</v>
      </c>
      <c r="L37" s="33">
        <f si="9" t="shared"/>
        <v>2.3643233561985617E-3</v>
      </c>
      <c r="M37" s="33">
        <f si="8" t="shared"/>
        <v>0</v>
      </c>
      <c r="N37" s="33">
        <f si="10" t="shared"/>
        <v>-2.3643233561985617E-3</v>
      </c>
    </row>
    <row ht="15.75" r="38" spans="6:14" thickBot="1" x14ac:dyDescent="0.3">
      <c r="F38" s="13" t="s">
        <v>19</v>
      </c>
      <c r="G38" s="18">
        <f si="5" t="shared"/>
        <v>2.5621386507506137E-2</v>
      </c>
      <c r="H38" s="18">
        <f si="6" t="shared"/>
        <v>-2.5621386507506116E-2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F2" sqref="F2:I12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72.8336</v>
      </c>
      <c r="C4" s="9" t="n">
        <v>199793.2138</v>
      </c>
      <c r="D4" s="9">
        <f>SUM(B4:C4)</f>
        <v>63247.60365898192</v>
      </c>
      <c r="E4" s="9"/>
      <c r="F4" s="9" t="s">
        <v>1</v>
      </c>
      <c r="G4" s="9" t="n">
        <v>0.0</v>
      </c>
      <c r="H4" s="9" t="n">
        <v>227717.0</v>
      </c>
      <c r="I4" s="9">
        <f>SUM(G4:H4)</f>
        <v>61710</v>
      </c>
    </row>
    <row r="5" spans="1:9" x14ac:dyDescent="0.25">
      <c r="A5" s="9" t="s">
        <v>2</v>
      </c>
      <c r="B5" s="9" t="n">
        <v>1337.5624</v>
      </c>
      <c r="C5" s="9" t="n">
        <v>166387.3073</v>
      </c>
      <c r="D5" s="9">
        <f ref="D5:D12" si="0" t="shared">SUM(B5:C5)</f>
        <v>58928.244130637111</v>
      </c>
      <c r="E5" s="9"/>
      <c r="F5" s="9" t="s">
        <v>2</v>
      </c>
      <c r="G5" s="9" t="n">
        <v>6509.0</v>
      </c>
      <c r="H5" s="9" t="n">
        <v>191159.0</v>
      </c>
      <c r="I5" s="9">
        <f ref="I5:I12" si="1" t="shared">SUM(G5:H5)</f>
        <v>68810</v>
      </c>
    </row>
    <row r="6" spans="1:9" x14ac:dyDescent="0.25">
      <c r="A6" s="9" t="s">
        <v>3</v>
      </c>
      <c r="B6" s="9" t="n">
        <v>633.1238000000001</v>
      </c>
      <c r="C6" s="9" t="n">
        <v>128127.7031</v>
      </c>
      <c r="D6" s="9">
        <f si="0" t="shared"/>
        <v>50024.171263902565</v>
      </c>
      <c r="E6" s="9"/>
      <c r="F6" s="9" t="s">
        <v>3</v>
      </c>
      <c r="G6" s="9" t="n">
        <v>2975.0</v>
      </c>
      <c r="H6" s="9" t="n">
        <v>145558.0</v>
      </c>
      <c r="I6" s="9">
        <f si="1" t="shared"/>
        <v>49285</v>
      </c>
    </row>
    <row r="7" spans="1:9" x14ac:dyDescent="0.25">
      <c r="A7" s="9" t="s">
        <v>4</v>
      </c>
      <c r="B7" s="9" t="n">
        <v>183.151</v>
      </c>
      <c r="C7" s="9" t="n">
        <v>670.6448</v>
      </c>
      <c r="D7" s="9">
        <f si="0" t="shared"/>
        <v>142.323898132495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6545.4968</v>
      </c>
      <c r="C8" s="9" t="n">
        <v>8624.6592</v>
      </c>
      <c r="D8" s="9">
        <f si="0" t="shared"/>
        <v>385.0264113026634</v>
      </c>
      <c r="E8" s="9"/>
      <c r="F8" s="9" t="s">
        <v>5</v>
      </c>
      <c r="G8" s="9" t="n">
        <v>4566.0</v>
      </c>
      <c r="H8" s="9" t="n">
        <v>5565.0</v>
      </c>
      <c r="I8" s="9">
        <f si="1" t="shared"/>
        <v>995</v>
      </c>
    </row>
    <row r="9" spans="1:9" x14ac:dyDescent="0.25">
      <c r="A9" s="9" t="s">
        <v>6</v>
      </c>
      <c r="B9" s="9" t="n">
        <v>853.3499</v>
      </c>
      <c r="C9" s="9" t="n">
        <v>11438.8409</v>
      </c>
      <c r="D9" s="9">
        <f si="0" t="shared"/>
        <v>2593.8296664188942</v>
      </c>
      <c r="E9" s="9"/>
      <c r="F9" s="9" t="s">
        <v>6</v>
      </c>
      <c r="G9" s="9" t="n">
        <v>1792.0</v>
      </c>
      <c r="H9" s="9" t="n">
        <v>10443.0</v>
      </c>
      <c r="I9" s="9">
        <f si="1" t="shared"/>
        <v>1750</v>
      </c>
    </row>
    <row r="10" spans="1:9" x14ac:dyDescent="0.25">
      <c r="A10" s="9" t="s">
        <v>7</v>
      </c>
      <c r="B10" s="9" t="n">
        <v>15303.742</v>
      </c>
      <c r="C10" s="9" t="n">
        <v>232848.5021</v>
      </c>
      <c r="D10" s="9">
        <f si="0" t="shared"/>
        <v>18818.335332277613</v>
      </c>
      <c r="E10" s="9"/>
      <c r="F10" s="9" t="s">
        <v>7</v>
      </c>
      <c r="G10" s="9" t="n">
        <v>8285.0</v>
      </c>
      <c r="H10" s="9" t="n">
        <v>125781.0</v>
      </c>
      <c r="I10" s="9">
        <f si="1" t="shared"/>
        <v>9320</v>
      </c>
    </row>
    <row r="11" spans="1:9" x14ac:dyDescent="0.25">
      <c r="A11" s="14" t="s">
        <v>8</v>
      </c>
      <c r="B11" s="14" t="n">
        <v>563.9321</v>
      </c>
      <c r="C11" s="14" t="n">
        <v>0.0</v>
      </c>
      <c r="D11" s="14">
        <f si="0" t="shared"/>
        <v>2436.6786506877297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4829.2593135080679</v>
      </c>
      <c r="C12" s="10">
        <f>SUM(C4:C11)</f>
        <v>191746.95369883289</v>
      </c>
      <c r="D12" s="10">
        <f si="0" t="shared"/>
        <v>196576.21301234094</v>
      </c>
      <c r="F12" s="13" t="s">
        <v>19</v>
      </c>
      <c r="G12" s="10">
        <f>SUM(G4:G11)</f>
        <v>6550</v>
      </c>
      <c r="H12" s="10">
        <f>SUM(H4:H11)</f>
        <v>185320</v>
      </c>
      <c r="I12" s="10">
        <f si="1" t="shared"/>
        <v>191870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6.1560841406416763E-4</v>
      </c>
      <c r="C17" s="16">
        <f ref="C17:D17" si="2" t="shared">C4/$D$12</f>
        <v>0.32113035814909918</v>
      </c>
      <c r="D17" s="16">
        <f si="2" t="shared"/>
        <v>0.32174596656316334</v>
      </c>
      <c r="F17" s="9" t="s">
        <v>1</v>
      </c>
      <c r="G17" s="16">
        <f ref="G17:I25" si="3" t="shared">G4/$I$12</f>
        <v>0</v>
      </c>
      <c r="H17" s="16">
        <f si="3" t="shared"/>
        <v>0.32162401626101006</v>
      </c>
      <c r="I17" s="16">
        <f si="3" t="shared"/>
        <v>0.32162401626101006</v>
      </c>
    </row>
    <row r="18" spans="1:14" x14ac:dyDescent="0.25">
      <c r="A18" s="9" t="s">
        <v>2</v>
      </c>
      <c r="B18" s="16">
        <f ref="B18:D25" si="4" t="shared">B5/$D$12</f>
        <v>7.1254814246985536E-3</v>
      </c>
      <c r="C18" s="16">
        <f si="4" t="shared"/>
        <v>0.29264753397537746</v>
      </c>
      <c r="D18" s="16">
        <f si="4" t="shared"/>
        <v>0.29977301540007606</v>
      </c>
      <c r="F18" s="9" t="s">
        <v>2</v>
      </c>
      <c r="G18" s="16">
        <f si="3" t="shared"/>
        <v>1.2378172721113254E-2</v>
      </c>
      <c r="H18" s="16">
        <f si="3" t="shared"/>
        <v>0.3462500651482775</v>
      </c>
      <c r="I18" s="16">
        <f si="3" t="shared"/>
        <v>0.35862823786939074</v>
      </c>
    </row>
    <row r="19" spans="1:14" x14ac:dyDescent="0.25">
      <c r="A19" s="9" t="s">
        <v>3</v>
      </c>
      <c r="B19" s="16">
        <f si="4" t="shared"/>
        <v>3.823481508077767E-3</v>
      </c>
      <c r="C19" s="16">
        <f si="4" t="shared"/>
        <v>0.25065375405023504</v>
      </c>
      <c r="D19" s="16">
        <f si="4" t="shared"/>
        <v>0.25447723555831281</v>
      </c>
      <c r="F19" s="9" t="s">
        <v>3</v>
      </c>
      <c r="G19" s="16">
        <f si="3" t="shared"/>
        <v>5.7591077291916405E-3</v>
      </c>
      <c r="H19" s="16">
        <f si="3" t="shared"/>
        <v>0.25110752071715225</v>
      </c>
      <c r="I19" s="16">
        <f si="3" t="shared"/>
        <v>0.25686662844634389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7.2401383642261945E-4</v>
      </c>
      <c r="D20" s="16">
        <f si="4" t="shared"/>
        <v>7.2401383642261945E-4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1.0855776587741517E-3</v>
      </c>
      <c r="C21" s="16">
        <f si="4" t="shared"/>
        <v>8.7308460967890718E-4</v>
      </c>
      <c r="D21" s="16">
        <f si="4" t="shared"/>
        <v>1.9586622684530587E-3</v>
      </c>
      <c r="F21" s="9" t="s">
        <v>5</v>
      </c>
      <c r="G21" s="16">
        <f si="3" t="shared"/>
        <v>4.9512690884453018E-3</v>
      </c>
      <c r="H21" s="16">
        <f si="3" t="shared"/>
        <v>2.345337989263564E-4</v>
      </c>
      <c r="I21" s="16">
        <f si="3" t="shared"/>
        <v>5.1858028873716577E-3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1.3195033247771718E-2</v>
      </c>
      <c r="D22" s="16">
        <f si="4" t="shared"/>
        <v>1.3195033247771718E-2</v>
      </c>
      <c r="F22" s="9" t="s">
        <v>6</v>
      </c>
      <c r="G22" s="16">
        <f si="3" t="shared"/>
        <v>2.4495752332308334E-3</v>
      </c>
      <c r="H22" s="16">
        <f si="3" t="shared"/>
        <v>6.6711836139052485E-3</v>
      </c>
      <c r="I22" s="16">
        <f si="3" t="shared"/>
        <v>9.1207588471360814E-3</v>
      </c>
    </row>
    <row r="23" spans="1:14" x14ac:dyDescent="0.25">
      <c r="A23" s="9" t="s">
        <v>7</v>
      </c>
      <c r="B23" s="16">
        <f si="4" t="shared"/>
        <v>1.1741323644830264E-2</v>
      </c>
      <c r="C23" s="16">
        <f si="4" t="shared"/>
        <v>8.3989156884348562E-2</v>
      </c>
      <c r="D23" s="16">
        <f si="4" t="shared"/>
        <v>9.5730480529178819E-2</v>
      </c>
      <c r="F23" s="9" t="s">
        <v>7</v>
      </c>
      <c r="G23" s="16">
        <f si="3" t="shared"/>
        <v>8.5995726272997345E-3</v>
      </c>
      <c r="H23" s="16">
        <f si="3" t="shared"/>
        <v>3.9974983061447852E-2</v>
      </c>
      <c r="I23" s="16">
        <f si="3" t="shared"/>
        <v>4.8574555688747592E-2</v>
      </c>
    </row>
    <row r="24" spans="1:14" x14ac:dyDescent="0.25">
      <c r="A24" s="14" t="s">
        <v>8</v>
      </c>
      <c r="B24" s="17">
        <f si="4" t="shared"/>
        <v>1.7538230878095927E-4</v>
      </c>
      <c r="C24" s="17">
        <f si="4" t="shared"/>
        <v>1.2220210287840873E-2</v>
      </c>
      <c r="D24" s="17">
        <f si="4" t="shared"/>
        <v>1.2395592596621832E-2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2.4566854959225864E-2</v>
      </c>
      <c r="C25" s="18">
        <f si="4" t="shared"/>
        <v>0.97543314504077416</v>
      </c>
      <c r="D25" s="18">
        <f si="4" t="shared"/>
        <v>1</v>
      </c>
      <c r="F25" s="13" t="s">
        <v>19</v>
      </c>
      <c r="G25" s="18">
        <f si="3" t="shared"/>
        <v>3.4137697399280763E-2</v>
      </c>
      <c r="H25" s="18">
        <f si="3" t="shared"/>
        <v>0.96586230260071926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-6.1560841406416763E-4</v>
      </c>
      <c r="H30" s="16">
        <f ref="H30:H38" si="6" t="shared">H17-C17</f>
        <v>4.9365811191087738E-4</v>
      </c>
      <c r="I30" s="16">
        <f ref="I30:I38" si="7" t="shared">I17-D17</f>
        <v>-1.2195030215328417E-4</v>
      </c>
      <c r="K30" s="23" t="s">
        <v>1</v>
      </c>
      <c r="L30" s="24">
        <f>D17</f>
        <v>0.32174596656316334</v>
      </c>
      <c r="M30" s="24">
        <f ref="M30:M38" si="8" t="shared">I17</f>
        <v>0.32162401626101006</v>
      </c>
      <c r="N30" s="24">
        <f>M30-L30</f>
        <v>-1.2195030215328417E-4</v>
      </c>
    </row>
    <row r="31" spans="1:14" x14ac:dyDescent="0.25">
      <c r="F31" s="9" t="s">
        <v>2</v>
      </c>
      <c r="G31" s="16">
        <f si="5" t="shared"/>
        <v>5.2526912964147004E-3</v>
      </c>
      <c r="H31" s="16">
        <f si="6" t="shared"/>
        <v>5.3602531172900036E-2</v>
      </c>
      <c r="I31" s="16">
        <f si="7" t="shared"/>
        <v>5.8855222469314683E-2</v>
      </c>
      <c r="K31" s="30" t="s">
        <v>2</v>
      </c>
      <c r="L31" s="31">
        <f ref="L31:L38" si="9" t="shared">D18</f>
        <v>0.29977301540007606</v>
      </c>
      <c r="M31" s="31">
        <f si="8" t="shared"/>
        <v>0.35862823786939074</v>
      </c>
      <c r="N31" s="31">
        <f ref="N31:N38" si="10" t="shared">M31-L31</f>
        <v>5.8855222469314683E-2</v>
      </c>
    </row>
    <row r="32" spans="1:14" x14ac:dyDescent="0.25">
      <c r="F32" s="9" t="s">
        <v>3</v>
      </c>
      <c r="G32" s="16">
        <f si="5" t="shared"/>
        <v>1.9356262211138735E-3</v>
      </c>
      <c r="H32" s="16">
        <f si="6" t="shared"/>
        <v>4.5376666691721024E-4</v>
      </c>
      <c r="I32" s="16">
        <f si="7" t="shared"/>
        <v>2.3893928880310833E-3</v>
      </c>
      <c r="K32" s="23" t="s">
        <v>3</v>
      </c>
      <c r="L32" s="24">
        <f si="9" t="shared"/>
        <v>0.25447723555831281</v>
      </c>
      <c r="M32" s="24">
        <f si="8" t="shared"/>
        <v>0.25686662844634389</v>
      </c>
      <c r="N32" s="24">
        <f si="10" t="shared"/>
        <v>2.3893928880310833E-3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-7.2401383642261945E-4</v>
      </c>
      <c r="I33" s="16">
        <f si="7" t="shared"/>
        <v>-7.2401383642261945E-4</v>
      </c>
      <c r="K33" s="30" t="s">
        <v>4</v>
      </c>
      <c r="L33" s="31">
        <f si="9" t="shared"/>
        <v>7.2401383642261945E-4</v>
      </c>
      <c r="M33" s="31">
        <f si="8" t="shared"/>
        <v>0</v>
      </c>
      <c r="N33" s="31">
        <f si="10" t="shared"/>
        <v>-7.2401383642261945E-4</v>
      </c>
    </row>
    <row r="34" spans="6:14" x14ac:dyDescent="0.25">
      <c r="F34" s="9" t="s">
        <v>5</v>
      </c>
      <c r="G34" s="16">
        <f si="5" t="shared"/>
        <v>3.8656914296711503E-3</v>
      </c>
      <c r="H34" s="16">
        <f si="6" t="shared"/>
        <v>-6.3855081075255081E-4</v>
      </c>
      <c r="I34" s="16">
        <f si="7" t="shared"/>
        <v>3.227140618918599E-3</v>
      </c>
      <c r="K34" s="23" t="s">
        <v>5</v>
      </c>
      <c r="L34" s="24">
        <f si="9" t="shared"/>
        <v>1.9586622684530587E-3</v>
      </c>
      <c r="M34" s="24">
        <f si="8" t="shared"/>
        <v>5.1858028873716577E-3</v>
      </c>
      <c r="N34" s="24">
        <f si="10" t="shared"/>
        <v>3.227140618918599E-3</v>
      </c>
    </row>
    <row r="35" spans="6:14" x14ac:dyDescent="0.25">
      <c r="F35" s="9" t="s">
        <v>6</v>
      </c>
      <c r="G35" s="16">
        <f si="5" t="shared"/>
        <v>2.4495752332308334E-3</v>
      </c>
      <c r="H35" s="16">
        <f si="6" t="shared"/>
        <v>-6.5238496338664697E-3</v>
      </c>
      <c r="I35" s="16">
        <f si="7" t="shared"/>
        <v>-4.0742744006356368E-3</v>
      </c>
      <c r="K35" s="30" t="s">
        <v>6</v>
      </c>
      <c r="L35" s="31">
        <f si="9" t="shared"/>
        <v>1.3195033247771718E-2</v>
      </c>
      <c r="M35" s="31">
        <f si="8" t="shared"/>
        <v>9.1207588471360814E-3</v>
      </c>
      <c r="N35" s="31">
        <f si="10" t="shared"/>
        <v>-4.0742744006356368E-3</v>
      </c>
    </row>
    <row r="36" spans="6:14" x14ac:dyDescent="0.25">
      <c r="F36" s="9" t="s">
        <v>7</v>
      </c>
      <c r="G36" s="16">
        <f si="5" t="shared"/>
        <v>-3.141751017530529E-3</v>
      </c>
      <c r="H36" s="16">
        <f si="6" t="shared"/>
        <v>-4.401417382290071E-2</v>
      </c>
      <c r="I36" s="16">
        <f si="7" t="shared"/>
        <v>-4.7155924840431226E-2</v>
      </c>
      <c r="K36" s="23" t="s">
        <v>7</v>
      </c>
      <c r="L36" s="24">
        <f si="9" t="shared"/>
        <v>9.5730480529178819E-2</v>
      </c>
      <c r="M36" s="24">
        <f si="8" t="shared"/>
        <v>4.8574555688747592E-2</v>
      </c>
      <c r="N36" s="24">
        <f si="10" t="shared"/>
        <v>-4.7155924840431226E-2</v>
      </c>
    </row>
    <row r="37" spans="6:14" x14ac:dyDescent="0.25">
      <c r="F37" s="14" t="s">
        <v>8</v>
      </c>
      <c r="G37" s="17">
        <f si="5" t="shared"/>
        <v>-1.7538230878095927E-4</v>
      </c>
      <c r="H37" s="17">
        <f si="6" t="shared"/>
        <v>-1.2220210287840873E-2</v>
      </c>
      <c r="I37" s="17">
        <f si="7" t="shared"/>
        <v>-1.2395592596621832E-2</v>
      </c>
      <c r="K37" s="32" t="s">
        <v>8</v>
      </c>
      <c r="L37" s="33">
        <f si="9" t="shared"/>
        <v>1.2395592596621832E-2</v>
      </c>
      <c r="M37" s="33">
        <f si="8" t="shared"/>
        <v>0</v>
      </c>
      <c r="N37" s="33">
        <f si="10" t="shared"/>
        <v>-1.2395592596621832E-2</v>
      </c>
    </row>
    <row ht="15.75" r="38" spans="6:14" thickBot="1" x14ac:dyDescent="0.3">
      <c r="F38" s="13" t="s">
        <v>19</v>
      </c>
      <c r="G38" s="18">
        <f si="5" t="shared"/>
        <v>9.5708424400548983E-3</v>
      </c>
      <c r="H38" s="18">
        <f si="6" t="shared"/>
        <v>-9.5708424400549053E-3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K1" workbookViewId="0">
      <selection activeCell="K2" sqref="K2:S1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62" t="s">
        <v>18</v>
      </c>
      <c r="C3" s="62"/>
      <c r="D3" s="62"/>
      <c r="E3" s="62"/>
      <c r="F3" s="62"/>
      <c r="G3" s="62"/>
      <c r="H3" s="62"/>
      <c r="I3" s="11"/>
      <c r="K3" s="5"/>
      <c r="L3" s="63" t="s">
        <v>18</v>
      </c>
      <c r="M3" s="63"/>
      <c r="N3" s="63"/>
      <c r="O3" s="63"/>
      <c r="P3" s="63"/>
      <c r="Q3" s="63"/>
      <c r="R3" s="63"/>
      <c r="S3" s="63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42082.1282</v>
      </c>
      <c r="C5" s="9" t="n">
        <v>11348.6833</v>
      </c>
      <c r="D5" s="9" t="n">
        <v>5567.1624</v>
      </c>
      <c r="E5" s="9" t="n">
        <v>0.0</v>
      </c>
      <c r="F5" s="9" t="n">
        <v>195.9342</v>
      </c>
      <c r="G5" s="9" t="n">
        <v>707.3987</v>
      </c>
      <c r="H5" s="9" t="n">
        <v>0.0</v>
      </c>
      <c r="I5" s="9">
        <f>SUM(B5:H5)</f>
        <v>45169.942135265708</v>
      </c>
      <c r="J5" s="9"/>
      <c r="K5" s="9" t="s">
        <v>1</v>
      </c>
      <c r="L5" s="9" t="n">
        <v>186463.0</v>
      </c>
      <c r="M5" s="9" t="n">
        <v>49385.0</v>
      </c>
      <c r="N5" s="9" t="n">
        <v>15607.0</v>
      </c>
      <c r="O5" s="9" t="n">
        <v>2936.0</v>
      </c>
      <c r="P5" s="9" t="n">
        <v>7913.0</v>
      </c>
      <c r="Q5" s="9" t="n">
        <v>3322.0</v>
      </c>
      <c r="R5" s="9" t="n">
        <v>2943.0</v>
      </c>
      <c r="S5" s="9">
        <f>SUM(L5:R5)</f>
        <v>49270</v>
      </c>
    </row>
    <row r="6" spans="1:19" x14ac:dyDescent="0.25">
      <c r="A6" t="s">
        <v>2</v>
      </c>
      <c r="B6" s="9" t="n">
        <v>7660.5471</v>
      </c>
      <c r="C6" s="9" t="n">
        <v>2861.8881</v>
      </c>
      <c r="D6" s="9" t="n">
        <v>834.9985</v>
      </c>
      <c r="E6" s="9" t="n">
        <v>0.0</v>
      </c>
      <c r="F6" s="9" t="n">
        <v>535.3399</v>
      </c>
      <c r="G6" s="9" t="n">
        <v>1259.5156</v>
      </c>
      <c r="H6" s="9" t="n">
        <v>171.2434</v>
      </c>
      <c r="I6" s="9">
        <f ref="I6:I11" si="0" t="shared">SUM(B6:H6)</f>
        <v>19423.195016171219</v>
      </c>
      <c r="J6" s="9"/>
      <c r="K6" s="9" t="s">
        <v>2</v>
      </c>
      <c r="L6" s="9" t="n">
        <v>26173.0</v>
      </c>
      <c r="M6" s="9" t="n">
        <v>17482.0</v>
      </c>
      <c r="N6" s="9" t="n">
        <v>9032.0</v>
      </c>
      <c r="O6" s="9" t="n">
        <v>1778.0</v>
      </c>
      <c r="P6" s="9" t="n">
        <v>6157.0</v>
      </c>
      <c r="Q6" s="9" t="n">
        <v>2270.0</v>
      </c>
      <c r="R6" s="9" t="n">
        <v>2094.0</v>
      </c>
      <c r="S6" s="9">
        <f ref="S6:S11" si="1" t="shared">SUM(L6:R6)</f>
        <v>21065</v>
      </c>
    </row>
    <row r="7" spans="1:19" x14ac:dyDescent="0.25">
      <c r="A7" t="s">
        <v>3</v>
      </c>
      <c r="B7" s="9" t="n">
        <v>2266.536</v>
      </c>
      <c r="C7" s="9" t="n">
        <v>903.616</v>
      </c>
      <c r="D7" s="9" t="n">
        <v>534.8245000000001</v>
      </c>
      <c r="E7" s="9" t="n">
        <v>128.9164</v>
      </c>
      <c r="F7" s="9" t="n">
        <v>766.5197000000001</v>
      </c>
      <c r="G7" s="9" t="n">
        <v>444.4694</v>
      </c>
      <c r="H7" s="9" t="n">
        <v>0.0</v>
      </c>
      <c r="I7" s="9">
        <f si="0" t="shared"/>
        <v>7958.8233339464941</v>
      </c>
      <c r="J7" s="9"/>
      <c r="K7" s="9" t="s">
        <v>3</v>
      </c>
      <c r="L7" s="9" t="n">
        <v>15559.0</v>
      </c>
      <c r="M7" s="9" t="n">
        <v>10144.0</v>
      </c>
      <c r="N7" s="9" t="n">
        <v>5099.0</v>
      </c>
      <c r="O7" s="9" t="n">
        <v>1069.0</v>
      </c>
      <c r="P7" s="9" t="n">
        <v>3806.0</v>
      </c>
      <c r="Q7" s="9" t="n">
        <v>1389.0</v>
      </c>
      <c r="R7" s="9" t="n">
        <v>1255.0</v>
      </c>
      <c r="S7" s="9">
        <f si="1" t="shared"/>
        <v>8760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1134.9396</v>
      </c>
      <c r="C9" s="9" t="n">
        <v>0.0</v>
      </c>
      <c r="D9" s="9" t="n">
        <v>308.9035</v>
      </c>
      <c r="E9" s="9" t="n">
        <v>128.9164</v>
      </c>
      <c r="F9" s="9" t="n">
        <v>2168.7074</v>
      </c>
      <c r="G9" s="9" t="n">
        <v>0.0</v>
      </c>
      <c r="H9" s="9" t="n">
        <v>0.0</v>
      </c>
      <c r="I9" s="9">
        <f si="0" t="shared"/>
        <v>142.99112267065908</v>
      </c>
      <c r="J9" s="9"/>
      <c r="K9" s="9" t="s">
        <v>5</v>
      </c>
      <c r="L9" s="9" t="n">
        <v>1615.0</v>
      </c>
      <c r="M9" s="9" t="n">
        <v>513.0</v>
      </c>
      <c r="N9" s="9" t="n">
        <v>705.0</v>
      </c>
      <c r="O9" s="9" t="n">
        <v>225.0</v>
      </c>
      <c r="P9" s="9" t="n">
        <v>1044.0</v>
      </c>
      <c r="Q9" s="9" t="n">
        <v>198.0</v>
      </c>
      <c r="R9" s="9" t="n">
        <v>190.0</v>
      </c>
      <c r="S9" s="9">
        <f si="1" t="shared"/>
        <v>165</v>
      </c>
    </row>
    <row r="10" spans="1:19" x14ac:dyDescent="0.25">
      <c r="A10" t="s">
        <v>6</v>
      </c>
      <c r="B10" s="9" t="n">
        <v>105.5199</v>
      </c>
      <c r="C10" s="9" t="n">
        <v>75.0081</v>
      </c>
      <c r="D10" s="9" t="n">
        <v>0.0</v>
      </c>
      <c r="E10" s="9" t="n">
        <v>0.0</v>
      </c>
      <c r="F10" s="9" t="n">
        <v>0.0</v>
      </c>
      <c r="G10" s="9" t="n">
        <v>192.237</v>
      </c>
      <c r="H10" s="9" t="n">
        <v>0.0</v>
      </c>
      <c r="I10" s="9">
        <f si="0" t="shared"/>
        <v>304.23726708579568</v>
      </c>
      <c r="J10" s="9"/>
      <c r="K10" s="9" t="s">
        <v>6</v>
      </c>
      <c r="L10" s="9" t="n">
        <v>552.0</v>
      </c>
      <c r="M10" s="9" t="n">
        <v>222.0</v>
      </c>
      <c r="N10" s="9" t="n">
        <v>244.0</v>
      </c>
      <c r="O10" s="9" t="n">
        <v>54.0</v>
      </c>
      <c r="P10" s="9" t="n">
        <v>209.0</v>
      </c>
      <c r="Q10" s="9" t="n">
        <v>846.0</v>
      </c>
      <c r="R10" s="9" t="n">
        <v>21.0</v>
      </c>
      <c r="S10" s="9">
        <f si="1" t="shared"/>
        <v>350</v>
      </c>
    </row>
    <row r="11" spans="1:19" x14ac:dyDescent="0.25">
      <c r="A11" s="6" t="s">
        <v>7</v>
      </c>
      <c r="B11" s="14" t="n">
        <v>27313.3654</v>
      </c>
      <c r="C11" s="14" t="n">
        <v>5954.8051000000005</v>
      </c>
      <c r="D11" s="14" t="n">
        <v>2388.9343</v>
      </c>
      <c r="E11" s="14" t="n">
        <v>3426.4201</v>
      </c>
      <c r="F11" s="14" t="n">
        <v>14541.1103</v>
      </c>
      <c r="G11" s="14" t="n">
        <v>4565.0871</v>
      </c>
      <c r="H11" s="14" t="n">
        <v>3801.2424</v>
      </c>
      <c r="I11" s="9">
        <f si="0" t="shared"/>
        <v>13724.321125561062</v>
      </c>
      <c r="J11" s="9"/>
      <c r="K11" s="6" t="s">
        <v>7</v>
      </c>
      <c r="L11" s="12" t="n">
        <v>80990.0</v>
      </c>
      <c r="M11" s="12" t="n">
        <v>29802.0</v>
      </c>
      <c r="N11" s="12" t="n">
        <v>21370.0</v>
      </c>
      <c r="O11" s="12" t="n">
        <v>5533.0</v>
      </c>
      <c r="P11" s="12" t="n">
        <v>24525.0</v>
      </c>
      <c r="Q11" s="12" t="n">
        <v>5332.0</v>
      </c>
      <c r="R11" s="12" t="n">
        <v>16880.0</v>
      </c>
      <c r="S11" s="9">
        <f si="1" t="shared"/>
        <v>10455</v>
      </c>
    </row>
    <row ht="15.75" r="12" spans="1:19" thickBot="1" x14ac:dyDescent="0.3">
      <c r="A12" s="15" t="s">
        <v>19</v>
      </c>
      <c r="B12" s="19">
        <f>SUM(B5:B11)</f>
        <v>57703.332735682081</v>
      </c>
      <c r="C12" s="19">
        <f ref="C12:I12" si="2" t="shared">SUM(C5:C11)</f>
        <v>19673.502682508308</v>
      </c>
      <c r="D12" s="19">
        <f si="2" t="shared"/>
        <v>5112.2252538487446</v>
      </c>
      <c r="E12" s="19">
        <f si="2" t="shared"/>
        <v>1591.0114138106571</v>
      </c>
      <c r="F12" s="19">
        <f si="2" t="shared"/>
        <v>1992.9021289503928</v>
      </c>
      <c r="G12" s="19">
        <f si="2" t="shared"/>
        <v>523.37396837303686</v>
      </c>
      <c r="H12" s="19">
        <f si="2" t="shared"/>
        <v>127.1618175277172</v>
      </c>
      <c r="I12" s="19">
        <f si="2" t="shared"/>
        <v>86723.510000700946</v>
      </c>
      <c r="K12" s="13" t="s">
        <v>19</v>
      </c>
      <c r="L12" s="19">
        <f>SUM(L5:L11)</f>
        <v>59425</v>
      </c>
      <c r="M12" s="19">
        <f ref="M12:S12" si="3" t="shared">SUM(M5:M11)</f>
        <v>21010</v>
      </c>
      <c r="N12" s="19">
        <f si="3" t="shared"/>
        <v>7670</v>
      </c>
      <c r="O12" s="19">
        <f si="3" t="shared"/>
        <v>380</v>
      </c>
      <c r="P12" s="19">
        <f si="3" t="shared"/>
        <v>345</v>
      </c>
      <c r="Q12" s="19">
        <f si="3" t="shared"/>
        <v>395</v>
      </c>
      <c r="R12" s="19">
        <f si="3" t="shared"/>
        <v>840</v>
      </c>
      <c r="S12" s="19">
        <f si="3" t="shared"/>
        <v>90065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62" t="s">
        <v>18</v>
      </c>
      <c r="C16" s="62"/>
      <c r="D16" s="62"/>
      <c r="E16" s="62"/>
      <c r="F16" s="62"/>
      <c r="G16" s="62"/>
      <c r="H16" s="62"/>
      <c r="I16" s="11"/>
      <c r="K16" s="5"/>
      <c r="L16" s="63" t="s">
        <v>18</v>
      </c>
      <c r="M16" s="63"/>
      <c r="N16" s="63"/>
      <c r="O16" s="63"/>
      <c r="P16" s="63"/>
      <c r="Q16" s="63"/>
      <c r="R16" s="63"/>
      <c r="S16" s="63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0.40055370308648347</v>
      </c>
      <c r="C18" s="16">
        <f ref="C18:I18" si="4" t="shared">C5/$I$12</f>
        <v>9.1162287242963436E-2</v>
      </c>
      <c r="D18" s="16">
        <f si="4" t="shared"/>
        <v>2.8433936916369629E-2</v>
      </c>
      <c r="E18" s="16">
        <f si="4" t="shared"/>
        <v>0</v>
      </c>
      <c r="F18" s="16">
        <f si="4" t="shared"/>
        <v>0</v>
      </c>
      <c r="G18" s="16">
        <f si="4" t="shared"/>
        <v>0</v>
      </c>
      <c r="H18" s="16">
        <f si="4" t="shared"/>
        <v>7.0009525558614575E-4</v>
      </c>
      <c r="I18" s="16">
        <f si="4" t="shared"/>
        <v>0.52085002250140267</v>
      </c>
      <c r="J18" s="9"/>
      <c r="K18" s="9" t="s">
        <v>1</v>
      </c>
      <c r="L18" s="16">
        <f ref="L18:S25" si="5" t="shared">L5/$S$12</f>
        <v>0.47160384166990504</v>
      </c>
      <c r="M18" s="16">
        <f si="5" t="shared"/>
        <v>6.2954532837395216E-2</v>
      </c>
      <c r="N18" s="16">
        <f si="5" t="shared"/>
        <v>1.1214123133292621E-2</v>
      </c>
      <c r="O18" s="16">
        <f si="5" t="shared"/>
        <v>4.4412368844723253E-4</v>
      </c>
      <c r="P18" s="16">
        <f si="5" t="shared"/>
        <v>3.8860822739132851E-4</v>
      </c>
      <c r="Q18" s="16">
        <f si="5" t="shared"/>
        <v>3.3309276633542443E-4</v>
      </c>
      <c r="R18" s="16">
        <f si="5" t="shared"/>
        <v>1.1103092211180813E-4</v>
      </c>
      <c r="S18" s="16">
        <f si="5" t="shared"/>
        <v>0.54704935324487869</v>
      </c>
    </row>
    <row r="19" spans="1:19" x14ac:dyDescent="0.25">
      <c r="A19" t="s">
        <v>2</v>
      </c>
      <c r="B19" s="16">
        <f ref="B19:I19" si="6" t="shared">B6/$I$12</f>
        <v>0.11234736127511581</v>
      </c>
      <c r="C19" s="16">
        <f si="6" t="shared"/>
        <v>9.7132248111949052E-2</v>
      </c>
      <c r="D19" s="16">
        <f si="6" t="shared"/>
        <v>1.2640420175557471E-2</v>
      </c>
      <c r="E19" s="16">
        <f si="6" t="shared"/>
        <v>0</v>
      </c>
      <c r="F19" s="16">
        <f si="6" t="shared"/>
        <v>1.0023551254150945E-3</v>
      </c>
      <c r="G19" s="16">
        <f si="6" t="shared"/>
        <v>8.445075193263136E-4</v>
      </c>
      <c r="H19" s="16">
        <f si="6" t="shared"/>
        <v>0</v>
      </c>
      <c r="I19" s="16">
        <f si="6" t="shared"/>
        <v>0.22396689220736374</v>
      </c>
      <c r="J19" s="9"/>
      <c r="K19" s="9" t="s">
        <v>2</v>
      </c>
      <c r="L19" s="16">
        <f si="5" t="shared"/>
        <v>8.4772109032365511E-2</v>
      </c>
      <c r="M19" s="16">
        <f si="5" t="shared"/>
        <v>0.10625659246100039</v>
      </c>
      <c r="N19" s="16">
        <f si="5" t="shared"/>
        <v>3.7472936212735244E-2</v>
      </c>
      <c r="O19" s="16">
        <f si="5" t="shared"/>
        <v>1.7764947537889301E-3</v>
      </c>
      <c r="P19" s="16">
        <f si="5" t="shared"/>
        <v>1.49891744850941E-3</v>
      </c>
      <c r="Q19" s="16">
        <f si="5" t="shared"/>
        <v>1.2213401432298895E-3</v>
      </c>
      <c r="R19" s="16">
        <f si="5" t="shared"/>
        <v>8.8824737689446507E-4</v>
      </c>
      <c r="S19" s="16">
        <f si="5" t="shared"/>
        <v>0.23388663742852384</v>
      </c>
    </row>
    <row r="20" spans="1:19" x14ac:dyDescent="0.25">
      <c r="A20" t="s">
        <v>3</v>
      </c>
      <c r="B20" s="16">
        <f ref="B20:I20" si="7" t="shared">B7/$I$12</f>
        <v>7.0516152935542711E-2</v>
      </c>
      <c r="C20" s="16">
        <f si="7" t="shared"/>
        <v>9.4269476538408146E-3</v>
      </c>
      <c r="D20" s="16">
        <f si="7" t="shared"/>
        <v>1.1359319579832773E-2</v>
      </c>
      <c r="E20" s="16">
        <f si="7" t="shared"/>
        <v>4.6996466486348492E-4</v>
      </c>
      <c r="F20" s="16">
        <f si="7" t="shared"/>
        <v>0</v>
      </c>
      <c r="G20" s="16">
        <f si="7" t="shared"/>
        <v>0</v>
      </c>
      <c r="H20" s="16">
        <f si="7" t="shared"/>
        <v>0</v>
      </c>
      <c r="I20" s="16">
        <f si="7" t="shared"/>
        <v>9.177238483407979E-2</v>
      </c>
      <c r="J20" s="9"/>
      <c r="K20" s="9" t="s">
        <v>3</v>
      </c>
      <c r="L20" s="16">
        <f si="5" t="shared"/>
        <v>3.7694998056958862E-2</v>
      </c>
      <c r="M20" s="16">
        <f si="5" t="shared"/>
        <v>4.1636595791928049E-2</v>
      </c>
      <c r="N20" s="16">
        <f si="5" t="shared"/>
        <v>1.6154999167268085E-2</v>
      </c>
      <c r="O20" s="16">
        <f si="5" t="shared"/>
        <v>3.3309276633542443E-4</v>
      </c>
      <c r="P20" s="16">
        <f si="5" t="shared"/>
        <v>4.4412368844723253E-4</v>
      </c>
      <c r="Q20" s="16">
        <f si="5" t="shared"/>
        <v>6.1067007161494477E-4</v>
      </c>
      <c r="R20" s="16">
        <f si="5" t="shared"/>
        <v>3.8860822739132851E-4</v>
      </c>
      <c r="S20" s="16">
        <f si="5" t="shared"/>
        <v>9.7263087769943926E-2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4.1614714024516424E-4</v>
      </c>
      <c r="C22" s="16">
        <f si="9" t="shared"/>
        <v>0</v>
      </c>
      <c r="D22" s="16">
        <f si="9" t="shared"/>
        <v>0</v>
      </c>
      <c r="E22" s="16">
        <f si="9" t="shared"/>
        <v>7.1939060571128341E-4</v>
      </c>
      <c r="F22" s="16">
        <f si="9" t="shared"/>
        <v>5.1327839016976969E-4</v>
      </c>
      <c r="G22" s="16">
        <f si="9" t="shared"/>
        <v>0</v>
      </c>
      <c r="H22" s="16">
        <f si="9" t="shared"/>
        <v>0</v>
      </c>
      <c r="I22" s="16">
        <f si="9" t="shared"/>
        <v>1.6488161361262171E-3</v>
      </c>
      <c r="J22" s="9"/>
      <c r="K22" s="9" t="s">
        <v>5</v>
      </c>
      <c r="L22" s="16">
        <f si="5" t="shared"/>
        <v>9.4376283795036915E-4</v>
      </c>
      <c r="M22" s="16">
        <f si="5" t="shared"/>
        <v>2.2206184422361627E-4</v>
      </c>
      <c r="N22" s="16">
        <f si="5" t="shared"/>
        <v>4.9963914950313661E-4</v>
      </c>
      <c r="O22" s="16">
        <f si="5" t="shared"/>
        <v>0</v>
      </c>
      <c r="P22" s="16">
        <f si="5" t="shared"/>
        <v>1.6654638316771221E-4</v>
      </c>
      <c r="Q22" s="16">
        <f si="5" t="shared"/>
        <v>0</v>
      </c>
      <c r="R22" s="16">
        <f si="5" t="shared"/>
        <v>0</v>
      </c>
      <c r="S22" s="16">
        <f si="5" t="shared"/>
        <v>1.8320102148448342E-3</v>
      </c>
    </row>
    <row r="23" spans="1:19" x14ac:dyDescent="0.25">
      <c r="A23" t="s">
        <v>6</v>
      </c>
      <c r="B23" s="16">
        <f ref="B23:I23" si="10" t="shared">B10/$I$12</f>
        <v>8.8263612979544784E-4</v>
      </c>
      <c r="C23" s="16">
        <f si="10" t="shared"/>
        <v>0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2.6254929471219495E-3</v>
      </c>
      <c r="H23" s="16">
        <f si="10" t="shared"/>
        <v>0</v>
      </c>
      <c r="I23" s="16">
        <f si="10" t="shared"/>
        <v>3.5081290769173974E-3</v>
      </c>
      <c r="J23" s="9"/>
      <c r="K23" s="9" t="s">
        <v>6</v>
      </c>
      <c r="L23" s="16">
        <f si="5" t="shared"/>
        <v>1.7764947537889301E-3</v>
      </c>
      <c r="M23" s="16">
        <f si="5" t="shared"/>
        <v>3.3309276633542443E-4</v>
      </c>
      <c r="N23" s="16">
        <f si="5" t="shared"/>
        <v>4.9963914950313661E-4</v>
      </c>
      <c r="O23" s="16">
        <f si="5" t="shared"/>
        <v>0</v>
      </c>
      <c r="P23" s="16">
        <f si="5" t="shared"/>
        <v>0</v>
      </c>
      <c r="Q23" s="16">
        <f si="5" t="shared"/>
        <v>1.2768556042857936E-3</v>
      </c>
      <c r="R23" s="16">
        <f si="5" t="shared"/>
        <v>0</v>
      </c>
      <c r="S23" s="16">
        <f si="5" t="shared"/>
        <v>3.8860822739132848E-3</v>
      </c>
    </row>
    <row r="24" spans="1:19" x14ac:dyDescent="0.25">
      <c r="A24" s="6" t="s">
        <v>7</v>
      </c>
      <c r="B24" s="17">
        <f ref="B24:I24" si="11" t="shared">B11/$I$12</f>
        <v>8.0655278053985882E-2</v>
      </c>
      <c r="C24" s="17">
        <f si="11" t="shared"/>
        <v>2.9131681517789713E-2</v>
      </c>
      <c r="D24" s="17">
        <f si="11" t="shared"/>
        <v>6.5148743475361018E-3</v>
      </c>
      <c r="E24" s="17">
        <f si="11" t="shared"/>
        <v>1.7156436012524794E-2</v>
      </c>
      <c r="F24" s="17">
        <f si="11" t="shared"/>
        <v>2.146431885182145E-2</v>
      </c>
      <c r="G24" s="17">
        <f si="11" t="shared"/>
        <v>2.5649716924139266E-3</v>
      </c>
      <c r="H24" s="17">
        <f si="11" t="shared"/>
        <v>7.6619476803823706E-4</v>
      </c>
      <c r="I24" s="16">
        <f si="11" t="shared"/>
        <v>0.15825375524411009</v>
      </c>
      <c r="J24" s="9"/>
      <c r="K24" s="6" t="s">
        <v>7</v>
      </c>
      <c r="L24" s="20">
        <f si="5" t="shared"/>
        <v>6.3010048298451124E-2</v>
      </c>
      <c r="M24" s="20">
        <f si="5" t="shared"/>
        <v>2.1873091656026203E-2</v>
      </c>
      <c r="N24" s="20">
        <f si="5" t="shared"/>
        <v>1.9319380447454616E-2</v>
      </c>
      <c r="O24" s="20">
        <f si="5" t="shared"/>
        <v>1.665463831677122E-3</v>
      </c>
      <c r="P24" s="20">
        <f si="5" t="shared"/>
        <v>1.3323710653416977E-3</v>
      </c>
      <c r="Q24" s="20">
        <f si="5" t="shared"/>
        <v>9.4376283795036915E-4</v>
      </c>
      <c r="R24" s="20">
        <f si="5" t="shared"/>
        <v>7.9387109309942815E-3</v>
      </c>
      <c r="S24" s="16">
        <f si="5" t="shared"/>
        <v>0.11608282906789541</v>
      </c>
    </row>
    <row ht="15.75" r="25" spans="1:19" thickBot="1" x14ac:dyDescent="0.3">
      <c r="A25" s="15" t="s">
        <v>19</v>
      </c>
      <c r="B25" s="18">
        <f ref="B25:I25" si="12" t="shared">B12/$I$12</f>
        <v>0.66537127862116852</v>
      </c>
      <c r="C25" s="18">
        <f si="12" t="shared"/>
        <v>0.226853164526543</v>
      </c>
      <c r="D25" s="18">
        <f si="12" t="shared"/>
        <v>5.8948551019295976E-2</v>
      </c>
      <c r="E25" s="18">
        <f si="12" t="shared"/>
        <v>1.8345791283099561E-2</v>
      </c>
      <c r="F25" s="18">
        <f si="12" t="shared"/>
        <v>2.2979952367406315E-2</v>
      </c>
      <c r="G25" s="18">
        <f si="12" t="shared"/>
        <v>6.0349721588621895E-3</v>
      </c>
      <c r="H25" s="18">
        <f si="12" t="shared"/>
        <v>1.4662900236243829E-3</v>
      </c>
      <c r="I25" s="18">
        <f si="12" t="shared"/>
        <v>1</v>
      </c>
      <c r="K25" s="13" t="s">
        <v>19</v>
      </c>
      <c r="L25" s="18">
        <f si="5" t="shared"/>
        <v>0.65980125464941985</v>
      </c>
      <c r="M25" s="18">
        <f si="5" t="shared"/>
        <v>0.23327596735690889</v>
      </c>
      <c r="N25" s="18">
        <f si="5" t="shared"/>
        <v>8.5160717259756838E-2</v>
      </c>
      <c r="O25" s="18">
        <f si="5" t="shared"/>
        <v>4.2191750402487092E-3</v>
      </c>
      <c r="P25" s="18">
        <f si="5" t="shared"/>
        <v>3.8305668128573809E-3</v>
      </c>
      <c r="Q25" s="18">
        <f si="5" t="shared"/>
        <v>4.3857214234164213E-3</v>
      </c>
      <c r="R25" s="18">
        <f si="5" t="shared"/>
        <v>9.3265974573918838E-3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63" t="s">
        <v>18</v>
      </c>
      <c r="M29" s="63"/>
      <c r="N29" s="63"/>
      <c r="O29" s="63"/>
      <c r="P29" s="63"/>
      <c r="Q29" s="63"/>
      <c r="R29" s="63"/>
      <c r="S29" s="63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7.1050138583421574E-2</v>
      </c>
      <c r="M31" s="16">
        <f si="13" t="shared"/>
        <v>-2.8207754405568219E-2</v>
      </c>
      <c r="N31" s="16">
        <f si="13" t="shared"/>
        <v>-1.7219813783077006E-2</v>
      </c>
      <c r="O31" s="16">
        <f si="13" t="shared"/>
        <v>4.4412368844723253E-4</v>
      </c>
      <c r="P31" s="16">
        <f si="13" t="shared"/>
        <v>3.8860822739132851E-4</v>
      </c>
      <c r="Q31" s="16">
        <f si="13" t="shared"/>
        <v>3.3309276633542443E-4</v>
      </c>
      <c r="R31" s="16">
        <f si="13" t="shared"/>
        <v>-5.8906433347433759E-4</v>
      </c>
      <c r="S31" s="16">
        <f si="13" t="shared"/>
        <v>2.6199330743476024E-2</v>
      </c>
    </row>
    <row r="32" spans="1:19" x14ac:dyDescent="0.25">
      <c r="K32" s="9" t="s">
        <v>2</v>
      </c>
      <c r="L32" s="16">
        <f si="13" t="shared"/>
        <v>-2.7575252242750301E-2</v>
      </c>
      <c r="M32" s="16">
        <f si="13" t="shared"/>
        <v>9.124344349051336E-3</v>
      </c>
      <c r="N32" s="16">
        <f si="13" t="shared"/>
        <v>2.4832516037177774E-2</v>
      </c>
      <c r="O32" s="16">
        <f si="13" t="shared"/>
        <v>1.7764947537889301E-3</v>
      </c>
      <c r="P32" s="16">
        <f si="13" t="shared"/>
        <v>4.965623230943155E-4</v>
      </c>
      <c r="Q32" s="16">
        <f si="13" t="shared"/>
        <v>3.7683262390357595E-4</v>
      </c>
      <c r="R32" s="16">
        <f si="13" t="shared"/>
        <v>8.8824737689446507E-4</v>
      </c>
      <c r="S32" s="16">
        <f si="13" t="shared"/>
        <v>9.9197452211600978E-3</v>
      </c>
    </row>
    <row r="33" spans="11:19" x14ac:dyDescent="0.25">
      <c r="K33" s="9" t="s">
        <v>3</v>
      </c>
      <c r="L33" s="16">
        <f si="13" t="shared"/>
        <v>-3.282115487858385E-2</v>
      </c>
      <c r="M33" s="16">
        <f si="13" t="shared"/>
        <v>3.2209648138087237E-2</v>
      </c>
      <c r="N33" s="16">
        <f si="13" t="shared"/>
        <v>4.7956795874353111E-3</v>
      </c>
      <c r="O33" s="16">
        <f si="13" t="shared"/>
        <v>-1.3687189852806049E-4</v>
      </c>
      <c r="P33" s="16">
        <f si="13" t="shared"/>
        <v>4.4412368844723253E-4</v>
      </c>
      <c r="Q33" s="16">
        <f si="13" t="shared"/>
        <v>6.1067007161494477E-4</v>
      </c>
      <c r="R33" s="16">
        <f si="13" t="shared"/>
        <v>3.8860822739132851E-4</v>
      </c>
      <c r="S33" s="16">
        <f si="13" t="shared"/>
        <v>5.4907029358641363E-3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5.2761569770520497E-4</v>
      </c>
      <c r="M35" s="16">
        <f ref="M35:S38" si="15" t="shared">M22-C22</f>
        <v>2.2206184422361627E-4</v>
      </c>
      <c r="N35" s="16">
        <f si="15" t="shared"/>
        <v>4.9963914950313661E-4</v>
      </c>
      <c r="O35" s="16">
        <f si="15" t="shared"/>
        <v>-7.1939060571128341E-4</v>
      </c>
      <c r="P35" s="16">
        <f si="15" t="shared"/>
        <v>-3.4673200700205745E-4</v>
      </c>
      <c r="Q35" s="16">
        <f si="15" t="shared"/>
        <v>0</v>
      </c>
      <c r="R35" s="16">
        <f si="15" t="shared"/>
        <v>0</v>
      </c>
      <c r="S35" s="16">
        <f si="15" t="shared"/>
        <v>1.8319407871861715E-4</v>
      </c>
    </row>
    <row r="36" spans="11:19" x14ac:dyDescent="0.25">
      <c r="K36" s="9" t="s">
        <v>6</v>
      </c>
      <c r="L36" s="16">
        <f>L23-B23</f>
        <v>8.938586239934823E-4</v>
      </c>
      <c r="M36" s="16">
        <f si="15" t="shared"/>
        <v>3.3309276633542443E-4</v>
      </c>
      <c r="N36" s="16">
        <f si="15" t="shared"/>
        <v>4.9963914950313661E-4</v>
      </c>
      <c r="O36" s="16">
        <f si="15" t="shared"/>
        <v>0</v>
      </c>
      <c r="P36" s="16">
        <f si="15" t="shared"/>
        <v>0</v>
      </c>
      <c r="Q36" s="16">
        <f si="15" t="shared"/>
        <v>-1.3486373428361559E-3</v>
      </c>
      <c r="R36" s="16">
        <f si="15" t="shared"/>
        <v>0</v>
      </c>
      <c r="S36" s="16">
        <f si="15" t="shared"/>
        <v>3.7795319699588737E-4</v>
      </c>
    </row>
    <row r="37" spans="11:19" x14ac:dyDescent="0.25">
      <c r="K37" s="6" t="s">
        <v>7</v>
      </c>
      <c r="L37" s="20">
        <f>L24-B24</f>
        <v>-1.7645229755534758E-2</v>
      </c>
      <c r="M37" s="20">
        <f si="15" t="shared"/>
        <v>-7.2585898617635106E-3</v>
      </c>
      <c r="N37" s="20">
        <f si="15" t="shared"/>
        <v>1.2804506099918515E-2</v>
      </c>
      <c r="O37" s="20">
        <f si="15" t="shared"/>
        <v>-1.5490972180847672E-2</v>
      </c>
      <c r="P37" s="20">
        <f si="15" t="shared"/>
        <v>-2.0131947786479754E-2</v>
      </c>
      <c r="Q37" s="20">
        <f si="15" t="shared"/>
        <v>-1.6212088544635575E-3</v>
      </c>
      <c r="R37" s="20">
        <f si="15" t="shared"/>
        <v>7.1725161629560448E-3</v>
      </c>
      <c r="S37" s="16">
        <f si="15" t="shared"/>
        <v>-4.2170926176214679E-2</v>
      </c>
    </row>
    <row ht="15.75" r="38" spans="11:19" thickBot="1" x14ac:dyDescent="0.3">
      <c r="K38" s="13" t="s">
        <v>19</v>
      </c>
      <c r="L38" s="18">
        <f>L25-B25</f>
        <v>-5.570023971748661E-3</v>
      </c>
      <c r="M38" s="18">
        <f si="15" t="shared"/>
        <v>6.4228028303658924E-3</v>
      </c>
      <c r="N38" s="18">
        <f si="15" t="shared"/>
        <v>2.6212166240460862E-2</v>
      </c>
      <c r="O38" s="18">
        <f si="15" t="shared"/>
        <v>-1.4126616242850852E-2</v>
      </c>
      <c r="P38" s="18">
        <f si="15" t="shared"/>
        <v>-1.9149385554548932E-2</v>
      </c>
      <c r="Q38" s="18">
        <f si="15" t="shared"/>
        <v>-1.6492507354457682E-3</v>
      </c>
      <c r="R38" s="18">
        <f si="15" t="shared"/>
        <v>7.8603074337675015E-3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F47"/>
  <sheetViews>
    <sheetView workbookViewId="0">
      <selection activeCell="N12" sqref="N1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12"/>
  <sheetViews>
    <sheetView workbookViewId="0">
      <selection sqref="A1:K7"/>
    </sheetView>
  </sheetViews>
  <sheetFormatPr defaultRowHeight="15" x14ac:dyDescent="0.25"/>
  <sheetData>
    <row r="1" spans="1:10" x14ac:dyDescent="0.25">
      <c r="A1" s="36" t="s">
        <v>222</v>
      </c>
      <c r="H1" t="s">
        <v>223</v>
      </c>
    </row>
    <row r="2" spans="1:10" x14ac:dyDescent="0.25">
      <c r="A2">
        <v>1</v>
      </c>
      <c r="B2" t="s">
        <v>224</v>
      </c>
    </row>
    <row r="3" spans="1:10" x14ac:dyDescent="0.25">
      <c r="A3">
        <v>2</v>
      </c>
      <c r="B3" t="s">
        <v>225</v>
      </c>
    </row>
    <row r="4" spans="1:10" x14ac:dyDescent="0.25">
      <c r="A4">
        <v>3</v>
      </c>
      <c r="B4" t="s">
        <v>226</v>
      </c>
    </row>
    <row r="5" spans="1:10" x14ac:dyDescent="0.25">
      <c r="A5">
        <v>4</v>
      </c>
      <c r="B5" t="s">
        <v>227</v>
      </c>
    </row>
    <row r="8" spans="1:10" x14ac:dyDescent="0.25">
      <c r="A8" t="s">
        <v>228</v>
      </c>
      <c r="B8" t="s">
        <v>229</v>
      </c>
      <c r="C8" t="s">
        <v>230</v>
      </c>
      <c r="D8" t="s">
        <v>231</v>
      </c>
    </row>
    <row r="9" spans="1:10" x14ac:dyDescent="0.25">
      <c r="A9" t="s">
        <v>232</v>
      </c>
      <c r="B9" t="s">
        <v>233</v>
      </c>
      <c r="C9" t="s">
        <v>234</v>
      </c>
      <c r="D9" t="s">
        <v>235</v>
      </c>
      <c r="E9">
        <v>4</v>
      </c>
      <c r="F9" s="50">
        <v>0.58482638888888883</v>
      </c>
      <c r="G9" t="s">
        <v>236</v>
      </c>
      <c r="H9">
        <v>2</v>
      </c>
      <c r="I9" t="s">
        <v>237</v>
      </c>
      <c r="J9">
        <v>12</v>
      </c>
    </row>
    <row r="10" spans="1:10" x14ac:dyDescent="0.25">
      <c r="A10" t="s">
        <v>238</v>
      </c>
    </row>
    <row r="11" spans="1:10" x14ac:dyDescent="0.25">
      <c r="B11">
        <v>1</v>
      </c>
      <c r="C11" t="s">
        <v>63</v>
      </c>
      <c r="D11" t="s">
        <v>64</v>
      </c>
      <c r="E11">
        <v>0.52879225620699999</v>
      </c>
      <c r="F11">
        <v>0.19131002304399999</v>
      </c>
    </row>
    <row r="12" spans="1:10" x14ac:dyDescent="0.25">
      <c r="B12">
        <v>2</v>
      </c>
      <c r="C12" t="s">
        <v>65</v>
      </c>
      <c r="D12" t="s">
        <v>64</v>
      </c>
      <c r="E12">
        <v>0.55879276356800001</v>
      </c>
      <c r="F12" s="35">
        <v>9.5738634852199994E-2</v>
      </c>
    </row>
    <row r="13" spans="1:10" x14ac:dyDescent="0.25">
      <c r="B13">
        <v>10</v>
      </c>
      <c r="C13" t="s">
        <v>151</v>
      </c>
      <c r="D13" t="s">
        <v>64</v>
      </c>
      <c r="E13">
        <v>-1.6038121758199999</v>
      </c>
      <c r="F13">
        <v>0.74273499485899996</v>
      </c>
    </row>
    <row r="14" spans="1:10" x14ac:dyDescent="0.25">
      <c r="B14">
        <v>11</v>
      </c>
      <c r="C14" t="s">
        <v>152</v>
      </c>
      <c r="D14" t="s">
        <v>73</v>
      </c>
      <c r="E14">
        <v>-2</v>
      </c>
      <c r="F14">
        <v>0</v>
      </c>
    </row>
    <row r="15" spans="1:10" x14ac:dyDescent="0.25">
      <c r="B15">
        <v>13</v>
      </c>
      <c r="C15" t="s">
        <v>153</v>
      </c>
      <c r="D15" t="s">
        <v>64</v>
      </c>
      <c r="E15">
        <v>-1.01072071817</v>
      </c>
      <c r="F15">
        <v>1.0687866777499999</v>
      </c>
    </row>
    <row r="16" spans="1:10" x14ac:dyDescent="0.25">
      <c r="B16">
        <v>20</v>
      </c>
      <c r="C16" t="s">
        <v>69</v>
      </c>
      <c r="D16" t="s">
        <v>64</v>
      </c>
      <c r="E16">
        <v>-1.9181554270400001</v>
      </c>
      <c r="F16">
        <v>1.1117254189300001</v>
      </c>
    </row>
    <row r="17" spans="2:6" x14ac:dyDescent="0.25">
      <c r="B17">
        <v>30</v>
      </c>
      <c r="C17" t="s">
        <v>76</v>
      </c>
      <c r="D17" t="s">
        <v>64</v>
      </c>
      <c r="E17">
        <v>-0.96957991101999996</v>
      </c>
      <c r="F17">
        <v>0.72233825977199995</v>
      </c>
    </row>
    <row r="18" spans="2:6" x14ac:dyDescent="0.25">
      <c r="B18">
        <v>31</v>
      </c>
      <c r="C18" t="s">
        <v>154</v>
      </c>
      <c r="D18" t="s">
        <v>64</v>
      </c>
      <c r="E18">
        <v>0.32331883684899998</v>
      </c>
      <c r="F18">
        <v>0.14561223430699999</v>
      </c>
    </row>
    <row r="19" spans="2:6" x14ac:dyDescent="0.25">
      <c r="B19">
        <v>32</v>
      </c>
      <c r="C19" t="s">
        <v>155</v>
      </c>
      <c r="D19" t="s">
        <v>64</v>
      </c>
      <c r="E19">
        <v>0.27882626875799998</v>
      </c>
      <c r="F19" s="35">
        <v>8.3214610483899998E-2</v>
      </c>
    </row>
    <row r="20" spans="2:6" x14ac:dyDescent="0.25">
      <c r="B20">
        <v>35</v>
      </c>
      <c r="C20" t="s">
        <v>156</v>
      </c>
      <c r="D20" t="s">
        <v>64</v>
      </c>
      <c r="E20">
        <v>-0.135816439973</v>
      </c>
      <c r="F20" s="35">
        <v>5.6042847667699999E-2</v>
      </c>
    </row>
    <row r="21" spans="2:6" x14ac:dyDescent="0.25">
      <c r="B21">
        <v>38</v>
      </c>
      <c r="C21" t="s">
        <v>157</v>
      </c>
      <c r="D21" t="s">
        <v>64</v>
      </c>
      <c r="E21">
        <v>-0.61753363761699998</v>
      </c>
      <c r="F21">
        <v>0.31247449131299998</v>
      </c>
    </row>
    <row r="22" spans="2:6" x14ac:dyDescent="0.25">
      <c r="B22">
        <v>39</v>
      </c>
      <c r="C22" t="s">
        <v>77</v>
      </c>
      <c r="D22" t="s">
        <v>64</v>
      </c>
      <c r="E22">
        <v>-1.24532834343</v>
      </c>
      <c r="F22">
        <v>0.2131188503</v>
      </c>
    </row>
    <row r="23" spans="2:6" x14ac:dyDescent="0.25">
      <c r="B23">
        <v>40</v>
      </c>
      <c r="C23" t="s">
        <v>79</v>
      </c>
      <c r="D23" t="s">
        <v>64</v>
      </c>
      <c r="E23">
        <v>-0.43668173859600001</v>
      </c>
      <c r="F23">
        <v>0.71629970969599999</v>
      </c>
    </row>
    <row r="24" spans="2:6" x14ac:dyDescent="0.25">
      <c r="B24">
        <v>41</v>
      </c>
      <c r="C24" t="s">
        <v>80</v>
      </c>
      <c r="D24" t="s">
        <v>64</v>
      </c>
      <c r="E24">
        <v>-3.1062781391100001</v>
      </c>
      <c r="F24">
        <v>0.81792292343399997</v>
      </c>
    </row>
    <row r="25" spans="2:6" x14ac:dyDescent="0.25">
      <c r="B25">
        <v>42</v>
      </c>
      <c r="C25" t="s">
        <v>137</v>
      </c>
      <c r="D25" t="s">
        <v>64</v>
      </c>
      <c r="E25">
        <v>0.43342144713399999</v>
      </c>
      <c r="F25">
        <v>0.16742250494200001</v>
      </c>
    </row>
    <row r="26" spans="2:6" x14ac:dyDescent="0.25">
      <c r="B26">
        <v>48</v>
      </c>
      <c r="C26" t="s">
        <v>78</v>
      </c>
      <c r="D26" t="s">
        <v>64</v>
      </c>
      <c r="E26">
        <v>-0.39332327498699998</v>
      </c>
      <c r="F26">
        <v>0.24329275748099999</v>
      </c>
    </row>
    <row r="27" spans="2:6" x14ac:dyDescent="0.25">
      <c r="B27">
        <v>50</v>
      </c>
      <c r="C27" t="s">
        <v>84</v>
      </c>
      <c r="D27" t="s">
        <v>64</v>
      </c>
      <c r="E27">
        <v>2.20032936544</v>
      </c>
      <c r="F27">
        <v>0.86374928495199998</v>
      </c>
    </row>
    <row r="28" spans="2:6" x14ac:dyDescent="0.25">
      <c r="B28">
        <v>53</v>
      </c>
      <c r="C28" t="s">
        <v>158</v>
      </c>
      <c r="D28" t="s">
        <v>64</v>
      </c>
      <c r="E28">
        <v>-1.27744217244</v>
      </c>
      <c r="F28">
        <v>0.28622919259700003</v>
      </c>
    </row>
    <row r="29" spans="2:6" x14ac:dyDescent="0.25">
      <c r="B29">
        <v>54</v>
      </c>
      <c r="C29" t="s">
        <v>86</v>
      </c>
      <c r="D29" t="s">
        <v>64</v>
      </c>
      <c r="E29">
        <v>-0.17415467666600001</v>
      </c>
      <c r="F29">
        <v>0.15662943366599999</v>
      </c>
    </row>
    <row r="30" spans="2:6" x14ac:dyDescent="0.25">
      <c r="B30">
        <v>60</v>
      </c>
      <c r="C30" t="s">
        <v>89</v>
      </c>
      <c r="D30" t="s">
        <v>64</v>
      </c>
      <c r="E30">
        <v>-9.5721045222600001</v>
      </c>
      <c r="F30">
        <v>1.65254607194</v>
      </c>
    </row>
    <row r="31" spans="2:6" x14ac:dyDescent="0.25">
      <c r="B31">
        <v>61</v>
      </c>
      <c r="C31" t="s">
        <v>90</v>
      </c>
      <c r="D31" t="s">
        <v>64</v>
      </c>
      <c r="E31">
        <v>0.76617238553300004</v>
      </c>
      <c r="F31">
        <v>0.34881307453299998</v>
      </c>
    </row>
    <row r="32" spans="2:6" x14ac:dyDescent="0.25">
      <c r="B32">
        <v>63</v>
      </c>
      <c r="C32" t="s">
        <v>159</v>
      </c>
      <c r="D32" t="s">
        <v>64</v>
      </c>
      <c r="E32">
        <v>-0.66187614505199999</v>
      </c>
      <c r="F32">
        <v>0.358944499192</v>
      </c>
    </row>
    <row r="33" spans="2:6" x14ac:dyDescent="0.25">
      <c r="B33">
        <v>71</v>
      </c>
      <c r="C33" t="s">
        <v>160</v>
      </c>
      <c r="D33" t="s">
        <v>64</v>
      </c>
      <c r="E33">
        <v>-0.659709011367</v>
      </c>
      <c r="F33">
        <v>0.32675556227399999</v>
      </c>
    </row>
    <row r="34" spans="2:6" x14ac:dyDescent="0.25">
      <c r="B34">
        <v>124</v>
      </c>
      <c r="C34" t="s">
        <v>161</v>
      </c>
      <c r="D34" t="s">
        <v>64</v>
      </c>
      <c r="E34">
        <v>2.0023107306000001</v>
      </c>
      <c r="F34">
        <v>1.0014053008699999</v>
      </c>
    </row>
    <row r="35" spans="2:6" x14ac:dyDescent="0.25">
      <c r="B35">
        <v>127</v>
      </c>
      <c r="C35" t="s">
        <v>162</v>
      </c>
      <c r="D35" t="s">
        <v>64</v>
      </c>
      <c r="E35" s="35">
        <v>1.0987901816399999E-2</v>
      </c>
      <c r="F35" s="35">
        <v>5.65902513954E-3</v>
      </c>
    </row>
    <row r="36" spans="2:6" x14ac:dyDescent="0.25">
      <c r="B36">
        <v>128</v>
      </c>
      <c r="C36" t="s">
        <v>163</v>
      </c>
      <c r="D36" t="s">
        <v>64</v>
      </c>
      <c r="E36" s="35">
        <v>9.8072993996499997E-5</v>
      </c>
      <c r="F36" s="35">
        <v>2.3072468874800001E-5</v>
      </c>
    </row>
    <row r="37" spans="2:6" x14ac:dyDescent="0.25">
      <c r="B37">
        <v>131</v>
      </c>
      <c r="C37" t="s">
        <v>95</v>
      </c>
      <c r="D37" t="s">
        <v>64</v>
      </c>
      <c r="E37">
        <v>-2.2170416796199999</v>
      </c>
      <c r="F37">
        <v>0.65948799242300005</v>
      </c>
    </row>
    <row r="38" spans="2:6" x14ac:dyDescent="0.25">
      <c r="B38">
        <v>132</v>
      </c>
      <c r="C38" t="s">
        <v>96</v>
      </c>
      <c r="D38" t="s">
        <v>64</v>
      </c>
      <c r="E38" s="35">
        <v>-3.1767087365000002E-2</v>
      </c>
      <c r="F38" s="35">
        <v>8.3221247210000002E-2</v>
      </c>
    </row>
    <row r="39" spans="2:6" x14ac:dyDescent="0.25">
      <c r="B39">
        <v>133</v>
      </c>
      <c r="C39" t="s">
        <v>97</v>
      </c>
      <c r="D39" t="s">
        <v>64</v>
      </c>
      <c r="E39">
        <v>3.7030999967599998</v>
      </c>
      <c r="F39">
        <v>0.77308467539500003</v>
      </c>
    </row>
    <row r="40" spans="2:6" x14ac:dyDescent="0.25">
      <c r="B40">
        <v>134</v>
      </c>
      <c r="C40" t="s">
        <v>98</v>
      </c>
      <c r="D40" t="s">
        <v>64</v>
      </c>
      <c r="E40">
        <v>0.24299252372800001</v>
      </c>
      <c r="F40" s="35">
        <v>9.6713925454499999E-2</v>
      </c>
    </row>
    <row r="41" spans="2:6" x14ac:dyDescent="0.25">
      <c r="B41">
        <v>162</v>
      </c>
      <c r="C41" t="s">
        <v>100</v>
      </c>
      <c r="D41" t="s">
        <v>64</v>
      </c>
      <c r="E41">
        <v>0.47993312787800002</v>
      </c>
      <c r="F41">
        <v>0.23927789679200001</v>
      </c>
    </row>
    <row r="42" spans="2:6" x14ac:dyDescent="0.25">
      <c r="B42">
        <v>164</v>
      </c>
      <c r="C42" t="s">
        <v>102</v>
      </c>
      <c r="D42" t="s">
        <v>64</v>
      </c>
      <c r="E42">
        <v>2.4096342508199999</v>
      </c>
      <c r="F42">
        <v>0.76978556528200004</v>
      </c>
    </row>
    <row r="43" spans="2:6" x14ac:dyDescent="0.25">
      <c r="B43">
        <v>168</v>
      </c>
      <c r="C43" t="s">
        <v>103</v>
      </c>
      <c r="D43" t="s">
        <v>64</v>
      </c>
      <c r="E43" s="35">
        <v>1.5323914424799999E-4</v>
      </c>
      <c r="F43" s="35">
        <v>3.0893098054500003E-5</v>
      </c>
    </row>
    <row r="44" spans="2:6" x14ac:dyDescent="0.25">
      <c r="B44">
        <v>169</v>
      </c>
      <c r="C44" t="s">
        <v>104</v>
      </c>
      <c r="D44" t="s">
        <v>64</v>
      </c>
      <c r="E44">
        <v>7.1710322282799996</v>
      </c>
      <c r="F44">
        <v>1.5159880315000001</v>
      </c>
    </row>
    <row r="45" spans="2:6" x14ac:dyDescent="0.25">
      <c r="B45">
        <v>179</v>
      </c>
      <c r="C45" t="s">
        <v>105</v>
      </c>
      <c r="D45" t="s">
        <v>64</v>
      </c>
      <c r="E45">
        <v>0.925274561946</v>
      </c>
      <c r="F45">
        <v>0.53209415746499999</v>
      </c>
    </row>
    <row r="46" spans="2:6" x14ac:dyDescent="0.25">
      <c r="B46">
        <v>99</v>
      </c>
      <c r="C46" t="s">
        <v>106</v>
      </c>
      <c r="D46" t="s">
        <v>64</v>
      </c>
      <c r="E46">
        <v>0.95968590185500002</v>
      </c>
      <c r="F46">
        <v>0.14972483683400001</v>
      </c>
    </row>
    <row r="47" spans="2:6" x14ac:dyDescent="0.25">
      <c r="B47">
        <v>-1</v>
      </c>
    </row>
    <row r="48" spans="2:6" x14ac:dyDescent="0.25">
      <c r="B48">
        <v>3313</v>
      </c>
      <c r="C48" s="35">
        <v>-3185.9381964899999</v>
      </c>
      <c r="D48" s="35">
        <v>-5747.9343173200004</v>
      </c>
      <c r="E48" s="35">
        <v>-2220.27669861</v>
      </c>
    </row>
    <row r="49" spans="2:11" x14ac:dyDescent="0.25">
      <c r="B49">
        <v>19</v>
      </c>
      <c r="C49" t="s">
        <v>239</v>
      </c>
      <c r="D49" t="s">
        <v>236</v>
      </c>
      <c r="E49">
        <v>2</v>
      </c>
      <c r="F49" t="s">
        <v>237</v>
      </c>
      <c r="G49">
        <v>12</v>
      </c>
    </row>
    <row r="50" spans="2:11" x14ac:dyDescent="0.25">
      <c r="B50">
        <v>36263</v>
      </c>
      <c r="C50">
        <v>1893</v>
      </c>
      <c r="D50">
        <v>1002</v>
      </c>
      <c r="E50">
        <v>0</v>
      </c>
      <c r="F50">
        <v>0</v>
      </c>
      <c r="G50">
        <v>0</v>
      </c>
      <c r="H50">
        <v>-7340</v>
      </c>
      <c r="I50">
        <v>-12958</v>
      </c>
      <c r="J50">
        <v>-7335</v>
      </c>
      <c r="K50">
        <v>0</v>
      </c>
    </row>
    <row r="51" spans="2:11" x14ac:dyDescent="0.25">
      <c r="B51">
        <v>4205</v>
      </c>
      <c r="C51">
        <v>8480</v>
      </c>
      <c r="D51">
        <v>59354</v>
      </c>
      <c r="E51">
        <v>0</v>
      </c>
      <c r="F51">
        <v>-2651</v>
      </c>
      <c r="G51">
        <v>9042</v>
      </c>
      <c r="H51">
        <v>812</v>
      </c>
      <c r="I51">
        <v>81485</v>
      </c>
      <c r="J51">
        <v>0</v>
      </c>
      <c r="K51">
        <v>-4179</v>
      </c>
    </row>
    <row r="52" spans="2:11" x14ac:dyDescent="0.25">
      <c r="B52">
        <v>51403</v>
      </c>
      <c r="C52">
        <v>18807</v>
      </c>
      <c r="D52">
        <v>32644</v>
      </c>
      <c r="E52">
        <v>1618</v>
      </c>
      <c r="F52">
        <v>0</v>
      </c>
      <c r="G52">
        <v>-6850</v>
      </c>
      <c r="H52">
        <v>3345</v>
      </c>
      <c r="I52">
        <v>6671</v>
      </c>
      <c r="J52">
        <v>27479</v>
      </c>
      <c r="K52">
        <v>49033</v>
      </c>
    </row>
    <row r="53" spans="2:11" x14ac:dyDescent="0.25">
      <c r="B53">
        <v>915</v>
      </c>
      <c r="C53">
        <v>0</v>
      </c>
      <c r="D53">
        <v>-11038</v>
      </c>
      <c r="E53">
        <v>4037</v>
      </c>
      <c r="F53">
        <v>6625</v>
      </c>
      <c r="G53">
        <v>20222</v>
      </c>
      <c r="H53">
        <v>-15904</v>
      </c>
      <c r="I53">
        <v>-36456</v>
      </c>
      <c r="J53">
        <v>4430</v>
      </c>
      <c r="K53">
        <v>0</v>
      </c>
    </row>
    <row r="54" spans="2:11" x14ac:dyDescent="0.25">
      <c r="B54">
        <v>4918</v>
      </c>
      <c r="C54">
        <v>-99</v>
      </c>
      <c r="D54">
        <v>-14008</v>
      </c>
      <c r="E54">
        <v>-14767</v>
      </c>
      <c r="F54">
        <v>-16348</v>
      </c>
      <c r="G54">
        <v>-8542</v>
      </c>
      <c r="H54">
        <v>-15082</v>
      </c>
      <c r="I54">
        <v>476</v>
      </c>
      <c r="J54">
        <v>0</v>
      </c>
      <c r="K54">
        <v>3004</v>
      </c>
    </row>
    <row r="55" spans="2:11" x14ac:dyDescent="0.25">
      <c r="B55">
        <v>-533</v>
      </c>
      <c r="C55">
        <v>-8317</v>
      </c>
      <c r="D55">
        <v>-1184</v>
      </c>
      <c r="E55">
        <v>-411</v>
      </c>
      <c r="F55">
        <v>8749</v>
      </c>
      <c r="G55">
        <v>-8878</v>
      </c>
      <c r="H55">
        <v>-15532</v>
      </c>
      <c r="I55">
        <v>-286</v>
      </c>
      <c r="J55">
        <v>0</v>
      </c>
      <c r="K55">
        <v>3319</v>
      </c>
    </row>
    <row r="56" spans="2:11" x14ac:dyDescent="0.25">
      <c r="B56">
        <v>-1228</v>
      </c>
      <c r="C56">
        <v>-9745</v>
      </c>
      <c r="D56">
        <v>-2106</v>
      </c>
      <c r="E56">
        <v>-2414</v>
      </c>
      <c r="F56">
        <v>7430</v>
      </c>
      <c r="G56">
        <v>17025</v>
      </c>
      <c r="H56">
        <v>8802</v>
      </c>
      <c r="I56">
        <v>-50</v>
      </c>
      <c r="J56">
        <v>82156</v>
      </c>
      <c r="K56">
        <v>0</v>
      </c>
    </row>
    <row r="57" spans="2:11" x14ac:dyDescent="0.25">
      <c r="B57">
        <v>-3984</v>
      </c>
      <c r="C57">
        <v>51775</v>
      </c>
      <c r="D57">
        <v>99279</v>
      </c>
      <c r="E57">
        <v>6766</v>
      </c>
      <c r="F57">
        <v>6806</v>
      </c>
      <c r="G57">
        <v>-13594</v>
      </c>
      <c r="H57">
        <v>-5369</v>
      </c>
      <c r="I57">
        <v>-5193</v>
      </c>
      <c r="J57">
        <v>-23682</v>
      </c>
      <c r="K57">
        <v>-43852</v>
      </c>
    </row>
    <row r="58" spans="2:11" x14ac:dyDescent="0.25">
      <c r="B58">
        <v>236</v>
      </c>
      <c r="C58">
        <v>0</v>
      </c>
      <c r="D58">
        <v>9006</v>
      </c>
      <c r="E58">
        <v>-1848</v>
      </c>
      <c r="F58">
        <v>-14239</v>
      </c>
      <c r="G58">
        <v>-23290</v>
      </c>
      <c r="H58">
        <v>-32567</v>
      </c>
      <c r="I58">
        <v>19645</v>
      </c>
      <c r="J58">
        <v>4116</v>
      </c>
      <c r="K58">
        <v>9951</v>
      </c>
    </row>
    <row r="59" spans="2:11" x14ac:dyDescent="0.25">
      <c r="B59">
        <v>-13691</v>
      </c>
      <c r="C59">
        <v>19012</v>
      </c>
      <c r="D59">
        <v>37916</v>
      </c>
      <c r="E59">
        <v>-2067</v>
      </c>
      <c r="F59">
        <v>0</v>
      </c>
      <c r="G59">
        <v>-1946</v>
      </c>
      <c r="H59">
        <v>1171</v>
      </c>
      <c r="I59">
        <v>-1378</v>
      </c>
      <c r="J59">
        <v>16225</v>
      </c>
      <c r="K59">
        <v>30182</v>
      </c>
    </row>
    <row r="60" spans="2:11" x14ac:dyDescent="0.25">
      <c r="B60">
        <v>-7308</v>
      </c>
      <c r="C60">
        <v>1929</v>
      </c>
      <c r="D60">
        <v>-3034</v>
      </c>
      <c r="E60">
        <v>-1410</v>
      </c>
      <c r="F60">
        <v>-21200</v>
      </c>
      <c r="G60">
        <v>-8377</v>
      </c>
      <c r="H60">
        <v>-14770</v>
      </c>
      <c r="I60">
        <v>707</v>
      </c>
      <c r="J60">
        <v>0</v>
      </c>
      <c r="K60">
        <v>2904</v>
      </c>
    </row>
    <row r="61" spans="2:11" x14ac:dyDescent="0.25">
      <c r="B61">
        <v>-304</v>
      </c>
      <c r="C61">
        <v>-6031</v>
      </c>
      <c r="D61">
        <v>-937</v>
      </c>
      <c r="E61">
        <v>151</v>
      </c>
      <c r="F61">
        <v>9078</v>
      </c>
      <c r="G61">
        <v>37122</v>
      </c>
      <c r="H61">
        <v>7889</v>
      </c>
      <c r="I61">
        <v>-6522</v>
      </c>
      <c r="J61">
        <v>2346</v>
      </c>
      <c r="K61">
        <v>3319</v>
      </c>
    </row>
    <row r="62" spans="2:11" x14ac:dyDescent="0.25">
      <c r="B62">
        <v>26198</v>
      </c>
      <c r="C62">
        <v>32793</v>
      </c>
      <c r="D62">
        <v>69816</v>
      </c>
      <c r="E62">
        <v>0</v>
      </c>
      <c r="F62">
        <v>-10605</v>
      </c>
      <c r="G62">
        <v>46007</v>
      </c>
      <c r="H62">
        <v>88345</v>
      </c>
      <c r="I62">
        <v>24758</v>
      </c>
      <c r="J62">
        <v>36684</v>
      </c>
      <c r="K62">
        <v>-10342</v>
      </c>
    </row>
    <row r="63" spans="2:11" x14ac:dyDescent="0.25">
      <c r="B63">
        <v>-10042</v>
      </c>
      <c r="C63">
        <v>-11359</v>
      </c>
      <c r="D63">
        <v>88235</v>
      </c>
      <c r="E63">
        <v>-33449</v>
      </c>
      <c r="F63">
        <v>23814</v>
      </c>
      <c r="G63">
        <v>-9628</v>
      </c>
      <c r="H63">
        <v>-32033</v>
      </c>
      <c r="I63">
        <v>-53406</v>
      </c>
      <c r="J63">
        <v>-5673</v>
      </c>
      <c r="K63">
        <v>0</v>
      </c>
    </row>
    <row r="64" spans="2:11" x14ac:dyDescent="0.25">
      <c r="B64">
        <v>18263</v>
      </c>
      <c r="C64">
        <v>-6977</v>
      </c>
      <c r="D64">
        <v>-19289</v>
      </c>
      <c r="E64">
        <v>-27861</v>
      </c>
      <c r="F64">
        <v>-46025</v>
      </c>
      <c r="G64">
        <v>19518</v>
      </c>
      <c r="H64">
        <v>12582</v>
      </c>
      <c r="I64">
        <v>13800</v>
      </c>
      <c r="J64">
        <v>-18486</v>
      </c>
      <c r="K64">
        <v>38439</v>
      </c>
    </row>
    <row r="65" spans="2:11" x14ac:dyDescent="0.25">
      <c r="B65">
        <v>-4932</v>
      </c>
      <c r="C65">
        <v>12156</v>
      </c>
      <c r="D65">
        <v>-46224</v>
      </c>
      <c r="E65">
        <v>-1441</v>
      </c>
      <c r="F65">
        <v>-10620</v>
      </c>
      <c r="G65">
        <v>684</v>
      </c>
      <c r="H65">
        <v>0</v>
      </c>
      <c r="I65">
        <v>3680</v>
      </c>
      <c r="J65">
        <v>1269</v>
      </c>
      <c r="K65">
        <v>-3903</v>
      </c>
    </row>
    <row r="66" spans="2:11" x14ac:dyDescent="0.25">
      <c r="B66">
        <v>-4390</v>
      </c>
      <c r="C66">
        <v>-11924</v>
      </c>
      <c r="D66">
        <v>-346</v>
      </c>
      <c r="E66">
        <v>7751</v>
      </c>
      <c r="F66">
        <v>4740</v>
      </c>
      <c r="G66">
        <v>-3549</v>
      </c>
      <c r="H66">
        <v>9327</v>
      </c>
      <c r="I66">
        <v>-231</v>
      </c>
      <c r="J66">
        <v>8575</v>
      </c>
      <c r="K66">
        <v>-13392</v>
      </c>
    </row>
    <row r="67" spans="2:11" x14ac:dyDescent="0.25">
      <c r="B67">
        <v>13716</v>
      </c>
      <c r="C67">
        <v>-21679</v>
      </c>
      <c r="D67">
        <v>-26142</v>
      </c>
      <c r="E67">
        <v>31803</v>
      </c>
      <c r="F67">
        <v>0</v>
      </c>
      <c r="G67">
        <v>5700</v>
      </c>
      <c r="H67">
        <v>18401</v>
      </c>
      <c r="I67">
        <v>24529</v>
      </c>
      <c r="J67">
        <v>-13345</v>
      </c>
      <c r="K67">
        <v>-21678</v>
      </c>
    </row>
    <row r="68" spans="2:11" x14ac:dyDescent="0.25">
      <c r="B68">
        <v>12954</v>
      </c>
      <c r="C68">
        <v>6823</v>
      </c>
      <c r="D68">
        <v>6713</v>
      </c>
      <c r="E68">
        <v>25181</v>
      </c>
      <c r="F68">
        <v>22110</v>
      </c>
      <c r="G68">
        <v>-16165</v>
      </c>
      <c r="H68">
        <v>6819</v>
      </c>
      <c r="I68">
        <v>6465</v>
      </c>
      <c r="J68">
        <v>23670</v>
      </c>
      <c r="K68">
        <v>3758</v>
      </c>
    </row>
    <row r="69" spans="2:11" x14ac:dyDescent="0.25">
      <c r="B69">
        <v>3481</v>
      </c>
      <c r="C69">
        <v>5931</v>
      </c>
      <c r="D69">
        <v>-832</v>
      </c>
      <c r="E69">
        <v>0</v>
      </c>
      <c r="F69">
        <v>-1636</v>
      </c>
      <c r="G69">
        <v>967</v>
      </c>
      <c r="H69">
        <v>300</v>
      </c>
      <c r="I69">
        <v>3353</v>
      </c>
      <c r="J69">
        <v>4973</v>
      </c>
      <c r="K69">
        <v>-1835</v>
      </c>
    </row>
    <row r="70" spans="2:11" x14ac:dyDescent="0.25">
      <c r="B70">
        <v>-907</v>
      </c>
      <c r="C70">
        <v>-1490</v>
      </c>
      <c r="D70">
        <v>199</v>
      </c>
      <c r="E70">
        <v>-3346</v>
      </c>
      <c r="F70">
        <v>1267</v>
      </c>
      <c r="G70">
        <v>-720</v>
      </c>
      <c r="H70">
        <v>3332</v>
      </c>
      <c r="I70">
        <v>-7088</v>
      </c>
      <c r="J70">
        <v>-2563</v>
      </c>
      <c r="K70">
        <v>-18737</v>
      </c>
    </row>
    <row r="71" spans="2:11" x14ac:dyDescent="0.25">
      <c r="B71">
        <v>-6536</v>
      </c>
      <c r="C71">
        <v>-14673</v>
      </c>
      <c r="D71">
        <v>-759</v>
      </c>
      <c r="E71">
        <v>0</v>
      </c>
      <c r="F71">
        <v>2581</v>
      </c>
      <c r="G71">
        <v>-1560</v>
      </c>
      <c r="H71">
        <v>-3173</v>
      </c>
      <c r="I71">
        <v>-7436</v>
      </c>
      <c r="J71">
        <v>-10994</v>
      </c>
      <c r="K71">
        <v>5758</v>
      </c>
    </row>
    <row r="72" spans="2:11" x14ac:dyDescent="0.25">
      <c r="B72">
        <v>2838</v>
      </c>
      <c r="C72">
        <v>3310</v>
      </c>
      <c r="D72">
        <v>-2974</v>
      </c>
      <c r="E72">
        <v>9018</v>
      </c>
      <c r="F72">
        <v>-8696</v>
      </c>
      <c r="G72">
        <v>2691</v>
      </c>
      <c r="H72">
        <v>-9497</v>
      </c>
      <c r="I72">
        <v>10377</v>
      </c>
      <c r="J72">
        <v>1034</v>
      </c>
      <c r="K72">
        <v>2267</v>
      </c>
    </row>
    <row r="73" spans="2:11" x14ac:dyDescent="0.25">
      <c r="B73">
        <v>-11905</v>
      </c>
      <c r="C73">
        <v>-5959</v>
      </c>
      <c r="D73">
        <v>-10468</v>
      </c>
      <c r="E73">
        <v>1269</v>
      </c>
      <c r="F73">
        <v>0</v>
      </c>
      <c r="G73">
        <v>1710</v>
      </c>
      <c r="H73">
        <v>1466</v>
      </c>
      <c r="I73">
        <v>-1417</v>
      </c>
      <c r="J73">
        <v>-5071</v>
      </c>
      <c r="K73">
        <v>-7970</v>
      </c>
    </row>
    <row r="74" spans="2:11" x14ac:dyDescent="0.25">
      <c r="B74">
        <v>5007</v>
      </c>
      <c r="C74">
        <v>2887</v>
      </c>
      <c r="D74">
        <v>2408</v>
      </c>
      <c r="E74">
        <v>-1268</v>
      </c>
      <c r="F74">
        <v>6223</v>
      </c>
      <c r="G74">
        <v>-8004</v>
      </c>
      <c r="H74">
        <v>3040</v>
      </c>
      <c r="I74">
        <v>-6478</v>
      </c>
      <c r="J74">
        <v>6860</v>
      </c>
      <c r="K74">
        <v>7</v>
      </c>
    </row>
    <row r="75" spans="2:11" x14ac:dyDescent="0.25">
      <c r="B75">
        <v>6946</v>
      </c>
      <c r="C75">
        <v>9795</v>
      </c>
      <c r="D75">
        <v>2256</v>
      </c>
      <c r="E75">
        <v>3119</v>
      </c>
      <c r="F75">
        <v>4382</v>
      </c>
      <c r="G75">
        <v>2790</v>
      </c>
      <c r="H75">
        <v>0</v>
      </c>
      <c r="I75">
        <v>197</v>
      </c>
      <c r="J75">
        <v>-74688</v>
      </c>
      <c r="K75">
        <v>5978</v>
      </c>
    </row>
    <row r="76" spans="2:11" x14ac:dyDescent="0.25">
      <c r="B76">
        <v>3437</v>
      </c>
      <c r="C76">
        <v>5085</v>
      </c>
      <c r="D76">
        <v>-2220</v>
      </c>
      <c r="E76">
        <v>-1724</v>
      </c>
      <c r="F76">
        <v>-1646</v>
      </c>
      <c r="G76">
        <v>5901</v>
      </c>
      <c r="H76">
        <v>-4634</v>
      </c>
      <c r="I76">
        <v>4829</v>
      </c>
      <c r="J76">
        <v>-1751</v>
      </c>
      <c r="K76">
        <v>8859</v>
      </c>
    </row>
    <row r="77" spans="2:11" x14ac:dyDescent="0.25">
      <c r="B77">
        <v>-5494</v>
      </c>
      <c r="C77">
        <v>-3312</v>
      </c>
      <c r="D77">
        <v>-1126</v>
      </c>
      <c r="E77">
        <v>-1019</v>
      </c>
      <c r="F77">
        <v>-1284</v>
      </c>
      <c r="G77">
        <v>-2724</v>
      </c>
      <c r="H77">
        <v>7332</v>
      </c>
      <c r="I77">
        <v>20641</v>
      </c>
      <c r="J77">
        <v>-23600</v>
      </c>
      <c r="K77">
        <v>0</v>
      </c>
    </row>
    <row r="78" spans="2:11" x14ac:dyDescent="0.25">
      <c r="B78">
        <v>-7475</v>
      </c>
      <c r="C78">
        <v>-10419</v>
      </c>
      <c r="D78">
        <v>10617</v>
      </c>
      <c r="E78">
        <v>13383</v>
      </c>
      <c r="F78">
        <v>19849</v>
      </c>
      <c r="G78">
        <v>-9672</v>
      </c>
      <c r="H78">
        <v>-5806</v>
      </c>
      <c r="I78">
        <v>-6330</v>
      </c>
      <c r="J78">
        <v>10214</v>
      </c>
      <c r="K78">
        <v>-24741</v>
      </c>
    </row>
    <row r="79" spans="2:11" x14ac:dyDescent="0.25">
      <c r="B79">
        <v>14733</v>
      </c>
      <c r="C79">
        <v>-5637</v>
      </c>
      <c r="D79">
        <v>22508</v>
      </c>
      <c r="E79">
        <v>-22724</v>
      </c>
      <c r="F79">
        <v>-7373</v>
      </c>
      <c r="G79">
        <v>-12682</v>
      </c>
      <c r="H79">
        <v>3208</v>
      </c>
      <c r="I79">
        <v>-6282</v>
      </c>
      <c r="J79">
        <v>-3766</v>
      </c>
      <c r="K79">
        <v>-4073</v>
      </c>
    </row>
    <row r="80" spans="2:11" x14ac:dyDescent="0.25">
      <c r="B80">
        <v>13761</v>
      </c>
      <c r="C80">
        <v>49820</v>
      </c>
      <c r="D80">
        <v>-2002</v>
      </c>
      <c r="E80">
        <v>0</v>
      </c>
      <c r="F80">
        <v>-7756</v>
      </c>
      <c r="G80">
        <v>-4431</v>
      </c>
      <c r="H80">
        <v>12906</v>
      </c>
      <c r="I80">
        <v>25949</v>
      </c>
      <c r="J80">
        <v>40843</v>
      </c>
      <c r="K80">
        <v>-18196</v>
      </c>
    </row>
    <row r="81" spans="2:11" x14ac:dyDescent="0.25">
      <c r="B81">
        <v>-11858</v>
      </c>
      <c r="C81">
        <v>-12486</v>
      </c>
      <c r="D81">
        <v>12091</v>
      </c>
      <c r="E81">
        <v>-36321</v>
      </c>
      <c r="F81">
        <v>29994</v>
      </c>
      <c r="G81">
        <v>-11628</v>
      </c>
      <c r="H81">
        <v>38192</v>
      </c>
      <c r="I81">
        <v>-44895</v>
      </c>
      <c r="J81">
        <v>-14133</v>
      </c>
      <c r="K81">
        <v>-19386</v>
      </c>
    </row>
    <row r="82" spans="2:11" x14ac:dyDescent="0.25">
      <c r="B82">
        <v>3672</v>
      </c>
      <c r="C82">
        <v>-9024</v>
      </c>
      <c r="D82">
        <v>-8779</v>
      </c>
      <c r="E82">
        <v>15345</v>
      </c>
      <c r="F82">
        <v>-12487</v>
      </c>
      <c r="G82">
        <v>-28658</v>
      </c>
      <c r="H82">
        <v>-42444</v>
      </c>
      <c r="I82">
        <v>-3059</v>
      </c>
      <c r="J82">
        <v>0</v>
      </c>
      <c r="K82">
        <v>8648</v>
      </c>
    </row>
    <row r="83" spans="2:11" x14ac:dyDescent="0.25">
      <c r="B83">
        <v>-4568</v>
      </c>
      <c r="C83">
        <v>-14502</v>
      </c>
      <c r="D83">
        <v>-23819</v>
      </c>
      <c r="E83">
        <v>-31126</v>
      </c>
      <c r="F83">
        <v>21784</v>
      </c>
      <c r="G83">
        <v>11347</v>
      </c>
      <c r="H83">
        <v>10109</v>
      </c>
      <c r="I83">
        <v>-13951</v>
      </c>
      <c r="J83">
        <v>19386</v>
      </c>
      <c r="K83">
        <v>-22248</v>
      </c>
    </row>
    <row r="84" spans="2:11" x14ac:dyDescent="0.25">
      <c r="B84">
        <v>11630</v>
      </c>
      <c r="C84">
        <v>-33900</v>
      </c>
      <c r="D84">
        <v>38398</v>
      </c>
      <c r="E84">
        <v>9740</v>
      </c>
      <c r="F84">
        <v>19019</v>
      </c>
      <c r="G84">
        <v>-5885</v>
      </c>
      <c r="H84">
        <v>6899</v>
      </c>
      <c r="I84">
        <v>5699</v>
      </c>
      <c r="J84">
        <v>-5065</v>
      </c>
      <c r="K84">
        <v>-15535</v>
      </c>
    </row>
    <row r="85" spans="2:11" x14ac:dyDescent="0.25">
      <c r="B85">
        <v>-30567</v>
      </c>
      <c r="C85">
        <v>-2345</v>
      </c>
      <c r="D85">
        <v>-6523</v>
      </c>
      <c r="E85">
        <v>5099</v>
      </c>
      <c r="F85">
        <v>0</v>
      </c>
      <c r="G85">
        <v>-1539</v>
      </c>
      <c r="H85">
        <v>2226</v>
      </c>
      <c r="I85">
        <v>-2328</v>
      </c>
      <c r="J85">
        <v>-696</v>
      </c>
      <c r="K85">
        <v>-1564</v>
      </c>
    </row>
    <row r="86" spans="2:11" x14ac:dyDescent="0.25">
      <c r="B86">
        <v>2712</v>
      </c>
      <c r="C86">
        <v>-372</v>
      </c>
      <c r="D86">
        <v>364</v>
      </c>
      <c r="E86">
        <v>-2355</v>
      </c>
      <c r="F86">
        <v>5245</v>
      </c>
      <c r="G86">
        <v>1683</v>
      </c>
      <c r="H86">
        <v>-620</v>
      </c>
      <c r="I86">
        <v>-3385</v>
      </c>
      <c r="J86">
        <v>5823</v>
      </c>
      <c r="K86">
        <v>3129</v>
      </c>
    </row>
    <row r="87" spans="2:11" x14ac:dyDescent="0.25">
      <c r="B87">
        <v>3899</v>
      </c>
      <c r="C87">
        <v>1475</v>
      </c>
      <c r="D87">
        <v>2726</v>
      </c>
      <c r="E87">
        <v>3208</v>
      </c>
      <c r="F87">
        <v>-373</v>
      </c>
      <c r="G87">
        <v>1898</v>
      </c>
      <c r="H87">
        <v>417</v>
      </c>
      <c r="I87">
        <v>-4063</v>
      </c>
      <c r="J87">
        <v>28580</v>
      </c>
      <c r="K87">
        <v>59216</v>
      </c>
    </row>
    <row r="88" spans="2:11" x14ac:dyDescent="0.25">
      <c r="B88">
        <v>-88</v>
      </c>
      <c r="C88">
        <v>0</v>
      </c>
      <c r="D88">
        <v>-12783</v>
      </c>
      <c r="E88">
        <v>3718</v>
      </c>
      <c r="F88">
        <v>10956</v>
      </c>
      <c r="G88">
        <v>27522</v>
      </c>
      <c r="H88">
        <v>44934</v>
      </c>
      <c r="I88">
        <v>-18861</v>
      </c>
      <c r="J88">
        <v>-12469</v>
      </c>
      <c r="K88">
        <v>-14074</v>
      </c>
    </row>
    <row r="89" spans="2:11" x14ac:dyDescent="0.25">
      <c r="B89">
        <v>10076</v>
      </c>
      <c r="C89">
        <v>-47154</v>
      </c>
      <c r="D89">
        <v>38716</v>
      </c>
      <c r="E89">
        <v>-11959</v>
      </c>
      <c r="F89">
        <v>42160</v>
      </c>
      <c r="G89">
        <v>-51478</v>
      </c>
      <c r="H89">
        <v>-14012</v>
      </c>
      <c r="I89">
        <v>-24963</v>
      </c>
      <c r="J89">
        <v>3512</v>
      </c>
      <c r="K89">
        <v>-13703</v>
      </c>
    </row>
    <row r="90" spans="2:11" x14ac:dyDescent="0.25">
      <c r="B90">
        <v>-10764</v>
      </c>
      <c r="C90">
        <v>6534</v>
      </c>
      <c r="D90">
        <v>25820</v>
      </c>
      <c r="E90">
        <v>51239</v>
      </c>
      <c r="F90">
        <v>7849</v>
      </c>
      <c r="G90">
        <v>-6350</v>
      </c>
      <c r="H90">
        <v>16601</v>
      </c>
      <c r="I90">
        <v>29082</v>
      </c>
      <c r="J90">
        <v>5083</v>
      </c>
      <c r="K90">
        <v>0</v>
      </c>
    </row>
    <row r="91" spans="2:11" x14ac:dyDescent="0.25">
      <c r="B91">
        <v>-8743</v>
      </c>
      <c r="C91">
        <v>4606</v>
      </c>
      <c r="D91">
        <v>4883</v>
      </c>
      <c r="E91">
        <v>18676</v>
      </c>
      <c r="F91">
        <v>29063</v>
      </c>
      <c r="G91">
        <v>-15506</v>
      </c>
      <c r="H91">
        <v>-9500</v>
      </c>
      <c r="I91">
        <v>-8719</v>
      </c>
      <c r="J91">
        <v>4278</v>
      </c>
      <c r="K91">
        <v>-17233</v>
      </c>
    </row>
    <row r="92" spans="2:11" x14ac:dyDescent="0.25">
      <c r="B92">
        <v>24538</v>
      </c>
      <c r="C92">
        <v>-9742</v>
      </c>
      <c r="D92">
        <v>23067</v>
      </c>
      <c r="E92">
        <v>-26817</v>
      </c>
      <c r="F92">
        <v>-6304</v>
      </c>
      <c r="G92">
        <v>-11651</v>
      </c>
      <c r="H92">
        <v>4304</v>
      </c>
      <c r="I92">
        <v>-4832</v>
      </c>
      <c r="J92">
        <v>-3007</v>
      </c>
      <c r="K92">
        <v>3518</v>
      </c>
    </row>
    <row r="93" spans="2:11" x14ac:dyDescent="0.25">
      <c r="B93">
        <v>15916</v>
      </c>
      <c r="C93">
        <v>28378</v>
      </c>
      <c r="D93">
        <v>-26587</v>
      </c>
      <c r="E93">
        <v>79464</v>
      </c>
      <c r="F93">
        <v>26811</v>
      </c>
      <c r="G93">
        <v>10356</v>
      </c>
      <c r="H93">
        <v>24779</v>
      </c>
      <c r="I93">
        <v>2992</v>
      </c>
      <c r="J93">
        <v>0</v>
      </c>
      <c r="K93">
        <v>-3822</v>
      </c>
    </row>
    <row r="94" spans="2:11" x14ac:dyDescent="0.25">
      <c r="B94">
        <v>2349</v>
      </c>
      <c r="C94">
        <v>4045</v>
      </c>
      <c r="D94">
        <v>9122</v>
      </c>
      <c r="E94">
        <v>13864</v>
      </c>
      <c r="F94">
        <v>-8857</v>
      </c>
      <c r="G94">
        <v>-4152</v>
      </c>
      <c r="H94">
        <v>-4628</v>
      </c>
      <c r="I94">
        <v>3791</v>
      </c>
      <c r="J94">
        <v>-10223</v>
      </c>
      <c r="K94">
        <v>10742</v>
      </c>
    </row>
    <row r="95" spans="2:11" x14ac:dyDescent="0.25">
      <c r="B95">
        <v>-3974</v>
      </c>
      <c r="C95">
        <v>12769</v>
      </c>
      <c r="D95">
        <v>-15864</v>
      </c>
      <c r="E95">
        <v>-2275</v>
      </c>
      <c r="F95">
        <v>-20083</v>
      </c>
      <c r="G95">
        <v>12032</v>
      </c>
      <c r="H95">
        <v>-4584</v>
      </c>
      <c r="I95">
        <v>-5767</v>
      </c>
      <c r="J95">
        <v>3475</v>
      </c>
      <c r="K95">
        <v>4599</v>
      </c>
    </row>
    <row r="96" spans="2:11" x14ac:dyDescent="0.25">
      <c r="B96">
        <v>15212</v>
      </c>
      <c r="C96">
        <v>-12793</v>
      </c>
      <c r="D96">
        <v>-1822</v>
      </c>
      <c r="E96">
        <v>16574</v>
      </c>
      <c r="F96">
        <v>8327</v>
      </c>
      <c r="G96">
        <v>16365</v>
      </c>
      <c r="H96">
        <v>27159</v>
      </c>
      <c r="I96">
        <v>6637</v>
      </c>
      <c r="J96">
        <v>0</v>
      </c>
      <c r="K96">
        <v>-6354</v>
      </c>
    </row>
    <row r="97" spans="2:11" x14ac:dyDescent="0.25">
      <c r="B97">
        <v>3484</v>
      </c>
      <c r="C97">
        <v>16510</v>
      </c>
      <c r="D97">
        <v>16391</v>
      </c>
      <c r="E97">
        <v>23485</v>
      </c>
      <c r="F97">
        <v>-12099</v>
      </c>
      <c r="G97">
        <v>-6246</v>
      </c>
      <c r="H97">
        <v>-7454</v>
      </c>
      <c r="I97">
        <v>16114</v>
      </c>
      <c r="J97">
        <v>-19205</v>
      </c>
      <c r="K97">
        <v>18314</v>
      </c>
    </row>
    <row r="98" spans="2:11" x14ac:dyDescent="0.25">
      <c r="B98">
        <v>-5864</v>
      </c>
      <c r="C98">
        <v>30215</v>
      </c>
      <c r="D98">
        <v>-27834</v>
      </c>
      <c r="E98">
        <v>-5672</v>
      </c>
      <c r="F98">
        <v>-38131</v>
      </c>
      <c r="G98">
        <v>1359</v>
      </c>
      <c r="H98">
        <v>-3355</v>
      </c>
      <c r="I98">
        <v>-5602</v>
      </c>
      <c r="J98">
        <v>7470</v>
      </c>
      <c r="K98">
        <v>14114</v>
      </c>
    </row>
    <row r="99" spans="2:11" x14ac:dyDescent="0.25">
      <c r="B99">
        <v>25266</v>
      </c>
      <c r="C99">
        <v>-22916</v>
      </c>
      <c r="D99">
        <v>-4930</v>
      </c>
      <c r="E99">
        <v>27475</v>
      </c>
      <c r="F99">
        <v>12770</v>
      </c>
      <c r="G99">
        <v>20440</v>
      </c>
      <c r="H99">
        <v>9312</v>
      </c>
      <c r="I99">
        <v>24622</v>
      </c>
      <c r="J99">
        <v>-1402</v>
      </c>
      <c r="K99">
        <v>0</v>
      </c>
    </row>
    <row r="100" spans="2:11" x14ac:dyDescent="0.25">
      <c r="B100">
        <v>-5818</v>
      </c>
      <c r="C100">
        <v>307</v>
      </c>
      <c r="D100">
        <v>8626</v>
      </c>
      <c r="E100">
        <v>14531</v>
      </c>
      <c r="F100">
        <v>23004</v>
      </c>
      <c r="G100">
        <v>-9815</v>
      </c>
      <c r="H100">
        <v>-6952</v>
      </c>
      <c r="I100">
        <v>-6964</v>
      </c>
      <c r="J100">
        <v>8172</v>
      </c>
      <c r="K100">
        <v>-25293</v>
      </c>
    </row>
    <row r="101" spans="2:11" x14ac:dyDescent="0.25">
      <c r="B101">
        <v>16136</v>
      </c>
      <c r="C101">
        <v>-6931</v>
      </c>
      <c r="D101">
        <v>22552</v>
      </c>
      <c r="E101">
        <v>-25964</v>
      </c>
      <c r="F101">
        <v>-7132</v>
      </c>
      <c r="G101">
        <v>-48666</v>
      </c>
      <c r="H101">
        <v>6236</v>
      </c>
      <c r="I101">
        <v>-9993</v>
      </c>
      <c r="J101">
        <v>-4582</v>
      </c>
      <c r="K101">
        <v>3949</v>
      </c>
    </row>
    <row r="102" spans="2:11" x14ac:dyDescent="0.25">
      <c r="B102">
        <v>14149</v>
      </c>
      <c r="C102">
        <v>30695</v>
      </c>
      <c r="D102">
        <v>-16528</v>
      </c>
      <c r="E102">
        <v>1903</v>
      </c>
      <c r="F102">
        <v>29226</v>
      </c>
      <c r="G102">
        <v>17398</v>
      </c>
      <c r="H102">
        <v>-18934</v>
      </c>
      <c r="I102">
        <v>14493</v>
      </c>
      <c r="J102">
        <v>24126</v>
      </c>
      <c r="K102">
        <v>23477</v>
      </c>
    </row>
    <row r="103" spans="2:11" x14ac:dyDescent="0.25">
      <c r="B103">
        <v>3056</v>
      </c>
      <c r="C103">
        <v>0</v>
      </c>
      <c r="D103">
        <v>-6509</v>
      </c>
      <c r="E103">
        <v>4476</v>
      </c>
      <c r="F103">
        <v>13318</v>
      </c>
      <c r="G103">
        <v>14616</v>
      </c>
      <c r="H103">
        <v>23469</v>
      </c>
      <c r="I103">
        <v>-10985</v>
      </c>
      <c r="J103">
        <v>-7179</v>
      </c>
      <c r="K103">
        <v>-7162</v>
      </c>
    </row>
    <row r="104" spans="2:11" x14ac:dyDescent="0.25">
      <c r="B104">
        <v>12935</v>
      </c>
      <c r="C104">
        <v>-25570</v>
      </c>
      <c r="D104">
        <v>16558</v>
      </c>
      <c r="E104">
        <v>-7155</v>
      </c>
      <c r="F104">
        <v>26645</v>
      </c>
      <c r="G104">
        <v>-26570</v>
      </c>
      <c r="H104">
        <v>-3619</v>
      </c>
      <c r="I104">
        <v>-82441</v>
      </c>
      <c r="J104">
        <v>2663</v>
      </c>
      <c r="K104">
        <v>-7651</v>
      </c>
    </row>
    <row r="105" spans="2:11" x14ac:dyDescent="0.25">
      <c r="B105">
        <v>-7757</v>
      </c>
      <c r="C105">
        <v>1436</v>
      </c>
      <c r="D105">
        <v>15469</v>
      </c>
      <c r="E105">
        <v>19672</v>
      </c>
      <c r="F105">
        <v>-19924</v>
      </c>
      <c r="G105">
        <v>-463</v>
      </c>
      <c r="H105">
        <v>27228</v>
      </c>
      <c r="I105">
        <v>15668</v>
      </c>
      <c r="J105">
        <v>-380</v>
      </c>
      <c r="K105">
        <v>13002</v>
      </c>
    </row>
    <row r="106" spans="2:11" x14ac:dyDescent="0.25">
      <c r="B106">
        <v>52630</v>
      </c>
      <c r="C106">
        <v>20642</v>
      </c>
      <c r="D106">
        <v>35703</v>
      </c>
      <c r="E106">
        <v>74418</v>
      </c>
      <c r="F106">
        <v>0</v>
      </c>
      <c r="G106">
        <v>-8670</v>
      </c>
      <c r="H106">
        <v>49262</v>
      </c>
      <c r="I106">
        <v>87084</v>
      </c>
      <c r="J106">
        <v>21089</v>
      </c>
      <c r="K106">
        <v>30254</v>
      </c>
    </row>
    <row r="107" spans="2:11" x14ac:dyDescent="0.25">
      <c r="B107">
        <v>-13041</v>
      </c>
      <c r="C107">
        <v>-8299</v>
      </c>
      <c r="D107">
        <v>-9460</v>
      </c>
      <c r="E107">
        <v>87146</v>
      </c>
      <c r="F107">
        <v>-27737</v>
      </c>
      <c r="G107">
        <v>21764</v>
      </c>
      <c r="H107">
        <v>-7925</v>
      </c>
      <c r="I107">
        <v>93978</v>
      </c>
      <c r="J107">
        <v>-36534</v>
      </c>
      <c r="K107">
        <v>-6847</v>
      </c>
    </row>
    <row r="108" spans="2:11" x14ac:dyDescent="0.25">
      <c r="B108">
        <v>11983</v>
      </c>
      <c r="C108">
        <v>365</v>
      </c>
      <c r="D108">
        <v>-8635</v>
      </c>
      <c r="E108">
        <v>-22545</v>
      </c>
      <c r="F108">
        <v>7876</v>
      </c>
      <c r="G108">
        <v>18448</v>
      </c>
      <c r="H108">
        <v>31809</v>
      </c>
      <c r="I108">
        <v>-27045</v>
      </c>
      <c r="J108">
        <v>1543</v>
      </c>
      <c r="K108">
        <v>36391</v>
      </c>
    </row>
    <row r="109" spans="2:11" x14ac:dyDescent="0.25">
      <c r="B109">
        <v>22787</v>
      </c>
      <c r="C109">
        <v>13082</v>
      </c>
      <c r="D109">
        <v>26900</v>
      </c>
      <c r="E109">
        <v>17930</v>
      </c>
      <c r="F109">
        <v>21904</v>
      </c>
      <c r="G109">
        <v>-43616</v>
      </c>
      <c r="H109">
        <v>-79407</v>
      </c>
      <c r="I109">
        <v>-1956</v>
      </c>
      <c r="J109">
        <v>0</v>
      </c>
      <c r="K109">
        <v>16653</v>
      </c>
    </row>
    <row r="110" spans="2:11" x14ac:dyDescent="0.25">
      <c r="B110">
        <v>-6275</v>
      </c>
      <c r="C110">
        <v>-20064</v>
      </c>
      <c r="D110">
        <v>-40860</v>
      </c>
      <c r="E110">
        <v>-62494</v>
      </c>
      <c r="F110">
        <v>31427</v>
      </c>
      <c r="G110">
        <v>18337</v>
      </c>
      <c r="H110">
        <v>19401</v>
      </c>
      <c r="I110">
        <v>-18894</v>
      </c>
      <c r="J110">
        <v>53233</v>
      </c>
      <c r="K110">
        <v>-46816</v>
      </c>
    </row>
    <row r="111" spans="2:11" x14ac:dyDescent="0.25">
      <c r="B111">
        <v>17929</v>
      </c>
      <c r="C111">
        <v>-58880</v>
      </c>
      <c r="D111">
        <v>69411</v>
      </c>
      <c r="E111">
        <v>17623</v>
      </c>
      <c r="F111">
        <v>34195</v>
      </c>
      <c r="G111">
        <v>-7007</v>
      </c>
      <c r="H111">
        <v>16434</v>
      </c>
      <c r="I111">
        <v>12962</v>
      </c>
      <c r="J111">
        <v>-9052</v>
      </c>
      <c r="K111">
        <v>-32427</v>
      </c>
    </row>
    <row r="112" spans="2:11" x14ac:dyDescent="0.25">
      <c r="B112">
        <v>-64561</v>
      </c>
      <c r="C112">
        <v>52632</v>
      </c>
      <c r="D112">
        <v>2331</v>
      </c>
      <c r="E112">
        <v>-75116</v>
      </c>
      <c r="F112">
        <v>-41518</v>
      </c>
      <c r="G112">
        <v>-22819</v>
      </c>
      <c r="H112">
        <v>-39028</v>
      </c>
      <c r="I112">
        <v>-36083</v>
      </c>
      <c r="J112">
        <v>-36748</v>
      </c>
      <c r="K112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42"/>
  <sheetViews>
    <sheetView workbookViewId="0">
      <selection sqref="A1:K7"/>
    </sheetView>
  </sheetViews>
  <sheetFormatPr defaultRowHeight="15" x14ac:dyDescent="0.25"/>
  <sheetData>
    <row r="1" spans="1:10" x14ac:dyDescent="0.25">
      <c r="A1" s="36" t="s">
        <v>222</v>
      </c>
      <c r="H1" t="s">
        <v>223</v>
      </c>
    </row>
    <row r="2" spans="1:10" x14ac:dyDescent="0.25">
      <c r="A2">
        <v>1</v>
      </c>
      <c r="B2" t="s">
        <v>224</v>
      </c>
    </row>
    <row r="3" spans="1:10" x14ac:dyDescent="0.25">
      <c r="A3">
        <v>2</v>
      </c>
      <c r="B3" t="s">
        <v>225</v>
      </c>
    </row>
    <row r="4" spans="1:10" x14ac:dyDescent="0.25">
      <c r="A4">
        <v>3</v>
      </c>
      <c r="B4" t="s">
        <v>226</v>
      </c>
    </row>
    <row r="5" spans="1:10" x14ac:dyDescent="0.25">
      <c r="A5">
        <v>4</v>
      </c>
      <c r="B5" t="s">
        <v>227</v>
      </c>
    </row>
    <row r="8" spans="1:10" x14ac:dyDescent="0.25">
      <c r="A8" t="s">
        <v>240</v>
      </c>
      <c r="B8" t="s">
        <v>229</v>
      </c>
      <c r="C8" t="s">
        <v>230</v>
      </c>
      <c r="D8" t="s">
        <v>231</v>
      </c>
    </row>
    <row r="9" spans="1:10" x14ac:dyDescent="0.25">
      <c r="A9" t="s">
        <v>232</v>
      </c>
      <c r="B9" t="s">
        <v>233</v>
      </c>
      <c r="C9" t="s">
        <v>234</v>
      </c>
      <c r="D9" t="s">
        <v>235</v>
      </c>
      <c r="E9">
        <v>4</v>
      </c>
      <c r="F9" s="50">
        <v>0.59541666666666659</v>
      </c>
      <c r="G9" t="s">
        <v>236</v>
      </c>
      <c r="H9">
        <v>2</v>
      </c>
      <c r="I9" t="s">
        <v>237</v>
      </c>
      <c r="J9">
        <v>12</v>
      </c>
    </row>
    <row r="10" spans="1:10" x14ac:dyDescent="0.25">
      <c r="A10" t="s">
        <v>238</v>
      </c>
    </row>
    <row r="11" spans="1:10" x14ac:dyDescent="0.25">
      <c r="B11">
        <v>1</v>
      </c>
      <c r="C11" t="s">
        <v>63</v>
      </c>
      <c r="D11" t="s">
        <v>64</v>
      </c>
      <c r="E11" s="35">
        <v>8.2714292376400003E-2</v>
      </c>
      <c r="F11">
        <v>0.19113587783700001</v>
      </c>
    </row>
    <row r="12" spans="1:10" x14ac:dyDescent="0.25">
      <c r="B12">
        <v>2</v>
      </c>
      <c r="C12" t="s">
        <v>65</v>
      </c>
      <c r="D12" t="s">
        <v>64</v>
      </c>
      <c r="E12">
        <v>1.0220354865200001</v>
      </c>
      <c r="F12">
        <v>0.209521505883</v>
      </c>
    </row>
    <row r="13" spans="1:10" x14ac:dyDescent="0.25">
      <c r="B13">
        <v>10</v>
      </c>
      <c r="C13" t="s">
        <v>66</v>
      </c>
      <c r="D13" t="s">
        <v>64</v>
      </c>
      <c r="E13">
        <v>-1.1944700928600001</v>
      </c>
      <c r="F13">
        <v>0.33433434039900001</v>
      </c>
    </row>
    <row r="14" spans="1:10" x14ac:dyDescent="0.25">
      <c r="B14">
        <v>17</v>
      </c>
      <c r="C14" t="s">
        <v>67</v>
      </c>
      <c r="D14" t="s">
        <v>64</v>
      </c>
      <c r="E14">
        <v>-0.37388358649999998</v>
      </c>
      <c r="F14">
        <v>0.64284053747299996</v>
      </c>
    </row>
    <row r="15" spans="1:10" x14ac:dyDescent="0.25">
      <c r="B15">
        <v>18</v>
      </c>
      <c r="C15" t="s">
        <v>68</v>
      </c>
      <c r="D15" t="s">
        <v>64</v>
      </c>
      <c r="E15">
        <v>-2.1552189459600002</v>
      </c>
      <c r="F15">
        <v>0.76198906613799999</v>
      </c>
    </row>
    <row r="16" spans="1:10" x14ac:dyDescent="0.25">
      <c r="B16">
        <v>20</v>
      </c>
      <c r="C16" t="s">
        <v>69</v>
      </c>
      <c r="D16" t="s">
        <v>64</v>
      </c>
      <c r="E16">
        <v>-3.89062176924</v>
      </c>
      <c r="F16">
        <v>1.77277210452</v>
      </c>
    </row>
    <row r="17" spans="2:6" x14ac:dyDescent="0.25">
      <c r="B17">
        <v>21</v>
      </c>
      <c r="C17" t="s">
        <v>70</v>
      </c>
      <c r="D17" t="s">
        <v>64</v>
      </c>
      <c r="E17">
        <v>1.02924701291</v>
      </c>
      <c r="F17">
        <v>0.57318912255900001</v>
      </c>
    </row>
    <row r="18" spans="2:6" x14ac:dyDescent="0.25">
      <c r="B18">
        <v>22</v>
      </c>
      <c r="C18" t="s">
        <v>71</v>
      </c>
      <c r="D18" t="s">
        <v>64</v>
      </c>
      <c r="E18">
        <v>0.28476332632899998</v>
      </c>
      <c r="F18">
        <v>0.331920402374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1.6189300503899999</v>
      </c>
      <c r="F20">
        <v>0.55826324496299995</v>
      </c>
    </row>
    <row r="21" spans="2:6" x14ac:dyDescent="0.25">
      <c r="B21">
        <v>29</v>
      </c>
      <c r="C21" t="s">
        <v>75</v>
      </c>
      <c r="D21" t="s">
        <v>64</v>
      </c>
      <c r="E21">
        <v>1.4418614350800001</v>
      </c>
      <c r="F21">
        <v>0.47891074473400003</v>
      </c>
    </row>
    <row r="22" spans="2:6" x14ac:dyDescent="0.25">
      <c r="B22">
        <v>30</v>
      </c>
      <c r="C22" t="s">
        <v>76</v>
      </c>
      <c r="D22" t="s">
        <v>64</v>
      </c>
      <c r="E22">
        <v>-0.436326716236</v>
      </c>
      <c r="F22">
        <v>0.240440841238</v>
      </c>
    </row>
    <row r="23" spans="2:6" x14ac:dyDescent="0.25">
      <c r="B23">
        <v>37</v>
      </c>
      <c r="C23" t="s">
        <v>77</v>
      </c>
      <c r="D23" t="s">
        <v>64</v>
      </c>
      <c r="E23">
        <v>-1.17061677191</v>
      </c>
      <c r="F23">
        <v>0.30749274050300002</v>
      </c>
    </row>
    <row r="24" spans="2:6" x14ac:dyDescent="0.25">
      <c r="B24">
        <v>38</v>
      </c>
      <c r="C24" t="s">
        <v>78</v>
      </c>
      <c r="D24" t="s">
        <v>64</v>
      </c>
      <c r="E24">
        <v>-0.50005425535900005</v>
      </c>
      <c r="F24">
        <v>0.74008249924900005</v>
      </c>
    </row>
    <row r="25" spans="2:6" x14ac:dyDescent="0.25">
      <c r="B25">
        <v>40</v>
      </c>
      <c r="C25" t="s">
        <v>79</v>
      </c>
      <c r="D25" t="s">
        <v>64</v>
      </c>
      <c r="E25">
        <v>-1.07632083804</v>
      </c>
      <c r="F25">
        <v>0.243090435736</v>
      </c>
    </row>
    <row r="26" spans="2:6" x14ac:dyDescent="0.25">
      <c r="B26">
        <v>41</v>
      </c>
      <c r="C26" t="s">
        <v>80</v>
      </c>
      <c r="D26" t="s">
        <v>64</v>
      </c>
      <c r="E26">
        <v>-1.7451141218699999</v>
      </c>
      <c r="F26">
        <v>0.67984452905500004</v>
      </c>
    </row>
    <row r="27" spans="2:6" x14ac:dyDescent="0.25">
      <c r="B27">
        <v>44</v>
      </c>
      <c r="C27" t="s">
        <v>81</v>
      </c>
      <c r="D27" t="s">
        <v>64</v>
      </c>
      <c r="E27">
        <v>-0.26427109019</v>
      </c>
      <c r="F27">
        <v>0.17060775103</v>
      </c>
    </row>
    <row r="28" spans="2:6" x14ac:dyDescent="0.25">
      <c r="B28">
        <v>45</v>
      </c>
      <c r="C28" t="s">
        <v>82</v>
      </c>
      <c r="D28" t="s">
        <v>64</v>
      </c>
      <c r="E28">
        <v>-0.26346992705599998</v>
      </c>
      <c r="F28">
        <v>0.13270236793099999</v>
      </c>
    </row>
    <row r="29" spans="2:6" x14ac:dyDescent="0.25">
      <c r="B29">
        <v>47</v>
      </c>
      <c r="C29" t="s">
        <v>83</v>
      </c>
      <c r="D29" t="s">
        <v>64</v>
      </c>
      <c r="E29">
        <v>1.3756218553499999</v>
      </c>
      <c r="F29">
        <v>0.50297589573799995</v>
      </c>
    </row>
    <row r="30" spans="2:6" x14ac:dyDescent="0.25">
      <c r="B30">
        <v>50</v>
      </c>
      <c r="C30" t="s">
        <v>84</v>
      </c>
      <c r="D30" t="s">
        <v>64</v>
      </c>
      <c r="E30">
        <v>1.2145079058199999</v>
      </c>
      <c r="F30">
        <v>0.40437779114099998</v>
      </c>
    </row>
    <row r="31" spans="2:6" x14ac:dyDescent="0.25">
      <c r="B31">
        <v>52</v>
      </c>
      <c r="C31" t="s">
        <v>85</v>
      </c>
      <c r="D31" t="s">
        <v>64</v>
      </c>
      <c r="E31">
        <v>-1.01885889266</v>
      </c>
      <c r="F31">
        <v>0.29236621982299998</v>
      </c>
    </row>
    <row r="32" spans="2:6" x14ac:dyDescent="0.25">
      <c r="B32">
        <v>54</v>
      </c>
      <c r="C32" t="s">
        <v>86</v>
      </c>
      <c r="D32" t="s">
        <v>64</v>
      </c>
      <c r="E32">
        <v>-0.78347783300499996</v>
      </c>
      <c r="F32">
        <v>0.30726708537699998</v>
      </c>
    </row>
    <row r="33" spans="2:6" x14ac:dyDescent="0.25">
      <c r="B33">
        <v>56</v>
      </c>
      <c r="C33" t="s">
        <v>87</v>
      </c>
      <c r="D33" t="s">
        <v>64</v>
      </c>
      <c r="E33">
        <v>0.30803328101299998</v>
      </c>
      <c r="F33">
        <v>0.24967263708000001</v>
      </c>
    </row>
    <row r="34" spans="2:6" x14ac:dyDescent="0.25">
      <c r="B34">
        <v>59</v>
      </c>
      <c r="C34" t="s">
        <v>88</v>
      </c>
      <c r="D34" t="s">
        <v>64</v>
      </c>
      <c r="E34">
        <v>-1.56467364191</v>
      </c>
      <c r="F34">
        <v>0.38513982619600001</v>
      </c>
    </row>
    <row r="35" spans="2:6" x14ac:dyDescent="0.25">
      <c r="B35">
        <v>60</v>
      </c>
      <c r="C35" t="s">
        <v>89</v>
      </c>
      <c r="D35" t="s">
        <v>64</v>
      </c>
      <c r="E35">
        <v>-3.5143971590500001</v>
      </c>
      <c r="F35">
        <v>0.60489121535500001</v>
      </c>
    </row>
    <row r="36" spans="2:6" x14ac:dyDescent="0.25">
      <c r="B36">
        <v>61</v>
      </c>
      <c r="C36" t="s">
        <v>90</v>
      </c>
      <c r="D36" t="s">
        <v>64</v>
      </c>
      <c r="E36">
        <v>0.16084114056400001</v>
      </c>
      <c r="F36">
        <v>0.25118186690900002</v>
      </c>
    </row>
    <row r="37" spans="2:6" x14ac:dyDescent="0.25">
      <c r="B37">
        <v>69</v>
      </c>
      <c r="C37" t="s">
        <v>91</v>
      </c>
      <c r="D37" t="s">
        <v>64</v>
      </c>
      <c r="E37">
        <v>0.51493638010999998</v>
      </c>
      <c r="F37">
        <v>0.45958048508900001</v>
      </c>
    </row>
    <row r="38" spans="2:6" x14ac:dyDescent="0.25">
      <c r="B38">
        <v>79</v>
      </c>
      <c r="C38" t="s">
        <v>92</v>
      </c>
      <c r="D38" t="s">
        <v>64</v>
      </c>
      <c r="E38" s="35">
        <v>-7.3787571266299996E-3</v>
      </c>
      <c r="F38">
        <v>0.41302740719100001</v>
      </c>
    </row>
    <row r="39" spans="2:6" x14ac:dyDescent="0.25">
      <c r="B39">
        <v>122</v>
      </c>
      <c r="C39" t="s">
        <v>93</v>
      </c>
      <c r="D39" t="s">
        <v>64</v>
      </c>
      <c r="E39">
        <v>0.41910856576200001</v>
      </c>
      <c r="F39">
        <v>0.25717681873999998</v>
      </c>
    </row>
    <row r="40" spans="2:6" x14ac:dyDescent="0.25">
      <c r="B40">
        <v>129</v>
      </c>
      <c r="C40" t="s">
        <v>94</v>
      </c>
      <c r="D40" t="s">
        <v>64</v>
      </c>
      <c r="E40">
        <v>2.5894917765500001</v>
      </c>
      <c r="F40">
        <v>1.6950981734699999</v>
      </c>
    </row>
    <row r="41" spans="2:6" x14ac:dyDescent="0.25">
      <c r="B41">
        <v>131</v>
      </c>
      <c r="C41" t="s">
        <v>95</v>
      </c>
      <c r="D41" t="s">
        <v>64</v>
      </c>
      <c r="E41">
        <v>-1.78374770832</v>
      </c>
      <c r="F41">
        <v>0.76615680883000004</v>
      </c>
    </row>
    <row r="42" spans="2:6" x14ac:dyDescent="0.25">
      <c r="B42">
        <v>132</v>
      </c>
      <c r="C42" t="s">
        <v>96</v>
      </c>
      <c r="D42" t="s">
        <v>64</v>
      </c>
      <c r="E42">
        <v>0.219607287175</v>
      </c>
      <c r="F42">
        <v>0.12153961035999999</v>
      </c>
    </row>
    <row r="43" spans="2:6" x14ac:dyDescent="0.25">
      <c r="B43">
        <v>133</v>
      </c>
      <c r="C43" t="s">
        <v>97</v>
      </c>
      <c r="D43" t="s">
        <v>64</v>
      </c>
      <c r="E43">
        <v>1.28842096954</v>
      </c>
      <c r="F43">
        <v>0.39237199543200002</v>
      </c>
    </row>
    <row r="44" spans="2:6" x14ac:dyDescent="0.25">
      <c r="B44">
        <v>134</v>
      </c>
      <c r="C44" t="s">
        <v>98</v>
      </c>
      <c r="D44" t="s">
        <v>64</v>
      </c>
      <c r="E44">
        <v>0.22135756046499999</v>
      </c>
      <c r="F44" s="35">
        <v>8.9392907241300001E-2</v>
      </c>
    </row>
    <row r="45" spans="2:6" x14ac:dyDescent="0.25">
      <c r="B45">
        <v>161</v>
      </c>
      <c r="C45" t="s">
        <v>99</v>
      </c>
      <c r="D45" t="s">
        <v>64</v>
      </c>
      <c r="E45">
        <v>1.07764073896</v>
      </c>
      <c r="F45">
        <v>0.32058241058699999</v>
      </c>
    </row>
    <row r="46" spans="2:6" x14ac:dyDescent="0.25">
      <c r="B46">
        <v>162</v>
      </c>
      <c r="C46" t="s">
        <v>100</v>
      </c>
      <c r="D46" t="s">
        <v>64</v>
      </c>
      <c r="E46">
        <v>0.88180479210700002</v>
      </c>
      <c r="F46">
        <v>0.37600683621699998</v>
      </c>
    </row>
    <row r="47" spans="2:6" x14ac:dyDescent="0.25">
      <c r="B47">
        <v>163</v>
      </c>
      <c r="C47" t="s">
        <v>101</v>
      </c>
      <c r="D47" t="s">
        <v>64</v>
      </c>
      <c r="E47">
        <v>-1.1532748156899999</v>
      </c>
      <c r="F47">
        <v>0.37590835106800002</v>
      </c>
    </row>
    <row r="48" spans="2:6" x14ac:dyDescent="0.25">
      <c r="B48">
        <v>164</v>
      </c>
      <c r="C48" t="s">
        <v>102</v>
      </c>
      <c r="D48" t="s">
        <v>64</v>
      </c>
      <c r="E48">
        <v>0.93583173807599995</v>
      </c>
      <c r="F48">
        <v>0.55967818574999995</v>
      </c>
    </row>
    <row r="49" spans="2:11" x14ac:dyDescent="0.25">
      <c r="B49">
        <v>168</v>
      </c>
      <c r="C49" t="s">
        <v>103</v>
      </c>
      <c r="D49" t="s">
        <v>64</v>
      </c>
      <c r="E49" s="35">
        <v>1.7653108240300001E-4</v>
      </c>
      <c r="F49" s="35">
        <v>6.3614436390499994E-5</v>
      </c>
    </row>
    <row r="50" spans="2:11" x14ac:dyDescent="0.25">
      <c r="B50">
        <v>169</v>
      </c>
      <c r="C50" t="s">
        <v>104</v>
      </c>
      <c r="D50" t="s">
        <v>64</v>
      </c>
      <c r="E50">
        <v>0.21170918018000001</v>
      </c>
      <c r="F50">
        <v>0.63125316375200002</v>
      </c>
    </row>
    <row r="51" spans="2:11" x14ac:dyDescent="0.25">
      <c r="B51">
        <v>179</v>
      </c>
      <c r="C51" t="s">
        <v>105</v>
      </c>
      <c r="D51" t="s">
        <v>64</v>
      </c>
      <c r="E51">
        <v>0.18728146335900001</v>
      </c>
      <c r="F51">
        <v>0.214364693631</v>
      </c>
    </row>
    <row r="52" spans="2:11" x14ac:dyDescent="0.25">
      <c r="B52">
        <v>99</v>
      </c>
      <c r="C52" t="s">
        <v>106</v>
      </c>
      <c r="D52" t="s">
        <v>64</v>
      </c>
      <c r="E52">
        <v>1</v>
      </c>
      <c r="F52">
        <v>0.242297673194</v>
      </c>
    </row>
    <row r="53" spans="2:11" x14ac:dyDescent="0.25">
      <c r="B53">
        <v>-1</v>
      </c>
    </row>
    <row r="54" spans="2:11" x14ac:dyDescent="0.25">
      <c r="B54">
        <v>1568</v>
      </c>
      <c r="C54" s="35">
        <v>-2400.4189012699999</v>
      </c>
      <c r="D54" s="35">
        <v>-2733.2167146199999</v>
      </c>
      <c r="E54" s="35">
        <v>-1931.66104036</v>
      </c>
    </row>
    <row r="55" spans="2:11" x14ac:dyDescent="0.25">
      <c r="B55">
        <v>14</v>
      </c>
      <c r="C55" t="s">
        <v>241</v>
      </c>
      <c r="D55" t="s">
        <v>236</v>
      </c>
      <c r="E55">
        <v>2</v>
      </c>
      <c r="F55" t="s">
        <v>237</v>
      </c>
      <c r="G55">
        <v>12</v>
      </c>
    </row>
    <row r="56" spans="2:11" x14ac:dyDescent="0.25">
      <c r="B56">
        <v>-1296</v>
      </c>
      <c r="C56">
        <v>249</v>
      </c>
      <c r="D56">
        <v>-73359</v>
      </c>
      <c r="E56">
        <v>1012</v>
      </c>
      <c r="F56">
        <v>-10368</v>
      </c>
      <c r="G56">
        <v>7702</v>
      </c>
      <c r="H56">
        <v>-1624</v>
      </c>
      <c r="I56">
        <v>-51229</v>
      </c>
      <c r="J56">
        <v>38419</v>
      </c>
      <c r="K56">
        <v>8575</v>
      </c>
    </row>
    <row r="57" spans="2:11" x14ac:dyDescent="0.25">
      <c r="B57">
        <v>10813</v>
      </c>
      <c r="C57">
        <v>-41167</v>
      </c>
      <c r="D57">
        <v>39570</v>
      </c>
      <c r="E57">
        <v>7388</v>
      </c>
      <c r="F57">
        <v>29121</v>
      </c>
      <c r="G57">
        <v>4558</v>
      </c>
      <c r="H57">
        <v>32880</v>
      </c>
      <c r="I57">
        <v>-25653</v>
      </c>
      <c r="J57">
        <v>-5807</v>
      </c>
      <c r="K57">
        <v>-18650</v>
      </c>
    </row>
    <row r="58" spans="2:11" x14ac:dyDescent="0.25">
      <c r="B58">
        <v>-21428</v>
      </c>
      <c r="C58">
        <v>3593</v>
      </c>
      <c r="D58">
        <v>14939</v>
      </c>
      <c r="E58">
        <v>-11794</v>
      </c>
      <c r="F58">
        <v>-1864</v>
      </c>
      <c r="G58">
        <v>-9311</v>
      </c>
      <c r="H58">
        <v>-16901</v>
      </c>
      <c r="I58">
        <v>27508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-17615</v>
      </c>
      <c r="I59">
        <v>56894</v>
      </c>
      <c r="J59">
        <v>-43980</v>
      </c>
      <c r="K59">
        <v>-8836</v>
      </c>
    </row>
    <row r="60" spans="2:11" x14ac:dyDescent="0.25">
      <c r="B60">
        <v>-31448</v>
      </c>
      <c r="C60">
        <v>-58833</v>
      </c>
      <c r="D60">
        <v>24091</v>
      </c>
      <c r="E60">
        <v>-5503</v>
      </c>
      <c r="F60">
        <v>0</v>
      </c>
      <c r="G60">
        <v>-7389</v>
      </c>
      <c r="H60">
        <v>56600</v>
      </c>
      <c r="I60">
        <v>-43622</v>
      </c>
      <c r="J60">
        <v>-8669</v>
      </c>
      <c r="K60">
        <v>-35576</v>
      </c>
    </row>
    <row r="61" spans="2:11" x14ac:dyDescent="0.25">
      <c r="B61">
        <v>-26468</v>
      </c>
      <c r="C61">
        <v>22735</v>
      </c>
      <c r="D61">
        <v>-15744</v>
      </c>
      <c r="E61">
        <v>0</v>
      </c>
      <c r="F61">
        <v>61697</v>
      </c>
      <c r="G61">
        <v>-1455</v>
      </c>
      <c r="H61">
        <v>-10759</v>
      </c>
      <c r="I61">
        <v>61723</v>
      </c>
      <c r="J61">
        <v>-145</v>
      </c>
      <c r="K61">
        <v>-3479</v>
      </c>
    </row>
    <row r="62" spans="2:11" x14ac:dyDescent="0.25">
      <c r="B62">
        <v>3579</v>
      </c>
      <c r="C62">
        <v>-558</v>
      </c>
      <c r="D62">
        <v>-766</v>
      </c>
      <c r="E62">
        <v>0</v>
      </c>
      <c r="F62">
        <v>3093</v>
      </c>
      <c r="G62">
        <v>3807</v>
      </c>
      <c r="H62">
        <v>582</v>
      </c>
      <c r="I62">
        <v>-46749</v>
      </c>
      <c r="J62">
        <v>37323</v>
      </c>
      <c r="K62">
        <v>6815</v>
      </c>
    </row>
    <row r="63" spans="2:11" x14ac:dyDescent="0.25">
      <c r="B63">
        <v>32278</v>
      </c>
      <c r="C63">
        <v>25540</v>
      </c>
      <c r="D63">
        <v>-19039</v>
      </c>
      <c r="E63">
        <v>-10344</v>
      </c>
      <c r="F63">
        <v>0</v>
      </c>
      <c r="G63">
        <v>-28602</v>
      </c>
      <c r="H63">
        <v>-31808</v>
      </c>
      <c r="I63">
        <v>-3070</v>
      </c>
      <c r="J63">
        <v>-1493</v>
      </c>
      <c r="K63">
        <v>-17844</v>
      </c>
    </row>
    <row r="64" spans="2:11" x14ac:dyDescent="0.25">
      <c r="B64">
        <v>14085</v>
      </c>
      <c r="C64">
        <v>2918</v>
      </c>
      <c r="D64">
        <v>14655</v>
      </c>
      <c r="E64">
        <v>8767</v>
      </c>
      <c r="F64">
        <v>-7594</v>
      </c>
      <c r="G64">
        <v>-7168</v>
      </c>
      <c r="H64">
        <v>0</v>
      </c>
      <c r="I64">
        <v>-6146</v>
      </c>
      <c r="J64">
        <v>-12095</v>
      </c>
      <c r="K64">
        <v>265</v>
      </c>
    </row>
    <row r="65" spans="2:11" x14ac:dyDescent="0.25">
      <c r="B65">
        <v>14350</v>
      </c>
      <c r="C65">
        <v>588</v>
      </c>
      <c r="D65">
        <v>-14588</v>
      </c>
      <c r="E65">
        <v>64263</v>
      </c>
      <c r="F65">
        <v>486</v>
      </c>
      <c r="G65">
        <v>-635</v>
      </c>
      <c r="H65">
        <v>6105</v>
      </c>
      <c r="I65">
        <v>-2150</v>
      </c>
      <c r="J65">
        <v>-1533</v>
      </c>
      <c r="K65">
        <v>0</v>
      </c>
    </row>
    <row r="66" spans="2:11" x14ac:dyDescent="0.25">
      <c r="B66">
        <v>70</v>
      </c>
      <c r="C66">
        <v>792</v>
      </c>
      <c r="D66">
        <v>95505</v>
      </c>
      <c r="E66">
        <v>3128</v>
      </c>
      <c r="F66">
        <v>-312</v>
      </c>
      <c r="G66">
        <v>4293</v>
      </c>
      <c r="H66">
        <v>-48178</v>
      </c>
      <c r="I66">
        <v>37686</v>
      </c>
      <c r="J66">
        <v>3417</v>
      </c>
      <c r="K66">
        <v>31802</v>
      </c>
    </row>
    <row r="67" spans="2:11" x14ac:dyDescent="0.25">
      <c r="B67">
        <v>27591</v>
      </c>
      <c r="C67">
        <v>1066</v>
      </c>
      <c r="D67">
        <v>-8398</v>
      </c>
      <c r="E67">
        <v>0</v>
      </c>
      <c r="F67">
        <v>-32059</v>
      </c>
      <c r="G67">
        <v>-34025</v>
      </c>
      <c r="H67">
        <v>-3853</v>
      </c>
      <c r="I67">
        <v>27426</v>
      </c>
      <c r="J67">
        <v>10443</v>
      </c>
      <c r="K67">
        <v>-1285</v>
      </c>
    </row>
    <row r="68" spans="2:11" x14ac:dyDescent="0.25">
      <c r="B68">
        <v>2294</v>
      </c>
      <c r="C68">
        <v>-33252</v>
      </c>
      <c r="D68">
        <v>27333</v>
      </c>
      <c r="E68">
        <v>4972</v>
      </c>
      <c r="F68">
        <v>26340</v>
      </c>
      <c r="G68">
        <v>20342</v>
      </c>
      <c r="H68">
        <v>-14858</v>
      </c>
      <c r="I68">
        <v>-5134</v>
      </c>
      <c r="J68">
        <v>0</v>
      </c>
      <c r="K68">
        <v>-20081</v>
      </c>
    </row>
    <row r="69" spans="2:11" x14ac:dyDescent="0.25">
      <c r="B69">
        <v>-23237</v>
      </c>
      <c r="C69">
        <v>-13358</v>
      </c>
      <c r="D69">
        <v>13703</v>
      </c>
      <c r="E69">
        <v>3431</v>
      </c>
      <c r="F69">
        <v>-11953</v>
      </c>
      <c r="G69">
        <v>12660</v>
      </c>
      <c r="H69">
        <v>-693</v>
      </c>
      <c r="I69">
        <v>-36565</v>
      </c>
      <c r="J69">
        <v>29739</v>
      </c>
      <c r="K69">
        <v>5146</v>
      </c>
    </row>
    <row r="70" spans="2:11" x14ac:dyDescent="0.25">
      <c r="B70">
        <v>24103</v>
      </c>
      <c r="C70">
        <v>20263</v>
      </c>
      <c r="D70">
        <v>-14845</v>
      </c>
      <c r="E70">
        <v>-4462</v>
      </c>
      <c r="F70">
        <v>0</v>
      </c>
      <c r="G70">
        <v>-26631</v>
      </c>
      <c r="H70">
        <v>-26139</v>
      </c>
      <c r="I70">
        <v>-16757</v>
      </c>
      <c r="J70">
        <v>19597</v>
      </c>
      <c r="K70">
        <v>6352</v>
      </c>
    </row>
    <row r="71" spans="2:11" x14ac:dyDescent="0.25">
      <c r="B71">
        <v>-14808</v>
      </c>
      <c r="C71">
        <v>23000</v>
      </c>
      <c r="D71">
        <v>37986</v>
      </c>
      <c r="E71">
        <v>-872</v>
      </c>
      <c r="F71">
        <v>50246</v>
      </c>
      <c r="G71">
        <v>-37263</v>
      </c>
      <c r="H71">
        <v>42332</v>
      </c>
      <c r="I71">
        <v>-31959</v>
      </c>
      <c r="J71">
        <v>-26972</v>
      </c>
      <c r="K71">
        <v>17708</v>
      </c>
    </row>
    <row r="72" spans="2:11" x14ac:dyDescent="0.25">
      <c r="B72">
        <v>8322</v>
      </c>
      <c r="C72">
        <v>0</v>
      </c>
      <c r="D72">
        <v>32943</v>
      </c>
      <c r="E72">
        <v>34046</v>
      </c>
      <c r="F72">
        <v>3644</v>
      </c>
      <c r="G72">
        <v>-29396</v>
      </c>
      <c r="H72">
        <v>-10993</v>
      </c>
      <c r="I72">
        <v>949</v>
      </c>
      <c r="J72">
        <v>-35878</v>
      </c>
      <c r="K72">
        <v>-23198</v>
      </c>
    </row>
    <row r="73" spans="2:11" x14ac:dyDescent="0.25">
      <c r="B73">
        <v>-23762</v>
      </c>
      <c r="C73">
        <v>7814</v>
      </c>
      <c r="D73">
        <v>50939</v>
      </c>
      <c r="E73">
        <v>-7304</v>
      </c>
      <c r="F73">
        <v>-8568</v>
      </c>
      <c r="G73">
        <v>-34645</v>
      </c>
      <c r="H73">
        <v>-28632</v>
      </c>
      <c r="I73">
        <v>21272</v>
      </c>
      <c r="J73">
        <v>6583</v>
      </c>
      <c r="K73">
        <v>0</v>
      </c>
    </row>
    <row r="74" spans="2:11" x14ac:dyDescent="0.25">
      <c r="B74">
        <v>45128</v>
      </c>
      <c r="C74">
        <v>42236</v>
      </c>
      <c r="D74">
        <v>59636</v>
      </c>
      <c r="E74">
        <v>-29593</v>
      </c>
      <c r="F74">
        <v>-10001</v>
      </c>
      <c r="G74">
        <v>56386</v>
      </c>
      <c r="H74">
        <v>-35875</v>
      </c>
      <c r="I74">
        <v>-25711</v>
      </c>
      <c r="J74">
        <v>-26887</v>
      </c>
      <c r="K74">
        <v>36243</v>
      </c>
    </row>
    <row r="75" spans="2:11" x14ac:dyDescent="0.25">
      <c r="B75">
        <v>5843</v>
      </c>
      <c r="C75">
        <v>-66295</v>
      </c>
      <c r="D75">
        <v>50982</v>
      </c>
      <c r="E75">
        <v>10037</v>
      </c>
      <c r="F75">
        <v>42265</v>
      </c>
      <c r="G75">
        <v>37095</v>
      </c>
      <c r="H75">
        <v>-23973</v>
      </c>
      <c r="I75">
        <v>-1867</v>
      </c>
      <c r="J75">
        <v>0</v>
      </c>
      <c r="K75">
        <v>-47547</v>
      </c>
    </row>
    <row r="76" spans="2:11" x14ac:dyDescent="0.25">
      <c r="B76">
        <v>-49320</v>
      </c>
      <c r="C76">
        <v>-5807</v>
      </c>
      <c r="D76">
        <v>36092</v>
      </c>
      <c r="E76">
        <v>11695</v>
      </c>
      <c r="F76">
        <v>-2372</v>
      </c>
      <c r="G76">
        <v>40607</v>
      </c>
      <c r="H76">
        <v>29683</v>
      </c>
      <c r="I76">
        <v>32228</v>
      </c>
      <c r="J76">
        <v>-40538</v>
      </c>
      <c r="K76">
        <v>-63898</v>
      </c>
    </row>
    <row r="77" spans="2:11" x14ac:dyDescent="0.25">
      <c r="B77">
        <v>797</v>
      </c>
      <c r="C77">
        <v>-47386</v>
      </c>
      <c r="D77">
        <v>38892</v>
      </c>
      <c r="E77">
        <v>7766</v>
      </c>
      <c r="F77">
        <v>34952</v>
      </c>
      <c r="G77">
        <v>30301</v>
      </c>
      <c r="H77">
        <v>-19785</v>
      </c>
      <c r="I77">
        <v>-9376</v>
      </c>
      <c r="J77">
        <v>0</v>
      </c>
      <c r="K77">
        <v>-31969</v>
      </c>
    </row>
    <row r="78" spans="2:11" x14ac:dyDescent="0.25">
      <c r="B78">
        <v>-33683</v>
      </c>
      <c r="C78">
        <v>-5715</v>
      </c>
      <c r="D78">
        <v>31702</v>
      </c>
      <c r="E78">
        <v>16844</v>
      </c>
      <c r="F78">
        <v>-2887</v>
      </c>
      <c r="G78">
        <v>27798</v>
      </c>
      <c r="H78">
        <v>48122</v>
      </c>
      <c r="I78">
        <v>22139</v>
      </c>
      <c r="J78">
        <v>-30655</v>
      </c>
      <c r="K78">
        <v>-53168</v>
      </c>
    </row>
    <row r="79" spans="2:11" x14ac:dyDescent="0.25">
      <c r="B79">
        <v>48522</v>
      </c>
      <c r="C79">
        <v>-6324</v>
      </c>
      <c r="D79">
        <v>21391</v>
      </c>
      <c r="E79">
        <v>-17115</v>
      </c>
      <c r="F79">
        <v>-3214</v>
      </c>
      <c r="G79">
        <v>-14572</v>
      </c>
      <c r="H79">
        <v>-11829</v>
      </c>
      <c r="I79">
        <v>8721</v>
      </c>
      <c r="J79">
        <v>4442</v>
      </c>
      <c r="K79">
        <v>0</v>
      </c>
    </row>
    <row r="80" spans="2:11" x14ac:dyDescent="0.25">
      <c r="B80">
        <v>14648</v>
      </c>
      <c r="C80">
        <v>15049</v>
      </c>
      <c r="D80">
        <v>4024</v>
      </c>
      <c r="E80">
        <v>-15330</v>
      </c>
      <c r="F80">
        <v>-7343</v>
      </c>
      <c r="G80">
        <v>2490</v>
      </c>
      <c r="H80">
        <v>-13391</v>
      </c>
      <c r="I80">
        <v>-14740</v>
      </c>
      <c r="J80">
        <v>-23127</v>
      </c>
      <c r="K80">
        <v>13413</v>
      </c>
    </row>
    <row r="81" spans="2:11" x14ac:dyDescent="0.25">
      <c r="B81">
        <v>2388</v>
      </c>
      <c r="C81">
        <v>-17845</v>
      </c>
      <c r="D81">
        <v>1506</v>
      </c>
      <c r="E81">
        <v>-2959</v>
      </c>
      <c r="F81">
        <v>-76070</v>
      </c>
      <c r="G81">
        <v>59743</v>
      </c>
      <c r="H81">
        <v>11215</v>
      </c>
      <c r="I81">
        <v>44680</v>
      </c>
      <c r="J81">
        <v>42503</v>
      </c>
      <c r="K81">
        <v>-29983</v>
      </c>
    </row>
    <row r="82" spans="2:11" x14ac:dyDescent="0.25">
      <c r="B82">
        <v>-13719</v>
      </c>
      <c r="C82">
        <v>0</v>
      </c>
      <c r="D82">
        <v>-57319</v>
      </c>
      <c r="E82">
        <v>-50457</v>
      </c>
      <c r="F82">
        <v>-4714</v>
      </c>
      <c r="G82">
        <v>40751</v>
      </c>
      <c r="H82">
        <v>13274</v>
      </c>
      <c r="I82">
        <v>-1035</v>
      </c>
      <c r="J82">
        <v>45402</v>
      </c>
      <c r="K82">
        <v>30501</v>
      </c>
    </row>
    <row r="83" spans="2:11" x14ac:dyDescent="0.25">
      <c r="B83">
        <v>36082</v>
      </c>
      <c r="C83">
        <v>-45459</v>
      </c>
      <c r="D83">
        <v>-69762</v>
      </c>
      <c r="E83">
        <v>64046</v>
      </c>
      <c r="F83">
        <v>54580</v>
      </c>
      <c r="G83">
        <v>-23680</v>
      </c>
      <c r="H83">
        <v>-1273</v>
      </c>
      <c r="I83">
        <v>-29207</v>
      </c>
      <c r="J83">
        <v>45376</v>
      </c>
      <c r="K83">
        <v>2467</v>
      </c>
    </row>
    <row r="84" spans="2:11" x14ac:dyDescent="0.25">
      <c r="B84">
        <v>17637</v>
      </c>
      <c r="C84">
        <v>18512</v>
      </c>
      <c r="D84">
        <v>-10309</v>
      </c>
      <c r="E84">
        <v>-4888</v>
      </c>
      <c r="F84">
        <v>0</v>
      </c>
      <c r="G84">
        <v>-19192</v>
      </c>
      <c r="H84">
        <v>-19442</v>
      </c>
      <c r="I84">
        <v>31227</v>
      </c>
      <c r="J84">
        <v>16466</v>
      </c>
      <c r="K84">
        <v>6183</v>
      </c>
    </row>
    <row r="85" spans="2:11" x14ac:dyDescent="0.25">
      <c r="B85">
        <v>32322</v>
      </c>
      <c r="C85">
        <v>16696</v>
      </c>
      <c r="D85">
        <v>10324</v>
      </c>
      <c r="E85">
        <v>12560</v>
      </c>
      <c r="F85">
        <v>-19006</v>
      </c>
      <c r="G85">
        <v>-1046</v>
      </c>
      <c r="H85">
        <v>22086</v>
      </c>
      <c r="I85">
        <v>15694</v>
      </c>
      <c r="J85">
        <v>-7391</v>
      </c>
      <c r="K85">
        <v>26703</v>
      </c>
    </row>
    <row r="86" spans="2:11" x14ac:dyDescent="0.25">
      <c r="B86">
        <v>110</v>
      </c>
      <c r="C86">
        <v>12497</v>
      </c>
      <c r="D86">
        <v>-9946</v>
      </c>
      <c r="E86">
        <v>-619</v>
      </c>
      <c r="F86">
        <v>-8095</v>
      </c>
      <c r="G86">
        <v>-6738</v>
      </c>
      <c r="H86">
        <v>5991</v>
      </c>
      <c r="I86">
        <v>2336</v>
      </c>
      <c r="J86">
        <v>0</v>
      </c>
      <c r="K86">
        <v>8886</v>
      </c>
    </row>
    <row r="87" spans="2:11" x14ac:dyDescent="0.25">
      <c r="B87">
        <v>8676</v>
      </c>
      <c r="C87">
        <v>673</v>
      </c>
      <c r="D87">
        <v>-6901</v>
      </c>
      <c r="E87">
        <v>-3008</v>
      </c>
      <c r="F87">
        <v>70</v>
      </c>
      <c r="G87">
        <v>-6110</v>
      </c>
      <c r="H87">
        <v>-8337</v>
      </c>
      <c r="I87">
        <v>-5006</v>
      </c>
      <c r="J87">
        <v>9269</v>
      </c>
      <c r="K87">
        <v>9768</v>
      </c>
    </row>
    <row r="88" spans="2:11" x14ac:dyDescent="0.25">
      <c r="B88">
        <v>-8301</v>
      </c>
      <c r="C88">
        <v>-13199</v>
      </c>
      <c r="D88">
        <v>2007</v>
      </c>
      <c r="E88">
        <v>-12457</v>
      </c>
      <c r="F88">
        <v>-26090</v>
      </c>
      <c r="G88">
        <v>-11711</v>
      </c>
      <c r="H88">
        <v>-1946</v>
      </c>
      <c r="I88">
        <v>1521</v>
      </c>
      <c r="J88">
        <v>-4313</v>
      </c>
      <c r="K88">
        <v>7238</v>
      </c>
    </row>
    <row r="89" spans="2:11" x14ac:dyDescent="0.25">
      <c r="B89">
        <v>1693</v>
      </c>
      <c r="C89">
        <v>3541</v>
      </c>
      <c r="D89">
        <v>-743</v>
      </c>
      <c r="E89">
        <v>0</v>
      </c>
      <c r="F89">
        <v>9416</v>
      </c>
      <c r="G89">
        <v>-215</v>
      </c>
      <c r="H89">
        <v>-1458</v>
      </c>
      <c r="I89">
        <v>5286</v>
      </c>
      <c r="J89">
        <v>5747</v>
      </c>
      <c r="K89">
        <v>-1261</v>
      </c>
    </row>
    <row r="90" spans="2:11" x14ac:dyDescent="0.25">
      <c r="B90">
        <v>4226</v>
      </c>
      <c r="C90">
        <v>10967</v>
      </c>
      <c r="D90">
        <v>2705</v>
      </c>
      <c r="E90">
        <v>-8860</v>
      </c>
      <c r="F90">
        <v>2355</v>
      </c>
      <c r="G90">
        <v>2694</v>
      </c>
      <c r="H90">
        <v>10510</v>
      </c>
      <c r="I90">
        <v>-2176</v>
      </c>
      <c r="J90">
        <v>-3380</v>
      </c>
      <c r="K90">
        <v>16268</v>
      </c>
    </row>
    <row r="91" spans="2:11" x14ac:dyDescent="0.25">
      <c r="B91">
        <v>-634</v>
      </c>
      <c r="C91">
        <v>-7766</v>
      </c>
      <c r="D91">
        <v>39133</v>
      </c>
      <c r="E91">
        <v>-40794</v>
      </c>
      <c r="F91">
        <v>-8414</v>
      </c>
      <c r="G91">
        <v>-17805</v>
      </c>
      <c r="H91">
        <v>-22247</v>
      </c>
      <c r="I91">
        <v>13333</v>
      </c>
      <c r="J91">
        <v>4912</v>
      </c>
      <c r="K91">
        <v>0</v>
      </c>
    </row>
    <row r="92" spans="2:11" x14ac:dyDescent="0.25">
      <c r="B92">
        <v>34479</v>
      </c>
      <c r="C92">
        <v>26689</v>
      </c>
      <c r="D92">
        <v>-15620</v>
      </c>
      <c r="E92">
        <v>-16524</v>
      </c>
      <c r="F92">
        <v>-1974</v>
      </c>
      <c r="G92">
        <v>-17124</v>
      </c>
      <c r="H92">
        <v>-22808</v>
      </c>
      <c r="I92">
        <v>-3891</v>
      </c>
      <c r="J92">
        <v>-17170</v>
      </c>
      <c r="K92">
        <v>17187</v>
      </c>
    </row>
    <row r="93" spans="2:11" x14ac:dyDescent="0.25">
      <c r="B93">
        <v>22623</v>
      </c>
      <c r="C93">
        <v>-30986</v>
      </c>
      <c r="D93">
        <v>-10411</v>
      </c>
      <c r="E93">
        <v>6687</v>
      </c>
      <c r="F93">
        <v>-40751</v>
      </c>
      <c r="G93">
        <v>-20841</v>
      </c>
      <c r="H93">
        <v>4647</v>
      </c>
      <c r="I93">
        <v>6835</v>
      </c>
      <c r="J93">
        <v>-13165</v>
      </c>
      <c r="K93">
        <v>29775</v>
      </c>
    </row>
    <row r="94" spans="2:11" x14ac:dyDescent="0.25">
      <c r="B94">
        <v>-22612</v>
      </c>
      <c r="C94">
        <v>-5265</v>
      </c>
      <c r="D94">
        <v>-21457</v>
      </c>
      <c r="E94">
        <v>-36813</v>
      </c>
      <c r="F94">
        <v>1040</v>
      </c>
      <c r="G94">
        <v>12995</v>
      </c>
      <c r="H94">
        <v>0</v>
      </c>
      <c r="I94">
        <v>17516</v>
      </c>
      <c r="J94">
        <v>31121</v>
      </c>
      <c r="K94">
        <v>7067</v>
      </c>
    </row>
    <row r="95" spans="2:11" x14ac:dyDescent="0.25">
      <c r="B95">
        <v>-18586</v>
      </c>
      <c r="C95">
        <v>-7733</v>
      </c>
      <c r="D95">
        <v>5054</v>
      </c>
      <c r="E95">
        <v>-23014</v>
      </c>
      <c r="F95">
        <v>-11354</v>
      </c>
      <c r="G95">
        <v>-13357</v>
      </c>
      <c r="H95">
        <v>20957</v>
      </c>
      <c r="I95">
        <v>27728</v>
      </c>
      <c r="J95">
        <v>-29243</v>
      </c>
      <c r="K95">
        <v>-19447</v>
      </c>
    </row>
    <row r="96" spans="2:11" x14ac:dyDescent="0.25">
      <c r="B96">
        <v>8238</v>
      </c>
      <c r="C96">
        <v>-31886</v>
      </c>
      <c r="D96">
        <v>-11295</v>
      </c>
      <c r="E96">
        <v>5069</v>
      </c>
      <c r="F96">
        <v>403</v>
      </c>
      <c r="G96">
        <v>16173</v>
      </c>
      <c r="H96">
        <v>-8375</v>
      </c>
      <c r="I96">
        <v>29806</v>
      </c>
      <c r="J96">
        <v>-22444</v>
      </c>
      <c r="K96">
        <v>-4782</v>
      </c>
    </row>
    <row r="97" spans="2:11" x14ac:dyDescent="0.25">
      <c r="B97">
        <v>-20112</v>
      </c>
      <c r="C97">
        <v>-91727</v>
      </c>
      <c r="D97">
        <v>15206</v>
      </c>
      <c r="E97">
        <v>7706</v>
      </c>
      <c r="F97">
        <v>0</v>
      </c>
      <c r="G97">
        <v>49011</v>
      </c>
      <c r="H97">
        <v>6536</v>
      </c>
      <c r="I97">
        <v>3755</v>
      </c>
      <c r="J97">
        <v>-17239</v>
      </c>
      <c r="K97">
        <v>-5028</v>
      </c>
    </row>
    <row r="98" spans="2:11" x14ac:dyDescent="0.25">
      <c r="B98">
        <v>1959</v>
      </c>
      <c r="C98">
        <v>-18539</v>
      </c>
      <c r="D98">
        <v>-15084</v>
      </c>
      <c r="E98">
        <v>-13996</v>
      </c>
      <c r="F98">
        <v>18714</v>
      </c>
      <c r="G98">
        <v>23302</v>
      </c>
      <c r="H98">
        <v>-25543</v>
      </c>
      <c r="I98">
        <v>-21753</v>
      </c>
      <c r="J98">
        <v>8106</v>
      </c>
      <c r="K98">
        <v>-29111</v>
      </c>
    </row>
    <row r="99" spans="2:11" x14ac:dyDescent="0.25">
      <c r="B99">
        <v>-9299</v>
      </c>
      <c r="C99">
        <v>4423</v>
      </c>
      <c r="D99">
        <v>-1984</v>
      </c>
      <c r="E99">
        <v>13737</v>
      </c>
      <c r="F99">
        <v>3357</v>
      </c>
      <c r="G99">
        <v>857</v>
      </c>
      <c r="H99">
        <v>-39980</v>
      </c>
      <c r="I99">
        <v>31033</v>
      </c>
      <c r="J99">
        <v>5710</v>
      </c>
      <c r="K99">
        <v>24906</v>
      </c>
    </row>
    <row r="100" spans="2:11" x14ac:dyDescent="0.25">
      <c r="B100">
        <v>20459</v>
      </c>
      <c r="C100">
        <v>-15950</v>
      </c>
      <c r="D100">
        <v>-7654</v>
      </c>
      <c r="E100">
        <v>0</v>
      </c>
      <c r="F100">
        <v>-27701</v>
      </c>
      <c r="G100">
        <v>-28327</v>
      </c>
      <c r="H100">
        <v>-4108</v>
      </c>
      <c r="I100">
        <v>24041</v>
      </c>
      <c r="J100">
        <v>9882</v>
      </c>
      <c r="K100">
        <v>-1901</v>
      </c>
    </row>
    <row r="101" spans="2:11" x14ac:dyDescent="0.25">
      <c r="B101">
        <v>23755</v>
      </c>
      <c r="C101">
        <v>16951</v>
      </c>
      <c r="D101">
        <v>20032</v>
      </c>
      <c r="E101">
        <v>-24855</v>
      </c>
      <c r="F101">
        <v>-38230</v>
      </c>
      <c r="G101">
        <v>37418</v>
      </c>
      <c r="H101">
        <v>26387</v>
      </c>
      <c r="I101">
        <v>-5082</v>
      </c>
      <c r="J101">
        <v>42252</v>
      </c>
      <c r="K101">
        <v>16674</v>
      </c>
    </row>
    <row r="102" spans="2:11" x14ac:dyDescent="0.25">
      <c r="B102">
        <v>-7296</v>
      </c>
      <c r="C102">
        <v>-3762</v>
      </c>
      <c r="D102">
        <v>-20899</v>
      </c>
      <c r="E102">
        <v>-17313</v>
      </c>
      <c r="F102">
        <v>-12889</v>
      </c>
      <c r="G102">
        <v>2431</v>
      </c>
      <c r="H102">
        <v>31532</v>
      </c>
      <c r="I102">
        <v>-23347</v>
      </c>
      <c r="J102">
        <v>-4394</v>
      </c>
      <c r="K102">
        <v>-20254</v>
      </c>
    </row>
    <row r="103" spans="2:11" x14ac:dyDescent="0.25">
      <c r="B103">
        <v>-19302</v>
      </c>
      <c r="C103">
        <v>11938</v>
      </c>
      <c r="D103">
        <v>3033</v>
      </c>
      <c r="E103">
        <v>0</v>
      </c>
      <c r="F103">
        <v>22863</v>
      </c>
      <c r="G103">
        <v>21065</v>
      </c>
      <c r="H103">
        <v>-1750</v>
      </c>
      <c r="I103">
        <v>-18811</v>
      </c>
      <c r="J103">
        <v>-2364</v>
      </c>
      <c r="K103">
        <v>-3556</v>
      </c>
    </row>
    <row r="104" spans="2:11" x14ac:dyDescent="0.25">
      <c r="B104">
        <v>-19830</v>
      </c>
      <c r="C104">
        <v>-11356</v>
      </c>
      <c r="D104">
        <v>-15104</v>
      </c>
      <c r="E104">
        <v>19809</v>
      </c>
      <c r="F104">
        <v>11158</v>
      </c>
      <c r="G104">
        <v>-22143</v>
      </c>
      <c r="H104">
        <v>-16822</v>
      </c>
      <c r="I104">
        <v>3828</v>
      </c>
      <c r="J104">
        <v>-30309</v>
      </c>
      <c r="K104">
        <v>-12095</v>
      </c>
    </row>
    <row r="105" spans="2:11" x14ac:dyDescent="0.25">
      <c r="B105">
        <v>5905</v>
      </c>
      <c r="C105">
        <v>-2993</v>
      </c>
      <c r="D105">
        <v>13674</v>
      </c>
      <c r="E105">
        <v>12780</v>
      </c>
      <c r="F105">
        <v>14557</v>
      </c>
      <c r="G105">
        <v>-25708</v>
      </c>
      <c r="H105">
        <v>-1890</v>
      </c>
      <c r="I105">
        <v>62967</v>
      </c>
      <c r="J105">
        <v>-48903</v>
      </c>
      <c r="K105">
        <v>-10195</v>
      </c>
    </row>
    <row r="106" spans="2:11" x14ac:dyDescent="0.25">
      <c r="B106">
        <v>-40338</v>
      </c>
      <c r="C106">
        <v>-37759</v>
      </c>
      <c r="D106">
        <v>25028</v>
      </c>
      <c r="E106">
        <v>9339</v>
      </c>
      <c r="F106">
        <v>0</v>
      </c>
      <c r="G106">
        <v>46342</v>
      </c>
      <c r="H106">
        <v>45145</v>
      </c>
      <c r="I106">
        <v>2099</v>
      </c>
      <c r="J106">
        <v>-36419</v>
      </c>
      <c r="K106">
        <v>-15353</v>
      </c>
    </row>
    <row r="107" spans="2:11" x14ac:dyDescent="0.25">
      <c r="B107">
        <v>-1169</v>
      </c>
      <c r="C107">
        <v>-38891</v>
      </c>
      <c r="D107">
        <v>-26301</v>
      </c>
      <c r="E107">
        <v>-29565</v>
      </c>
      <c r="F107">
        <v>37810</v>
      </c>
      <c r="G107">
        <v>47009</v>
      </c>
      <c r="H107">
        <v>-53129</v>
      </c>
      <c r="I107">
        <v>-39168</v>
      </c>
      <c r="J107">
        <v>16771</v>
      </c>
      <c r="K107">
        <v>-60158</v>
      </c>
    </row>
    <row r="108" spans="2:11" x14ac:dyDescent="0.25">
      <c r="B108">
        <v>-20096</v>
      </c>
      <c r="C108">
        <v>8991</v>
      </c>
      <c r="D108">
        <v>-4059</v>
      </c>
      <c r="E108">
        <v>28643</v>
      </c>
      <c r="F108">
        <v>28128</v>
      </c>
      <c r="G108">
        <v>26422</v>
      </c>
      <c r="H108">
        <v>-10240</v>
      </c>
      <c r="I108">
        <v>18554</v>
      </c>
      <c r="J108">
        <v>340</v>
      </c>
      <c r="K108">
        <v>42258</v>
      </c>
    </row>
    <row r="109" spans="2:11" x14ac:dyDescent="0.25">
      <c r="B109">
        <v>-30295</v>
      </c>
      <c r="C109">
        <v>-6207</v>
      </c>
      <c r="D109">
        <v>-27190</v>
      </c>
      <c r="E109">
        <v>-25721</v>
      </c>
      <c r="F109">
        <v>15982</v>
      </c>
      <c r="G109">
        <v>4091</v>
      </c>
      <c r="H109">
        <v>0</v>
      </c>
      <c r="I109">
        <v>32152</v>
      </c>
      <c r="J109">
        <v>30440</v>
      </c>
      <c r="K109">
        <v>-2706</v>
      </c>
    </row>
    <row r="110" spans="2:11" x14ac:dyDescent="0.25">
      <c r="B110">
        <v>-30097</v>
      </c>
      <c r="C110">
        <v>-13820</v>
      </c>
      <c r="D110">
        <v>-5378</v>
      </c>
      <c r="E110">
        <v>-27451</v>
      </c>
      <c r="F110">
        <v>-13027</v>
      </c>
      <c r="G110">
        <v>-18763</v>
      </c>
      <c r="H110">
        <v>27631</v>
      </c>
      <c r="I110">
        <v>30875</v>
      </c>
      <c r="J110">
        <v>-35292</v>
      </c>
      <c r="K110">
        <v>-25798</v>
      </c>
    </row>
    <row r="111" spans="2:11" x14ac:dyDescent="0.25">
      <c r="B111">
        <v>11897</v>
      </c>
      <c r="C111">
        <v>-40945</v>
      </c>
      <c r="D111">
        <v>-15295</v>
      </c>
      <c r="E111">
        <v>7221</v>
      </c>
      <c r="F111">
        <v>-2416</v>
      </c>
      <c r="G111">
        <v>20112</v>
      </c>
      <c r="H111">
        <v>18763</v>
      </c>
      <c r="I111">
        <v>18790</v>
      </c>
      <c r="J111">
        <v>-26143</v>
      </c>
      <c r="K111">
        <v>59865</v>
      </c>
    </row>
    <row r="112" spans="2:11" x14ac:dyDescent="0.25">
      <c r="B112">
        <v>24345</v>
      </c>
      <c r="C112">
        <v>779</v>
      </c>
      <c r="D112">
        <v>27784</v>
      </c>
      <c r="E112">
        <v>-21574</v>
      </c>
      <c r="F112">
        <v>-2317</v>
      </c>
      <c r="G112">
        <v>-16467</v>
      </c>
      <c r="H112">
        <v>-12950</v>
      </c>
      <c r="I112">
        <v>10018</v>
      </c>
      <c r="J112">
        <v>4908</v>
      </c>
      <c r="K112">
        <v>0</v>
      </c>
    </row>
    <row r="113" spans="2:11" x14ac:dyDescent="0.25">
      <c r="B113">
        <v>17700</v>
      </c>
      <c r="C113">
        <v>18317</v>
      </c>
      <c r="D113">
        <v>208</v>
      </c>
      <c r="E113">
        <v>-15202</v>
      </c>
      <c r="F113">
        <v>-6201</v>
      </c>
      <c r="G113">
        <v>-1105</v>
      </c>
      <c r="H113">
        <v>-15223</v>
      </c>
      <c r="I113">
        <v>-11712</v>
      </c>
      <c r="J113">
        <v>-14191</v>
      </c>
      <c r="K113">
        <v>17771</v>
      </c>
    </row>
    <row r="114" spans="2:11" x14ac:dyDescent="0.25">
      <c r="B114">
        <v>17386</v>
      </c>
      <c r="C114">
        <v>-19436</v>
      </c>
      <c r="D114">
        <v>-16077</v>
      </c>
      <c r="E114">
        <v>7865</v>
      </c>
      <c r="F114">
        <v>-24604</v>
      </c>
      <c r="G114">
        <v>-28531</v>
      </c>
      <c r="H114">
        <v>1763</v>
      </c>
      <c r="I114">
        <v>-12157</v>
      </c>
      <c r="J114">
        <v>13667</v>
      </c>
      <c r="K114">
        <v>9552</v>
      </c>
    </row>
    <row r="115" spans="2:11" x14ac:dyDescent="0.25">
      <c r="B115">
        <v>8561</v>
      </c>
      <c r="C115">
        <v>-13202</v>
      </c>
      <c r="D115">
        <v>11932</v>
      </c>
      <c r="E115">
        <v>19903</v>
      </c>
      <c r="F115">
        <v>15457</v>
      </c>
      <c r="G115">
        <v>-3394</v>
      </c>
      <c r="H115">
        <v>-761</v>
      </c>
      <c r="I115">
        <v>772</v>
      </c>
      <c r="J115">
        <v>2078</v>
      </c>
      <c r="K115">
        <v>1046</v>
      </c>
    </row>
    <row r="116" spans="2:11" x14ac:dyDescent="0.25">
      <c r="B116">
        <v>342</v>
      </c>
      <c r="C116">
        <v>-612</v>
      </c>
      <c r="D116">
        <v>-425</v>
      </c>
      <c r="E116">
        <v>0</v>
      </c>
      <c r="F116">
        <v>267</v>
      </c>
      <c r="G116">
        <v>-596</v>
      </c>
      <c r="H116">
        <v>-825</v>
      </c>
      <c r="I116">
        <v>279</v>
      </c>
      <c r="J116">
        <v>476</v>
      </c>
      <c r="K116">
        <v>-872</v>
      </c>
    </row>
    <row r="117" spans="2:11" x14ac:dyDescent="0.25">
      <c r="B117">
        <v>793</v>
      </c>
      <c r="C117">
        <v>1285</v>
      </c>
      <c r="D117">
        <v>1443</v>
      </c>
      <c r="E117">
        <v>1546</v>
      </c>
      <c r="F117">
        <v>-1406</v>
      </c>
      <c r="G117">
        <v>586</v>
      </c>
      <c r="H117">
        <v>737</v>
      </c>
      <c r="I117">
        <v>-345</v>
      </c>
      <c r="J117">
        <v>1198</v>
      </c>
      <c r="K117">
        <v>-36982</v>
      </c>
    </row>
    <row r="118" spans="2:11" x14ac:dyDescent="0.25">
      <c r="B118">
        <v>282</v>
      </c>
      <c r="C118">
        <v>-8017</v>
      </c>
      <c r="D118">
        <v>-1966</v>
      </c>
      <c r="E118">
        <v>237</v>
      </c>
      <c r="F118">
        <v>-248</v>
      </c>
      <c r="G118">
        <v>-753</v>
      </c>
      <c r="H118">
        <v>54</v>
      </c>
      <c r="I118">
        <v>-2294</v>
      </c>
      <c r="J118">
        <v>-45</v>
      </c>
      <c r="K118">
        <v>-23554</v>
      </c>
    </row>
    <row r="119" spans="2:11" x14ac:dyDescent="0.25">
      <c r="B119">
        <v>1814</v>
      </c>
      <c r="C119">
        <v>-7154</v>
      </c>
      <c r="D119">
        <v>4435</v>
      </c>
      <c r="E119">
        <v>-302</v>
      </c>
      <c r="F119">
        <v>1529</v>
      </c>
      <c r="G119">
        <v>461</v>
      </c>
      <c r="H119">
        <v>-2065</v>
      </c>
      <c r="I119">
        <v>-998</v>
      </c>
      <c r="J119">
        <v>0</v>
      </c>
      <c r="K119">
        <v>-2721</v>
      </c>
    </row>
    <row r="120" spans="2:11" x14ac:dyDescent="0.25">
      <c r="B120">
        <v>-2277</v>
      </c>
      <c r="C120">
        <v>2676</v>
      </c>
      <c r="D120">
        <v>1255</v>
      </c>
      <c r="E120">
        <v>620</v>
      </c>
      <c r="F120">
        <v>2732</v>
      </c>
      <c r="G120">
        <v>1422</v>
      </c>
      <c r="H120">
        <v>2107</v>
      </c>
      <c r="I120">
        <v>3436</v>
      </c>
      <c r="J120">
        <v>-2878</v>
      </c>
      <c r="K120">
        <v>-65</v>
      </c>
    </row>
    <row r="121" spans="2:11" x14ac:dyDescent="0.25">
      <c r="B121">
        <v>1593</v>
      </c>
      <c r="C121">
        <v>1636</v>
      </c>
      <c r="D121">
        <v>-1416</v>
      </c>
      <c r="E121">
        <v>2823</v>
      </c>
      <c r="F121">
        <v>1157</v>
      </c>
      <c r="G121">
        <v>-3333</v>
      </c>
      <c r="H121">
        <v>12248</v>
      </c>
      <c r="I121">
        <v>-1377</v>
      </c>
      <c r="J121">
        <v>-512</v>
      </c>
      <c r="K121">
        <v>-528</v>
      </c>
    </row>
    <row r="122" spans="2:11" x14ac:dyDescent="0.25">
      <c r="B122">
        <v>2077</v>
      </c>
      <c r="C122">
        <v>-2282</v>
      </c>
      <c r="D122">
        <v>-1535</v>
      </c>
      <c r="E122">
        <v>-3274</v>
      </c>
      <c r="F122">
        <v>-42263</v>
      </c>
      <c r="G122">
        <v>-12027</v>
      </c>
      <c r="H122">
        <v>449</v>
      </c>
      <c r="I122">
        <v>19015</v>
      </c>
      <c r="J122">
        <v>-13825</v>
      </c>
      <c r="K122">
        <v>-990</v>
      </c>
    </row>
    <row r="123" spans="2:11" x14ac:dyDescent="0.25">
      <c r="B123">
        <v>-12315</v>
      </c>
      <c r="C123">
        <v>-10871</v>
      </c>
      <c r="D123">
        <v>7248</v>
      </c>
      <c r="E123">
        <v>3320</v>
      </c>
      <c r="F123">
        <v>0</v>
      </c>
      <c r="G123">
        <v>13426</v>
      </c>
      <c r="H123">
        <v>13675</v>
      </c>
      <c r="I123">
        <v>2738</v>
      </c>
      <c r="J123">
        <v>-10629</v>
      </c>
      <c r="K123">
        <v>-4611</v>
      </c>
    </row>
    <row r="124" spans="2:11" x14ac:dyDescent="0.25">
      <c r="B124">
        <v>1790</v>
      </c>
      <c r="C124">
        <v>-11513</v>
      </c>
      <c r="D124">
        <v>-4583</v>
      </c>
      <c r="E124">
        <v>-8096</v>
      </c>
      <c r="F124">
        <v>14337</v>
      </c>
      <c r="G124">
        <v>15020</v>
      </c>
      <c r="H124">
        <v>-15709</v>
      </c>
      <c r="I124">
        <v>-7682</v>
      </c>
      <c r="J124">
        <v>5787</v>
      </c>
      <c r="K124">
        <v>-18518</v>
      </c>
    </row>
    <row r="125" spans="2:11" x14ac:dyDescent="0.25">
      <c r="B125">
        <v>-43123</v>
      </c>
      <c r="C125">
        <v>5985</v>
      </c>
      <c r="D125">
        <v>-12700</v>
      </c>
      <c r="E125">
        <v>11745</v>
      </c>
      <c r="F125">
        <v>10041</v>
      </c>
      <c r="G125">
        <v>7017</v>
      </c>
      <c r="H125">
        <v>-10505</v>
      </c>
      <c r="I125">
        <v>8263</v>
      </c>
      <c r="J125">
        <v>15251</v>
      </c>
      <c r="K125">
        <v>10727</v>
      </c>
    </row>
    <row r="126" spans="2:11" x14ac:dyDescent="0.25">
      <c r="B126">
        <v>37305</v>
      </c>
      <c r="C126">
        <v>-5032</v>
      </c>
      <c r="D126">
        <v>-20222</v>
      </c>
      <c r="E126">
        <v>7140</v>
      </c>
      <c r="F126">
        <v>61621</v>
      </c>
      <c r="G126">
        <v>-47940</v>
      </c>
      <c r="H126">
        <v>-8909</v>
      </c>
      <c r="I126">
        <v>-40863</v>
      </c>
      <c r="J126">
        <v>-35151</v>
      </c>
      <c r="K126">
        <v>21446</v>
      </c>
    </row>
    <row r="127" spans="2:11" x14ac:dyDescent="0.25">
      <c r="B127">
        <v>9834</v>
      </c>
      <c r="C127">
        <v>0</v>
      </c>
      <c r="D127">
        <v>39200</v>
      </c>
      <c r="E127">
        <v>43062</v>
      </c>
      <c r="F127">
        <v>5059</v>
      </c>
      <c r="G127">
        <v>-36316</v>
      </c>
      <c r="H127">
        <v>-14548</v>
      </c>
      <c r="I127">
        <v>1905</v>
      </c>
      <c r="J127">
        <v>-39561</v>
      </c>
      <c r="K127">
        <v>-26374</v>
      </c>
    </row>
    <row r="128" spans="2:11" x14ac:dyDescent="0.25">
      <c r="B128">
        <v>-29742</v>
      </c>
      <c r="C128">
        <v>38718</v>
      </c>
      <c r="D128">
        <v>47832</v>
      </c>
      <c r="E128">
        <v>-53194</v>
      </c>
      <c r="F128">
        <v>-37799</v>
      </c>
      <c r="G128">
        <v>15412</v>
      </c>
      <c r="H128">
        <v>-58846</v>
      </c>
      <c r="I128">
        <v>-11906</v>
      </c>
      <c r="J128">
        <v>13955</v>
      </c>
      <c r="K128">
        <v>-44749</v>
      </c>
    </row>
    <row r="129" spans="2:11" x14ac:dyDescent="0.25">
      <c r="B129">
        <v>30718</v>
      </c>
      <c r="C129">
        <v>25802</v>
      </c>
      <c r="D129">
        <v>24430</v>
      </c>
      <c r="E129">
        <v>-27457</v>
      </c>
      <c r="F129">
        <v>24123</v>
      </c>
      <c r="G129">
        <v>52224</v>
      </c>
      <c r="H129">
        <v>33334</v>
      </c>
      <c r="I129">
        <v>13882</v>
      </c>
      <c r="J129">
        <v>-5564</v>
      </c>
      <c r="K129">
        <v>4914</v>
      </c>
    </row>
    <row r="130" spans="2:11" x14ac:dyDescent="0.25">
      <c r="B130">
        <v>17243</v>
      </c>
      <c r="C130">
        <v>1951</v>
      </c>
      <c r="D130">
        <v>-18066</v>
      </c>
      <c r="E130">
        <v>14105</v>
      </c>
      <c r="F130">
        <v>5087</v>
      </c>
      <c r="G130">
        <v>11386</v>
      </c>
      <c r="H130">
        <v>10115</v>
      </c>
      <c r="I130">
        <v>-8038</v>
      </c>
      <c r="J130">
        <v>-3271</v>
      </c>
      <c r="K130">
        <v>0</v>
      </c>
    </row>
    <row r="131" spans="2:11" x14ac:dyDescent="0.25">
      <c r="B131">
        <v>-12457</v>
      </c>
      <c r="C131">
        <v>-12123</v>
      </c>
      <c r="D131">
        <v>-263</v>
      </c>
      <c r="E131">
        <v>10119</v>
      </c>
      <c r="F131">
        <v>4415</v>
      </c>
      <c r="G131">
        <v>654</v>
      </c>
      <c r="H131">
        <v>9693</v>
      </c>
      <c r="I131">
        <v>8841</v>
      </c>
      <c r="J131">
        <v>7793</v>
      </c>
      <c r="K131">
        <v>-7289</v>
      </c>
    </row>
    <row r="132" spans="2:11" x14ac:dyDescent="0.25">
      <c r="B132">
        <v>-11805</v>
      </c>
      <c r="C132">
        <v>14031</v>
      </c>
      <c r="D132">
        <v>12938</v>
      </c>
      <c r="E132">
        <v>-4978</v>
      </c>
      <c r="F132">
        <v>16387</v>
      </c>
      <c r="G132">
        <v>-38767</v>
      </c>
      <c r="H132">
        <v>-4666</v>
      </c>
      <c r="I132">
        <v>-18726</v>
      </c>
      <c r="J132">
        <v>-6295</v>
      </c>
      <c r="K132">
        <v>-7052</v>
      </c>
    </row>
    <row r="133" spans="2:11" x14ac:dyDescent="0.25">
      <c r="B133">
        <v>-7081</v>
      </c>
      <c r="C133">
        <v>5321</v>
      </c>
      <c r="D133">
        <v>-5314</v>
      </c>
      <c r="E133">
        <v>-15492</v>
      </c>
      <c r="F133">
        <v>-6737</v>
      </c>
      <c r="G133">
        <v>-5473</v>
      </c>
      <c r="H133">
        <v>-431</v>
      </c>
      <c r="I133">
        <v>15033</v>
      </c>
      <c r="J133">
        <v>-25618</v>
      </c>
      <c r="K133">
        <v>-34834</v>
      </c>
    </row>
    <row r="134" spans="2:11" x14ac:dyDescent="0.25">
      <c r="B134">
        <v>-2553</v>
      </c>
      <c r="C134">
        <v>31085</v>
      </c>
      <c r="D134">
        <v>32828</v>
      </c>
      <c r="E134">
        <v>1462</v>
      </c>
      <c r="F134">
        <v>-17919</v>
      </c>
      <c r="G134">
        <v>-6572</v>
      </c>
      <c r="H134">
        <v>10996</v>
      </c>
      <c r="I134">
        <v>4302</v>
      </c>
      <c r="J134">
        <v>0</v>
      </c>
      <c r="K134">
        <v>19882</v>
      </c>
    </row>
    <row r="135" spans="2:11" x14ac:dyDescent="0.25">
      <c r="B135">
        <v>20117</v>
      </c>
      <c r="C135">
        <v>77023</v>
      </c>
      <c r="D135">
        <v>-15578</v>
      </c>
      <c r="E135">
        <v>-6344</v>
      </c>
      <c r="F135">
        <v>74802</v>
      </c>
      <c r="G135">
        <v>-16767</v>
      </c>
      <c r="H135">
        <v>-9331</v>
      </c>
      <c r="I135">
        <v>-10931</v>
      </c>
      <c r="J135">
        <v>24280</v>
      </c>
      <c r="K135">
        <v>66434</v>
      </c>
    </row>
    <row r="136" spans="2:11" x14ac:dyDescent="0.25">
      <c r="B136">
        <v>-24514</v>
      </c>
      <c r="C136">
        <v>-14717</v>
      </c>
      <c r="D136">
        <v>7113</v>
      </c>
      <c r="E136">
        <v>-26256</v>
      </c>
      <c r="F136">
        <v>19908</v>
      </c>
      <c r="G136">
        <v>4087</v>
      </c>
      <c r="H136">
        <v>-771</v>
      </c>
      <c r="I136">
        <v>-11851</v>
      </c>
      <c r="J136">
        <v>14440</v>
      </c>
      <c r="K136">
        <v>12108</v>
      </c>
    </row>
    <row r="137" spans="2:11" x14ac:dyDescent="0.25">
      <c r="B137">
        <v>-14231</v>
      </c>
      <c r="C137">
        <v>12312</v>
      </c>
      <c r="D137">
        <v>22942</v>
      </c>
      <c r="E137">
        <v>18421</v>
      </c>
      <c r="F137">
        <v>9340</v>
      </c>
      <c r="G137">
        <v>-107</v>
      </c>
      <c r="H137">
        <v>-1137</v>
      </c>
      <c r="I137">
        <v>9356</v>
      </c>
      <c r="J137">
        <v>22349</v>
      </c>
      <c r="K137">
        <v>-5641</v>
      </c>
    </row>
    <row r="138" spans="2:11" x14ac:dyDescent="0.25">
      <c r="B138">
        <v>3630</v>
      </c>
      <c r="C138">
        <v>-88744</v>
      </c>
      <c r="D138">
        <v>69152</v>
      </c>
      <c r="E138">
        <v>13509</v>
      </c>
      <c r="F138">
        <v>57561</v>
      </c>
      <c r="G138">
        <v>50682</v>
      </c>
      <c r="H138">
        <v>-34967</v>
      </c>
      <c r="I138">
        <v>-14855</v>
      </c>
      <c r="J138">
        <v>0</v>
      </c>
      <c r="K138">
        <v>-62752</v>
      </c>
    </row>
    <row r="139" spans="2:11" x14ac:dyDescent="0.25">
      <c r="B139">
        <v>-63016</v>
      </c>
      <c r="C139">
        <v>-6584</v>
      </c>
      <c r="D139">
        <v>51867</v>
      </c>
      <c r="E139">
        <v>20574</v>
      </c>
      <c r="F139">
        <v>-1820</v>
      </c>
      <c r="G139">
        <v>54341</v>
      </c>
      <c r="H139">
        <v>38367</v>
      </c>
      <c r="I139">
        <v>41812</v>
      </c>
      <c r="J139">
        <v>-54471</v>
      </c>
      <c r="K139">
        <v>-66745</v>
      </c>
    </row>
    <row r="140" spans="2:11" x14ac:dyDescent="0.25">
      <c r="B140">
        <v>74444</v>
      </c>
      <c r="C140">
        <v>55527</v>
      </c>
      <c r="D140">
        <v>-24356</v>
      </c>
      <c r="E140">
        <v>84312</v>
      </c>
      <c r="F140">
        <v>30978</v>
      </c>
      <c r="G140">
        <v>-14017</v>
      </c>
      <c r="H140">
        <v>3165</v>
      </c>
      <c r="I140">
        <v>-40225</v>
      </c>
      <c r="J140">
        <v>-38671</v>
      </c>
      <c r="K140">
        <v>-34558</v>
      </c>
    </row>
    <row r="141" spans="2:11" x14ac:dyDescent="0.25">
      <c r="B141">
        <v>44575</v>
      </c>
      <c r="C141">
        <v>-34931</v>
      </c>
      <c r="D141">
        <v>-71328</v>
      </c>
      <c r="E141">
        <v>-48401</v>
      </c>
      <c r="F141">
        <v>-29021</v>
      </c>
      <c r="G141">
        <v>1616</v>
      </c>
      <c r="H141">
        <v>3215</v>
      </c>
      <c r="I141">
        <v>-22007</v>
      </c>
      <c r="J141">
        <v>-69680</v>
      </c>
      <c r="K141">
        <v>19208</v>
      </c>
    </row>
    <row r="142" spans="2:11" x14ac:dyDescent="0.25">
      <c r="B14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39"/>
  <sheetViews>
    <sheetView workbookViewId="0">
      <selection activeCell="A8" sqref="A8:K39"/>
    </sheetView>
  </sheetViews>
  <sheetFormatPr defaultRowHeight="15" x14ac:dyDescent="0.25"/>
  <sheetData>
    <row r="1" spans="1:10" x14ac:dyDescent="0.25">
      <c r="A1" s="36" t="s">
        <v>222</v>
      </c>
      <c r="H1" t="s">
        <v>223</v>
      </c>
    </row>
    <row r="2" spans="1:10" x14ac:dyDescent="0.25">
      <c r="A2">
        <v>1</v>
      </c>
      <c r="B2" t="s">
        <v>224</v>
      </c>
    </row>
    <row r="3" spans="1:10" x14ac:dyDescent="0.25">
      <c r="A3">
        <v>2</v>
      </c>
      <c r="B3" t="s">
        <v>225</v>
      </c>
    </row>
    <row r="4" spans="1:10" x14ac:dyDescent="0.25">
      <c r="A4">
        <v>3</v>
      </c>
      <c r="B4" t="s">
        <v>226</v>
      </c>
    </row>
    <row r="5" spans="1:10" x14ac:dyDescent="0.25">
      <c r="A5">
        <v>4</v>
      </c>
      <c r="B5" t="s">
        <v>227</v>
      </c>
    </row>
    <row r="8" spans="1:10" x14ac:dyDescent="0.25">
      <c r="A8" t="s">
        <v>197</v>
      </c>
      <c r="B8" t="s">
        <v>229</v>
      </c>
      <c r="C8" t="s">
        <v>230</v>
      </c>
      <c r="D8" t="s">
        <v>231</v>
      </c>
    </row>
    <row r="9" spans="1:10" x14ac:dyDescent="0.25">
      <c r="A9" t="s">
        <v>232</v>
      </c>
      <c r="B9" t="s">
        <v>233</v>
      </c>
      <c r="C9" t="s">
        <v>234</v>
      </c>
      <c r="D9" t="s">
        <v>235</v>
      </c>
      <c r="E9">
        <v>4</v>
      </c>
      <c r="F9" s="50">
        <v>0.64333333333333331</v>
      </c>
      <c r="G9" t="s">
        <v>236</v>
      </c>
      <c r="H9">
        <v>2</v>
      </c>
      <c r="I9" t="s">
        <v>237</v>
      </c>
      <c r="J9">
        <v>12</v>
      </c>
    </row>
    <row r="10" spans="1:10" x14ac:dyDescent="0.25">
      <c r="A10" t="s">
        <v>238</v>
      </c>
    </row>
    <row r="11" spans="1:10" x14ac:dyDescent="0.25">
      <c r="B11">
        <v>2</v>
      </c>
      <c r="C11" t="s">
        <v>65</v>
      </c>
      <c r="D11" t="s">
        <v>64</v>
      </c>
      <c r="E11">
        <v>3.3415951052600001</v>
      </c>
      <c r="F11">
        <v>0.22343438113899999</v>
      </c>
    </row>
    <row r="12" spans="1:10" x14ac:dyDescent="0.25">
      <c r="B12">
        <v>30</v>
      </c>
      <c r="C12" t="s">
        <v>76</v>
      </c>
      <c r="D12" t="s">
        <v>64</v>
      </c>
      <c r="E12">
        <v>-2.1800862739200002</v>
      </c>
      <c r="F12">
        <v>0.32329437533499999</v>
      </c>
    </row>
    <row r="13" spans="1:10" x14ac:dyDescent="0.25">
      <c r="B13">
        <v>31</v>
      </c>
      <c r="C13" t="s">
        <v>134</v>
      </c>
      <c r="D13" t="s">
        <v>64</v>
      </c>
      <c r="E13">
        <v>1.16680397388</v>
      </c>
      <c r="F13">
        <v>0.13072230012700001</v>
      </c>
    </row>
    <row r="14" spans="1:10" x14ac:dyDescent="0.25">
      <c r="B14">
        <v>32</v>
      </c>
      <c r="C14" t="s">
        <v>135</v>
      </c>
      <c r="D14" t="s">
        <v>64</v>
      </c>
      <c r="E14">
        <v>0.48228420681</v>
      </c>
      <c r="F14" s="35">
        <v>5.4196193062799998E-2</v>
      </c>
    </row>
    <row r="15" spans="1:10" x14ac:dyDescent="0.25">
      <c r="B15">
        <v>33</v>
      </c>
      <c r="C15" t="s">
        <v>136</v>
      </c>
      <c r="D15" t="s">
        <v>64</v>
      </c>
      <c r="E15" s="35">
        <v>7.7733428152199996E-2</v>
      </c>
      <c r="F15">
        <v>0.13612899413400001</v>
      </c>
    </row>
    <row r="16" spans="1:10" x14ac:dyDescent="0.25">
      <c r="B16">
        <v>40</v>
      </c>
      <c r="C16" t="s">
        <v>79</v>
      </c>
      <c r="D16" t="s">
        <v>64</v>
      </c>
      <c r="E16">
        <v>-1.3015858506</v>
      </c>
      <c r="F16">
        <v>0.32447347426299999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-3.2567490020500002E-2</v>
      </c>
      <c r="F18">
        <v>0.1359893774</v>
      </c>
    </row>
    <row r="19" spans="2:11" x14ac:dyDescent="0.25">
      <c r="B19">
        <v>50</v>
      </c>
      <c r="C19" t="s">
        <v>138</v>
      </c>
      <c r="D19" t="s">
        <v>73</v>
      </c>
      <c r="E19">
        <v>-10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-2.3805019629599999</v>
      </c>
      <c r="F21">
        <v>0.708459334484</v>
      </c>
    </row>
    <row r="22" spans="2:11" x14ac:dyDescent="0.25">
      <c r="B22">
        <v>76</v>
      </c>
      <c r="C22" t="s">
        <v>140</v>
      </c>
      <c r="D22" t="s">
        <v>64</v>
      </c>
      <c r="E22" s="35">
        <v>1.5103600785499999E-3</v>
      </c>
      <c r="F22" s="35">
        <v>9.8383331317499993E-3</v>
      </c>
    </row>
    <row r="23" spans="2:11" x14ac:dyDescent="0.25">
      <c r="B23">
        <v>81</v>
      </c>
      <c r="C23" t="s">
        <v>141</v>
      </c>
      <c r="D23" t="s">
        <v>64</v>
      </c>
      <c r="E23">
        <v>0.91500335831599999</v>
      </c>
      <c r="F23">
        <v>0.28405022242</v>
      </c>
    </row>
    <row r="24" spans="2:11" x14ac:dyDescent="0.25">
      <c r="B24">
        <v>82</v>
      </c>
      <c r="C24" t="s">
        <v>142</v>
      </c>
      <c r="D24" t="s">
        <v>64</v>
      </c>
      <c r="E24" s="35">
        <v>-2.7232831171200001E-2</v>
      </c>
      <c r="F24">
        <v>0.140527941382</v>
      </c>
    </row>
    <row r="25" spans="2:11" x14ac:dyDescent="0.25">
      <c r="B25">
        <v>83</v>
      </c>
      <c r="C25" t="s">
        <v>143</v>
      </c>
      <c r="D25" t="s">
        <v>64</v>
      </c>
      <c r="E25">
        <v>-1.41548419308</v>
      </c>
      <c r="F25">
        <v>0.54312156062000005</v>
      </c>
    </row>
    <row r="26" spans="2:11" x14ac:dyDescent="0.25">
      <c r="B26">
        <v>-1</v>
      </c>
    </row>
    <row r="27" spans="2:11" x14ac:dyDescent="0.25">
      <c r="B27">
        <v>1432</v>
      </c>
      <c r="C27" s="35">
        <v>-1248.0425607699999</v>
      </c>
      <c r="D27" s="35">
        <v>-2225.6358047399999</v>
      </c>
      <c r="E27" s="35">
        <v>-1113.99388909</v>
      </c>
    </row>
    <row r="28" spans="2:11" x14ac:dyDescent="0.25">
      <c r="B28">
        <v>8</v>
      </c>
      <c r="C28" t="s">
        <v>242</v>
      </c>
      <c r="D28" t="s">
        <v>236</v>
      </c>
      <c r="E28">
        <v>2</v>
      </c>
      <c r="F28" t="s">
        <v>237</v>
      </c>
      <c r="G28">
        <v>12</v>
      </c>
    </row>
    <row r="29" spans="2:11" x14ac:dyDescent="0.25">
      <c r="B29">
        <v>13152</v>
      </c>
      <c r="C29">
        <v>1048</v>
      </c>
      <c r="D29">
        <v>-4458</v>
      </c>
      <c r="E29">
        <v>4709</v>
      </c>
      <c r="F29">
        <v>-6639</v>
      </c>
      <c r="G29">
        <v>-3707</v>
      </c>
      <c r="H29">
        <v>1760</v>
      </c>
      <c r="I29">
        <v>-6584</v>
      </c>
      <c r="J29">
        <v>13307</v>
      </c>
      <c r="K29">
        <v>-2743</v>
      </c>
    </row>
    <row r="30" spans="2:11" x14ac:dyDescent="0.25">
      <c r="B30">
        <v>14855</v>
      </c>
      <c r="C30">
        <v>95729</v>
      </c>
      <c r="D30">
        <v>4263</v>
      </c>
      <c r="E30">
        <v>10498</v>
      </c>
      <c r="F30">
        <v>-1616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2:11" x14ac:dyDescent="0.25">
      <c r="B31">
        <v>0</v>
      </c>
      <c r="C31">
        <v>1334</v>
      </c>
      <c r="D31">
        <v>-594</v>
      </c>
      <c r="E31">
        <v>-428</v>
      </c>
      <c r="F31">
        <v>-8083</v>
      </c>
      <c r="G31">
        <v>35744</v>
      </c>
      <c r="H31">
        <v>-11111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10476</v>
      </c>
      <c r="H33">
        <v>23391</v>
      </c>
      <c r="I33">
        <v>731</v>
      </c>
      <c r="J33">
        <v>2316</v>
      </c>
      <c r="K33">
        <v>-668</v>
      </c>
    </row>
    <row r="34" spans="2:11" x14ac:dyDescent="0.25">
      <c r="B34">
        <v>24118</v>
      </c>
      <c r="C34">
        <v>0</v>
      </c>
      <c r="D34">
        <v>-2217</v>
      </c>
      <c r="E34">
        <v>0</v>
      </c>
      <c r="F34">
        <v>0</v>
      </c>
      <c r="G34">
        <v>28220</v>
      </c>
      <c r="H34">
        <v>52674</v>
      </c>
      <c r="I34">
        <v>-23</v>
      </c>
      <c r="J34">
        <v>314</v>
      </c>
      <c r="K34">
        <v>503</v>
      </c>
    </row>
    <row r="35" spans="2:11" x14ac:dyDescent="0.25">
      <c r="B35">
        <v>52615</v>
      </c>
      <c r="C35">
        <v>0</v>
      </c>
      <c r="D35">
        <v>2357</v>
      </c>
      <c r="E35">
        <v>0</v>
      </c>
      <c r="F35">
        <v>0</v>
      </c>
      <c r="G35">
        <v>-8776</v>
      </c>
      <c r="H35">
        <v>17406</v>
      </c>
      <c r="I35">
        <v>22412</v>
      </c>
      <c r="J35">
        <v>34636</v>
      </c>
      <c r="K35">
        <v>-42</v>
      </c>
    </row>
    <row r="36" spans="2:11" x14ac:dyDescent="0.25">
      <c r="B36">
        <v>2587</v>
      </c>
      <c r="C36">
        <v>24724</v>
      </c>
      <c r="D36">
        <v>0</v>
      </c>
      <c r="E36">
        <v>-614</v>
      </c>
      <c r="F36">
        <v>0</v>
      </c>
      <c r="G36">
        <v>0</v>
      </c>
      <c r="H36">
        <v>17241</v>
      </c>
      <c r="I36">
        <v>-14877</v>
      </c>
      <c r="J36">
        <v>18352</v>
      </c>
      <c r="K36">
        <v>41749</v>
      </c>
    </row>
    <row r="37" spans="2:11" x14ac:dyDescent="0.25">
      <c r="B37">
        <v>-696</v>
      </c>
      <c r="C37">
        <v>27795</v>
      </c>
      <c r="D37">
        <v>-3478</v>
      </c>
      <c r="E37">
        <v>46031</v>
      </c>
      <c r="F37">
        <v>0</v>
      </c>
      <c r="G37">
        <v>-5552</v>
      </c>
      <c r="H37">
        <v>0</v>
      </c>
      <c r="I37">
        <v>0</v>
      </c>
      <c r="J37">
        <v>24109</v>
      </c>
      <c r="K37">
        <v>-13978</v>
      </c>
    </row>
    <row r="38" spans="2:11" x14ac:dyDescent="0.25">
      <c r="B38">
        <v>3611</v>
      </c>
      <c r="C38">
        <v>11065</v>
      </c>
      <c r="D38">
        <v>19010</v>
      </c>
      <c r="E38">
        <v>1713</v>
      </c>
      <c r="F38">
        <v>-1438</v>
      </c>
      <c r="G38">
        <v>14571</v>
      </c>
      <c r="H38">
        <v>19035</v>
      </c>
      <c r="I38">
        <v>0</v>
      </c>
      <c r="J38">
        <v>9437</v>
      </c>
      <c r="K38">
        <v>0</v>
      </c>
    </row>
    <row r="39" spans="2:11" x14ac:dyDescent="0.25">
      <c r="B39">
        <v>0</v>
      </c>
      <c r="C39">
        <v>6240</v>
      </c>
      <c r="D39">
        <v>5269</v>
      </c>
      <c r="E39">
        <v>15768</v>
      </c>
      <c r="F39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57"/>
  <sheetViews>
    <sheetView workbookViewId="0">
      <selection activeCell="A8" sqref="A8:K157"/>
    </sheetView>
  </sheetViews>
  <sheetFormatPr defaultRowHeight="15" x14ac:dyDescent="0.25"/>
  <sheetData>
    <row r="1" spans="1:10" x14ac:dyDescent="0.25">
      <c r="A1" s="36" t="s">
        <v>222</v>
      </c>
      <c r="H1" t="s">
        <v>223</v>
      </c>
    </row>
    <row r="2" spans="1:10" x14ac:dyDescent="0.25">
      <c r="A2">
        <v>1</v>
      </c>
      <c r="B2" t="s">
        <v>224</v>
      </c>
    </row>
    <row r="3" spans="1:10" x14ac:dyDescent="0.25">
      <c r="A3">
        <v>2</v>
      </c>
      <c r="B3" t="s">
        <v>225</v>
      </c>
    </row>
    <row r="4" spans="1:10" x14ac:dyDescent="0.25">
      <c r="A4">
        <v>3</v>
      </c>
      <c r="B4" t="s">
        <v>226</v>
      </c>
    </row>
    <row r="5" spans="1:10" x14ac:dyDescent="0.25">
      <c r="A5">
        <v>4</v>
      </c>
      <c r="B5" t="s">
        <v>227</v>
      </c>
    </row>
    <row r="8" spans="1:10" x14ac:dyDescent="0.25">
      <c r="A8" t="s">
        <v>198</v>
      </c>
      <c r="B8" t="s">
        <v>243</v>
      </c>
      <c r="C8" t="s">
        <v>229</v>
      </c>
      <c r="D8" t="s">
        <v>230</v>
      </c>
      <c r="E8" t="s">
        <v>231</v>
      </c>
    </row>
    <row r="9" spans="1:10" x14ac:dyDescent="0.25">
      <c r="A9" t="s">
        <v>232</v>
      </c>
      <c r="B9" t="s">
        <v>233</v>
      </c>
      <c r="C9" t="s">
        <v>234</v>
      </c>
      <c r="D9" t="s">
        <v>235</v>
      </c>
      <c r="E9">
        <v>4</v>
      </c>
      <c r="F9" s="50">
        <v>0.64185185185185178</v>
      </c>
      <c r="G9" t="s">
        <v>236</v>
      </c>
      <c r="H9">
        <v>2</v>
      </c>
      <c r="I9" t="s">
        <v>237</v>
      </c>
      <c r="J9">
        <v>12</v>
      </c>
    </row>
    <row r="10" spans="1:10" x14ac:dyDescent="0.25">
      <c r="A10" t="s">
        <v>238</v>
      </c>
    </row>
    <row r="11" spans="1:10" x14ac:dyDescent="0.25">
      <c r="B11">
        <v>1</v>
      </c>
      <c r="C11" t="s">
        <v>63</v>
      </c>
      <c r="D11" t="s">
        <v>64</v>
      </c>
      <c r="E11">
        <v>0.37910550304899998</v>
      </c>
      <c r="F11">
        <v>0.14586337807800001</v>
      </c>
    </row>
    <row r="12" spans="1:10" x14ac:dyDescent="0.25">
      <c r="B12">
        <v>2</v>
      </c>
      <c r="C12" t="s">
        <v>65</v>
      </c>
      <c r="D12" t="s">
        <v>64</v>
      </c>
      <c r="E12">
        <v>2.0186908853599999</v>
      </c>
      <c r="F12">
        <v>0.25947241480900002</v>
      </c>
    </row>
    <row r="13" spans="1:10" x14ac:dyDescent="0.25">
      <c r="B13">
        <v>20</v>
      </c>
      <c r="C13" t="s">
        <v>69</v>
      </c>
      <c r="D13" t="s">
        <v>64</v>
      </c>
      <c r="E13">
        <v>-4.4200798368200003</v>
      </c>
      <c r="F13">
        <v>2.3199099733800002</v>
      </c>
    </row>
    <row r="14" spans="1:10" x14ac:dyDescent="0.25">
      <c r="B14">
        <v>21</v>
      </c>
      <c r="C14" t="s">
        <v>70</v>
      </c>
      <c r="D14" t="s">
        <v>64</v>
      </c>
      <c r="E14">
        <v>4.94579205397</v>
      </c>
      <c r="F14">
        <v>0.99672089548599996</v>
      </c>
    </row>
    <row r="15" spans="1:10" x14ac:dyDescent="0.25">
      <c r="B15">
        <v>30</v>
      </c>
      <c r="C15" t="s">
        <v>76</v>
      </c>
      <c r="D15" t="s">
        <v>64</v>
      </c>
      <c r="E15">
        <v>-0.81129976642199997</v>
      </c>
      <c r="F15">
        <v>0.33073517767799998</v>
      </c>
    </row>
    <row r="16" spans="1:10" x14ac:dyDescent="0.25">
      <c r="B16">
        <v>31</v>
      </c>
      <c r="C16" t="s">
        <v>154</v>
      </c>
      <c r="D16" t="s">
        <v>64</v>
      </c>
      <c r="E16">
        <v>0.59818794862500002</v>
      </c>
      <c r="F16">
        <v>0.16182192580400001</v>
      </c>
    </row>
    <row r="17" spans="2:6" x14ac:dyDescent="0.25">
      <c r="B17">
        <v>32</v>
      </c>
      <c r="C17" t="s">
        <v>155</v>
      </c>
      <c r="D17" t="s">
        <v>64</v>
      </c>
      <c r="E17">
        <v>0.126346118476</v>
      </c>
      <c r="F17" s="35">
        <v>7.1731719486199996E-2</v>
      </c>
    </row>
    <row r="18" spans="2:6" x14ac:dyDescent="0.25">
      <c r="B18">
        <v>34</v>
      </c>
      <c r="C18" t="s">
        <v>172</v>
      </c>
      <c r="D18" t="s">
        <v>64</v>
      </c>
      <c r="E18">
        <v>0.182457426512</v>
      </c>
      <c r="F18" s="35">
        <v>5.8594754054199998E-2</v>
      </c>
    </row>
    <row r="19" spans="2:6" x14ac:dyDescent="0.25">
      <c r="B19">
        <v>35</v>
      </c>
      <c r="C19" t="s">
        <v>156</v>
      </c>
      <c r="D19" t="s">
        <v>64</v>
      </c>
      <c r="E19">
        <v>0.22510711488400001</v>
      </c>
      <c r="F19" s="35">
        <v>5.7311163222100003E-2</v>
      </c>
    </row>
    <row r="20" spans="2:6" x14ac:dyDescent="0.25">
      <c r="B20">
        <v>38</v>
      </c>
      <c r="C20" t="s">
        <v>157</v>
      </c>
      <c r="D20" t="s">
        <v>64</v>
      </c>
      <c r="E20">
        <v>-3.6449456511</v>
      </c>
      <c r="F20">
        <v>0.41061315395100001</v>
      </c>
    </row>
    <row r="21" spans="2:6" x14ac:dyDescent="0.25">
      <c r="B21">
        <v>39</v>
      </c>
      <c r="C21" t="s">
        <v>77</v>
      </c>
      <c r="D21" t="s">
        <v>64</v>
      </c>
      <c r="E21">
        <v>-2.0456438236599999</v>
      </c>
      <c r="F21">
        <v>0.122429708323</v>
      </c>
    </row>
    <row r="22" spans="2:6" x14ac:dyDescent="0.25">
      <c r="B22">
        <v>40</v>
      </c>
      <c r="C22" t="s">
        <v>79</v>
      </c>
      <c r="D22" t="s">
        <v>64</v>
      </c>
      <c r="E22">
        <v>-0.72293440404700005</v>
      </c>
      <c r="F22">
        <v>0.32699209541099999</v>
      </c>
    </row>
    <row r="23" spans="2:6" x14ac:dyDescent="0.25">
      <c r="B23">
        <v>41</v>
      </c>
      <c r="C23" t="s">
        <v>80</v>
      </c>
      <c r="D23" t="s">
        <v>64</v>
      </c>
      <c r="E23">
        <v>-0.92857142151799998</v>
      </c>
      <c r="F23">
        <v>0.50014056593400003</v>
      </c>
    </row>
    <row r="24" spans="2:6" x14ac:dyDescent="0.25">
      <c r="B24">
        <v>43</v>
      </c>
      <c r="C24" t="s">
        <v>173</v>
      </c>
      <c r="D24" t="s">
        <v>64</v>
      </c>
      <c r="E24">
        <v>-0.115623185214</v>
      </c>
      <c r="F24">
        <v>0.29092691895099998</v>
      </c>
    </row>
    <row r="25" spans="2:6" x14ac:dyDescent="0.25">
      <c r="B25">
        <v>48</v>
      </c>
      <c r="C25" t="s">
        <v>78</v>
      </c>
      <c r="D25" t="s">
        <v>64</v>
      </c>
      <c r="E25">
        <v>-2.1236838848900002</v>
      </c>
      <c r="F25">
        <v>0.32531008014200002</v>
      </c>
    </row>
    <row r="26" spans="2:6" x14ac:dyDescent="0.25">
      <c r="B26">
        <v>50</v>
      </c>
      <c r="C26" t="s">
        <v>84</v>
      </c>
      <c r="D26" t="s">
        <v>64</v>
      </c>
      <c r="E26">
        <v>1.21463609016</v>
      </c>
      <c r="F26">
        <v>0.36199505670299997</v>
      </c>
    </row>
    <row r="27" spans="2:6" x14ac:dyDescent="0.25">
      <c r="B27">
        <v>52</v>
      </c>
      <c r="C27" t="s">
        <v>85</v>
      </c>
      <c r="D27" t="s">
        <v>64</v>
      </c>
      <c r="E27">
        <v>-0.87685347122000001</v>
      </c>
      <c r="F27">
        <v>0.165840918438</v>
      </c>
    </row>
    <row r="28" spans="2:6" x14ac:dyDescent="0.25">
      <c r="B28">
        <v>54</v>
      </c>
      <c r="C28" t="s">
        <v>174</v>
      </c>
      <c r="D28" t="s">
        <v>64</v>
      </c>
      <c r="E28">
        <v>0.114530953724</v>
      </c>
      <c r="F28">
        <v>0.12232032643100001</v>
      </c>
    </row>
    <row r="29" spans="2:6" x14ac:dyDescent="0.25">
      <c r="B29">
        <v>60</v>
      </c>
      <c r="C29" t="s">
        <v>89</v>
      </c>
      <c r="D29" t="s">
        <v>64</v>
      </c>
      <c r="E29">
        <v>-6.5774811724299997</v>
      </c>
      <c r="F29">
        <v>1.0378993004199999</v>
      </c>
    </row>
    <row r="30" spans="2:6" x14ac:dyDescent="0.25">
      <c r="B30">
        <v>61</v>
      </c>
      <c r="C30" t="s">
        <v>90</v>
      </c>
      <c r="D30" t="s">
        <v>64</v>
      </c>
      <c r="E30">
        <v>1.0360071208699999</v>
      </c>
      <c r="F30">
        <v>0.33301826455599998</v>
      </c>
    </row>
    <row r="31" spans="2:6" x14ac:dyDescent="0.25">
      <c r="B31">
        <v>63</v>
      </c>
      <c r="C31" t="s">
        <v>159</v>
      </c>
      <c r="D31" t="s">
        <v>64</v>
      </c>
      <c r="E31">
        <v>-0.76682515659200001</v>
      </c>
      <c r="F31">
        <v>0.345921514421</v>
      </c>
    </row>
    <row r="32" spans="2:6" x14ac:dyDescent="0.25">
      <c r="B32">
        <v>73</v>
      </c>
      <c r="C32" t="s">
        <v>139</v>
      </c>
      <c r="D32" t="s">
        <v>64</v>
      </c>
      <c r="E32">
        <v>-0.36705005247900002</v>
      </c>
      <c r="F32">
        <v>0.22891430558699999</v>
      </c>
    </row>
    <row r="33" spans="2:6" x14ac:dyDescent="0.25">
      <c r="B33">
        <v>120</v>
      </c>
      <c r="C33" t="s">
        <v>175</v>
      </c>
      <c r="D33" t="s">
        <v>64</v>
      </c>
      <c r="E33">
        <v>-1.37393186115</v>
      </c>
      <c r="F33">
        <v>0.79220470051500003</v>
      </c>
    </row>
    <row r="34" spans="2:6" x14ac:dyDescent="0.25">
      <c r="B34">
        <v>124</v>
      </c>
      <c r="C34" t="s">
        <v>161</v>
      </c>
      <c r="D34" t="s">
        <v>64</v>
      </c>
      <c r="E34">
        <v>1.98544962266</v>
      </c>
      <c r="F34">
        <v>2.4757118275000001</v>
      </c>
    </row>
    <row r="35" spans="2:6" x14ac:dyDescent="0.25">
      <c r="B35">
        <v>128</v>
      </c>
      <c r="C35" t="s">
        <v>163</v>
      </c>
      <c r="D35" t="s">
        <v>64</v>
      </c>
      <c r="E35" s="35">
        <v>1.56308175885E-4</v>
      </c>
      <c r="F35" s="35">
        <v>6.2549645193600003E-5</v>
      </c>
    </row>
    <row r="36" spans="2:6" x14ac:dyDescent="0.25">
      <c r="B36">
        <v>131</v>
      </c>
      <c r="C36" t="s">
        <v>95</v>
      </c>
      <c r="D36" t="s">
        <v>64</v>
      </c>
      <c r="E36">
        <v>-0.48853505686199999</v>
      </c>
      <c r="F36">
        <v>0.56882730335999998</v>
      </c>
    </row>
    <row r="37" spans="2:6" x14ac:dyDescent="0.25">
      <c r="B37">
        <v>132</v>
      </c>
      <c r="C37" t="s">
        <v>96</v>
      </c>
      <c r="D37" t="s">
        <v>64</v>
      </c>
      <c r="E37">
        <v>0.231801803532</v>
      </c>
      <c r="F37">
        <v>0.12787986894299999</v>
      </c>
    </row>
    <row r="38" spans="2:6" x14ac:dyDescent="0.25">
      <c r="B38">
        <v>133</v>
      </c>
      <c r="C38" t="s">
        <v>97</v>
      </c>
      <c r="D38" t="s">
        <v>64</v>
      </c>
      <c r="E38">
        <v>-0.448982673572</v>
      </c>
      <c r="F38">
        <v>0.560850339142</v>
      </c>
    </row>
    <row r="39" spans="2:6" x14ac:dyDescent="0.25">
      <c r="B39">
        <v>134</v>
      </c>
      <c r="C39" t="s">
        <v>98</v>
      </c>
      <c r="D39" t="s">
        <v>64</v>
      </c>
      <c r="E39">
        <v>0.337153571657</v>
      </c>
      <c r="F39">
        <v>0.13054211085199999</v>
      </c>
    </row>
    <row r="40" spans="2:6" x14ac:dyDescent="0.25">
      <c r="B40">
        <v>136</v>
      </c>
      <c r="C40" t="s">
        <v>176</v>
      </c>
      <c r="D40" t="s">
        <v>64</v>
      </c>
      <c r="E40" s="35">
        <v>7.2810588779500002E-2</v>
      </c>
      <c r="F40">
        <v>0.11447271909200001</v>
      </c>
    </row>
    <row r="41" spans="2:6" x14ac:dyDescent="0.25">
      <c r="B41">
        <v>137</v>
      </c>
      <c r="C41" t="s">
        <v>177</v>
      </c>
      <c r="D41" t="s">
        <v>64</v>
      </c>
      <c r="E41">
        <v>2.1739211388099999</v>
      </c>
      <c r="F41">
        <v>0.30660642719699999</v>
      </c>
    </row>
    <row r="42" spans="2:6" x14ac:dyDescent="0.25">
      <c r="B42">
        <v>138</v>
      </c>
      <c r="C42" t="s">
        <v>178</v>
      </c>
      <c r="D42" t="s">
        <v>64</v>
      </c>
      <c r="E42">
        <v>0.54895052211899997</v>
      </c>
      <c r="F42">
        <v>0.13624482936599999</v>
      </c>
    </row>
    <row r="43" spans="2:6" x14ac:dyDescent="0.25">
      <c r="B43">
        <v>160</v>
      </c>
      <c r="C43" t="s">
        <v>179</v>
      </c>
      <c r="D43" t="s">
        <v>64</v>
      </c>
      <c r="E43">
        <v>0.97577037596600003</v>
      </c>
      <c r="F43">
        <v>0.375071254942</v>
      </c>
    </row>
    <row r="44" spans="2:6" x14ac:dyDescent="0.25">
      <c r="B44">
        <v>161</v>
      </c>
      <c r="C44" t="s">
        <v>99</v>
      </c>
      <c r="D44" t="s">
        <v>64</v>
      </c>
      <c r="E44">
        <v>0.73068915349300001</v>
      </c>
      <c r="F44">
        <v>0.39642637774299999</v>
      </c>
    </row>
    <row r="45" spans="2:6" x14ac:dyDescent="0.25">
      <c r="B45">
        <v>162</v>
      </c>
      <c r="C45" t="s">
        <v>100</v>
      </c>
      <c r="D45" t="s">
        <v>64</v>
      </c>
      <c r="E45">
        <v>0.91913294534199996</v>
      </c>
      <c r="F45">
        <v>0.38497372957999998</v>
      </c>
    </row>
    <row r="46" spans="2:6" x14ac:dyDescent="0.25">
      <c r="B46">
        <v>163</v>
      </c>
      <c r="C46" t="s">
        <v>101</v>
      </c>
      <c r="D46" t="s">
        <v>64</v>
      </c>
      <c r="E46">
        <v>-0.88337105065300003</v>
      </c>
      <c r="F46">
        <v>0.40879177547399997</v>
      </c>
    </row>
    <row r="47" spans="2:6" x14ac:dyDescent="0.25">
      <c r="B47">
        <v>164</v>
      </c>
      <c r="C47" t="s">
        <v>102</v>
      </c>
      <c r="D47" t="s">
        <v>64</v>
      </c>
      <c r="E47">
        <v>2.8689614342600001</v>
      </c>
      <c r="F47">
        <v>0.84295967396799998</v>
      </c>
    </row>
    <row r="48" spans="2:6" x14ac:dyDescent="0.25">
      <c r="B48">
        <v>165</v>
      </c>
      <c r="C48" t="s">
        <v>180</v>
      </c>
      <c r="D48" t="s">
        <v>64</v>
      </c>
      <c r="E48" s="35">
        <v>8.0969107286800002E-4</v>
      </c>
      <c r="F48" s="35">
        <v>3.1495493484299999E-4</v>
      </c>
    </row>
    <row r="49" spans="2:11" x14ac:dyDescent="0.25">
      <c r="B49">
        <v>168</v>
      </c>
      <c r="C49" t="s">
        <v>103</v>
      </c>
      <c r="D49" t="s">
        <v>64</v>
      </c>
      <c r="E49" s="35">
        <v>5.6436182079000003E-5</v>
      </c>
      <c r="F49" s="35">
        <v>4.5246343712499997E-5</v>
      </c>
    </row>
    <row r="50" spans="2:11" x14ac:dyDescent="0.25">
      <c r="B50">
        <v>169</v>
      </c>
      <c r="C50" t="s">
        <v>104</v>
      </c>
      <c r="D50" t="s">
        <v>64</v>
      </c>
      <c r="E50">
        <v>1.04301037572</v>
      </c>
      <c r="F50">
        <v>0.86021128493200005</v>
      </c>
    </row>
    <row r="51" spans="2:11" x14ac:dyDescent="0.25">
      <c r="B51">
        <v>171</v>
      </c>
      <c r="C51" t="s">
        <v>181</v>
      </c>
      <c r="D51" t="s">
        <v>64</v>
      </c>
      <c r="E51">
        <v>1.2382774015</v>
      </c>
      <c r="F51">
        <v>0.38281413585700003</v>
      </c>
    </row>
    <row r="52" spans="2:11" x14ac:dyDescent="0.25">
      <c r="B52">
        <v>172</v>
      </c>
      <c r="C52" t="s">
        <v>182</v>
      </c>
      <c r="D52" t="s">
        <v>64</v>
      </c>
      <c r="E52">
        <v>1.3528226166499999</v>
      </c>
      <c r="F52">
        <v>0.28922794948000002</v>
      </c>
    </row>
    <row r="53" spans="2:11" x14ac:dyDescent="0.25">
      <c r="B53">
        <v>175</v>
      </c>
      <c r="C53" t="s">
        <v>183</v>
      </c>
      <c r="D53" t="s">
        <v>64</v>
      </c>
      <c r="E53" s="35">
        <v>8.3440753078999996E-4</v>
      </c>
      <c r="F53" s="35">
        <v>3.1978508961200001E-4</v>
      </c>
    </row>
    <row r="54" spans="2:11" x14ac:dyDescent="0.25">
      <c r="B54">
        <v>178</v>
      </c>
      <c r="C54" t="s">
        <v>184</v>
      </c>
      <c r="D54" t="s">
        <v>64</v>
      </c>
      <c r="E54" s="35">
        <v>1.08742831019E-5</v>
      </c>
      <c r="F54" s="35">
        <v>3.2455049339899999E-4</v>
      </c>
    </row>
    <row r="55" spans="2:11" x14ac:dyDescent="0.25">
      <c r="B55">
        <v>99</v>
      </c>
      <c r="C55" t="s">
        <v>106</v>
      </c>
      <c r="D55" t="s">
        <v>64</v>
      </c>
      <c r="E55">
        <v>0.78390199493699997</v>
      </c>
      <c r="F55" s="35">
        <v>9.5971367561399998E-2</v>
      </c>
    </row>
    <row r="56" spans="2:11" x14ac:dyDescent="0.25">
      <c r="B56">
        <v>-1</v>
      </c>
    </row>
    <row r="57" spans="2:11" x14ac:dyDescent="0.25">
      <c r="B57">
        <v>4501</v>
      </c>
      <c r="C57" s="35">
        <v>-5205.9885667899998</v>
      </c>
      <c r="D57" s="35">
        <v>-7395.8115827700003</v>
      </c>
      <c r="E57" s="35">
        <v>-4113.5639558900002</v>
      </c>
    </row>
    <row r="58" spans="2:11" x14ac:dyDescent="0.25">
      <c r="B58">
        <v>14</v>
      </c>
      <c r="C58" t="s">
        <v>244</v>
      </c>
      <c r="D58" t="s">
        <v>236</v>
      </c>
      <c r="E58">
        <v>2</v>
      </c>
      <c r="F58" t="s">
        <v>237</v>
      </c>
      <c r="G58">
        <v>12</v>
      </c>
    </row>
    <row r="59" spans="2:11" x14ac:dyDescent="0.25">
      <c r="B59">
        <v>24458</v>
      </c>
      <c r="C59">
        <v>-9643</v>
      </c>
      <c r="D59">
        <v>-17666</v>
      </c>
      <c r="E59">
        <v>18936</v>
      </c>
      <c r="F59">
        <v>48701</v>
      </c>
      <c r="G59">
        <v>-29728</v>
      </c>
      <c r="H59">
        <v>-8518</v>
      </c>
      <c r="I59">
        <v>-35596</v>
      </c>
      <c r="J59">
        <v>7548</v>
      </c>
      <c r="K59">
        <v>-4608</v>
      </c>
    </row>
    <row r="60" spans="2:11" x14ac:dyDescent="0.25">
      <c r="B60">
        <v>19235</v>
      </c>
      <c r="C60">
        <v>44170</v>
      </c>
      <c r="D60">
        <v>-15060</v>
      </c>
      <c r="E60">
        <v>35331</v>
      </c>
      <c r="F60">
        <v>-13082</v>
      </c>
      <c r="G60">
        <v>16380</v>
      </c>
      <c r="H60">
        <v>33824</v>
      </c>
      <c r="I60">
        <v>-11848</v>
      </c>
      <c r="J60">
        <v>26964</v>
      </c>
      <c r="K60">
        <v>-21248</v>
      </c>
    </row>
    <row r="61" spans="2:11" x14ac:dyDescent="0.25">
      <c r="B61">
        <v>22295</v>
      </c>
      <c r="C61">
        <v>11908</v>
      </c>
      <c r="D61">
        <v>22429</v>
      </c>
      <c r="E61">
        <v>-8405</v>
      </c>
      <c r="F61">
        <v>17315</v>
      </c>
      <c r="G61">
        <v>-19818</v>
      </c>
      <c r="H61">
        <v>20862</v>
      </c>
      <c r="I61">
        <v>32157</v>
      </c>
      <c r="J61">
        <v>20404</v>
      </c>
      <c r="K61">
        <v>26288</v>
      </c>
    </row>
    <row r="62" spans="2:11" x14ac:dyDescent="0.25">
      <c r="B62">
        <v>-14418</v>
      </c>
      <c r="C62">
        <v>34637</v>
      </c>
      <c r="D62">
        <v>-4355</v>
      </c>
      <c r="E62">
        <v>37256</v>
      </c>
      <c r="F62">
        <v>29199</v>
      </c>
      <c r="G62">
        <v>15694</v>
      </c>
      <c r="H62">
        <v>-23185</v>
      </c>
      <c r="I62">
        <v>-54623</v>
      </c>
      <c r="J62">
        <v>18918</v>
      </c>
      <c r="K62">
        <v>-41283</v>
      </c>
    </row>
    <row r="63" spans="2:11" x14ac:dyDescent="0.25">
      <c r="B63">
        <v>3342</v>
      </c>
      <c r="C63">
        <v>-36100</v>
      </c>
      <c r="D63">
        <v>-24893</v>
      </c>
      <c r="E63">
        <v>-15009</v>
      </c>
      <c r="F63">
        <v>-39227</v>
      </c>
      <c r="G63">
        <v>-7677</v>
      </c>
      <c r="H63">
        <v>-14179</v>
      </c>
      <c r="I63">
        <v>4387</v>
      </c>
      <c r="J63">
        <v>-10570</v>
      </c>
      <c r="K63">
        <v>-5485</v>
      </c>
    </row>
    <row r="64" spans="2:11" x14ac:dyDescent="0.25">
      <c r="B64">
        <v>-5644</v>
      </c>
      <c r="C64">
        <v>318</v>
      </c>
      <c r="D64">
        <v>-8489</v>
      </c>
      <c r="E64">
        <v>-9880</v>
      </c>
      <c r="F64">
        <v>19009</v>
      </c>
      <c r="G64">
        <v>-8326</v>
      </c>
      <c r="H64">
        <v>-36871</v>
      </c>
      <c r="I64">
        <v>8115</v>
      </c>
      <c r="J64">
        <v>-5768</v>
      </c>
      <c r="K64">
        <v>98498</v>
      </c>
    </row>
    <row r="65" spans="2:11" x14ac:dyDescent="0.25">
      <c r="B65">
        <v>-13370</v>
      </c>
      <c r="C65">
        <v>-20603</v>
      </c>
      <c r="D65">
        <v>-21268</v>
      </c>
      <c r="E65">
        <v>-5663</v>
      </c>
      <c r="F65">
        <v>6658</v>
      </c>
      <c r="G65">
        <v>2380</v>
      </c>
      <c r="H65">
        <v>-9011</v>
      </c>
      <c r="I65">
        <v>-20682</v>
      </c>
      <c r="J65">
        <v>10460</v>
      </c>
      <c r="K65">
        <v>11608</v>
      </c>
    </row>
    <row r="66" spans="2:11" x14ac:dyDescent="0.25">
      <c r="B66">
        <v>4246</v>
      </c>
      <c r="C66">
        <v>-7944</v>
      </c>
      <c r="D66">
        <v>-7390</v>
      </c>
      <c r="E66">
        <v>-6624</v>
      </c>
      <c r="F66">
        <v>-5780</v>
      </c>
      <c r="G66">
        <v>5598</v>
      </c>
      <c r="H66">
        <v>2697</v>
      </c>
      <c r="I66">
        <v>4371</v>
      </c>
      <c r="J66">
        <v>-3521</v>
      </c>
      <c r="K66">
        <v>-3286</v>
      </c>
    </row>
    <row r="67" spans="2:11" x14ac:dyDescent="0.25">
      <c r="B67">
        <v>176</v>
      </c>
      <c r="C67">
        <v>-2160</v>
      </c>
      <c r="D67">
        <v>-6303</v>
      </c>
      <c r="E67">
        <v>-5262</v>
      </c>
      <c r="F67">
        <v>4838</v>
      </c>
      <c r="G67">
        <v>19312</v>
      </c>
      <c r="H67">
        <v>-233</v>
      </c>
      <c r="I67">
        <v>3380</v>
      </c>
      <c r="J67">
        <v>956</v>
      </c>
      <c r="K67">
        <v>-6282</v>
      </c>
    </row>
    <row r="68" spans="2:11" x14ac:dyDescent="0.25">
      <c r="B68">
        <v>2053</v>
      </c>
      <c r="C68">
        <v>-26735</v>
      </c>
      <c r="D68">
        <v>-64901</v>
      </c>
      <c r="E68">
        <v>22738</v>
      </c>
      <c r="F68">
        <v>-49417</v>
      </c>
      <c r="G68">
        <v>5597</v>
      </c>
      <c r="H68">
        <v>-43916</v>
      </c>
      <c r="I68">
        <v>-31118</v>
      </c>
      <c r="J68">
        <v>-16935</v>
      </c>
      <c r="K68">
        <v>-47003</v>
      </c>
    </row>
    <row r="69" spans="2:11" x14ac:dyDescent="0.25">
      <c r="B69">
        <v>71033</v>
      </c>
      <c r="C69">
        <v>15503</v>
      </c>
      <c r="D69">
        <v>6721</v>
      </c>
      <c r="E69">
        <v>6276</v>
      </c>
      <c r="F69">
        <v>4005</v>
      </c>
      <c r="G69">
        <v>14663</v>
      </c>
      <c r="H69">
        <v>7165</v>
      </c>
      <c r="I69">
        <v>-7382</v>
      </c>
      <c r="J69">
        <v>29234</v>
      </c>
      <c r="K69">
        <v>74211</v>
      </c>
    </row>
    <row r="70" spans="2:11" x14ac:dyDescent="0.25">
      <c r="B70">
        <v>24223</v>
      </c>
      <c r="C70">
        <v>16005</v>
      </c>
      <c r="D70">
        <v>14646</v>
      </c>
      <c r="E70">
        <v>47042</v>
      </c>
      <c r="F70">
        <v>-30850</v>
      </c>
      <c r="G70">
        <v>-7277</v>
      </c>
      <c r="H70">
        <v>73847</v>
      </c>
      <c r="I70">
        <v>-5104</v>
      </c>
      <c r="J70">
        <v>-3309</v>
      </c>
      <c r="K70">
        <v>-37362</v>
      </c>
    </row>
    <row r="71" spans="2:11" x14ac:dyDescent="0.25">
      <c r="B71">
        <v>-24472</v>
      </c>
      <c r="C71">
        <v>-56702</v>
      </c>
      <c r="D71">
        <v>18180</v>
      </c>
      <c r="E71">
        <v>-44454</v>
      </c>
      <c r="F71">
        <v>4836</v>
      </c>
      <c r="G71">
        <v>-42426</v>
      </c>
      <c r="H71">
        <v>-30159</v>
      </c>
      <c r="I71">
        <v>-9186</v>
      </c>
      <c r="J71">
        <v>-41742</v>
      </c>
      <c r="K71">
        <v>45483</v>
      </c>
    </row>
    <row r="72" spans="2:11" x14ac:dyDescent="0.25">
      <c r="B72">
        <v>9700</v>
      </c>
      <c r="C72">
        <v>5594</v>
      </c>
      <c r="D72">
        <v>14127</v>
      </c>
      <c r="E72">
        <v>21660</v>
      </c>
      <c r="F72">
        <v>54775</v>
      </c>
      <c r="G72">
        <v>-38959</v>
      </c>
      <c r="H72">
        <v>11862</v>
      </c>
      <c r="I72">
        <v>14240</v>
      </c>
      <c r="J72">
        <v>-2861</v>
      </c>
      <c r="K72">
        <v>8661</v>
      </c>
    </row>
    <row r="73" spans="2:11" x14ac:dyDescent="0.25">
      <c r="B73">
        <v>-6335</v>
      </c>
      <c r="C73">
        <v>12061</v>
      </c>
      <c r="D73">
        <v>5128</v>
      </c>
      <c r="E73">
        <v>13796</v>
      </c>
      <c r="F73">
        <v>4580</v>
      </c>
      <c r="G73">
        <v>-1880</v>
      </c>
      <c r="H73">
        <v>-1275</v>
      </c>
      <c r="I73">
        <v>-6282</v>
      </c>
      <c r="J73">
        <v>-4560</v>
      </c>
      <c r="K73">
        <v>115</v>
      </c>
    </row>
    <row r="74" spans="2:11" x14ac:dyDescent="0.25">
      <c r="B74">
        <v>-2002</v>
      </c>
      <c r="C74">
        <v>-1615</v>
      </c>
      <c r="D74">
        <v>-15041</v>
      </c>
      <c r="E74">
        <v>-17299</v>
      </c>
      <c r="F74">
        <v>-42303</v>
      </c>
      <c r="G74">
        <v>12326</v>
      </c>
      <c r="H74">
        <v>-26651</v>
      </c>
      <c r="I74">
        <v>20555</v>
      </c>
      <c r="J74">
        <v>-24094</v>
      </c>
      <c r="K74">
        <v>-17501</v>
      </c>
    </row>
    <row r="75" spans="2:11" x14ac:dyDescent="0.25">
      <c r="B75">
        <v>-12379</v>
      </c>
      <c r="C75">
        <v>-19757</v>
      </c>
      <c r="D75">
        <v>30143</v>
      </c>
      <c r="E75">
        <v>7674</v>
      </c>
      <c r="F75">
        <v>21415</v>
      </c>
      <c r="G75">
        <v>10223</v>
      </c>
      <c r="H75">
        <v>2408</v>
      </c>
      <c r="I75">
        <v>35959</v>
      </c>
      <c r="J75">
        <v>-4311</v>
      </c>
      <c r="K75">
        <v>31867</v>
      </c>
    </row>
    <row r="76" spans="2:11" x14ac:dyDescent="0.25">
      <c r="B76">
        <v>-6716</v>
      </c>
      <c r="C76">
        <v>4708</v>
      </c>
      <c r="D76">
        <v>12784</v>
      </c>
      <c r="E76">
        <v>-4529</v>
      </c>
      <c r="F76">
        <v>9114</v>
      </c>
      <c r="G76">
        <v>-2289</v>
      </c>
      <c r="H76">
        <v>8323</v>
      </c>
      <c r="I76">
        <v>6953</v>
      </c>
      <c r="J76">
        <v>4593</v>
      </c>
      <c r="K76">
        <v>7987</v>
      </c>
    </row>
    <row r="77" spans="2:11" x14ac:dyDescent="0.25">
      <c r="B77">
        <v>-10479</v>
      </c>
      <c r="C77">
        <v>-2672</v>
      </c>
      <c r="D77">
        <v>-2587</v>
      </c>
      <c r="E77">
        <v>-5454</v>
      </c>
      <c r="F77">
        <v>214</v>
      </c>
      <c r="G77">
        <v>-12545</v>
      </c>
      <c r="H77">
        <v>6174</v>
      </c>
      <c r="I77">
        <v>-10668</v>
      </c>
      <c r="J77">
        <v>1409</v>
      </c>
      <c r="K77">
        <v>-31748</v>
      </c>
    </row>
    <row r="78" spans="2:11" x14ac:dyDescent="0.25">
      <c r="B78">
        <v>-7986</v>
      </c>
      <c r="C78">
        <v>-19563</v>
      </c>
      <c r="D78">
        <v>5793</v>
      </c>
      <c r="E78">
        <v>-12186</v>
      </c>
      <c r="F78">
        <v>11047</v>
      </c>
      <c r="G78">
        <v>-18039</v>
      </c>
      <c r="H78">
        <v>-15766</v>
      </c>
      <c r="I78">
        <v>-3249</v>
      </c>
      <c r="J78">
        <v>-12277</v>
      </c>
      <c r="K78">
        <v>18025</v>
      </c>
    </row>
    <row r="79" spans="2:11" x14ac:dyDescent="0.25">
      <c r="B79">
        <v>4662</v>
      </c>
      <c r="C79">
        <v>11703</v>
      </c>
      <c r="D79">
        <v>7636</v>
      </c>
      <c r="E79">
        <v>-24</v>
      </c>
      <c r="F79">
        <v>21566</v>
      </c>
      <c r="G79">
        <v>-2349</v>
      </c>
      <c r="H79">
        <v>17324</v>
      </c>
      <c r="I79">
        <v>-1089</v>
      </c>
      <c r="J79">
        <v>1245</v>
      </c>
      <c r="K79">
        <v>-7082</v>
      </c>
    </row>
    <row r="80" spans="2:11" x14ac:dyDescent="0.25">
      <c r="B80">
        <v>-6696</v>
      </c>
      <c r="C80">
        <v>-13987</v>
      </c>
      <c r="D80">
        <v>8569</v>
      </c>
      <c r="E80">
        <v>-8733</v>
      </c>
      <c r="F80">
        <v>36255</v>
      </c>
      <c r="G80">
        <v>-16868</v>
      </c>
      <c r="H80">
        <v>-15729</v>
      </c>
      <c r="I80">
        <v>1563</v>
      </c>
      <c r="J80">
        <v>-6054</v>
      </c>
      <c r="K80">
        <v>13767</v>
      </c>
    </row>
    <row r="81" spans="2:11" x14ac:dyDescent="0.25">
      <c r="B81">
        <v>3730</v>
      </c>
      <c r="C81">
        <v>37122</v>
      </c>
      <c r="D81">
        <v>6178</v>
      </c>
      <c r="E81">
        <v>1574</v>
      </c>
      <c r="F81">
        <v>16458</v>
      </c>
      <c r="G81">
        <v>25350</v>
      </c>
      <c r="H81">
        <v>13264</v>
      </c>
      <c r="I81">
        <v>286</v>
      </c>
      <c r="J81">
        <v>14529</v>
      </c>
      <c r="K81">
        <v>-2624</v>
      </c>
    </row>
    <row r="82" spans="2:11" x14ac:dyDescent="0.25">
      <c r="B82">
        <v>29327</v>
      </c>
      <c r="C82">
        <v>-6269</v>
      </c>
      <c r="D82">
        <v>-17659</v>
      </c>
      <c r="E82">
        <v>12044</v>
      </c>
      <c r="F82">
        <v>-25787</v>
      </c>
      <c r="G82">
        <v>1502</v>
      </c>
      <c r="H82">
        <v>-12210</v>
      </c>
      <c r="I82">
        <v>-9076</v>
      </c>
      <c r="J82">
        <v>-5406</v>
      </c>
      <c r="K82">
        <v>-11425</v>
      </c>
    </row>
    <row r="83" spans="2:11" x14ac:dyDescent="0.25">
      <c r="B83">
        <v>14773</v>
      </c>
      <c r="C83">
        <v>3463</v>
      </c>
      <c r="D83">
        <v>1850</v>
      </c>
      <c r="E83">
        <v>-2938</v>
      </c>
      <c r="F83">
        <v>1242</v>
      </c>
      <c r="G83">
        <v>17734</v>
      </c>
      <c r="H83">
        <v>-9415</v>
      </c>
      <c r="I83">
        <v>15346</v>
      </c>
      <c r="J83">
        <v>-2574</v>
      </c>
      <c r="K83">
        <v>8571</v>
      </c>
    </row>
    <row r="84" spans="2:11" x14ac:dyDescent="0.25">
      <c r="B84">
        <v>-495</v>
      </c>
      <c r="C84">
        <v>6636</v>
      </c>
      <c r="D84">
        <v>3955</v>
      </c>
      <c r="E84">
        <v>2891</v>
      </c>
      <c r="F84">
        <v>7417</v>
      </c>
      <c r="G84">
        <v>-93360</v>
      </c>
      <c r="H84">
        <v>3223</v>
      </c>
      <c r="I84">
        <v>420</v>
      </c>
      <c r="J84">
        <v>6074</v>
      </c>
      <c r="K84">
        <v>4131</v>
      </c>
    </row>
    <row r="85" spans="2:11" x14ac:dyDescent="0.25">
      <c r="B85">
        <v>4163</v>
      </c>
      <c r="C85">
        <v>5535</v>
      </c>
      <c r="D85">
        <v>-8541</v>
      </c>
      <c r="E85">
        <v>-1715</v>
      </c>
      <c r="F85">
        <v>233</v>
      </c>
      <c r="G85">
        <v>-6799</v>
      </c>
      <c r="H85">
        <v>173</v>
      </c>
      <c r="I85">
        <v>-10308</v>
      </c>
      <c r="J85">
        <v>6176</v>
      </c>
      <c r="K85">
        <v>-7238</v>
      </c>
    </row>
    <row r="86" spans="2:11" x14ac:dyDescent="0.25">
      <c r="B86">
        <v>1113</v>
      </c>
      <c r="C86">
        <v>-4525</v>
      </c>
      <c r="D86">
        <v>1769</v>
      </c>
      <c r="E86">
        <v>-1047</v>
      </c>
      <c r="F86">
        <v>-615</v>
      </c>
      <c r="G86">
        <v>-13874</v>
      </c>
      <c r="H86">
        <v>-2471</v>
      </c>
      <c r="I86">
        <v>21833</v>
      </c>
      <c r="J86">
        <v>-15777</v>
      </c>
      <c r="K86">
        <v>39151</v>
      </c>
    </row>
    <row r="87" spans="2:11" x14ac:dyDescent="0.25">
      <c r="B87">
        <v>2776</v>
      </c>
      <c r="C87">
        <v>17711</v>
      </c>
      <c r="D87">
        <v>13767</v>
      </c>
      <c r="E87">
        <v>9348</v>
      </c>
      <c r="F87">
        <v>19186</v>
      </c>
      <c r="G87">
        <v>-21101</v>
      </c>
      <c r="H87">
        <v>-5058</v>
      </c>
      <c r="I87">
        <v>2074</v>
      </c>
      <c r="J87">
        <v>-11403</v>
      </c>
      <c r="K87">
        <v>2827</v>
      </c>
    </row>
    <row r="88" spans="2:11" x14ac:dyDescent="0.25">
      <c r="B88">
        <v>-25508</v>
      </c>
      <c r="C88">
        <v>19550</v>
      </c>
      <c r="D88">
        <v>-21710</v>
      </c>
      <c r="E88">
        <v>2710</v>
      </c>
      <c r="F88">
        <v>-10521</v>
      </c>
      <c r="G88">
        <v>5729</v>
      </c>
      <c r="H88">
        <v>-5809</v>
      </c>
      <c r="I88">
        <v>-4395</v>
      </c>
      <c r="J88">
        <v>-14925</v>
      </c>
      <c r="K88">
        <v>-3881</v>
      </c>
    </row>
    <row r="89" spans="2:11" x14ac:dyDescent="0.25">
      <c r="B89">
        <v>-3781</v>
      </c>
      <c r="C89">
        <v>-9262</v>
      </c>
      <c r="D89">
        <v>2135</v>
      </c>
      <c r="E89">
        <v>-6487</v>
      </c>
      <c r="F89">
        <v>-7941</v>
      </c>
      <c r="G89">
        <v>-5022</v>
      </c>
      <c r="H89">
        <v>-4025</v>
      </c>
      <c r="I89">
        <v>-5552</v>
      </c>
      <c r="J89">
        <v>-7056</v>
      </c>
      <c r="K89">
        <v>6914</v>
      </c>
    </row>
    <row r="90" spans="2:11" x14ac:dyDescent="0.25">
      <c r="B90">
        <v>1384</v>
      </c>
      <c r="C90">
        <v>-7954</v>
      </c>
      <c r="D90">
        <v>7065</v>
      </c>
      <c r="E90">
        <v>1019</v>
      </c>
      <c r="F90">
        <v>8326</v>
      </c>
      <c r="G90">
        <v>-14526</v>
      </c>
      <c r="H90">
        <v>8144</v>
      </c>
      <c r="I90">
        <v>-510</v>
      </c>
      <c r="J90">
        <v>6516</v>
      </c>
      <c r="K90">
        <v>-3833</v>
      </c>
    </row>
    <row r="91" spans="2:11" x14ac:dyDescent="0.25">
      <c r="B91">
        <v>-5512</v>
      </c>
      <c r="C91">
        <v>-12885</v>
      </c>
      <c r="D91">
        <v>2219</v>
      </c>
      <c r="E91">
        <v>-1777</v>
      </c>
      <c r="F91">
        <v>-3266</v>
      </c>
      <c r="G91">
        <v>7632</v>
      </c>
      <c r="H91">
        <v>16263</v>
      </c>
      <c r="I91">
        <v>-6624</v>
      </c>
      <c r="J91">
        <v>14418</v>
      </c>
      <c r="K91">
        <v>-19418</v>
      </c>
    </row>
    <row r="92" spans="2:11" x14ac:dyDescent="0.25">
      <c r="B92">
        <v>12788</v>
      </c>
      <c r="C92">
        <v>10773</v>
      </c>
      <c r="D92">
        <v>7998</v>
      </c>
      <c r="E92">
        <v>14407</v>
      </c>
      <c r="F92">
        <v>-14723</v>
      </c>
      <c r="G92">
        <v>-3932</v>
      </c>
      <c r="H92">
        <v>-20081</v>
      </c>
      <c r="I92">
        <v>-6984</v>
      </c>
      <c r="J92">
        <v>426</v>
      </c>
      <c r="K92">
        <v>-17551</v>
      </c>
    </row>
    <row r="93" spans="2:11" x14ac:dyDescent="0.25">
      <c r="B93">
        <v>-6625</v>
      </c>
      <c r="C93">
        <v>-13891</v>
      </c>
      <c r="D93">
        <v>4221</v>
      </c>
      <c r="E93">
        <v>-10499</v>
      </c>
      <c r="F93">
        <v>4199</v>
      </c>
      <c r="G93">
        <v>-7031</v>
      </c>
      <c r="H93">
        <v>-5239</v>
      </c>
      <c r="I93">
        <v>-5264</v>
      </c>
      <c r="J93">
        <v>3472</v>
      </c>
      <c r="K93">
        <v>6843</v>
      </c>
    </row>
    <row r="94" spans="2:11" x14ac:dyDescent="0.25">
      <c r="B94">
        <v>-19990</v>
      </c>
      <c r="C94">
        <v>-2790</v>
      </c>
      <c r="D94">
        <v>-7411</v>
      </c>
      <c r="E94">
        <v>1577</v>
      </c>
      <c r="F94">
        <v>-5038</v>
      </c>
      <c r="G94">
        <v>-8358</v>
      </c>
      <c r="H94">
        <v>-4761</v>
      </c>
      <c r="I94">
        <v>-10612</v>
      </c>
      <c r="J94">
        <v>779</v>
      </c>
      <c r="K94">
        <v>-4487</v>
      </c>
    </row>
    <row r="95" spans="2:11" x14ac:dyDescent="0.25">
      <c r="B95">
        <v>6101</v>
      </c>
      <c r="C95">
        <v>1571</v>
      </c>
      <c r="D95">
        <v>-8292</v>
      </c>
      <c r="E95">
        <v>6589</v>
      </c>
      <c r="F95">
        <v>113</v>
      </c>
      <c r="G95">
        <v>7282</v>
      </c>
      <c r="H95">
        <v>-11779</v>
      </c>
      <c r="I95">
        <v>6654</v>
      </c>
      <c r="J95">
        <v>-1102</v>
      </c>
      <c r="K95">
        <v>5361</v>
      </c>
    </row>
    <row r="96" spans="2:11" x14ac:dyDescent="0.25">
      <c r="B96">
        <v>-3457</v>
      </c>
      <c r="C96">
        <v>-4857</v>
      </c>
      <c r="D96">
        <v>-11268</v>
      </c>
      <c r="E96">
        <v>1766</v>
      </c>
      <c r="F96">
        <v>-1452</v>
      </c>
      <c r="G96">
        <v>-2572</v>
      </c>
      <c r="H96">
        <v>87863</v>
      </c>
      <c r="I96">
        <v>-18445</v>
      </c>
      <c r="J96">
        <v>9773</v>
      </c>
      <c r="K96">
        <v>23349</v>
      </c>
    </row>
    <row r="97" spans="2:11" x14ac:dyDescent="0.25">
      <c r="B97">
        <v>-9023</v>
      </c>
      <c r="C97">
        <v>19734</v>
      </c>
      <c r="D97">
        <v>-20807</v>
      </c>
      <c r="E97">
        <v>17735</v>
      </c>
      <c r="F97">
        <v>16016</v>
      </c>
      <c r="G97">
        <v>10614</v>
      </c>
      <c r="H97">
        <v>15715</v>
      </c>
      <c r="I97">
        <v>-21247</v>
      </c>
      <c r="J97">
        <v>-5657</v>
      </c>
      <c r="K97">
        <v>-21691</v>
      </c>
    </row>
    <row r="98" spans="2:11" x14ac:dyDescent="0.25">
      <c r="B98">
        <v>-7958</v>
      </c>
      <c r="C98">
        <v>748</v>
      </c>
      <c r="D98">
        <v>-25361</v>
      </c>
      <c r="E98">
        <v>-1133</v>
      </c>
      <c r="F98">
        <v>-21549</v>
      </c>
      <c r="G98">
        <v>4073</v>
      </c>
      <c r="H98">
        <v>-14331</v>
      </c>
      <c r="I98">
        <v>5514</v>
      </c>
      <c r="J98">
        <v>-9087</v>
      </c>
      <c r="K98">
        <v>-6801</v>
      </c>
    </row>
    <row r="99" spans="2:11" x14ac:dyDescent="0.25">
      <c r="B99">
        <v>-7159</v>
      </c>
      <c r="C99">
        <v>4556</v>
      </c>
      <c r="D99">
        <v>9627</v>
      </c>
      <c r="E99">
        <v>-19272</v>
      </c>
      <c r="F99">
        <v>94225</v>
      </c>
      <c r="G99">
        <v>-20126</v>
      </c>
      <c r="H99">
        <v>7264</v>
      </c>
      <c r="I99">
        <v>4571</v>
      </c>
      <c r="J99">
        <v>-3111</v>
      </c>
      <c r="K99">
        <v>2884</v>
      </c>
    </row>
    <row r="100" spans="2:11" x14ac:dyDescent="0.25">
      <c r="B100">
        <v>-19742</v>
      </c>
      <c r="C100">
        <v>2896</v>
      </c>
      <c r="D100">
        <v>2029</v>
      </c>
      <c r="E100">
        <v>6460</v>
      </c>
      <c r="F100">
        <v>12343</v>
      </c>
      <c r="G100">
        <v>-5404</v>
      </c>
      <c r="H100">
        <v>-1678</v>
      </c>
      <c r="I100">
        <v>-20144</v>
      </c>
      <c r="J100">
        <v>-3083</v>
      </c>
      <c r="K100">
        <v>-1519</v>
      </c>
    </row>
    <row r="101" spans="2:11" x14ac:dyDescent="0.25">
      <c r="B101">
        <v>-6352</v>
      </c>
      <c r="C101">
        <v>2175</v>
      </c>
      <c r="D101">
        <v>-3612</v>
      </c>
      <c r="E101">
        <v>2733</v>
      </c>
      <c r="F101">
        <v>-3382</v>
      </c>
      <c r="G101">
        <v>917</v>
      </c>
      <c r="H101">
        <v>-1896</v>
      </c>
      <c r="I101">
        <v>-1486</v>
      </c>
      <c r="J101">
        <v>3600</v>
      </c>
      <c r="K101">
        <v>1287</v>
      </c>
    </row>
    <row r="102" spans="2:11" x14ac:dyDescent="0.25">
      <c r="B102">
        <v>1568</v>
      </c>
      <c r="C102">
        <v>-899</v>
      </c>
      <c r="D102">
        <v>2202</v>
      </c>
      <c r="E102">
        <v>-825</v>
      </c>
      <c r="F102">
        <v>1057</v>
      </c>
      <c r="G102">
        <v>28954</v>
      </c>
      <c r="H102">
        <v>66280</v>
      </c>
      <c r="I102">
        <v>-22398</v>
      </c>
      <c r="J102">
        <v>51919</v>
      </c>
      <c r="K102">
        <v>-13790</v>
      </c>
    </row>
    <row r="103" spans="2:11" x14ac:dyDescent="0.25">
      <c r="B103">
        <v>49654</v>
      </c>
      <c r="C103">
        <v>41223</v>
      </c>
      <c r="D103">
        <v>28841</v>
      </c>
      <c r="E103">
        <v>50504</v>
      </c>
      <c r="F103">
        <v>-60228</v>
      </c>
      <c r="G103">
        <v>-15157</v>
      </c>
      <c r="H103">
        <v>-15570</v>
      </c>
      <c r="I103">
        <v>-13986</v>
      </c>
      <c r="J103">
        <v>-1509</v>
      </c>
      <c r="K103">
        <v>-72149</v>
      </c>
    </row>
    <row r="104" spans="2:11" x14ac:dyDescent="0.25">
      <c r="B104">
        <v>40655</v>
      </c>
      <c r="C104">
        <v>-62083</v>
      </c>
      <c r="D104">
        <v>12204</v>
      </c>
      <c r="E104">
        <v>-37272</v>
      </c>
      <c r="F104">
        <v>13080</v>
      </c>
      <c r="G104">
        <v>-21067</v>
      </c>
      <c r="H104">
        <v>-15644</v>
      </c>
      <c r="I104">
        <v>-17696</v>
      </c>
      <c r="J104">
        <v>9551</v>
      </c>
      <c r="K104">
        <v>26263</v>
      </c>
    </row>
    <row r="105" spans="2:11" x14ac:dyDescent="0.25">
      <c r="B105">
        <v>-9121</v>
      </c>
      <c r="C105">
        <v>18803</v>
      </c>
      <c r="D105">
        <v>-7810</v>
      </c>
      <c r="E105">
        <v>25865</v>
      </c>
      <c r="F105">
        <v>22416</v>
      </c>
      <c r="G105">
        <v>17554</v>
      </c>
      <c r="H105">
        <v>38864</v>
      </c>
      <c r="I105">
        <v>-12204</v>
      </c>
      <c r="J105">
        <v>29432</v>
      </c>
      <c r="K105">
        <v>-17841</v>
      </c>
    </row>
    <row r="106" spans="2:11" x14ac:dyDescent="0.25">
      <c r="B106">
        <v>26704</v>
      </c>
      <c r="C106">
        <v>22942</v>
      </c>
      <c r="D106">
        <v>22716</v>
      </c>
      <c r="E106">
        <v>26407</v>
      </c>
      <c r="F106">
        <v>-34035</v>
      </c>
      <c r="G106">
        <v>-8476</v>
      </c>
      <c r="H106">
        <v>-18903</v>
      </c>
      <c r="I106">
        <v>-8500</v>
      </c>
      <c r="J106">
        <v>-2911</v>
      </c>
      <c r="K106">
        <v>-40742</v>
      </c>
    </row>
    <row r="107" spans="2:11" x14ac:dyDescent="0.25">
      <c r="B107">
        <v>23580</v>
      </c>
      <c r="C107">
        <v>-37332</v>
      </c>
      <c r="D107">
        <v>6548</v>
      </c>
      <c r="E107">
        <v>-21784</v>
      </c>
      <c r="F107">
        <v>7587</v>
      </c>
      <c r="G107">
        <v>-12995</v>
      </c>
      <c r="H107">
        <v>-11367</v>
      </c>
      <c r="I107">
        <v>-9750</v>
      </c>
      <c r="J107">
        <v>4656</v>
      </c>
      <c r="K107">
        <v>15110</v>
      </c>
    </row>
    <row r="108" spans="2:11" x14ac:dyDescent="0.25">
      <c r="B108">
        <v>-4814</v>
      </c>
      <c r="C108">
        <v>11315</v>
      </c>
      <c r="D108">
        <v>-3867</v>
      </c>
      <c r="E108">
        <v>15027</v>
      </c>
      <c r="F108">
        <v>40400</v>
      </c>
      <c r="G108">
        <v>55711</v>
      </c>
      <c r="H108">
        <v>9741</v>
      </c>
      <c r="I108">
        <v>24825</v>
      </c>
      <c r="J108">
        <v>-4931</v>
      </c>
      <c r="K108">
        <v>16581</v>
      </c>
    </row>
    <row r="109" spans="2:11" x14ac:dyDescent="0.25">
      <c r="B109">
        <v>5628</v>
      </c>
      <c r="C109">
        <v>16916</v>
      </c>
      <c r="D109">
        <v>14887</v>
      </c>
      <c r="E109">
        <v>8792</v>
      </c>
      <c r="F109">
        <v>14296</v>
      </c>
      <c r="G109">
        <v>-20365</v>
      </c>
      <c r="H109">
        <v>-5079</v>
      </c>
      <c r="I109">
        <v>5195</v>
      </c>
      <c r="J109">
        <v>-9326</v>
      </c>
      <c r="K109">
        <v>-2023</v>
      </c>
    </row>
    <row r="110" spans="2:11" x14ac:dyDescent="0.25">
      <c r="B110">
        <v>-24394</v>
      </c>
      <c r="C110">
        <v>21750</v>
      </c>
      <c r="D110">
        <v>-22598</v>
      </c>
      <c r="E110">
        <v>4060</v>
      </c>
      <c r="F110">
        <v>-34244</v>
      </c>
      <c r="G110">
        <v>4644</v>
      </c>
      <c r="H110">
        <v>4621</v>
      </c>
      <c r="I110">
        <v>-3466</v>
      </c>
      <c r="J110">
        <v>-8357</v>
      </c>
      <c r="K110">
        <v>1798</v>
      </c>
    </row>
    <row r="111" spans="2:11" x14ac:dyDescent="0.25">
      <c r="B111">
        <v>8964</v>
      </c>
      <c r="C111">
        <v>-5640</v>
      </c>
      <c r="D111">
        <v>7090</v>
      </c>
      <c r="E111">
        <v>-5194</v>
      </c>
      <c r="F111">
        <v>9634</v>
      </c>
      <c r="G111">
        <v>406</v>
      </c>
      <c r="H111">
        <v>25324</v>
      </c>
      <c r="I111">
        <v>25194</v>
      </c>
      <c r="J111">
        <v>3020</v>
      </c>
      <c r="K111">
        <v>7639</v>
      </c>
    </row>
    <row r="112" spans="2:11" x14ac:dyDescent="0.25">
      <c r="B112">
        <v>-2914</v>
      </c>
      <c r="C112">
        <v>3958</v>
      </c>
      <c r="D112">
        <v>-4103</v>
      </c>
      <c r="E112">
        <v>1692</v>
      </c>
      <c r="F112">
        <v>812</v>
      </c>
      <c r="G112">
        <v>419</v>
      </c>
      <c r="H112">
        <v>680</v>
      </c>
      <c r="I112">
        <v>-3315</v>
      </c>
      <c r="J112">
        <v>-998</v>
      </c>
      <c r="K112">
        <v>-4180</v>
      </c>
    </row>
    <row r="113" spans="2:11" x14ac:dyDescent="0.25">
      <c r="B113">
        <v>-488</v>
      </c>
      <c r="C113">
        <v>-786</v>
      </c>
      <c r="D113">
        <v>-3872</v>
      </c>
      <c r="E113">
        <v>-1764</v>
      </c>
      <c r="F113">
        <v>-3195</v>
      </c>
      <c r="G113">
        <v>902</v>
      </c>
      <c r="H113">
        <v>-9880</v>
      </c>
      <c r="I113">
        <v>3147</v>
      </c>
      <c r="J113">
        <v>2335</v>
      </c>
      <c r="K113">
        <v>-850</v>
      </c>
    </row>
    <row r="114" spans="2:11" x14ac:dyDescent="0.25">
      <c r="B114">
        <v>-470</v>
      </c>
      <c r="C114">
        <v>2122</v>
      </c>
      <c r="D114">
        <v>2016</v>
      </c>
      <c r="E114">
        <v>-972</v>
      </c>
      <c r="F114">
        <v>1994</v>
      </c>
      <c r="G114">
        <v>-844</v>
      </c>
      <c r="H114">
        <v>2319</v>
      </c>
      <c r="I114">
        <v>775</v>
      </c>
      <c r="J114">
        <v>3896</v>
      </c>
      <c r="K114">
        <v>2233</v>
      </c>
    </row>
    <row r="115" spans="2:11" x14ac:dyDescent="0.25">
      <c r="B115">
        <v>-6050</v>
      </c>
      <c r="C115">
        <v>-1402</v>
      </c>
      <c r="D115">
        <v>1893</v>
      </c>
      <c r="E115">
        <v>294</v>
      </c>
      <c r="F115">
        <v>-1118</v>
      </c>
      <c r="G115">
        <v>-1976</v>
      </c>
      <c r="H115">
        <v>315</v>
      </c>
      <c r="I115">
        <v>-459</v>
      </c>
      <c r="J115">
        <v>-123</v>
      </c>
      <c r="K115">
        <v>-109</v>
      </c>
    </row>
    <row r="116" spans="2:11" x14ac:dyDescent="0.25">
      <c r="B116">
        <v>511</v>
      </c>
      <c r="C116">
        <v>172</v>
      </c>
      <c r="D116">
        <v>-1948</v>
      </c>
      <c r="E116">
        <v>-2768</v>
      </c>
      <c r="F116">
        <v>-677</v>
      </c>
      <c r="G116">
        <v>625</v>
      </c>
      <c r="H116">
        <v>-1945</v>
      </c>
      <c r="I116">
        <v>-82</v>
      </c>
      <c r="J116">
        <v>225</v>
      </c>
      <c r="K116">
        <v>-27037</v>
      </c>
    </row>
    <row r="117" spans="2:11" x14ac:dyDescent="0.25">
      <c r="B117">
        <v>4455</v>
      </c>
      <c r="C117">
        <v>-1998</v>
      </c>
      <c r="D117">
        <v>1671</v>
      </c>
      <c r="E117">
        <v>-1029</v>
      </c>
      <c r="F117">
        <v>86</v>
      </c>
      <c r="G117">
        <v>-857</v>
      </c>
      <c r="H117">
        <v>-595</v>
      </c>
      <c r="I117">
        <v>1316</v>
      </c>
      <c r="J117">
        <v>-422</v>
      </c>
      <c r="K117">
        <v>1130</v>
      </c>
    </row>
    <row r="118" spans="2:11" x14ac:dyDescent="0.25">
      <c r="B118">
        <v>-636</v>
      </c>
      <c r="C118">
        <v>-181</v>
      </c>
      <c r="D118">
        <v>-607</v>
      </c>
      <c r="E118">
        <v>-2270</v>
      </c>
      <c r="F118">
        <v>-22673</v>
      </c>
      <c r="G118">
        <v>2832</v>
      </c>
      <c r="H118">
        <v>9851</v>
      </c>
      <c r="I118">
        <v>-1271</v>
      </c>
      <c r="J118">
        <v>5844</v>
      </c>
      <c r="K118">
        <v>6</v>
      </c>
    </row>
    <row r="119" spans="2:11" x14ac:dyDescent="0.25">
      <c r="B119">
        <v>6969</v>
      </c>
      <c r="C119">
        <v>5805</v>
      </c>
      <c r="D119">
        <v>4352</v>
      </c>
      <c r="E119">
        <v>5541</v>
      </c>
      <c r="F119">
        <v>-8586</v>
      </c>
      <c r="G119">
        <v>-2166</v>
      </c>
      <c r="H119">
        <v>-241</v>
      </c>
      <c r="I119">
        <v>-3600</v>
      </c>
      <c r="J119">
        <v>611</v>
      </c>
      <c r="K119">
        <v>-10299</v>
      </c>
    </row>
    <row r="120" spans="2:11" x14ac:dyDescent="0.25">
      <c r="B120">
        <v>6606</v>
      </c>
      <c r="C120">
        <v>-8929</v>
      </c>
      <c r="D120">
        <v>1474</v>
      </c>
      <c r="E120">
        <v>-1080</v>
      </c>
      <c r="F120">
        <v>-755</v>
      </c>
      <c r="G120">
        <v>-7468</v>
      </c>
      <c r="H120">
        <v>-3862</v>
      </c>
      <c r="I120">
        <v>-2712</v>
      </c>
      <c r="J120">
        <v>-452</v>
      </c>
      <c r="K120">
        <v>3042</v>
      </c>
    </row>
    <row r="121" spans="2:11" x14ac:dyDescent="0.25">
      <c r="B121">
        <v>455</v>
      </c>
      <c r="C121">
        <v>-268</v>
      </c>
      <c r="D121">
        <v>625</v>
      </c>
      <c r="E121">
        <v>1091</v>
      </c>
      <c r="F121">
        <v>658</v>
      </c>
      <c r="G121">
        <v>10466</v>
      </c>
      <c r="H121">
        <v>6606</v>
      </c>
      <c r="I121">
        <v>8386</v>
      </c>
      <c r="J121">
        <v>-47579</v>
      </c>
      <c r="K121">
        <v>-6046</v>
      </c>
    </row>
    <row r="122" spans="2:11" x14ac:dyDescent="0.25">
      <c r="B122">
        <v>11461</v>
      </c>
      <c r="C122">
        <v>23923</v>
      </c>
      <c r="D122">
        <v>-7964</v>
      </c>
      <c r="E122">
        <v>19413</v>
      </c>
      <c r="F122">
        <v>-4588</v>
      </c>
      <c r="G122">
        <v>17348</v>
      </c>
      <c r="H122">
        <v>12460</v>
      </c>
      <c r="I122">
        <v>8652</v>
      </c>
      <c r="J122">
        <v>15723</v>
      </c>
      <c r="K122">
        <v>-19976</v>
      </c>
    </row>
    <row r="123" spans="2:11" x14ac:dyDescent="0.25">
      <c r="B123">
        <v>-4982</v>
      </c>
      <c r="C123">
        <v>-5107</v>
      </c>
      <c r="D123">
        <v>-1905</v>
      </c>
      <c r="E123">
        <v>-898</v>
      </c>
      <c r="F123">
        <v>-23900</v>
      </c>
      <c r="G123">
        <v>11894</v>
      </c>
      <c r="H123">
        <v>-21239</v>
      </c>
      <c r="I123">
        <v>4287</v>
      </c>
      <c r="J123">
        <v>-46836</v>
      </c>
      <c r="K123">
        <v>4429</v>
      </c>
    </row>
    <row r="124" spans="2:11" x14ac:dyDescent="0.25">
      <c r="B124">
        <v>-8407</v>
      </c>
      <c r="C124">
        <v>-5141</v>
      </c>
      <c r="D124">
        <v>-6102</v>
      </c>
      <c r="E124">
        <v>3356</v>
      </c>
      <c r="F124">
        <v>8531</v>
      </c>
      <c r="G124">
        <v>-5396</v>
      </c>
      <c r="H124">
        <v>7424</v>
      </c>
      <c r="I124">
        <v>-4716</v>
      </c>
      <c r="J124">
        <v>10007</v>
      </c>
      <c r="K124">
        <v>2290</v>
      </c>
    </row>
    <row r="125" spans="2:11" x14ac:dyDescent="0.25">
      <c r="B125">
        <v>25075</v>
      </c>
      <c r="C125">
        <v>14304</v>
      </c>
      <c r="D125">
        <v>8768</v>
      </c>
      <c r="E125">
        <v>6777</v>
      </c>
      <c r="F125">
        <v>4209</v>
      </c>
      <c r="G125">
        <v>-6361</v>
      </c>
      <c r="H125">
        <v>695</v>
      </c>
      <c r="I125">
        <v>34705</v>
      </c>
      <c r="J125">
        <v>-12336</v>
      </c>
      <c r="K125">
        <v>34461</v>
      </c>
    </row>
    <row r="126" spans="2:11" x14ac:dyDescent="0.25">
      <c r="B126">
        <v>11520</v>
      </c>
      <c r="C126">
        <v>27402</v>
      </c>
      <c r="D126">
        <v>17553</v>
      </c>
      <c r="E126">
        <v>12457</v>
      </c>
      <c r="F126">
        <v>26357</v>
      </c>
      <c r="G126">
        <v>-30704</v>
      </c>
      <c r="H126">
        <v>-7669</v>
      </c>
      <c r="I126">
        <v>10636</v>
      </c>
      <c r="J126">
        <v>61</v>
      </c>
      <c r="K126">
        <v>-1641</v>
      </c>
    </row>
    <row r="127" spans="2:11" x14ac:dyDescent="0.25">
      <c r="B127">
        <v>-36927</v>
      </c>
      <c r="C127">
        <v>35002</v>
      </c>
      <c r="D127">
        <v>-33753</v>
      </c>
      <c r="E127">
        <v>6482</v>
      </c>
      <c r="F127">
        <v>-21124</v>
      </c>
      <c r="G127">
        <v>10585</v>
      </c>
      <c r="H127">
        <v>-8030</v>
      </c>
      <c r="I127">
        <v>-7415</v>
      </c>
      <c r="J127">
        <v>-8886</v>
      </c>
      <c r="K127">
        <v>7382</v>
      </c>
    </row>
    <row r="128" spans="2:11" x14ac:dyDescent="0.25">
      <c r="B128">
        <v>17970</v>
      </c>
      <c r="C128">
        <v>-6322</v>
      </c>
      <c r="D128">
        <v>12258</v>
      </c>
      <c r="E128">
        <v>-5138</v>
      </c>
      <c r="F128">
        <v>16327</v>
      </c>
      <c r="G128">
        <v>1513</v>
      </c>
      <c r="H128">
        <v>38989</v>
      </c>
      <c r="I128">
        <v>22117</v>
      </c>
      <c r="J128">
        <v>21615</v>
      </c>
      <c r="K128">
        <v>5717</v>
      </c>
    </row>
    <row r="129" spans="2:11" x14ac:dyDescent="0.25">
      <c r="B129">
        <v>-7171</v>
      </c>
      <c r="C129">
        <v>2748</v>
      </c>
      <c r="D129">
        <v>-9783</v>
      </c>
      <c r="E129">
        <v>-9142</v>
      </c>
      <c r="F129">
        <v>6220</v>
      </c>
      <c r="G129">
        <v>-4557</v>
      </c>
      <c r="H129">
        <v>7674</v>
      </c>
      <c r="I129">
        <v>2130</v>
      </c>
      <c r="J129">
        <v>4025</v>
      </c>
      <c r="K129">
        <v>4641</v>
      </c>
    </row>
    <row r="130" spans="2:11" x14ac:dyDescent="0.25">
      <c r="B130">
        <v>3349</v>
      </c>
      <c r="C130">
        <v>6023</v>
      </c>
      <c r="D130">
        <v>-6410</v>
      </c>
      <c r="E130">
        <v>-1366</v>
      </c>
      <c r="F130">
        <v>1832</v>
      </c>
      <c r="G130">
        <v>-4644</v>
      </c>
      <c r="H130">
        <v>6064</v>
      </c>
      <c r="I130">
        <v>-7844</v>
      </c>
      <c r="J130">
        <v>6647</v>
      </c>
      <c r="K130">
        <v>-4424</v>
      </c>
    </row>
    <row r="131" spans="2:11" x14ac:dyDescent="0.25">
      <c r="B131">
        <v>-477</v>
      </c>
      <c r="C131">
        <v>3353</v>
      </c>
      <c r="D131">
        <v>6079</v>
      </c>
      <c r="E131">
        <v>-2909</v>
      </c>
      <c r="F131">
        <v>576</v>
      </c>
      <c r="G131">
        <v>1170</v>
      </c>
      <c r="H131">
        <v>1136</v>
      </c>
      <c r="I131">
        <v>22897</v>
      </c>
      <c r="J131">
        <v>-557</v>
      </c>
      <c r="K131">
        <v>1736</v>
      </c>
    </row>
    <row r="132" spans="2:11" x14ac:dyDescent="0.25">
      <c r="B132">
        <v>-438</v>
      </c>
      <c r="C132">
        <v>2615</v>
      </c>
      <c r="D132">
        <v>-270</v>
      </c>
      <c r="E132">
        <v>7739</v>
      </c>
      <c r="F132">
        <v>4075</v>
      </c>
      <c r="G132">
        <v>7443</v>
      </c>
      <c r="H132">
        <v>-18419</v>
      </c>
      <c r="I132">
        <v>-4668</v>
      </c>
      <c r="J132">
        <v>14816</v>
      </c>
      <c r="K132">
        <v>-5957</v>
      </c>
    </row>
    <row r="133" spans="2:11" x14ac:dyDescent="0.25">
      <c r="B133">
        <v>-14988</v>
      </c>
      <c r="C133">
        <v>6268</v>
      </c>
      <c r="D133">
        <v>4753</v>
      </c>
      <c r="E133">
        <v>24</v>
      </c>
      <c r="F133">
        <v>2206</v>
      </c>
      <c r="G133">
        <v>1719</v>
      </c>
      <c r="H133">
        <v>2045</v>
      </c>
      <c r="I133">
        <v>551</v>
      </c>
      <c r="J133">
        <v>1319</v>
      </c>
      <c r="K133">
        <v>3221</v>
      </c>
    </row>
    <row r="134" spans="2:11" x14ac:dyDescent="0.25">
      <c r="B134">
        <v>-4602</v>
      </c>
      <c r="C134">
        <v>-1237</v>
      </c>
      <c r="D134">
        <v>1654</v>
      </c>
      <c r="E134">
        <v>-3369</v>
      </c>
      <c r="F134">
        <v>-1735</v>
      </c>
      <c r="G134">
        <v>-5450</v>
      </c>
      <c r="H134">
        <v>4945</v>
      </c>
      <c r="I134">
        <v>-4882</v>
      </c>
      <c r="J134">
        <v>996</v>
      </c>
      <c r="K134">
        <v>-59316</v>
      </c>
    </row>
    <row r="135" spans="2:11" x14ac:dyDescent="0.25">
      <c r="B135">
        <v>3419</v>
      </c>
      <c r="C135">
        <v>-1561</v>
      </c>
      <c r="D135">
        <v>-1260</v>
      </c>
      <c r="E135">
        <v>-1478</v>
      </c>
      <c r="F135">
        <v>-204</v>
      </c>
      <c r="G135">
        <v>-3600</v>
      </c>
      <c r="H135">
        <v>-920</v>
      </c>
      <c r="I135">
        <v>1798</v>
      </c>
      <c r="J135">
        <v>-569</v>
      </c>
      <c r="K135">
        <v>2209</v>
      </c>
    </row>
    <row r="136" spans="2:11" x14ac:dyDescent="0.25">
      <c r="B136">
        <v>1410</v>
      </c>
      <c r="C136">
        <v>5748</v>
      </c>
      <c r="D136">
        <v>3310</v>
      </c>
      <c r="E136">
        <v>17076</v>
      </c>
      <c r="F136">
        <v>4955</v>
      </c>
      <c r="G136">
        <v>2473</v>
      </c>
      <c r="H136">
        <v>-903</v>
      </c>
      <c r="I136">
        <v>-17800</v>
      </c>
      <c r="J136">
        <v>4168</v>
      </c>
      <c r="K136">
        <v>-8213</v>
      </c>
    </row>
    <row r="137" spans="2:11" x14ac:dyDescent="0.25">
      <c r="B137">
        <v>11930</v>
      </c>
      <c r="C137">
        <v>26483</v>
      </c>
      <c r="D137">
        <v>-5697</v>
      </c>
      <c r="E137">
        <v>20902</v>
      </c>
      <c r="F137">
        <v>9982</v>
      </c>
      <c r="G137">
        <v>19222</v>
      </c>
      <c r="H137">
        <v>13742</v>
      </c>
      <c r="I137">
        <v>10031</v>
      </c>
      <c r="J137">
        <v>15689</v>
      </c>
      <c r="K137">
        <v>-22935</v>
      </c>
    </row>
    <row r="138" spans="2:11" x14ac:dyDescent="0.25">
      <c r="B138">
        <v>-5936</v>
      </c>
      <c r="C138">
        <v>9474</v>
      </c>
      <c r="D138">
        <v>-5724</v>
      </c>
      <c r="E138">
        <v>-3161</v>
      </c>
      <c r="F138">
        <v>-27420</v>
      </c>
      <c r="G138">
        <v>27016</v>
      </c>
      <c r="H138">
        <v>-25795</v>
      </c>
      <c r="I138">
        <v>5860</v>
      </c>
      <c r="J138">
        <v>-13446</v>
      </c>
      <c r="K138">
        <v>6104</v>
      </c>
    </row>
    <row r="139" spans="2:11" x14ac:dyDescent="0.25">
      <c r="B139">
        <v>-8886</v>
      </c>
      <c r="C139">
        <v>-9464</v>
      </c>
      <c r="D139">
        <v>-10637</v>
      </c>
      <c r="E139">
        <v>2535</v>
      </c>
      <c r="F139">
        <v>9564</v>
      </c>
      <c r="G139">
        <v>-1677</v>
      </c>
      <c r="H139">
        <v>5779</v>
      </c>
      <c r="I139">
        <v>-663</v>
      </c>
      <c r="J139">
        <v>8566</v>
      </c>
      <c r="K139">
        <v>400</v>
      </c>
    </row>
    <row r="140" spans="2:11" x14ac:dyDescent="0.25">
      <c r="B140">
        <v>38082</v>
      </c>
      <c r="C140">
        <v>18156</v>
      </c>
      <c r="D140">
        <v>12034</v>
      </c>
      <c r="E140">
        <v>726</v>
      </c>
      <c r="F140">
        <v>2392</v>
      </c>
      <c r="G140">
        <v>2871</v>
      </c>
      <c r="H140">
        <v>11197</v>
      </c>
      <c r="I140">
        <v>13353</v>
      </c>
      <c r="J140">
        <v>3801</v>
      </c>
      <c r="K140">
        <v>3578</v>
      </c>
    </row>
    <row r="141" spans="2:11" x14ac:dyDescent="0.25">
      <c r="B141">
        <v>18619</v>
      </c>
      <c r="C141">
        <v>42773</v>
      </c>
      <c r="D141">
        <v>-9013</v>
      </c>
      <c r="E141">
        <v>32696</v>
      </c>
      <c r="F141">
        <v>27936</v>
      </c>
      <c r="G141">
        <v>32668</v>
      </c>
      <c r="H141">
        <v>27060</v>
      </c>
      <c r="I141">
        <v>15918</v>
      </c>
      <c r="J141">
        <v>26894</v>
      </c>
      <c r="K141">
        <v>-37436</v>
      </c>
    </row>
    <row r="142" spans="2:11" x14ac:dyDescent="0.25">
      <c r="B142">
        <v>-9501</v>
      </c>
      <c r="C142">
        <v>27264</v>
      </c>
      <c r="D142">
        <v>-12895</v>
      </c>
      <c r="E142">
        <v>-4813</v>
      </c>
      <c r="F142">
        <v>-44820</v>
      </c>
      <c r="G142">
        <v>55556</v>
      </c>
      <c r="H142">
        <v>-41589</v>
      </c>
      <c r="I142">
        <v>7029</v>
      </c>
      <c r="J142">
        <v>-18160</v>
      </c>
      <c r="K142">
        <v>8187</v>
      </c>
    </row>
    <row r="143" spans="2:11" x14ac:dyDescent="0.25">
      <c r="B143">
        <v>-11763</v>
      </c>
      <c r="C143">
        <v>99</v>
      </c>
      <c r="D143">
        <v>-14120</v>
      </c>
      <c r="E143">
        <v>5054</v>
      </c>
      <c r="F143">
        <v>17858</v>
      </c>
      <c r="G143">
        <v>-9722</v>
      </c>
      <c r="H143">
        <v>11217</v>
      </c>
      <c r="I143">
        <v>-9009</v>
      </c>
      <c r="J143">
        <v>16086</v>
      </c>
      <c r="K143">
        <v>769</v>
      </c>
    </row>
    <row r="144" spans="2:11" x14ac:dyDescent="0.25">
      <c r="B144">
        <v>47300</v>
      </c>
      <c r="C144">
        <v>40443</v>
      </c>
      <c r="D144">
        <v>37985</v>
      </c>
      <c r="E144">
        <v>2097</v>
      </c>
      <c r="F144">
        <v>-453</v>
      </c>
      <c r="G144">
        <v>7576</v>
      </c>
      <c r="H144">
        <v>15925</v>
      </c>
      <c r="I144">
        <v>27914</v>
      </c>
      <c r="J144">
        <v>5862</v>
      </c>
      <c r="K144">
        <v>4832</v>
      </c>
    </row>
    <row r="145" spans="2:11" x14ac:dyDescent="0.25">
      <c r="B145">
        <v>36735</v>
      </c>
      <c r="C145">
        <v>-1143</v>
      </c>
      <c r="D145">
        <v>26255</v>
      </c>
      <c r="E145">
        <v>-10549</v>
      </c>
      <c r="F145">
        <v>27367</v>
      </c>
      <c r="G145">
        <v>10999</v>
      </c>
      <c r="H145">
        <v>21942</v>
      </c>
      <c r="I145">
        <v>12829</v>
      </c>
      <c r="J145">
        <v>8701</v>
      </c>
      <c r="K145">
        <v>19903</v>
      </c>
    </row>
    <row r="146" spans="2:11" x14ac:dyDescent="0.25">
      <c r="B146">
        <v>-21908</v>
      </c>
      <c r="C146">
        <v>-5503</v>
      </c>
      <c r="D146">
        <v>10397</v>
      </c>
      <c r="E146">
        <v>3299</v>
      </c>
      <c r="F146">
        <v>-225</v>
      </c>
      <c r="G146">
        <v>-26332</v>
      </c>
      <c r="H146">
        <v>28081</v>
      </c>
      <c r="I146">
        <v>-24509</v>
      </c>
      <c r="J146">
        <v>5548</v>
      </c>
      <c r="K146">
        <v>-12846</v>
      </c>
    </row>
    <row r="147" spans="2:11" x14ac:dyDescent="0.25">
      <c r="B147">
        <v>4653</v>
      </c>
      <c r="C147">
        <v>-5613</v>
      </c>
      <c r="D147">
        <v>-2067</v>
      </c>
      <c r="E147">
        <v>-6785</v>
      </c>
      <c r="F147">
        <v>7813</v>
      </c>
      <c r="G147">
        <v>13383</v>
      </c>
      <c r="H147">
        <v>-4965</v>
      </c>
      <c r="I147">
        <v>6497</v>
      </c>
      <c r="J147">
        <v>-4241</v>
      </c>
      <c r="K147">
        <v>9525</v>
      </c>
    </row>
    <row r="148" spans="2:11" x14ac:dyDescent="0.25">
      <c r="B148">
        <v>1213</v>
      </c>
      <c r="C148">
        <v>27664</v>
      </c>
      <c r="D148">
        <v>16062</v>
      </c>
      <c r="E148">
        <v>10296</v>
      </c>
      <c r="F148">
        <v>1803</v>
      </c>
      <c r="G148">
        <v>-2968</v>
      </c>
      <c r="H148">
        <v>2877</v>
      </c>
      <c r="I148">
        <v>11340</v>
      </c>
      <c r="J148">
        <v>37338</v>
      </c>
      <c r="K148">
        <v>1704</v>
      </c>
    </row>
    <row r="149" spans="2:11" x14ac:dyDescent="0.25">
      <c r="B149">
        <v>-372</v>
      </c>
      <c r="C149">
        <v>3142</v>
      </c>
      <c r="D149">
        <v>21003</v>
      </c>
      <c r="E149">
        <v>-5100</v>
      </c>
      <c r="F149">
        <v>-6730</v>
      </c>
      <c r="G149">
        <v>5680</v>
      </c>
      <c r="H149">
        <v>-3328</v>
      </c>
      <c r="I149">
        <v>24110</v>
      </c>
      <c r="J149">
        <v>-3151</v>
      </c>
      <c r="K149">
        <v>-1955</v>
      </c>
    </row>
    <row r="150" spans="2:11" x14ac:dyDescent="0.25">
      <c r="B150">
        <v>-172</v>
      </c>
      <c r="C150">
        <v>900</v>
      </c>
      <c r="D150">
        <v>633</v>
      </c>
      <c r="E150">
        <v>306</v>
      </c>
      <c r="F150">
        <v>24250</v>
      </c>
      <c r="G150">
        <v>-2521</v>
      </c>
      <c r="H150">
        <v>392</v>
      </c>
      <c r="I150">
        <v>619</v>
      </c>
      <c r="J150">
        <v>21062</v>
      </c>
      <c r="K150">
        <v>1671</v>
      </c>
    </row>
    <row r="151" spans="2:11" x14ac:dyDescent="0.25">
      <c r="B151">
        <v>-1747</v>
      </c>
      <c r="C151">
        <v>6480</v>
      </c>
      <c r="D151">
        <v>-932</v>
      </c>
      <c r="E151">
        <v>-1716</v>
      </c>
      <c r="F151">
        <v>-468</v>
      </c>
      <c r="G151">
        <v>573</v>
      </c>
      <c r="H151">
        <v>-3337</v>
      </c>
      <c r="I151">
        <v>2179</v>
      </c>
      <c r="J151">
        <v>1337</v>
      </c>
      <c r="K151">
        <v>1896</v>
      </c>
    </row>
    <row r="152" spans="2:11" x14ac:dyDescent="0.25">
      <c r="B152">
        <v>1468</v>
      </c>
      <c r="C152">
        <v>1660</v>
      </c>
      <c r="D152">
        <v>-190</v>
      </c>
      <c r="E152">
        <v>-664</v>
      </c>
      <c r="F152">
        <v>-1111</v>
      </c>
      <c r="G152">
        <v>2800</v>
      </c>
      <c r="H152">
        <v>-1810</v>
      </c>
      <c r="I152">
        <v>78</v>
      </c>
      <c r="J152">
        <v>4487</v>
      </c>
      <c r="K152">
        <v>-3895</v>
      </c>
    </row>
    <row r="153" spans="2:11" x14ac:dyDescent="0.25">
      <c r="B153">
        <v>-35</v>
      </c>
      <c r="C153">
        <v>3520</v>
      </c>
      <c r="D153">
        <v>3790</v>
      </c>
      <c r="E153">
        <v>3600</v>
      </c>
      <c r="F153">
        <v>3163</v>
      </c>
      <c r="G153">
        <v>-72289</v>
      </c>
      <c r="H153">
        <v>-33367</v>
      </c>
      <c r="I153">
        <v>-78308</v>
      </c>
      <c r="J153">
        <v>26119</v>
      </c>
      <c r="K153">
        <v>-61304</v>
      </c>
    </row>
    <row r="154" spans="2:11" x14ac:dyDescent="0.25">
      <c r="B154">
        <v>8575</v>
      </c>
      <c r="C154">
        <v>-57100</v>
      </c>
      <c r="D154">
        <v>-44747</v>
      </c>
      <c r="E154">
        <v>-29388</v>
      </c>
      <c r="F154">
        <v>-56886</v>
      </c>
      <c r="G154">
        <v>68213</v>
      </c>
      <c r="H154">
        <v>17285</v>
      </c>
      <c r="I154">
        <v>10471</v>
      </c>
      <c r="J154">
        <v>18239</v>
      </c>
      <c r="K154">
        <v>2873</v>
      </c>
    </row>
    <row r="155" spans="2:11" x14ac:dyDescent="0.25">
      <c r="B155">
        <v>81641</v>
      </c>
      <c r="C155">
        <v>-47165</v>
      </c>
      <c r="D155">
        <v>72021</v>
      </c>
      <c r="E155">
        <v>-13019</v>
      </c>
      <c r="F155">
        <v>43681</v>
      </c>
      <c r="G155">
        <v>-15266</v>
      </c>
      <c r="H155">
        <v>24917</v>
      </c>
      <c r="I155">
        <v>18537</v>
      </c>
      <c r="J155">
        <v>20729</v>
      </c>
      <c r="K155">
        <v>-10772</v>
      </c>
    </row>
    <row r="156" spans="2:11" x14ac:dyDescent="0.25">
      <c r="B156">
        <v>-31342</v>
      </c>
      <c r="C156">
        <v>10839</v>
      </c>
      <c r="D156">
        <v>-22327</v>
      </c>
      <c r="E156">
        <v>8457</v>
      </c>
      <c r="F156">
        <v>-30885</v>
      </c>
      <c r="G156">
        <v>-6486</v>
      </c>
      <c r="H156">
        <v>-84540</v>
      </c>
      <c r="I156">
        <v>-48873</v>
      </c>
      <c r="J156">
        <v>-29782</v>
      </c>
      <c r="K156">
        <v>-4497</v>
      </c>
    </row>
    <row r="157" spans="2:11" x14ac:dyDescent="0.25">
      <c r="B157">
        <v>433</v>
      </c>
      <c r="C157">
        <v>-12668</v>
      </c>
      <c r="D157">
        <v>-29372</v>
      </c>
      <c r="E157">
        <v>-45998</v>
      </c>
      <c r="F157">
        <v>-9245</v>
      </c>
      <c r="G157">
        <v>-6202</v>
      </c>
      <c r="H157">
        <v>-33467</v>
      </c>
      <c r="I157">
        <v>-54890</v>
      </c>
      <c r="J157">
        <v>-33444</v>
      </c>
      <c r="K157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4"/>
  <sheetViews>
    <sheetView workbookViewId="0">
      <selection activeCell="L24" sqref="L24"/>
    </sheetView>
  </sheetViews>
  <sheetFormatPr defaultRowHeight="15" x14ac:dyDescent="0.25"/>
  <sheetData>
    <row r="1" spans="1:10" x14ac:dyDescent="0.25">
      <c r="A1" s="36" t="s">
        <v>222</v>
      </c>
      <c r="H1" t="s">
        <v>223</v>
      </c>
    </row>
    <row r="2" spans="1:10" x14ac:dyDescent="0.25">
      <c r="A2">
        <v>1</v>
      </c>
      <c r="B2" t="s">
        <v>224</v>
      </c>
    </row>
    <row r="3" spans="1:10" x14ac:dyDescent="0.25">
      <c r="A3">
        <v>2</v>
      </c>
      <c r="B3" t="s">
        <v>225</v>
      </c>
    </row>
    <row r="4" spans="1:10" x14ac:dyDescent="0.25">
      <c r="A4">
        <v>3</v>
      </c>
      <c r="B4" t="s">
        <v>226</v>
      </c>
    </row>
    <row r="5" spans="1:10" x14ac:dyDescent="0.25">
      <c r="A5">
        <v>4</v>
      </c>
      <c r="B5" t="s">
        <v>227</v>
      </c>
    </row>
    <row r="8" spans="1:10" x14ac:dyDescent="0.25">
      <c r="A8" t="s">
        <v>245</v>
      </c>
      <c r="B8" t="s">
        <v>246</v>
      </c>
      <c r="C8" t="s">
        <v>230</v>
      </c>
      <c r="D8" t="s">
        <v>231</v>
      </c>
    </row>
    <row r="9" spans="1:10" x14ac:dyDescent="0.25">
      <c r="A9" t="s">
        <v>232</v>
      </c>
      <c r="B9" t="s">
        <v>233</v>
      </c>
      <c r="C9" t="s">
        <v>234</v>
      </c>
      <c r="D9" t="s">
        <v>235</v>
      </c>
      <c r="E9">
        <v>4</v>
      </c>
      <c r="F9" s="50">
        <v>0.66361111111111104</v>
      </c>
      <c r="G9" t="s">
        <v>236</v>
      </c>
      <c r="H9">
        <v>2</v>
      </c>
      <c r="I9" t="s">
        <v>237</v>
      </c>
      <c r="J9">
        <v>12</v>
      </c>
    </row>
    <row r="10" spans="1:10" x14ac:dyDescent="0.25">
      <c r="A10" t="s">
        <v>238</v>
      </c>
    </row>
    <row r="11" spans="1:10" x14ac:dyDescent="0.25">
      <c r="B11">
        <v>1</v>
      </c>
      <c r="C11" t="s">
        <v>63</v>
      </c>
      <c r="D11" t="s">
        <v>64</v>
      </c>
      <c r="E11">
        <v>1.4514354035000001</v>
      </c>
      <c r="F11">
        <v>0.444918243702</v>
      </c>
    </row>
    <row r="12" spans="1:10" x14ac:dyDescent="0.25">
      <c r="B12">
        <v>2</v>
      </c>
      <c r="C12" t="s">
        <v>65</v>
      </c>
      <c r="D12" t="s">
        <v>64</v>
      </c>
      <c r="E12">
        <v>1.3039408369400001</v>
      </c>
      <c r="F12">
        <v>0.31807790709599998</v>
      </c>
    </row>
    <row r="13" spans="1:10" x14ac:dyDescent="0.25">
      <c r="B13">
        <v>20</v>
      </c>
      <c r="C13" t="s">
        <v>69</v>
      </c>
      <c r="D13" t="s">
        <v>64</v>
      </c>
      <c r="E13">
        <v>-3.4980731239099998</v>
      </c>
      <c r="F13">
        <v>1.18287137781</v>
      </c>
    </row>
    <row r="14" spans="1:10" x14ac:dyDescent="0.25">
      <c r="B14">
        <v>30</v>
      </c>
      <c r="C14" t="s">
        <v>76</v>
      </c>
      <c r="D14" t="s">
        <v>64</v>
      </c>
      <c r="E14">
        <v>-2.6353130235300002</v>
      </c>
      <c r="F14">
        <v>0.50488110868000002</v>
      </c>
    </row>
    <row r="15" spans="1:10" x14ac:dyDescent="0.25">
      <c r="B15">
        <v>40</v>
      </c>
      <c r="C15" t="s">
        <v>79</v>
      </c>
      <c r="D15" t="s">
        <v>64</v>
      </c>
      <c r="E15">
        <v>-1.7745103655700001</v>
      </c>
      <c r="F15">
        <v>0.48370303281799998</v>
      </c>
    </row>
    <row r="16" spans="1:10" x14ac:dyDescent="0.25">
      <c r="B16">
        <v>50</v>
      </c>
      <c r="C16" t="s">
        <v>84</v>
      </c>
      <c r="D16" t="s">
        <v>64</v>
      </c>
      <c r="E16">
        <v>-2.30718445759</v>
      </c>
      <c r="F16">
        <v>0.70638728036300003</v>
      </c>
    </row>
    <row r="17" spans="2:11" x14ac:dyDescent="0.25">
      <c r="B17">
        <v>54</v>
      </c>
      <c r="C17" t="s">
        <v>86</v>
      </c>
      <c r="D17" t="s">
        <v>64</v>
      </c>
      <c r="E17">
        <v>-0.13556679442799999</v>
      </c>
      <c r="F17">
        <v>0.39606949091100002</v>
      </c>
    </row>
    <row r="18" spans="2:11" x14ac:dyDescent="0.25">
      <c r="B18">
        <v>55</v>
      </c>
      <c r="C18" t="s">
        <v>200</v>
      </c>
      <c r="D18" t="s">
        <v>64</v>
      </c>
      <c r="E18">
        <v>-0.13243830190100001</v>
      </c>
      <c r="F18">
        <v>0.283027767652</v>
      </c>
    </row>
    <row r="19" spans="2:11" x14ac:dyDescent="0.25">
      <c r="B19">
        <v>58</v>
      </c>
      <c r="C19" t="s">
        <v>201</v>
      </c>
      <c r="D19" t="s">
        <v>64</v>
      </c>
      <c r="E19">
        <v>2.76787980308</v>
      </c>
      <c r="F19">
        <v>0.84192184915500001</v>
      </c>
    </row>
    <row r="20" spans="2:11" x14ac:dyDescent="0.25">
      <c r="B20">
        <v>59</v>
      </c>
      <c r="C20" t="s">
        <v>202</v>
      </c>
      <c r="D20" t="s">
        <v>64</v>
      </c>
      <c r="E20">
        <v>2.0325205083700002</v>
      </c>
      <c r="F20">
        <v>0.74392256453000005</v>
      </c>
    </row>
    <row r="21" spans="2:11" x14ac:dyDescent="0.25">
      <c r="B21">
        <v>60</v>
      </c>
      <c r="C21" t="s">
        <v>89</v>
      </c>
      <c r="D21" t="s">
        <v>64</v>
      </c>
      <c r="E21">
        <v>-4.8566896576699996</v>
      </c>
      <c r="F21">
        <v>0.996869732821</v>
      </c>
    </row>
    <row r="22" spans="2:11" x14ac:dyDescent="0.25">
      <c r="B22">
        <v>61</v>
      </c>
      <c r="C22" t="s">
        <v>90</v>
      </c>
      <c r="D22" t="s">
        <v>64</v>
      </c>
      <c r="E22" s="35">
        <v>-7.61146297547E-2</v>
      </c>
      <c r="F22">
        <v>1.0204627571</v>
      </c>
    </row>
    <row r="23" spans="2:11" x14ac:dyDescent="0.25">
      <c r="B23">
        <v>69</v>
      </c>
      <c r="C23" t="s">
        <v>203</v>
      </c>
      <c r="D23" t="s">
        <v>64</v>
      </c>
      <c r="E23">
        <v>4.2535185960500002</v>
      </c>
      <c r="F23">
        <v>1.0121289391199999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-0.23852894050599999</v>
      </c>
      <c r="F25">
        <v>0.38274834917200001</v>
      </c>
    </row>
    <row r="26" spans="2:11" x14ac:dyDescent="0.25">
      <c r="B26">
        <v>89</v>
      </c>
      <c r="C26" t="s">
        <v>206</v>
      </c>
      <c r="D26" t="s">
        <v>64</v>
      </c>
      <c r="E26">
        <v>1.3187843664700001</v>
      </c>
      <c r="F26">
        <v>0.56543254711699997</v>
      </c>
    </row>
    <row r="27" spans="2:11" x14ac:dyDescent="0.25">
      <c r="B27">
        <v>99</v>
      </c>
      <c r="C27" t="s">
        <v>106</v>
      </c>
      <c r="D27" t="s">
        <v>64</v>
      </c>
      <c r="E27">
        <v>0.96666822906600003</v>
      </c>
      <c r="F27">
        <v>0.24181231229200001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247</v>
      </c>
      <c r="D30" t="s">
        <v>236</v>
      </c>
      <c r="E30">
        <v>2</v>
      </c>
      <c r="F30" t="s">
        <v>237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BC62"/>
  <sheetViews>
    <sheetView tabSelected="1" topLeftCell="A4" workbookViewId="0">
      <selection activeCell="V40" sqref="V40"/>
    </sheetView>
  </sheetViews>
  <sheetFormatPr defaultRowHeight="15" x14ac:dyDescent="0.25"/>
  <cols>
    <col min="2" max="2" bestFit="true" customWidth="true" width="14.140625" collapsed="true"/>
    <col min="18" max="18" bestFit="true" customWidth="true" width="7.7109375" collapsed="true"/>
    <col min="24" max="24" bestFit="true" customWidth="true" width="16.85546875" collapsed="true"/>
    <col min="33" max="33" bestFit="true" customWidth="true" width="11.0" collapsed="true"/>
    <col min="38" max="38" bestFit="true" customWidth="true" width="11.0" collapsed="true"/>
    <col min="39" max="40" bestFit="true" customWidth="true" width="9.28515625" collapsed="true"/>
    <col min="48" max="48" bestFit="true" customWidth="true" width="11.7109375" collapsed="true"/>
    <col min="49" max="50" bestFit="true" customWidth="true" width="12.7109375" collapsed="true"/>
  </cols>
  <sheetData>
    <row r="1" spans="2:55" x14ac:dyDescent="0.25">
      <c r="AF1" s="36" t="s">
        <v>164</v>
      </c>
      <c r="AK1" s="36" t="s">
        <v>109</v>
      </c>
      <c r="AP1" s="36" t="s">
        <v>144</v>
      </c>
      <c r="AU1" s="36" t="s">
        <v>185</v>
      </c>
      <c r="AZ1" s="36" t="s">
        <v>207</v>
      </c>
    </row>
    <row r="2" spans="2:55" x14ac:dyDescent="0.25">
      <c r="B2" t="s">
        <v>194</v>
      </c>
      <c r="AH2" s="51" t="s">
        <v>248</v>
      </c>
      <c r="AI2" s="51" t="s">
        <v>249</v>
      </c>
      <c r="AM2" s="51" t="s">
        <v>248</v>
      </c>
      <c r="AN2" s="51" t="s">
        <v>249</v>
      </c>
      <c r="AR2" s="51" t="s">
        <v>248</v>
      </c>
      <c r="AS2" s="51" t="s">
        <v>249</v>
      </c>
      <c r="AW2" s="51" t="s">
        <v>248</v>
      </c>
      <c r="AX2" s="51" t="s">
        <v>249</v>
      </c>
      <c r="BB2" s="51" t="s">
        <v>248</v>
      </c>
      <c r="BC2" s="51" t="s">
        <v>249</v>
      </c>
    </row>
    <row ht="15.75" r="3" spans="2:55" thickBot="1" x14ac:dyDescent="0.3">
      <c r="AF3">
        <f>WorkCoefficients!B11</f>
        <v>1</v>
      </c>
      <c r="AG3" t="str">
        <f>WorkCoefficients!C11</f>
        <v>costutil</v>
      </c>
      <c r="AH3">
        <f>WorkCoefficients!E11</f>
        <v>0.52879225620699999</v>
      </c>
      <c r="AI3">
        <f>AH3</f>
        <v>0.52879225620699999</v>
      </c>
      <c r="AK3">
        <f>SchoolCoeffcients!B11</f>
        <v>1</v>
      </c>
      <c r="AL3" t="str">
        <f>SchoolCoeffcients!C11</f>
        <v>costutil</v>
      </c>
      <c r="AM3" s="55">
        <f>SchoolCoeffcients!E11</f>
        <v>8.2714292376400003E-2</v>
      </c>
      <c r="AN3" s="55">
        <f>AM3</f>
        <v>8.2714292376400003E-2</v>
      </c>
      <c r="AP3">
        <f>EscortCoefficients!B11</f>
        <v>2</v>
      </c>
      <c r="AQ3" t="str">
        <f>EscortCoefficients!C11</f>
        <v>timeutil</v>
      </c>
      <c r="AR3">
        <f>EscortCoefficients!E11</f>
        <v>3.3415951052600001</v>
      </c>
      <c r="AS3">
        <f>AR3</f>
        <v>3.3415951052600001</v>
      </c>
      <c r="AU3">
        <f>OtherCoefficients!B11</f>
        <v>1</v>
      </c>
      <c r="AV3" t="str">
        <f>OtherCoefficients!C11</f>
        <v>costutil</v>
      </c>
      <c r="AW3">
        <f>OtherCoefficients!E11</f>
        <v>0.37910550304899998</v>
      </c>
      <c r="AX3">
        <f>AW3</f>
        <v>0.37910550304899998</v>
      </c>
      <c r="AZ3">
        <f>WorkBasedCoefficients!B11</f>
        <v>1</v>
      </c>
      <c r="BA3" t="str">
        <f>WorkBasedCoefficients!C11</f>
        <v>costutil</v>
      </c>
      <c r="BB3">
        <f>WorkBasedCoefficients!E11</f>
        <v>1.4514354035000001</v>
      </c>
      <c r="BC3">
        <f>BB3</f>
        <v>1.4514354035000001</v>
      </c>
    </row>
    <row r="4" spans="2:55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AF4">
        <f>WorkCoefficients!B12</f>
        <v>2</v>
      </c>
      <c r="AG4" t="str">
        <f>WorkCoefficients!C12</f>
        <v>timeutil</v>
      </c>
      <c r="AH4">
        <f>WorkCoefficients!E12</f>
        <v>0.55879276356800001</v>
      </c>
      <c r="AI4">
        <f ref="AI4:AI38" si="0" t="shared">AH4</f>
        <v>0.55879276356800001</v>
      </c>
      <c r="AK4">
        <f>SchoolCoeffcients!B12</f>
        <v>2</v>
      </c>
      <c r="AL4" t="str">
        <f>SchoolCoeffcients!C12</f>
        <v>timeutil</v>
      </c>
      <c r="AM4" s="55">
        <f>SchoolCoeffcients!E12</f>
        <v>1.0220354865200001</v>
      </c>
      <c r="AN4" s="55">
        <f ref="AN4:AN44" si="1" t="shared">AM4</f>
        <v>1.0220354865200001</v>
      </c>
      <c r="AP4" s="54">
        <f>EscortCoefficients!B12</f>
        <v>30</v>
      </c>
      <c r="AQ4" s="54" t="str">
        <f>EscortCoefficients!C12</f>
        <v>s3-const</v>
      </c>
      <c r="AR4" s="54">
        <f>EscortCoefficients!E12</f>
        <v>-2.1800862739200002</v>
      </c>
      <c r="AS4" s="54">
        <f>VLOOKUP(AP4,$T$55:$AC$62,8,FALSE)</f>
        <v>-2.1866369826506058</v>
      </c>
      <c r="AU4">
        <f>OtherCoefficients!B12</f>
        <v>2</v>
      </c>
      <c r="AV4" t="str">
        <f>OtherCoefficients!C12</f>
        <v>timeutil</v>
      </c>
      <c r="AW4">
        <f>OtherCoefficients!E12</f>
        <v>2.0186908853599999</v>
      </c>
      <c r="AX4">
        <f ref="AX4:AX47" si="2" t="shared">AW4</f>
        <v>2.0186908853599999</v>
      </c>
      <c r="AZ4">
        <f>WorkBasedCoefficients!B12</f>
        <v>2</v>
      </c>
      <c r="BA4" t="str">
        <f>WorkBasedCoefficients!C12</f>
        <v>timeutil</v>
      </c>
      <c r="BB4">
        <f>WorkBasedCoefficients!E12</f>
        <v>1.3039408369400001</v>
      </c>
      <c r="BC4">
        <f ref="BC4:BC19" si="3" t="shared">BB4</f>
        <v>1.3039408369400001</v>
      </c>
    </row>
    <row r="5" spans="2:55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AF5" s="54">
        <f>WorkCoefficients!B13</f>
        <v>10</v>
      </c>
      <c r="AG5" s="54" t="str">
        <f>WorkCoefficients!C13</f>
        <v>dt-const</v>
      </c>
      <c r="AH5" s="54">
        <f>WorkCoefficients!E13</f>
        <v>-1.6038121758199999</v>
      </c>
      <c r="AI5" s="54">
        <f>VLOOKUP(AF5,$R$55:$AC$62,8,FALSE)</f>
        <v>-1.6650571375726828</v>
      </c>
      <c r="AK5" s="54">
        <f>SchoolCoeffcients!B13</f>
        <v>10</v>
      </c>
      <c r="AL5" s="54" t="str">
        <f>SchoolCoeffcients!C13</f>
        <v>sb-const</v>
      </c>
      <c r="AM5" s="56">
        <f>SchoolCoeffcients!E13</f>
        <v>-1.1944700928600001</v>
      </c>
      <c r="AN5" s="54">
        <f>VLOOKUP(AK5,$S$55:$AC$62,8,FALSE)</f>
        <v>-1.1725921150454564</v>
      </c>
      <c r="AP5">
        <f>EscortCoefficients!B13</f>
        <v>31</v>
      </c>
      <c r="AQ5" t="str">
        <f>EscortCoefficients!C13</f>
        <v>s3-hhcu5</v>
      </c>
      <c r="AR5">
        <f>EscortCoefficients!E13</f>
        <v>1.16680397388</v>
      </c>
      <c r="AS5">
        <f ref="AS5:AS17" si="4" t="shared">AR5</f>
        <v>1.16680397388</v>
      </c>
      <c r="AU5" s="54">
        <f>OtherCoefficients!B13</f>
        <v>20</v>
      </c>
      <c r="AV5" s="54" t="str">
        <f>OtherCoefficients!C13</f>
        <v>wt-const</v>
      </c>
      <c r="AW5" s="54">
        <f>OtherCoefficients!E13</f>
        <v>-4.4200798368200003</v>
      </c>
      <c r="AX5" s="54">
        <f>VLOOKUP(AU5,$U$55:$AC$62,8,FALSE)</f>
        <v>-4.3023336719530842</v>
      </c>
      <c r="AZ5" s="54">
        <f>WorkBasedCoefficients!B13</f>
        <v>20</v>
      </c>
      <c r="BA5" s="54" t="str">
        <f>WorkBasedCoefficients!C13</f>
        <v>wt-const</v>
      </c>
      <c r="BB5" s="54">
        <f>WorkBasedCoefficients!E13</f>
        <v>-3.4980731239099998</v>
      </c>
      <c r="BC5" s="54">
        <f>VLOOKUP(AZ5,$V$55:$AC$62,8,FALSE)</f>
        <v>-3.6034294288008817</v>
      </c>
    </row>
    <row r="6" spans="2:55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AF6">
        <f>WorkCoefficients!B14</f>
        <v>11</v>
      </c>
      <c r="AG6" t="str">
        <f>WorkCoefficients!C14</f>
        <v>dt-nocars</v>
      </c>
      <c r="AH6">
        <f>WorkCoefficients!E14</f>
        <v>-2</v>
      </c>
      <c r="AI6">
        <f si="0" t="shared"/>
        <v>-2</v>
      </c>
      <c r="AK6">
        <f>SchoolCoeffcients!B14</f>
        <v>17</v>
      </c>
      <c r="AL6" t="str">
        <f>SchoolCoeffcients!C14</f>
        <v>sb-chun5</v>
      </c>
      <c r="AM6" s="55">
        <f>SchoolCoeffcients!E14</f>
        <v>-0.37388358649999998</v>
      </c>
      <c r="AN6" s="55">
        <f si="1" t="shared"/>
        <v>-0.37388358649999998</v>
      </c>
      <c r="AP6">
        <f>EscortCoefficients!B14</f>
        <v>32</v>
      </c>
      <c r="AQ6" t="str">
        <f>EscortCoefficients!C14</f>
        <v>s3-hh515</v>
      </c>
      <c r="AR6">
        <f>EscortCoefficients!E14</f>
        <v>0.48228420681</v>
      </c>
      <c r="AS6">
        <f si="4" t="shared"/>
        <v>0.48228420681</v>
      </c>
      <c r="AU6">
        <f>OtherCoefficients!B14</f>
        <v>21</v>
      </c>
      <c r="AV6" t="str">
        <f>OtherCoefficients!C14</f>
        <v>wt-nocars</v>
      </c>
      <c r="AW6">
        <f>OtherCoefficients!E14</f>
        <v>4.94579205397</v>
      </c>
      <c r="AX6">
        <f si="2" t="shared"/>
        <v>4.94579205397</v>
      </c>
      <c r="AZ6" s="54">
        <f>WorkBasedCoefficients!B14</f>
        <v>30</v>
      </c>
      <c r="BA6" s="54" t="str">
        <f>WorkBasedCoefficients!C14</f>
        <v>s3-const</v>
      </c>
      <c r="BB6" s="54">
        <f>WorkBasedCoefficients!E14</f>
        <v>-2.6353130235300002</v>
      </c>
      <c r="BC6" s="54">
        <f ref="BC6:BC8" si="5" t="shared">VLOOKUP(AZ6,$V$55:$AC$62,8,FALSE)</f>
        <v>-2.6934211420143961</v>
      </c>
    </row>
    <row r="7" spans="2:55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AF7">
        <f>WorkCoefficients!B15</f>
        <v>13</v>
      </c>
      <c r="AG7" t="str">
        <f>WorkCoefficients!C15</f>
        <v>dt-carsltw</v>
      </c>
      <c r="AH7">
        <f>WorkCoefficients!E15</f>
        <v>-1.01072071817</v>
      </c>
      <c r="AI7">
        <f si="0" t="shared"/>
        <v>-1.01072071817</v>
      </c>
      <c r="AK7">
        <f>SchoolCoeffcients!B15</f>
        <v>18</v>
      </c>
      <c r="AL7" t="str">
        <f>SchoolCoeffcients!C15</f>
        <v>sb-univtr</v>
      </c>
      <c r="AM7" s="55">
        <f>SchoolCoeffcients!E15</f>
        <v>-2.1552189459600002</v>
      </c>
      <c r="AN7" s="55">
        <f si="1" t="shared"/>
        <v>-2.1552189459600002</v>
      </c>
      <c r="AP7">
        <f>EscortCoefficients!B15</f>
        <v>33</v>
      </c>
      <c r="AQ7" t="str">
        <f>EscortCoefficients!C15</f>
        <v>s3-hhdas</v>
      </c>
      <c r="AR7">
        <f>EscortCoefficients!E15</f>
        <v>7.7733428152199996E-2</v>
      </c>
      <c r="AS7">
        <f si="4" t="shared"/>
        <v>7.7733428152199996E-2</v>
      </c>
      <c r="AU7" s="54">
        <f>OtherCoefficients!B15</f>
        <v>30</v>
      </c>
      <c r="AV7" s="54" t="str">
        <f>OtherCoefficients!C15</f>
        <v>s3-const</v>
      </c>
      <c r="AW7" s="54">
        <f>OtherCoefficients!E15</f>
        <v>-0.81129976642199997</v>
      </c>
      <c r="AX7" s="54">
        <f>VLOOKUP(AU7,$U$55:$AC$62,8,FALSE)</f>
        <v>-0.83775929839440755</v>
      </c>
      <c r="AZ7" s="54">
        <f>WorkBasedCoefficients!B15</f>
        <v>40</v>
      </c>
      <c r="BA7" s="54" t="str">
        <f>WorkBasedCoefficients!C15</f>
        <v>s2-const</v>
      </c>
      <c r="BB7" s="54">
        <f>WorkBasedCoefficients!E15</f>
        <v>-1.7745103655700001</v>
      </c>
      <c r="BC7" s="54">
        <f si="5" t="shared"/>
        <v>-1.8178486698221403</v>
      </c>
    </row>
    <row r="8" spans="2:55" x14ac:dyDescent="0.25">
      <c r="B8" s="9" t="s">
        <v>4</v>
      </c>
      <c r="C8" t="s">
        <v>199</v>
      </c>
      <c r="AF8" s="54">
        <f>WorkCoefficients!B16</f>
        <v>20</v>
      </c>
      <c r="AG8" s="54" t="str">
        <f>WorkCoefficients!C16</f>
        <v>wt-const</v>
      </c>
      <c r="AH8" s="54">
        <f>WorkCoefficients!E16</f>
        <v>-1.9181554270400001</v>
      </c>
      <c r="AI8" s="54">
        <f ref="AI8:AI9" si="6" t="shared">VLOOKUP(AF8,$R$55:$AC$62,8,FALSE)</f>
        <v>-1.8040075637674096</v>
      </c>
      <c r="AK8" s="54">
        <f>SchoolCoeffcients!B16</f>
        <v>20</v>
      </c>
      <c r="AL8" s="54" t="str">
        <f>SchoolCoeffcients!C16</f>
        <v>wt-const</v>
      </c>
      <c r="AM8" s="56">
        <f>SchoolCoeffcients!E16</f>
        <v>-3.89062176924</v>
      </c>
      <c r="AN8" s="54">
        <f>VLOOKUP(AK8,$S$55:$AC$62,8,FALSE)</f>
        <v>-3.6940645680066915</v>
      </c>
      <c r="AP8" s="54">
        <f>EscortCoefficients!B16</f>
        <v>40</v>
      </c>
      <c r="AQ8" s="54" t="str">
        <f>EscortCoefficients!C16</f>
        <v>s2-const</v>
      </c>
      <c r="AR8" s="54">
        <f>EscortCoefficients!E16</f>
        <v>-1.3015858506</v>
      </c>
      <c r="AS8" s="54">
        <f>VLOOKUP(AP8,$T$55:$AC$62,8,FALSE)</f>
        <v>-1.3114821693722032</v>
      </c>
      <c r="AU8">
        <f>OtherCoefficients!B16</f>
        <v>31</v>
      </c>
      <c r="AV8" t="str">
        <f>OtherCoefficients!C16</f>
        <v>sr-hhcu5</v>
      </c>
      <c r="AW8">
        <f>OtherCoefficients!E16</f>
        <v>0.59818794862500002</v>
      </c>
      <c r="AX8">
        <f si="2" t="shared"/>
        <v>0.59818794862500002</v>
      </c>
      <c r="AZ8" s="54">
        <f>WorkBasedCoefficients!B16</f>
        <v>50</v>
      </c>
      <c r="BA8" s="54" t="str">
        <f>WorkBasedCoefficients!C16</f>
        <v>da-const</v>
      </c>
      <c r="BB8" s="54">
        <f>WorkBasedCoefficients!E16</f>
        <v>-2.30718445759</v>
      </c>
      <c r="BC8" s="54">
        <f si="5" t="shared"/>
        <v>-2.3562613456207195</v>
      </c>
    </row>
    <row r="9" spans="2:55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AF9" s="54">
        <f>WorkCoefficients!B17</f>
        <v>30</v>
      </c>
      <c r="AG9" s="54" t="str">
        <f>WorkCoefficients!C17</f>
        <v>s3-const</v>
      </c>
      <c r="AH9" s="54">
        <f>WorkCoefficients!E17</f>
        <v>-0.96957991101999996</v>
      </c>
      <c r="AI9" s="54">
        <f si="6" t="shared"/>
        <v>-0.96699147682510023</v>
      </c>
      <c r="AK9">
        <f>SchoolCoeffcients!B17</f>
        <v>21</v>
      </c>
      <c r="AL9" t="str">
        <f>SchoolCoeffcients!C17</f>
        <v>wt-nocars</v>
      </c>
      <c r="AM9" s="55">
        <f>SchoolCoeffcients!E17</f>
        <v>1.02924701291</v>
      </c>
      <c r="AN9" s="55">
        <f si="1" t="shared"/>
        <v>1.02924701291</v>
      </c>
      <c r="AP9">
        <f>EscortCoefficients!B17</f>
        <v>41</v>
      </c>
      <c r="AQ9" t="str">
        <f>EscortCoefficients!C17</f>
        <v>sr-nocars</v>
      </c>
      <c r="AR9">
        <f>EscortCoefficients!E17</f>
        <v>-5.9139999999999997</v>
      </c>
      <c r="AS9">
        <f si="4" t="shared"/>
        <v>-5.9139999999999997</v>
      </c>
      <c r="AU9">
        <f>OtherCoefficients!B17</f>
        <v>32</v>
      </c>
      <c r="AV9" t="str">
        <f>OtherCoefficients!C17</f>
        <v>sr-hh515</v>
      </c>
      <c r="AW9">
        <f>OtherCoefficients!E17</f>
        <v>0.126346118476</v>
      </c>
      <c r="AX9">
        <f si="2" t="shared"/>
        <v>0.126346118476</v>
      </c>
      <c r="AZ9">
        <f>WorkBasedCoefficients!B17</f>
        <v>54</v>
      </c>
      <c r="BA9" t="str">
        <f>WorkBasedCoefficients!C17</f>
        <v>da-incu25</v>
      </c>
      <c r="BB9">
        <f>WorkBasedCoefficients!E17</f>
        <v>-0.13556679442799999</v>
      </c>
      <c r="BC9">
        <f si="3" t="shared"/>
        <v>-0.13556679442799999</v>
      </c>
    </row>
    <row r="10" spans="2:55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AF10">
        <f>WorkCoefficients!B18</f>
        <v>31</v>
      </c>
      <c r="AG10" t="str">
        <f>WorkCoefficients!C18</f>
        <v>sr-hhcu5</v>
      </c>
      <c r="AH10">
        <f>WorkCoefficients!E18</f>
        <v>0.32331883684899998</v>
      </c>
      <c r="AI10">
        <f si="0" t="shared"/>
        <v>0.32331883684899998</v>
      </c>
      <c r="AK10">
        <f>SchoolCoeffcients!B18</f>
        <v>22</v>
      </c>
      <c r="AL10" t="str">
        <f>SchoolCoeffcients!C18</f>
        <v>wt-carsltd</v>
      </c>
      <c r="AM10" s="55">
        <f>SchoolCoeffcients!E18</f>
        <v>0.28476332632899998</v>
      </c>
      <c r="AN10" s="55">
        <f si="1" t="shared"/>
        <v>0.28476332632899998</v>
      </c>
      <c r="AP10">
        <f>EscortCoefficients!B18</f>
        <v>42</v>
      </c>
      <c r="AQ10" t="str">
        <f>EscortCoefficients!C18</f>
        <v>sr-carsltd</v>
      </c>
      <c r="AR10">
        <f>EscortCoefficients!E18</f>
        <v>-3.2567490020500002E-2</v>
      </c>
      <c r="AS10">
        <f si="4" t="shared"/>
        <v>-3.2567490020500002E-2</v>
      </c>
      <c r="AU10">
        <f>OtherCoefficients!B18</f>
        <v>34</v>
      </c>
      <c r="AV10" t="str">
        <f>OtherCoefficients!C18</f>
        <v>sr-hhnwa</v>
      </c>
      <c r="AW10">
        <f>OtherCoefficients!E18</f>
        <v>0.182457426512</v>
      </c>
      <c r="AX10">
        <f si="2" t="shared"/>
        <v>0.182457426512</v>
      </c>
      <c r="AZ10">
        <f>WorkBasedCoefficients!B18</f>
        <v>55</v>
      </c>
      <c r="BA10" t="str">
        <f>WorkBasedCoefficients!C18</f>
        <v>da-inc2550</v>
      </c>
      <c r="BB10">
        <f>WorkBasedCoefficients!E18</f>
        <v>-0.13243830190100001</v>
      </c>
      <c r="BC10">
        <f si="3" t="shared"/>
        <v>-0.13243830190100001</v>
      </c>
    </row>
    <row r="11" spans="2:55" x14ac:dyDescent="0.25">
      <c r="B11" s="9" t="s">
        <v>7</v>
      </c>
      <c r="AF11">
        <f>WorkCoefficients!B19</f>
        <v>32</v>
      </c>
      <c r="AG11" t="str">
        <f>WorkCoefficients!C19</f>
        <v>sr-hh515</v>
      </c>
      <c r="AH11">
        <f>WorkCoefficients!E19</f>
        <v>0.27882626875799998</v>
      </c>
      <c r="AI11">
        <f si="0" t="shared"/>
        <v>0.27882626875799998</v>
      </c>
      <c r="AK11">
        <f>SchoolCoeffcients!B19</f>
        <v>27</v>
      </c>
      <c r="AL11" t="str">
        <f>SchoolCoeffcients!C19</f>
        <v>wt-chun5</v>
      </c>
      <c r="AM11" s="55">
        <f>SchoolCoeffcients!E19</f>
        <v>-5</v>
      </c>
      <c r="AN11" s="55">
        <f si="1" t="shared"/>
        <v>-5</v>
      </c>
      <c r="AP11" s="61">
        <f>EscortCoefficients!B19</f>
        <v>50</v>
      </c>
      <c r="AQ11" s="61" t="str">
        <f>EscortCoefficients!C19</f>
        <v>hov-const</v>
      </c>
      <c r="AR11" s="61">
        <f>EscortCoefficients!E19</f>
        <v>-10</v>
      </c>
      <c r="AS11" s="61">
        <f>AR11</f>
        <v>-10</v>
      </c>
      <c r="AU11">
        <f>OtherCoefficients!B19</f>
        <v>35</v>
      </c>
      <c r="AV11" t="str">
        <f>OtherCoefficients!C19</f>
        <v>sr-lndist</v>
      </c>
      <c r="AW11">
        <f>OtherCoefficients!E19</f>
        <v>0.22510711488400001</v>
      </c>
      <c r="AX11">
        <f si="2" t="shared"/>
        <v>0.22510711488400001</v>
      </c>
      <c r="AZ11">
        <f>WorkBasedCoefficients!B19</f>
        <v>58</v>
      </c>
      <c r="BA11" t="str">
        <f>WorkBasedCoefficients!C19</f>
        <v>da-dtowork</v>
      </c>
      <c r="BB11">
        <f>WorkBasedCoefficients!E19</f>
        <v>2.76787980308</v>
      </c>
      <c r="BC11">
        <f si="3" t="shared"/>
        <v>2.76787980308</v>
      </c>
    </row>
    <row r="12" spans="2:55" x14ac:dyDescent="0.25">
      <c r="B12" s="14" t="s">
        <v>8</v>
      </c>
      <c r="D12" t="s">
        <v>199</v>
      </c>
      <c r="AF12">
        <f>WorkCoefficients!B20</f>
        <v>35</v>
      </c>
      <c r="AG12" t="str">
        <f>WorkCoefficients!C20</f>
        <v>sr-lndist</v>
      </c>
      <c r="AH12">
        <f>WorkCoefficients!E20</f>
        <v>-0.135816439973</v>
      </c>
      <c r="AI12">
        <f si="0" t="shared"/>
        <v>-0.135816439973</v>
      </c>
      <c r="AK12">
        <f>SchoolCoeffcients!B20</f>
        <v>28</v>
      </c>
      <c r="AL12" t="str">
        <f>SchoolCoeffcients!C20</f>
        <v>wt-univtr</v>
      </c>
      <c r="AM12" s="55">
        <f>SchoolCoeffcients!E20</f>
        <v>1.6189300503899999</v>
      </c>
      <c r="AN12" s="55">
        <f si="1" t="shared"/>
        <v>1.6189300503899999</v>
      </c>
      <c r="AP12" s="54">
        <f>EscortCoefficients!B20</f>
        <v>60</v>
      </c>
      <c r="AQ12" s="54" t="str">
        <f>EscortCoefficients!C20</f>
        <v>bi-const</v>
      </c>
      <c r="AR12" s="54">
        <f>EscortCoefficients!E20</f>
        <v>-10</v>
      </c>
      <c r="AS12" s="54">
        <f>VLOOKUP(AP12,$T$55:$AC$62,8,FALSE)</f>
        <v>-10</v>
      </c>
      <c r="AU12">
        <f>OtherCoefficients!B20</f>
        <v>38</v>
      </c>
      <c r="AV12" t="str">
        <f>OtherCoefficients!C20</f>
        <v>s3-onephh</v>
      </c>
      <c r="AW12">
        <f>OtherCoefficients!E20</f>
        <v>-3.6449456511</v>
      </c>
      <c r="AX12">
        <f si="2" t="shared"/>
        <v>-3.6449456511</v>
      </c>
      <c r="AZ12">
        <f>WorkBasedCoefficients!B20</f>
        <v>59</v>
      </c>
      <c r="BA12" t="str">
        <f>WorkBasedCoefficients!C20</f>
        <v>da-stowork</v>
      </c>
      <c r="BB12">
        <f>WorkBasedCoefficients!E20</f>
        <v>2.0325205083700002</v>
      </c>
      <c r="BC12">
        <f si="3" t="shared"/>
        <v>2.0325205083700002</v>
      </c>
    </row>
    <row r="13" spans="2:55" x14ac:dyDescent="0.25">
      <c r="C13" s="38"/>
      <c r="D13" s="38"/>
      <c r="E13" s="38"/>
      <c r="F13" s="38"/>
      <c r="G13" s="38"/>
      <c r="H13" s="45"/>
      <c r="AF13">
        <f>WorkCoefficients!B21</f>
        <v>38</v>
      </c>
      <c r="AG13" t="str">
        <f>WorkCoefficients!C21</f>
        <v>s3-onephh</v>
      </c>
      <c r="AH13">
        <f>WorkCoefficients!E21</f>
        <v>-0.61753363761699998</v>
      </c>
      <c r="AI13">
        <f si="0" t="shared"/>
        <v>-0.61753363761699998</v>
      </c>
      <c r="AK13">
        <f>SchoolCoeffcients!B21</f>
        <v>29</v>
      </c>
      <c r="AL13" t="str">
        <f>SchoolCoeffcients!C21</f>
        <v>wt-ch1617</v>
      </c>
      <c r="AM13" s="55">
        <f>SchoolCoeffcients!E21</f>
        <v>1.4418614350800001</v>
      </c>
      <c r="AN13" s="55">
        <f si="1" t="shared"/>
        <v>1.4418614350800001</v>
      </c>
      <c r="AP13">
        <f>EscortCoefficients!B21</f>
        <v>73</v>
      </c>
      <c r="AQ13" t="str">
        <f>EscortCoefficients!C21</f>
        <v>wk-ageo50</v>
      </c>
      <c r="AR13">
        <f>EscortCoefficients!E21</f>
        <v>-2.3805019629599999</v>
      </c>
      <c r="AS13">
        <f si="4" t="shared"/>
        <v>-2.3805019629599999</v>
      </c>
      <c r="AU13">
        <f>OtherCoefficients!B21</f>
        <v>39</v>
      </c>
      <c r="AV13" t="str">
        <f>OtherCoefficients!C21</f>
        <v>s3-twophh</v>
      </c>
      <c r="AW13">
        <f>OtherCoefficients!E21</f>
        <v>-2.0456438236599999</v>
      </c>
      <c r="AX13">
        <f si="2" t="shared"/>
        <v>-2.0456438236599999</v>
      </c>
      <c r="AZ13" s="54">
        <f>WorkBasedCoefficients!B21</f>
        <v>60</v>
      </c>
      <c r="BA13" s="54" t="str">
        <f>WorkBasedCoefficients!C21</f>
        <v>bi-const</v>
      </c>
      <c r="BB13" s="54">
        <f>WorkBasedCoefficients!E21</f>
        <v>-4.8566896576699996</v>
      </c>
      <c r="BC13" s="54">
        <f>VLOOKUP(AZ13,$V$55:$AC$62,8,FALSE)</f>
        <v>-4.9590083114285584</v>
      </c>
    </row>
    <row r="14" spans="2:55" x14ac:dyDescent="0.25">
      <c r="AF14">
        <f>WorkCoefficients!B22</f>
        <v>39</v>
      </c>
      <c r="AG14" t="str">
        <f>WorkCoefficients!C22</f>
        <v>s3-twophh</v>
      </c>
      <c r="AH14">
        <f>WorkCoefficients!E22</f>
        <v>-1.24532834343</v>
      </c>
      <c r="AI14">
        <f si="0" t="shared"/>
        <v>-1.24532834343</v>
      </c>
      <c r="AK14" s="54">
        <f>SchoolCoeffcients!B22</f>
        <v>30</v>
      </c>
      <c r="AL14" s="54" t="str">
        <f>SchoolCoeffcients!C22</f>
        <v>s3-const</v>
      </c>
      <c r="AM14" s="56">
        <f>SchoolCoeffcients!E22</f>
        <v>-0.436326716236</v>
      </c>
      <c r="AN14" s="54">
        <f>VLOOKUP(AK14,$S$55:$AC$62,8,FALSE)</f>
        <v>-0.41956423906808538</v>
      </c>
      <c r="AP14">
        <f>EscortCoefficients!B22</f>
        <v>76</v>
      </c>
      <c r="AQ14" t="str">
        <f>EscortCoefficients!C22</f>
        <v>wk-dintd</v>
      </c>
      <c r="AR14">
        <f>EscortCoefficients!E22</f>
        <v>1.5103600785499999E-3</v>
      </c>
      <c r="AS14">
        <f si="4" t="shared"/>
        <v>1.5103600785499999E-3</v>
      </c>
      <c r="AU14" s="54">
        <f>OtherCoefficients!B22</f>
        <v>40</v>
      </c>
      <c r="AV14" s="54" t="str">
        <f>OtherCoefficients!C22</f>
        <v>s2-const</v>
      </c>
      <c r="AW14" s="54">
        <f>OtherCoefficients!E22</f>
        <v>-0.72293440404700005</v>
      </c>
      <c r="AX14" s="54">
        <f>VLOOKUP(AU14,$U$55:$AC$62,8,FALSE)</f>
        <v>-0.75002961628854481</v>
      </c>
      <c r="AZ14">
        <f>WorkBasedCoefficients!B22</f>
        <v>61</v>
      </c>
      <c r="BA14" t="str">
        <f>WorkBasedCoefficients!C22</f>
        <v>bi-male</v>
      </c>
      <c r="BB14">
        <f>WorkBasedCoefficients!E22</f>
        <v>-7.61146297547E-2</v>
      </c>
      <c r="BC14">
        <f si="3" t="shared"/>
        <v>-7.61146297547E-2</v>
      </c>
    </row>
    <row r="15" spans="2:55" x14ac:dyDescent="0.25">
      <c r="B15" s="59" t="s">
        <v>252</v>
      </c>
      <c r="J15" s="36" t="s">
        <v>33</v>
      </c>
      <c r="AF15" s="54">
        <f>WorkCoefficients!B23</f>
        <v>40</v>
      </c>
      <c r="AG15" s="54" t="str">
        <f>WorkCoefficients!C23</f>
        <v>s2-const</v>
      </c>
      <c r="AH15" s="54">
        <f>WorkCoefficients!E23</f>
        <v>-0.43668173859600001</v>
      </c>
      <c r="AI15" s="54">
        <f>VLOOKUP(AF15,$R$55:$AC$62,8,FALSE)</f>
        <v>-0.43448907272092813</v>
      </c>
      <c r="AK15">
        <f>SchoolCoeffcients!B23</f>
        <v>37</v>
      </c>
      <c r="AL15" t="str">
        <f>SchoolCoeffcients!C23</f>
        <v>s3-twophh</v>
      </c>
      <c r="AM15" s="55">
        <f>SchoolCoeffcients!E23</f>
        <v>-1.17061677191</v>
      </c>
      <c r="AN15" s="55">
        <f si="1" t="shared"/>
        <v>-1.17061677191</v>
      </c>
      <c r="AP15">
        <f>EscortCoefficients!B23</f>
        <v>81</v>
      </c>
      <c r="AQ15" t="str">
        <f>EscortCoefficients!C23</f>
        <v>wk-hhcu5</v>
      </c>
      <c r="AR15">
        <f>EscortCoefficients!E23</f>
        <v>0.91500335831599999</v>
      </c>
      <c r="AS15">
        <f si="4" t="shared"/>
        <v>0.91500335831599999</v>
      </c>
      <c r="AU15">
        <f>OtherCoefficients!B23</f>
        <v>41</v>
      </c>
      <c r="AV15" t="str">
        <f>OtherCoefficients!C23</f>
        <v>sr-nocars</v>
      </c>
      <c r="AW15">
        <f>OtherCoefficients!E23</f>
        <v>-0.92857142151799998</v>
      </c>
      <c r="AX15">
        <f si="2" t="shared"/>
        <v>-0.92857142151799998</v>
      </c>
      <c r="AZ15">
        <f>WorkBasedCoefficients!B23</f>
        <v>69</v>
      </c>
      <c r="BA15" t="str">
        <f>WorkBasedCoefficients!C23</f>
        <v>bi-btowork</v>
      </c>
      <c r="BB15">
        <f>WorkBasedCoefficients!E23</f>
        <v>4.2535185960500002</v>
      </c>
      <c r="BC15">
        <f si="3" t="shared"/>
        <v>4.2535185960500002</v>
      </c>
    </row>
    <row ht="15.75" r="16" spans="2:55" thickBot="1" x14ac:dyDescent="0.3">
      <c r="X16" t="s">
        <v>250</v>
      </c>
      <c r="AF16">
        <f>WorkCoefficients!B24</f>
        <v>41</v>
      </c>
      <c r="AG16" t="str">
        <f>WorkCoefficients!C24</f>
        <v>sr-nocars</v>
      </c>
      <c r="AH16">
        <f>WorkCoefficients!E24</f>
        <v>-3.1062781391100001</v>
      </c>
      <c r="AI16">
        <f si="0" t="shared"/>
        <v>-3.1062781391100001</v>
      </c>
      <c r="AK16">
        <f>SchoolCoeffcients!B24</f>
        <v>38</v>
      </c>
      <c r="AL16" t="str">
        <f>SchoolCoeffcients!C24</f>
        <v>s2-onephh</v>
      </c>
      <c r="AM16" s="55">
        <f>SchoolCoeffcients!E24</f>
        <v>-0.50005425535900005</v>
      </c>
      <c r="AN16" s="55">
        <f si="1" t="shared"/>
        <v>-0.50005425535900005</v>
      </c>
      <c r="AP16">
        <f>EscortCoefficients!B24</f>
        <v>82</v>
      </c>
      <c r="AQ16" t="str">
        <f>EscortCoefficients!C24</f>
        <v>wk-hh515</v>
      </c>
      <c r="AR16">
        <f>EscortCoefficients!E24</f>
        <v>-2.7232831171200001E-2</v>
      </c>
      <c r="AS16">
        <f si="4" t="shared"/>
        <v>-2.7232831171200001E-2</v>
      </c>
      <c r="AU16">
        <f>OtherCoefficients!B24</f>
        <v>43</v>
      </c>
      <c r="AV16" t="str">
        <f>OtherCoefficients!C24</f>
        <v>sr-carsltw</v>
      </c>
      <c r="AW16">
        <f>OtherCoefficients!E24</f>
        <v>-0.115623185214</v>
      </c>
      <c r="AX16">
        <f si="2" t="shared"/>
        <v>-0.115623185214</v>
      </c>
      <c r="AZ16">
        <f>WorkBasedCoefficients!B24</f>
        <v>79</v>
      </c>
      <c r="BA16" t="str">
        <f>WorkBasedCoefficients!C24</f>
        <v>wk-wtowork</v>
      </c>
      <c r="BB16">
        <f>WorkBasedCoefficients!E24</f>
        <v>5</v>
      </c>
      <c r="BC16">
        <f si="3" t="shared"/>
        <v>5</v>
      </c>
    </row>
    <row r="17" spans="2:55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X17" s="2" t="s">
        <v>0</v>
      </c>
      <c r="Y17" s="2" t="s">
        <v>195</v>
      </c>
      <c r="Z17" s="2" t="s">
        <v>196</v>
      </c>
      <c r="AA17" s="2" t="s">
        <v>197</v>
      </c>
      <c r="AB17" s="2" t="s">
        <v>198</v>
      </c>
      <c r="AC17" s="2" t="s">
        <v>216</v>
      </c>
      <c r="AF17">
        <f>WorkCoefficients!B25</f>
        <v>42</v>
      </c>
      <c r="AG17" t="str">
        <f>WorkCoefficients!C25</f>
        <v>sr-carsltd</v>
      </c>
      <c r="AH17">
        <f>WorkCoefficients!E25</f>
        <v>0.43342144713399999</v>
      </c>
      <c r="AI17">
        <f si="0" t="shared"/>
        <v>0.43342144713399999</v>
      </c>
      <c r="AK17" s="54">
        <f>SchoolCoeffcients!B25</f>
        <v>40</v>
      </c>
      <c r="AL17" s="54" t="str">
        <f>SchoolCoeffcients!C25</f>
        <v>s2-const</v>
      </c>
      <c r="AM17" s="56">
        <f>SchoolCoeffcients!E25</f>
        <v>-1.07632083804</v>
      </c>
      <c r="AN17" s="54">
        <f>VLOOKUP(AK17,$S$55:$AC$62,8,FALSE)</f>
        <v>-1.0561180979515004</v>
      </c>
      <c r="AP17">
        <f>EscortCoefficients!B25</f>
        <v>83</v>
      </c>
      <c r="AQ17" t="str">
        <f>EscortCoefficients!C25</f>
        <v>wk-hhdas</v>
      </c>
      <c r="AR17">
        <f>EscortCoefficients!E25</f>
        <v>-1.41548419308</v>
      </c>
      <c r="AS17">
        <f si="4" t="shared"/>
        <v>-1.41548419308</v>
      </c>
      <c r="AU17">
        <f>OtherCoefficients!B25</f>
        <v>48</v>
      </c>
      <c r="AV17" t="str">
        <f>OtherCoefficients!C25</f>
        <v>s2-onephh</v>
      </c>
      <c r="AW17">
        <f>OtherCoefficients!E25</f>
        <v>-2.1236838848900002</v>
      </c>
      <c r="AX17">
        <f si="2" t="shared"/>
        <v>-2.1236838848900002</v>
      </c>
      <c r="AZ17">
        <f>WorkBasedCoefficients!B25</f>
        <v>88</v>
      </c>
      <c r="BA17" t="str">
        <f>WorkBasedCoefficients!C25</f>
        <v>sr-dtowork</v>
      </c>
      <c r="BB17">
        <f>WorkBasedCoefficients!E25</f>
        <v>-0.23852894050599999</v>
      </c>
      <c r="BC17">
        <f si="3" t="shared"/>
        <v>-0.23852894050599999</v>
      </c>
    </row>
    <row r="18" spans="2:55" x14ac:dyDescent="0.25">
      <c r="B18" s="9" t="s">
        <v>1</v>
      </c>
      <c r="C18" s="9">
        <v>401600.8324410257</v>
      </c>
      <c r="D18" s="9">
        <v>26042.819737803991</v>
      </c>
      <c r="E18" s="9">
        <v>3639.8029643118603</v>
      </c>
      <c r="F18" s="9">
        <v>243172.36992416636</v>
      </c>
      <c r="G18" s="9">
        <v>45169.942135265708</v>
      </c>
      <c r="H18" s="9">
        <v>719625.7672025736</v>
      </c>
      <c r="J18" s="9" t="s">
        <v>1</v>
      </c>
      <c r="K18" s="9">
        <f>Work!I4</f>
        <v>397700</v>
      </c>
      <c r="L18" s="9">
        <f>School!I4</f>
        <v>28215</v>
      </c>
      <c r="M18" s="9">
        <f>Escort!I4</f>
        <v>200</v>
      </c>
      <c r="N18" s="9">
        <f>Shop!I4+Meal!I4+SocRec!I4+Personal_Business!I4</f>
        <v>247785</v>
      </c>
      <c r="O18" s="9">
        <f>Workbased!S5</f>
        <v>49270</v>
      </c>
      <c r="P18" s="9">
        <f>SUM(K18:O18)</f>
        <v>723170</v>
      </c>
      <c r="X18" s="9" t="s">
        <v>1</v>
      </c>
      <c r="Y18" s="52">
        <v>50</v>
      </c>
      <c r="Z18" s="52">
        <v>50</v>
      </c>
      <c r="AA18" s="52">
        <v>50</v>
      </c>
      <c r="AB18" s="52">
        <v>50</v>
      </c>
      <c r="AC18" s="52">
        <v>50</v>
      </c>
      <c r="AF18">
        <f>WorkCoefficients!B26</f>
        <v>48</v>
      </c>
      <c r="AG18" t="str">
        <f>WorkCoefficients!C26</f>
        <v>s2-onephh</v>
      </c>
      <c r="AH18">
        <f>WorkCoefficients!E26</f>
        <v>-0.39332327498699998</v>
      </c>
      <c r="AI18">
        <f si="0" t="shared"/>
        <v>-0.39332327498699998</v>
      </c>
      <c r="AK18">
        <f>SchoolCoeffcients!B26</f>
        <v>41</v>
      </c>
      <c r="AL18" t="str">
        <f>SchoolCoeffcients!C26</f>
        <v>sr-nocars</v>
      </c>
      <c r="AM18" s="55">
        <f>SchoolCoeffcients!E26</f>
        <v>-1.7451141218699999</v>
      </c>
      <c r="AN18" s="55">
        <f si="1" t="shared"/>
        <v>-1.7451141218699999</v>
      </c>
      <c r="AU18" s="54">
        <f>OtherCoefficients!B26</f>
        <v>50</v>
      </c>
      <c r="AV18" s="54" t="str">
        <f>OtherCoefficients!C26</f>
        <v>da-const</v>
      </c>
      <c r="AW18" s="54">
        <f>OtherCoefficients!E26</f>
        <v>1.21463609016</v>
      </c>
      <c r="AX18" s="54">
        <f>VLOOKUP(AU18,$U$55:$AC$62,8,FALSE)</f>
        <v>1.1874614780592381</v>
      </c>
      <c r="AZ18">
        <f>WorkBasedCoefficients!B26</f>
        <v>89</v>
      </c>
      <c r="BA18" t="str">
        <f>WorkBasedCoefficients!C26</f>
        <v>sr-stowork</v>
      </c>
      <c r="BB18">
        <f>WorkBasedCoefficients!E26</f>
        <v>1.3187843664700001</v>
      </c>
      <c r="BC18">
        <f si="3" t="shared"/>
        <v>1.3187843664700001</v>
      </c>
    </row>
    <row r="19" spans="2:55" x14ac:dyDescent="0.25">
      <c r="B19" s="9" t="s">
        <v>2</v>
      </c>
      <c r="C19" s="9">
        <v>112824.43821655626</v>
      </c>
      <c r="D19" s="9">
        <v>35821.452294372197</v>
      </c>
      <c r="E19" s="9">
        <v>84762.791002731101</v>
      </c>
      <c r="F19" s="9">
        <v>204556.40834537183</v>
      </c>
      <c r="G19" s="9">
        <v>19423.195016171219</v>
      </c>
      <c r="H19" s="9">
        <v>457388.28487520257</v>
      </c>
      <c r="J19" s="9" t="s">
        <v>2</v>
      </c>
      <c r="K19" s="9">
        <f>Work!I5</f>
        <v>111230</v>
      </c>
      <c r="L19" s="9">
        <f>School!I5</f>
        <v>38670</v>
      </c>
      <c r="M19" s="9">
        <f>Escort!I5</f>
        <v>86365</v>
      </c>
      <c r="N19" s="9">
        <f>Shop!I5+Meal!I5+SocRec!I5+Personal_Business!I5</f>
        <v>208420</v>
      </c>
      <c r="O19" s="9">
        <f>Workbased!S6</f>
        <v>21065</v>
      </c>
      <c r="P19" s="9">
        <f ref="P19:P25" si="7" t="shared">SUM(K19:O19)</f>
        <v>465750</v>
      </c>
      <c r="X19" s="9" t="s">
        <v>2</v>
      </c>
      <c r="Y19" s="52">
        <v>40</v>
      </c>
      <c r="Z19" s="52">
        <v>40</v>
      </c>
      <c r="AA19" s="52">
        <v>40</v>
      </c>
      <c r="AB19" s="52">
        <v>40</v>
      </c>
      <c r="AC19" s="52">
        <v>40</v>
      </c>
      <c r="AF19" s="54">
        <f>WorkCoefficients!B27</f>
        <v>50</v>
      </c>
      <c r="AG19" s="54" t="str">
        <f>WorkCoefficients!C27</f>
        <v>da-const</v>
      </c>
      <c r="AH19" s="54">
        <f>WorkCoefficients!E27</f>
        <v>2.20032936544</v>
      </c>
      <c r="AI19" s="54">
        <f>VLOOKUP(AF19,$R$55:$AC$62,8,FALSE)</f>
        <v>2.1980498834375086</v>
      </c>
      <c r="AK19">
        <f>SchoolCoeffcients!B27</f>
        <v>44</v>
      </c>
      <c r="AL19" t="str">
        <f>SchoolCoeffcients!C27</f>
        <v>sr-incu25</v>
      </c>
      <c r="AM19" s="55">
        <f>SchoolCoeffcients!E27</f>
        <v>-0.26427109019</v>
      </c>
      <c r="AN19" s="55">
        <f si="1" t="shared"/>
        <v>-0.26427109019</v>
      </c>
      <c r="AU19">
        <f>OtherCoefficients!B27</f>
        <v>52</v>
      </c>
      <c r="AV19" t="str">
        <f>OtherCoefficients!C27</f>
        <v>da-carsltd</v>
      </c>
      <c r="AW19">
        <f>OtherCoefficients!E27</f>
        <v>-0.87685347122000001</v>
      </c>
      <c r="AX19">
        <f si="2" t="shared"/>
        <v>-0.87685347122000001</v>
      </c>
      <c r="AZ19">
        <f>WorkBasedCoefficients!B27</f>
        <v>99</v>
      </c>
      <c r="BA19" t="str">
        <f>WorkBasedCoefficients!C27</f>
        <v>modenest</v>
      </c>
      <c r="BB19">
        <f>WorkBasedCoefficients!E27</f>
        <v>0.96666822906600003</v>
      </c>
      <c r="BC19">
        <f si="3" t="shared"/>
        <v>0.96666822906600003</v>
      </c>
    </row>
    <row r="20" spans="2:55" x14ac:dyDescent="0.25">
      <c r="B20" s="9" t="s">
        <v>3</v>
      </c>
      <c r="C20" s="9">
        <v>42162.286071564646</v>
      </c>
      <c r="D20" s="9">
        <v>75117.174888402107</v>
      </c>
      <c r="E20" s="9">
        <v>85755.860114468887</v>
      </c>
      <c r="F20" s="9">
        <v>127101.64341559689</v>
      </c>
      <c r="G20" s="9">
        <v>7958.8233339464941</v>
      </c>
      <c r="H20" s="9">
        <v>338095.78782397904</v>
      </c>
      <c r="J20" s="9" t="s">
        <v>3</v>
      </c>
      <c r="K20" s="9">
        <f>Work!I6</f>
        <v>41550</v>
      </c>
      <c r="L20" s="9">
        <f>School!I6</f>
        <v>81370</v>
      </c>
      <c r="M20" s="9">
        <f>Escort!I6</f>
        <v>87085</v>
      </c>
      <c r="N20" s="9">
        <f>Shop!I6+Meal!I6+SocRec!I6+Personal_Business!I6</f>
        <v>129420</v>
      </c>
      <c r="O20" s="9">
        <f>Workbased!S7</f>
        <v>8760</v>
      </c>
      <c r="P20" s="9">
        <f si="7" t="shared"/>
        <v>348185</v>
      </c>
      <c r="X20" s="9" t="s">
        <v>3</v>
      </c>
      <c r="Y20" s="52">
        <v>30</v>
      </c>
      <c r="Z20" s="52">
        <v>30</v>
      </c>
      <c r="AA20" s="52">
        <v>30</v>
      </c>
      <c r="AB20" s="52">
        <v>30</v>
      </c>
      <c r="AC20" s="52">
        <v>30</v>
      </c>
      <c r="AF20">
        <f>WorkCoefficients!B28</f>
        <v>53</v>
      </c>
      <c r="AG20" t="str">
        <f>WorkCoefficients!C28</f>
        <v>da-carsltw</v>
      </c>
      <c r="AH20">
        <f>WorkCoefficients!E28</f>
        <v>-1.27744217244</v>
      </c>
      <c r="AI20">
        <f si="0" t="shared"/>
        <v>-1.27744217244</v>
      </c>
      <c r="AK20">
        <f>SchoolCoeffcients!B28</f>
        <v>45</v>
      </c>
      <c r="AL20" t="str">
        <f>SchoolCoeffcients!C28</f>
        <v>sr-inc2550</v>
      </c>
      <c r="AM20" s="55">
        <f>SchoolCoeffcients!E28</f>
        <v>-0.26346992705599998</v>
      </c>
      <c r="AN20" s="55">
        <f si="1" t="shared"/>
        <v>-0.26346992705599998</v>
      </c>
      <c r="AU20">
        <f>OtherCoefficients!B28</f>
        <v>54</v>
      </c>
      <c r="AV20" t="str">
        <f>OtherCoefficients!C28</f>
        <v>inc0to25k</v>
      </c>
      <c r="AW20">
        <f>OtherCoefficients!E28</f>
        <v>0.114530953724</v>
      </c>
      <c r="AX20">
        <f si="2" t="shared"/>
        <v>0.114530953724</v>
      </c>
    </row>
    <row r="21" spans="2:55" x14ac:dyDescent="0.25">
      <c r="B21" s="9" t="s">
        <v>4</v>
      </c>
      <c r="C21" s="9">
        <v>1846.853134395958</v>
      </c>
      <c r="D21" s="9">
        <v>0</v>
      </c>
      <c r="E21" s="9">
        <v>0</v>
      </c>
      <c r="F21" s="9">
        <v>0</v>
      </c>
      <c r="G21" s="9">
        <v>0</v>
      </c>
      <c r="H21" s="9">
        <v>1846.853134395958</v>
      </c>
      <c r="J21" s="9" t="s">
        <v>4</v>
      </c>
      <c r="K21" s="9">
        <f>Work!I7</f>
        <v>1940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7" t="shared"/>
        <v>1940</v>
      </c>
      <c r="X21" s="9" t="s">
        <v>4</v>
      </c>
      <c r="Y21" s="52">
        <v>10</v>
      </c>
      <c r="Z21" s="52"/>
      <c r="AA21" s="52"/>
      <c r="AB21" s="52"/>
      <c r="AC21" s="52"/>
      <c r="AF21">
        <f>WorkCoefficients!B29</f>
        <v>54</v>
      </c>
      <c r="AG21" t="str">
        <f>WorkCoefficients!C29</f>
        <v>da-incu25</v>
      </c>
      <c r="AH21">
        <f>WorkCoefficients!E29</f>
        <v>-0.17415467666600001</v>
      </c>
      <c r="AI21">
        <f si="0" t="shared"/>
        <v>-0.17415467666600001</v>
      </c>
      <c r="AK21">
        <f>SchoolCoeffcients!B29</f>
        <v>47</v>
      </c>
      <c r="AL21" t="str">
        <f>SchoolCoeffcients!C29</f>
        <v>sr-chun5</v>
      </c>
      <c r="AM21" s="55">
        <f>SchoolCoeffcients!E29</f>
        <v>1.3756218553499999</v>
      </c>
      <c r="AN21" s="55">
        <f si="1" t="shared"/>
        <v>1.3756218553499999</v>
      </c>
      <c r="AU21" s="54">
        <f>OtherCoefficients!B29</f>
        <v>60</v>
      </c>
      <c r="AV21" s="54" t="str">
        <f>OtherCoefficients!C29</f>
        <v>bi-const</v>
      </c>
      <c r="AW21" s="54">
        <f>OtherCoefficients!E29</f>
        <v>-6.5774811724299997</v>
      </c>
      <c r="AX21" s="54">
        <f>VLOOKUP(AU21,$U$55:$AC$62,8,FALSE)</f>
        <v>-6.6284766218602575</v>
      </c>
    </row>
    <row r="22" spans="2:55" x14ac:dyDescent="0.25">
      <c r="B22" s="9" t="s">
        <v>5</v>
      </c>
      <c r="C22" s="9">
        <v>3522.6084412781775</v>
      </c>
      <c r="D22" s="9">
        <v>1430.9634958630434</v>
      </c>
      <c r="E22" s="9">
        <v>0</v>
      </c>
      <c r="F22" s="9">
        <v>4651.1609222185944</v>
      </c>
      <c r="G22" s="9">
        <v>142.99112267065908</v>
      </c>
      <c r="H22" s="9">
        <v>9747.7239820304731</v>
      </c>
      <c r="J22" s="9" t="s">
        <v>5</v>
      </c>
      <c r="K22" s="9">
        <f>Work!I8</f>
        <v>3105</v>
      </c>
      <c r="L22" s="9">
        <f>School!I8</f>
        <v>1295</v>
      </c>
      <c r="M22" s="9">
        <f>Escort!I8</f>
        <v>0</v>
      </c>
      <c r="N22" s="9">
        <f>Shop!I8+Meal!I8+SocRec!I8+Personal_Business!I8</f>
        <v>4100</v>
      </c>
      <c r="O22" s="9">
        <f>Workbased!S9</f>
        <v>165</v>
      </c>
      <c r="P22" s="9">
        <f si="7" t="shared"/>
        <v>8665</v>
      </c>
      <c r="X22" s="9" t="s">
        <v>5</v>
      </c>
      <c r="Y22" s="52">
        <v>20</v>
      </c>
      <c r="Z22" s="52">
        <v>20</v>
      </c>
      <c r="AA22" s="52"/>
      <c r="AB22" s="52">
        <v>20</v>
      </c>
      <c r="AC22" s="52">
        <v>20</v>
      </c>
      <c r="AF22" s="54">
        <f>WorkCoefficients!B30</f>
        <v>60</v>
      </c>
      <c r="AG22" s="54" t="str">
        <f>WorkCoefficients!C30</f>
        <v>bi-const</v>
      </c>
      <c r="AH22" s="54">
        <f>WorkCoefficients!E30</f>
        <v>-9.5721045222600001</v>
      </c>
      <c r="AI22" s="54">
        <f>VLOOKUP(AF22,$R$55:$AC$62,8,FALSE)</f>
        <v>-9.5777246022254072</v>
      </c>
      <c r="AK22" s="54">
        <f>SchoolCoeffcients!B30</f>
        <v>50</v>
      </c>
      <c r="AL22" s="54" t="str">
        <f>SchoolCoeffcients!C30</f>
        <v>da-const</v>
      </c>
      <c r="AM22" s="56">
        <f>SchoolCoeffcients!E30</f>
        <v>1.2145079058199999</v>
      </c>
      <c r="AN22" s="54">
        <f>VLOOKUP(AK22,$S$55:$AC$62,8,FALSE)</f>
        <v>1.2311161564043256</v>
      </c>
      <c r="AU22">
        <f>OtherCoefficients!B30</f>
        <v>61</v>
      </c>
      <c r="AV22" t="str">
        <f>OtherCoefficients!C30</f>
        <v>bi-male</v>
      </c>
      <c r="AW22">
        <f>OtherCoefficients!E30</f>
        <v>1.0360071208699999</v>
      </c>
      <c r="AX22">
        <f si="2" t="shared"/>
        <v>1.0360071208699999</v>
      </c>
    </row>
    <row r="23" spans="2:55" x14ac:dyDescent="0.25">
      <c r="B23" s="9" t="s">
        <v>6</v>
      </c>
      <c r="C23" s="9">
        <v>3774.1527898826994</v>
      </c>
      <c r="D23" s="9">
        <v>453.77777930461849</v>
      </c>
      <c r="E23" s="9">
        <v>0</v>
      </c>
      <c r="F23" s="9">
        <v>4192.4897963826661</v>
      </c>
      <c r="G23" s="9">
        <v>304.23726708579568</v>
      </c>
      <c r="H23" s="9">
        <v>8724.6576326557788</v>
      </c>
      <c r="J23" s="9" t="s">
        <v>6</v>
      </c>
      <c r="K23" s="9">
        <f>Work!I9</f>
        <v>3750</v>
      </c>
      <c r="L23" s="9">
        <f>School!I9</f>
        <v>495</v>
      </c>
      <c r="M23" s="9">
        <f>Escort!I9</f>
        <v>1660</v>
      </c>
      <c r="N23" s="9">
        <f>Shop!I9+Meal!I9+SocRec!I9+Personal_Business!I9</f>
        <v>4375</v>
      </c>
      <c r="O23" s="9">
        <f>Workbased!S10</f>
        <v>350</v>
      </c>
      <c r="P23" s="9">
        <f si="7" t="shared"/>
        <v>10630</v>
      </c>
      <c r="X23" s="9" t="s">
        <v>6</v>
      </c>
      <c r="Y23" s="52">
        <v>60</v>
      </c>
      <c r="Z23" s="52">
        <v>60</v>
      </c>
      <c r="AA23" s="52">
        <v>60</v>
      </c>
      <c r="AB23" s="52">
        <v>60</v>
      </c>
      <c r="AC23" s="52">
        <v>60</v>
      </c>
      <c r="AF23">
        <f>WorkCoefficients!B31</f>
        <v>61</v>
      </c>
      <c r="AG23" t="str">
        <f>WorkCoefficients!C31</f>
        <v>bi-male</v>
      </c>
      <c r="AH23">
        <f>WorkCoefficients!E31</f>
        <v>0.76617238553300004</v>
      </c>
      <c r="AI23">
        <f si="0" t="shared"/>
        <v>0.76617238553300004</v>
      </c>
      <c r="AK23">
        <f>SchoolCoeffcients!B31</f>
        <v>52</v>
      </c>
      <c r="AL23" t="str">
        <f>SchoolCoeffcients!C31</f>
        <v>da-carsltd</v>
      </c>
      <c r="AM23" s="55">
        <f>SchoolCoeffcients!E31</f>
        <v>-1.01885889266</v>
      </c>
      <c r="AN23" s="55">
        <f si="1" t="shared"/>
        <v>-1.01885889266</v>
      </c>
      <c r="AU23">
        <f>OtherCoefficients!B31</f>
        <v>63</v>
      </c>
      <c r="AV23" t="str">
        <f>OtherCoefficients!C31</f>
        <v>bi-ageo50</v>
      </c>
      <c r="AW23">
        <f>OtherCoefficients!E31</f>
        <v>-0.76682515659200001</v>
      </c>
      <c r="AX23">
        <f si="2" t="shared"/>
        <v>-0.76682515659200001</v>
      </c>
    </row>
    <row r="24" spans="2:55" x14ac:dyDescent="0.25">
      <c r="B24" s="9" t="s">
        <v>7</v>
      </c>
      <c r="C24" s="9">
        <v>5527.05735015748</v>
      </c>
      <c r="D24" s="9">
        <v>5998.7832515252694</v>
      </c>
      <c r="E24" s="9">
        <v>5487.6131059713025</v>
      </c>
      <c r="F24" s="9">
        <v>33661.871000250307</v>
      </c>
      <c r="G24" s="9">
        <v>13724.321125561062</v>
      </c>
      <c r="H24" s="9">
        <v>64399.645833465416</v>
      </c>
      <c r="J24" s="9" t="s">
        <v>7</v>
      </c>
      <c r="K24" s="9">
        <f>Work!I10</f>
        <v>5535</v>
      </c>
      <c r="L24" s="9">
        <f>School!I10</f>
        <v>11590</v>
      </c>
      <c r="M24" s="9">
        <f>Escort!I10</f>
        <v>6310</v>
      </c>
      <c r="N24" s="9">
        <f>Shop!I10+Meal!I10+SocRec!I10+Personal_Business!I10</f>
        <v>20805</v>
      </c>
      <c r="O24" s="9">
        <f>Workbased!S11</f>
        <v>10455</v>
      </c>
      <c r="P24" s="9">
        <f si="7" t="shared"/>
        <v>54695</v>
      </c>
      <c r="X24" s="9" t="s">
        <v>7</v>
      </c>
      <c r="Y24" s="52"/>
      <c r="Z24" s="52"/>
      <c r="AA24" s="52"/>
      <c r="AB24" s="52"/>
      <c r="AC24" s="52"/>
      <c r="AF24">
        <f>WorkCoefficients!B32</f>
        <v>63</v>
      </c>
      <c r="AG24" t="str">
        <f>WorkCoefficients!C32</f>
        <v>bi-ageo50</v>
      </c>
      <c r="AH24">
        <f>WorkCoefficients!E32</f>
        <v>-0.66187614505199999</v>
      </c>
      <c r="AI24">
        <f si="0" t="shared"/>
        <v>-0.66187614505199999</v>
      </c>
      <c r="AK24">
        <f>SchoolCoeffcients!B32</f>
        <v>54</v>
      </c>
      <c r="AL24" t="str">
        <f>SchoolCoeffcients!C32</f>
        <v>da-incu25</v>
      </c>
      <c r="AM24" s="55">
        <f>SchoolCoeffcients!E32</f>
        <v>-0.78347783300499996</v>
      </c>
      <c r="AN24" s="55">
        <f si="1" t="shared"/>
        <v>-0.78347783300499996</v>
      </c>
      <c r="AU24">
        <f>OtherCoefficients!B32</f>
        <v>73</v>
      </c>
      <c r="AV24" t="str">
        <f>OtherCoefficients!C32</f>
        <v>wk-ageo50</v>
      </c>
      <c r="AW24">
        <f>OtherCoefficients!E32</f>
        <v>-0.36705005247900002</v>
      </c>
      <c r="AX24">
        <f si="2" t="shared"/>
        <v>-0.36705005247900002</v>
      </c>
    </row>
    <row r="25" spans="2:55" x14ac:dyDescent="0.25">
      <c r="B25" s="14" t="s">
        <v>8</v>
      </c>
      <c r="C25" s="9">
        <v>393.28436729200405</v>
      </c>
      <c r="D25" s="9">
        <v>86363.375555483915</v>
      </c>
      <c r="E25" s="9">
        <v>377.37396694035931</v>
      </c>
      <c r="F25" s="9">
        <v>2745.9124429202425</v>
      </c>
      <c r="G25" s="41">
        <v>0</v>
      </c>
      <c r="H25" s="9">
        <v>89879.946332636522</v>
      </c>
      <c r="J25" s="14" t="s">
        <v>8</v>
      </c>
      <c r="K25" s="9">
        <f>Work!I11</f>
        <v>0</v>
      </c>
      <c r="L25" s="9">
        <f>School!I11</f>
        <v>93075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7" t="shared"/>
        <v>93075</v>
      </c>
      <c r="X25" s="14" t="s">
        <v>8</v>
      </c>
      <c r="Y25" s="53"/>
      <c r="Z25" s="53">
        <v>10</v>
      </c>
      <c r="AA25" s="53"/>
      <c r="AB25" s="53"/>
      <c r="AC25" s="53"/>
      <c r="AF25">
        <f>WorkCoefficients!B33</f>
        <v>71</v>
      </c>
      <c r="AG25" t="str">
        <f>WorkCoefficients!C33</f>
        <v>wk-male</v>
      </c>
      <c r="AH25">
        <f>WorkCoefficients!E33</f>
        <v>-0.659709011367</v>
      </c>
      <c r="AI25">
        <f si="0" t="shared"/>
        <v>-0.659709011367</v>
      </c>
      <c r="AK25">
        <f>SchoolCoeffcients!B33</f>
        <v>56</v>
      </c>
      <c r="AL25" t="str">
        <f>SchoolCoeffcients!C33</f>
        <v>da-inco75</v>
      </c>
      <c r="AM25" s="55">
        <f>SchoolCoeffcients!E33</f>
        <v>0.30803328101299998</v>
      </c>
      <c r="AN25" s="55">
        <f si="1" t="shared"/>
        <v>0.30803328101299998</v>
      </c>
      <c r="AU25">
        <f>OtherCoefficients!B33</f>
        <v>120</v>
      </c>
      <c r="AV25" t="str">
        <f>OtherCoefficients!C33</f>
        <v>tr-shop</v>
      </c>
      <c r="AW25">
        <f>OtherCoefficients!E33</f>
        <v>-1.37393186115</v>
      </c>
      <c r="AX25">
        <f si="2" t="shared"/>
        <v>-1.37393186115</v>
      </c>
    </row>
    <row ht="15.75" r="26" spans="2:55" thickBot="1" x14ac:dyDescent="0.3">
      <c r="B26" s="40" t="s">
        <v>19</v>
      </c>
      <c r="C26" s="19">
        <v>571651.51281215297</v>
      </c>
      <c r="D26" s="19">
        <v>231228.34700275518</v>
      </c>
      <c r="E26" s="19">
        <v>180023.44115442352</v>
      </c>
      <c r="F26" s="19">
        <v>620081.85584690701</v>
      </c>
      <c r="G26" s="19">
        <v>86723.510000700946</v>
      </c>
      <c r="H26" s="19">
        <v>1689708.6668169396</v>
      </c>
      <c r="J26" s="40" t="s">
        <v>19</v>
      </c>
      <c r="K26" s="19">
        <f>SUM(K18:K25)</f>
        <v>564810</v>
      </c>
      <c r="L26" s="19">
        <f ref="L26" si="8" t="shared">SUM(L18:L25)</f>
        <v>254710</v>
      </c>
      <c r="M26" s="19">
        <f ref="M26" si="9" t="shared">SUM(M18:M25)</f>
        <v>181620</v>
      </c>
      <c r="N26" s="19">
        <f ref="N26" si="10" t="shared">SUM(N18:N25)</f>
        <v>614905</v>
      </c>
      <c r="O26" s="19">
        <f ref="O26" si="11" t="shared">SUM(O18:O25)</f>
        <v>90065</v>
      </c>
      <c r="P26" s="19">
        <f>SUM(K26:O26)</f>
        <v>1706110</v>
      </c>
      <c r="AF26">
        <f>WorkCoefficients!B34</f>
        <v>124</v>
      </c>
      <c r="AG26" t="str">
        <f>WorkCoefficients!C34</f>
        <v>tr-omixed</v>
      </c>
      <c r="AH26">
        <f>WorkCoefficients!E34</f>
        <v>2.0023107306000001</v>
      </c>
      <c r="AI26">
        <f si="0" t="shared"/>
        <v>2.0023107306000001</v>
      </c>
      <c r="AK26">
        <f>SchoolCoeffcients!B34</f>
        <v>59</v>
      </c>
      <c r="AL26" t="str">
        <f>SchoolCoeffcients!C34</f>
        <v>da-ch1617</v>
      </c>
      <c r="AM26" s="55">
        <f>SchoolCoeffcients!E34</f>
        <v>-1.56467364191</v>
      </c>
      <c r="AN26" s="55">
        <f si="1" t="shared"/>
        <v>-1.56467364191</v>
      </c>
      <c r="AU26">
        <f>OtherCoefficients!B34</f>
        <v>124</v>
      </c>
      <c r="AV26" t="str">
        <f>OtherCoefficients!C34</f>
        <v>tr-omixed</v>
      </c>
      <c r="AW26">
        <f>OtherCoefficients!E34</f>
        <v>1.98544962266</v>
      </c>
      <c r="AX26">
        <f si="2" t="shared"/>
        <v>1.98544962266</v>
      </c>
    </row>
    <row r="27" spans="2:55" x14ac:dyDescent="0.25">
      <c r="S27" s="60"/>
      <c r="T27" t="s">
        <v>251</v>
      </c>
      <c r="AF27">
        <f>WorkCoefficients!B35</f>
        <v>127</v>
      </c>
      <c r="AG27" t="str">
        <f>WorkCoefficients!C35</f>
        <v>tr-dintdn</v>
      </c>
      <c r="AH27">
        <f>WorkCoefficients!E35</f>
        <v>1.0987901816399999E-2</v>
      </c>
      <c r="AI27">
        <f si="0" t="shared"/>
        <v>1.0987901816399999E-2</v>
      </c>
      <c r="AK27" s="54">
        <f>SchoolCoeffcients!B35</f>
        <v>60</v>
      </c>
      <c r="AL27" s="54" t="str">
        <f>SchoolCoeffcients!C35</f>
        <v>bi-const</v>
      </c>
      <c r="AM27" s="56">
        <f>SchoolCoeffcients!E35</f>
        <v>-3.5143971590500001</v>
      </c>
      <c r="AN27" s="54">
        <f>VLOOKUP(AK27,$S$55:$AC$62,8,FALSE)</f>
        <v>-3.5046274106400825</v>
      </c>
      <c r="AU27">
        <f>OtherCoefficients!B35</f>
        <v>128</v>
      </c>
      <c r="AV27" t="str">
        <f>OtherCoefficients!C35</f>
        <v>tr-dempdn</v>
      </c>
      <c r="AW27">
        <f>OtherCoefficients!E35</f>
        <v>1.56308175885E-4</v>
      </c>
      <c r="AX27">
        <f si="2" t="shared"/>
        <v>1.56308175885E-4</v>
      </c>
    </row>
    <row r="28" spans="2:55" x14ac:dyDescent="0.25">
      <c r="G28" s="9"/>
      <c r="H28" s="9"/>
      <c r="X28" t="s">
        <v>219</v>
      </c>
      <c r="AF28">
        <f>WorkCoefficients!B36</f>
        <v>128</v>
      </c>
      <c r="AG28" t="str">
        <f>WorkCoefficients!C36</f>
        <v>tr-dempdn</v>
      </c>
      <c r="AH28">
        <f>WorkCoefficients!E36</f>
        <v>9.8072993996499997E-5</v>
      </c>
      <c r="AI28">
        <f si="0" t="shared"/>
        <v>9.8072993996499997E-5</v>
      </c>
      <c r="AK28">
        <f>SchoolCoeffcients!B36</f>
        <v>61</v>
      </c>
      <c r="AL28" t="str">
        <f>SchoolCoeffcients!C36</f>
        <v>bi-male</v>
      </c>
      <c r="AM28" s="55">
        <f>SchoolCoeffcients!E36</f>
        <v>0.16084114056400001</v>
      </c>
      <c r="AN28" s="55">
        <f si="1" t="shared"/>
        <v>0.16084114056400001</v>
      </c>
      <c r="AU28">
        <f>OtherCoefficients!B36</f>
        <v>131</v>
      </c>
      <c r="AV28" t="str">
        <f>OtherCoefficients!C36</f>
        <v>da-escsptr</v>
      </c>
      <c r="AW28">
        <f>OtherCoefficients!E36</f>
        <v>-0.48853505686199999</v>
      </c>
      <c r="AX28">
        <f si="2" t="shared"/>
        <v>-0.48853505686199999</v>
      </c>
    </row>
    <row ht="15.75" r="29" spans="2:55" thickBot="1" x14ac:dyDescent="0.3">
      <c r="B29" s="39" t="s">
        <v>217</v>
      </c>
      <c r="Q29" t="s">
        <v>218</v>
      </c>
      <c r="AF29">
        <f>WorkCoefficients!B37</f>
        <v>131</v>
      </c>
      <c r="AG29" t="str">
        <f>WorkCoefficients!C37</f>
        <v>da-escsptr</v>
      </c>
      <c r="AH29">
        <f>WorkCoefficients!E37</f>
        <v>-2.2170416796199999</v>
      </c>
      <c r="AI29">
        <f si="0" t="shared"/>
        <v>-2.2170416796199999</v>
      </c>
      <c r="AK29">
        <f>SchoolCoeffcients!B37</f>
        <v>69</v>
      </c>
      <c r="AL29" t="str">
        <f>SchoolCoeffcients!C37</f>
        <v>bi-univtr</v>
      </c>
      <c r="AM29" s="55">
        <f>SchoolCoeffcients!E37</f>
        <v>0.51493638010999998</v>
      </c>
      <c r="AN29" s="55">
        <f si="1" t="shared"/>
        <v>0.51493638010999998</v>
      </c>
      <c r="AU29">
        <f>OtherCoefficients!B37</f>
        <v>132</v>
      </c>
      <c r="AV29" t="str">
        <f>OtherCoefficients!C37</f>
        <v>da-othsptr</v>
      </c>
      <c r="AW29">
        <f>OtherCoefficients!E37</f>
        <v>0.231801803532</v>
      </c>
      <c r="AX29">
        <f si="2" t="shared"/>
        <v>0.231801803532</v>
      </c>
    </row>
    <row r="30" spans="2:55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Q30" s="2" t="s">
        <v>0</v>
      </c>
      <c r="R30" s="2" t="s">
        <v>195</v>
      </c>
      <c r="S30" s="2" t="s">
        <v>196</v>
      </c>
      <c r="T30" s="2" t="s">
        <v>197</v>
      </c>
      <c r="U30" s="2" t="s">
        <v>198</v>
      </c>
      <c r="V30" s="2" t="s">
        <v>216</v>
      </c>
      <c r="X30" s="2" t="s">
        <v>0</v>
      </c>
      <c r="Y30" s="2" t="s">
        <v>195</v>
      </c>
      <c r="Z30" s="2" t="s">
        <v>196</v>
      </c>
      <c r="AA30" s="2" t="s">
        <v>197</v>
      </c>
      <c r="AB30" s="2" t="s">
        <v>198</v>
      </c>
      <c r="AC30" s="2" t="s">
        <v>216</v>
      </c>
      <c r="AF30">
        <f>WorkCoefficients!B38</f>
        <v>132</v>
      </c>
      <c r="AG30" t="str">
        <f>WorkCoefficients!C38</f>
        <v>da-othsptr</v>
      </c>
      <c r="AH30">
        <f>WorkCoefficients!E38</f>
        <v>-3.1767087365000002E-2</v>
      </c>
      <c r="AI30">
        <f si="0" t="shared"/>
        <v>-3.1767087365000002E-2</v>
      </c>
      <c r="AK30">
        <f>SchoolCoeffcients!B38</f>
        <v>79</v>
      </c>
      <c r="AL30" t="str">
        <f>SchoolCoeffcients!C38</f>
        <v>wk-univtr</v>
      </c>
      <c r="AM30" s="55">
        <f>SchoolCoeffcients!E38</f>
        <v>-7.3787571266299996E-3</v>
      </c>
      <c r="AN30" s="55">
        <f si="1" t="shared"/>
        <v>-7.3787571266299996E-3</v>
      </c>
      <c r="AU30">
        <f>OtherCoefficients!B38</f>
        <v>133</v>
      </c>
      <c r="AV30" t="str">
        <f>OtherCoefficients!C38</f>
        <v>sr-escsptr</v>
      </c>
      <c r="AW30">
        <f>OtherCoefficients!E38</f>
        <v>-0.448982673572</v>
      </c>
      <c r="AX30">
        <f si="2" t="shared"/>
        <v>-0.448982673572</v>
      </c>
    </row>
    <row r="31" spans="2:55" x14ac:dyDescent="0.25">
      <c r="B31" s="9" t="s">
        <v>1</v>
      </c>
      <c r="C31" s="42">
        <f>$C18/C$26</f>
        <v>0.70252736753098277</v>
      </c>
      <c r="D31" s="42">
        <f>$D18/D$26</f>
        <v>0.11262814475551167</v>
      </c>
      <c r="E31" s="42">
        <f>$E18/E$26</f>
        <v>2.0218494552549128E-2</v>
      </c>
      <c r="F31" s="42">
        <f>$F18/F$26</f>
        <v>0.39216172450658443</v>
      </c>
      <c r="G31" s="42">
        <f>$G18/G$26</f>
        <v>0.52085002250140267</v>
      </c>
      <c r="H31" s="42"/>
      <c r="J31" s="9" t="s">
        <v>1</v>
      </c>
      <c r="K31" s="42">
        <f>$K18/K$26</f>
        <v>0.70413059258865818</v>
      </c>
      <c r="L31" s="42">
        <f>$L18/L$26</f>
        <v>0.11077303600172746</v>
      </c>
      <c r="M31" s="42">
        <f>$M18/M$26</f>
        <v>1.1012003083360864E-3</v>
      </c>
      <c r="N31" s="42">
        <f>$N18/N$26</f>
        <v>0.40296468560184096</v>
      </c>
      <c r="O31" s="42">
        <f>$O18/O$26</f>
        <v>0.54704935324487869</v>
      </c>
      <c r="Q31" s="9" t="s">
        <v>1</v>
      </c>
      <c r="R31" s="44">
        <f ref="R31:V33" si="12" t="shared">C31/K31</f>
        <v>0.99772311404368708</v>
      </c>
      <c r="S31" s="44">
        <f si="12" t="shared"/>
        <v>1.0167469342788011</v>
      </c>
      <c r="T31" s="44">
        <f si="12" t="shared"/>
        <v>18.360414903169861</v>
      </c>
      <c r="U31" s="44">
        <f si="12" t="shared"/>
        <v>0.97319129571088359</v>
      </c>
      <c r="V31" s="44">
        <f si="12" t="shared"/>
        <v>0.9521079211810195</v>
      </c>
      <c r="X31" s="9" t="s">
        <v>1</v>
      </c>
      <c r="Y31" s="44">
        <f ref="Y31:Y36" si="13" t="shared">IF(R31&gt;0,LN(R31),0)</f>
        <v>-2.2794820024912761E-3</v>
      </c>
      <c r="Z31" s="44">
        <f ref="Z31:Z33" si="14" t="shared">IF(S31&gt;0,LN(S31),0)</f>
        <v>1.660825058432568E-2</v>
      </c>
      <c r="AA31" s="44">
        <f ref="AA31:AA33" si="15" t="shared">IF(T31&gt;0,LN(T31),0)</f>
        <v>2.9101969831488748</v>
      </c>
      <c r="AB31" s="44">
        <f ref="AB31:AB33" si="16" t="shared">IF(U31&gt;0,LN(U31),0)</f>
        <v>-2.7174612100761875E-2</v>
      </c>
      <c r="AC31" s="44">
        <f ref="AC31:AC33" si="17" t="shared">IF(V31&gt;0,LN(V31),0)</f>
        <v>-4.9076888030719502E-2</v>
      </c>
      <c r="AF31">
        <f>WorkCoefficients!B39</f>
        <v>133</v>
      </c>
      <c r="AG31" t="str">
        <f>WorkCoefficients!C39</f>
        <v>sr-escsptr</v>
      </c>
      <c r="AH31">
        <f>WorkCoefficients!E39</f>
        <v>3.7030999967599998</v>
      </c>
      <c r="AI31">
        <f si="0" t="shared"/>
        <v>3.7030999967599998</v>
      </c>
      <c r="AK31">
        <f>SchoolCoeffcients!B39</f>
        <v>122</v>
      </c>
      <c r="AL31" t="str">
        <f>SchoolCoeffcients!C39</f>
        <v>tr-ologts</v>
      </c>
      <c r="AM31" s="55">
        <f>SchoolCoeffcients!E39</f>
        <v>0.41910856576200001</v>
      </c>
      <c r="AN31" s="55">
        <f si="1" t="shared"/>
        <v>0.41910856576200001</v>
      </c>
      <c r="AU31">
        <f>OtherCoefficients!B39</f>
        <v>134</v>
      </c>
      <c r="AV31" t="str">
        <f>OtherCoefficients!C39</f>
        <v>sr-othsptr</v>
      </c>
      <c r="AW31">
        <f>OtherCoefficients!E39</f>
        <v>0.337153571657</v>
      </c>
      <c r="AX31">
        <f si="2" t="shared"/>
        <v>0.337153571657</v>
      </c>
    </row>
    <row r="32" spans="2:55" x14ac:dyDescent="0.25">
      <c r="B32" s="9" t="s">
        <v>2</v>
      </c>
      <c r="C32" s="42">
        <f ref="C32:C38" si="18" t="shared">$C19/C$26</f>
        <v>0.19736576513465964</v>
      </c>
      <c r="D32" s="42">
        <f ref="D32:D38" si="19" t="shared">$D19/D$26</f>
        <v>0.15491808317924519</v>
      </c>
      <c r="E32" s="42">
        <f ref="E32:E38" si="20" t="shared">$E19/E$26</f>
        <v>0.47084307720805013</v>
      </c>
      <c r="F32" s="42">
        <f ref="F32:F38" si="21" t="shared">$F19/F$26</f>
        <v>0.32988613747775114</v>
      </c>
      <c r="G32" s="42">
        <f ref="G32:G38" si="22" t="shared">$G19/G$26</f>
        <v>0.22396689220736374</v>
      </c>
      <c r="H32" s="42"/>
      <c r="J32" s="9" t="s">
        <v>2</v>
      </c>
      <c r="K32" s="42">
        <f ref="K32:K38" si="23" t="shared">$K19/K$26</f>
        <v>0.1969334820559126</v>
      </c>
      <c r="L32" s="42">
        <f ref="L32:L38" si="24" t="shared">$L19/L$26</f>
        <v>0.15181971654037926</v>
      </c>
      <c r="M32" s="42">
        <f ref="M32:M38" si="25" t="shared">$M19/M$26</f>
        <v>0.47552582314723046</v>
      </c>
      <c r="N32" s="42">
        <f ref="N32:N38" si="26" t="shared">$N19/N$26</f>
        <v>0.33894666655824884</v>
      </c>
      <c r="O32" s="42">
        <f ref="O32:O38" si="27" t="shared">$O19/O$26</f>
        <v>0.23388663742852384</v>
      </c>
      <c r="Q32" s="9" t="s">
        <v>2</v>
      </c>
      <c r="R32" s="44">
        <f si="12" t="shared"/>
        <v>1.0021950715248324</v>
      </c>
      <c r="S32" s="44">
        <f si="12" t="shared"/>
        <v>1.0204081967050824</v>
      </c>
      <c r="T32" s="44">
        <f si="12" t="shared"/>
        <v>0.99015248865311256</v>
      </c>
      <c r="U32" s="44">
        <f si="12" t="shared"/>
        <v>0.97326857003049883</v>
      </c>
      <c r="V32" s="44">
        <f si="12" t="shared"/>
        <v>0.95758737938078409</v>
      </c>
      <c r="X32" s="9" t="s">
        <v>2</v>
      </c>
      <c r="Y32" s="44">
        <f si="13" t="shared"/>
        <v>2.1926658750718703E-3</v>
      </c>
      <c r="Z32" s="44">
        <f si="14" t="shared"/>
        <v>2.020274008849969E-2</v>
      </c>
      <c r="AA32" s="44">
        <f si="15" t="shared"/>
        <v>-9.896318772203103E-3</v>
      </c>
      <c r="AB32" s="44">
        <f si="16" t="shared"/>
        <v>-2.709521224154474E-2</v>
      </c>
      <c r="AC32" s="44">
        <f si="17" t="shared"/>
        <v>-4.3338304252140275E-2</v>
      </c>
      <c r="AF32">
        <f>WorkCoefficients!B40</f>
        <v>134</v>
      </c>
      <c r="AG32" t="str">
        <f>WorkCoefficients!C40</f>
        <v>sr-othsptr</v>
      </c>
      <c r="AH32">
        <f>WorkCoefficients!E40</f>
        <v>0.24299252372800001</v>
      </c>
      <c r="AI32">
        <f si="0" t="shared"/>
        <v>0.24299252372800001</v>
      </c>
      <c r="AK32">
        <f>SchoolCoeffcients!B40</f>
        <v>129</v>
      </c>
      <c r="AL32" t="str">
        <f>SchoolCoeffcients!C40</f>
        <v>tr-dmixed</v>
      </c>
      <c r="AM32" s="55">
        <f>SchoolCoeffcients!E40</f>
        <v>2.5894917765500001</v>
      </c>
      <c r="AN32" s="55">
        <f si="1" t="shared"/>
        <v>2.5894917765500001</v>
      </c>
      <c r="AU32">
        <f>OtherCoefficients!B40</f>
        <v>136</v>
      </c>
      <c r="AV32" t="str">
        <f>OtherCoefficients!C40</f>
        <v>sr-shop</v>
      </c>
      <c r="AW32">
        <f>OtherCoefficients!E40</f>
        <v>7.2810588779500002E-2</v>
      </c>
      <c r="AX32">
        <f si="2" t="shared"/>
        <v>7.2810588779500002E-2</v>
      </c>
    </row>
    <row r="33" spans="2:50" x14ac:dyDescent="0.25">
      <c r="B33" s="9" t="s">
        <v>3</v>
      </c>
      <c r="C33" s="42">
        <f si="18" t="shared"/>
        <v>7.3755225214315739E-2</v>
      </c>
      <c r="D33" s="42">
        <f si="19" t="shared"/>
        <v>0.32486144481025525</v>
      </c>
      <c r="E33" s="42">
        <f si="20" t="shared"/>
        <v>0.47635940944439448</v>
      </c>
      <c r="F33" s="42">
        <f si="21" t="shared"/>
        <v>0.2049755886535361</v>
      </c>
      <c r="G33" s="42">
        <f si="22" t="shared"/>
        <v>9.177238483407979E-2</v>
      </c>
      <c r="H33" s="42"/>
      <c r="J33" s="9" t="s">
        <v>3</v>
      </c>
      <c r="K33" s="42">
        <f si="23" t="shared"/>
        <v>7.3564561533967177E-2</v>
      </c>
      <c r="L33" s="42">
        <f si="24" t="shared"/>
        <v>0.31946134819991362</v>
      </c>
      <c r="M33" s="42">
        <f si="25" t="shared"/>
        <v>0.4794901442572404</v>
      </c>
      <c r="N33" s="42">
        <f si="26" t="shared"/>
        <v>0.21047153625356763</v>
      </c>
      <c r="O33" s="42">
        <f si="27" t="shared"/>
        <v>9.7263087769943926E-2</v>
      </c>
      <c r="Q33" s="9" t="s">
        <v>3</v>
      </c>
      <c r="R33" s="44">
        <f si="12" t="shared"/>
        <v>1.0025917870829764</v>
      </c>
      <c r="S33" s="44">
        <f si="12" t="shared"/>
        <v>1.0169037557775606</v>
      </c>
      <c r="T33" s="44">
        <f si="12" t="shared"/>
        <v>0.99347070038802232</v>
      </c>
      <c r="U33" s="44">
        <f si="12" t="shared"/>
        <v>0.97388745434247115</v>
      </c>
      <c r="V33" s="44">
        <f si="12" t="shared"/>
        <v>0.94354792694993106</v>
      </c>
      <c r="X33" s="9" t="s">
        <v>3</v>
      </c>
      <c r="Y33" s="44">
        <f si="13" t="shared"/>
        <v>2.5884341948997636E-3</v>
      </c>
      <c r="Z33" s="44">
        <f si="14" t="shared"/>
        <v>1.6762477167914628E-2</v>
      </c>
      <c r="AA33" s="44">
        <f si="15" t="shared"/>
        <v>-6.5507087306058021E-3</v>
      </c>
      <c r="AB33" s="44">
        <f si="16" t="shared"/>
        <v>-2.64595319724076E-2</v>
      </c>
      <c r="AC33" s="44">
        <f si="17" t="shared"/>
        <v>-5.8108118484395802E-2</v>
      </c>
      <c r="AF33">
        <f>WorkCoefficients!B41</f>
        <v>162</v>
      </c>
      <c r="AG33" t="str">
        <f>WorkCoefficients!C41</f>
        <v>bi-class2</v>
      </c>
      <c r="AH33">
        <f>WorkCoefficients!E41</f>
        <v>0.47993312787800002</v>
      </c>
      <c r="AI33">
        <f si="0" t="shared"/>
        <v>0.47993312787800002</v>
      </c>
      <c r="AK33">
        <f>SchoolCoeffcients!B41</f>
        <v>131</v>
      </c>
      <c r="AL33" t="str">
        <f>SchoolCoeffcients!C41</f>
        <v>da-escsptr</v>
      </c>
      <c r="AM33" s="55">
        <f>SchoolCoeffcients!E41</f>
        <v>-1.78374770832</v>
      </c>
      <c r="AN33" s="55">
        <f si="1" t="shared"/>
        <v>-1.78374770832</v>
      </c>
      <c r="AU33">
        <f>OtherCoefficients!B41</f>
        <v>137</v>
      </c>
      <c r="AV33" t="str">
        <f>OtherCoefficients!C41</f>
        <v>sr-meal</v>
      </c>
      <c r="AW33">
        <f>OtherCoefficients!E41</f>
        <v>2.1739211388099999</v>
      </c>
      <c r="AX33">
        <f si="2" t="shared"/>
        <v>2.1739211388099999</v>
      </c>
    </row>
    <row r="34" spans="2:50" x14ac:dyDescent="0.25">
      <c r="B34" s="9" t="s">
        <v>4</v>
      </c>
      <c r="C34" s="42">
        <f si="18" t="shared"/>
        <v>3.2307325232301828E-3</v>
      </c>
      <c r="D34" s="42">
        <f si="19" t="shared"/>
        <v>0</v>
      </c>
      <c r="E34" s="42">
        <f si="20" t="shared"/>
        <v>0</v>
      </c>
      <c r="F34" s="42">
        <f si="21" t="shared"/>
        <v>0</v>
      </c>
      <c r="G34" s="42">
        <f si="22" t="shared"/>
        <v>0</v>
      </c>
      <c r="H34" s="42"/>
      <c r="J34" s="9" t="s">
        <v>4</v>
      </c>
      <c r="K34" s="42">
        <f si="23" t="shared"/>
        <v>3.4347833784812592E-3</v>
      </c>
      <c r="L34" s="42">
        <f si="24" t="shared"/>
        <v>0</v>
      </c>
      <c r="M34" s="42">
        <f si="25" t="shared"/>
        <v>0</v>
      </c>
      <c r="N34" s="42">
        <f si="26" t="shared"/>
        <v>0</v>
      </c>
      <c r="O34" s="42">
        <f si="27" t="shared"/>
        <v>0</v>
      </c>
      <c r="Q34" s="9" t="s">
        <v>4</v>
      </c>
      <c r="R34" s="44">
        <f>C34/K34</f>
        <v>0.94059280229156672</v>
      </c>
      <c r="S34" s="44"/>
      <c r="T34" s="44"/>
      <c r="U34" s="44"/>
      <c r="V34" s="44"/>
      <c r="X34" s="9" t="s">
        <v>4</v>
      </c>
      <c r="Y34" s="44">
        <f si="13" t="shared"/>
        <v>-6.1244961752682917E-2</v>
      </c>
      <c r="Z34" s="44"/>
      <c r="AA34" s="44"/>
      <c r="AB34" s="44"/>
      <c r="AC34" s="44"/>
      <c r="AF34">
        <f>WorkCoefficients!B42</f>
        <v>164</v>
      </c>
      <c r="AG34" t="str">
        <f>WorkCoefficients!C42</f>
        <v>bi-omixed</v>
      </c>
      <c r="AH34">
        <f>WorkCoefficients!E42</f>
        <v>2.4096342508199999</v>
      </c>
      <c r="AI34">
        <f si="0" t="shared"/>
        <v>2.4096342508199999</v>
      </c>
      <c r="AK34">
        <f>SchoolCoeffcients!B42</f>
        <v>132</v>
      </c>
      <c r="AL34" t="str">
        <f>SchoolCoeffcients!C42</f>
        <v>da-othsptr</v>
      </c>
      <c r="AM34" s="55">
        <f>SchoolCoeffcients!E42</f>
        <v>0.219607287175</v>
      </c>
      <c r="AN34" s="55">
        <f si="1" t="shared"/>
        <v>0.219607287175</v>
      </c>
      <c r="AU34">
        <f>OtherCoefficients!B42</f>
        <v>138</v>
      </c>
      <c r="AV34" t="str">
        <f>OtherCoefficients!C42</f>
        <v>sr-socrec</v>
      </c>
      <c r="AW34">
        <f>OtherCoefficients!E42</f>
        <v>0.54895052211899997</v>
      </c>
      <c r="AX34">
        <f si="2" t="shared"/>
        <v>0.54895052211899997</v>
      </c>
    </row>
    <row r="35" spans="2:50" x14ac:dyDescent="0.25">
      <c r="B35" s="9" t="s">
        <v>5</v>
      </c>
      <c r="C35" s="42">
        <f si="18" t="shared"/>
        <v>6.162160621161027E-3</v>
      </c>
      <c r="D35" s="42">
        <f si="19" t="shared"/>
        <v>6.188529712777789E-3</v>
      </c>
      <c r="E35" s="42">
        <f si="20" t="shared"/>
        <v>0</v>
      </c>
      <c r="F35" s="42">
        <f si="21" t="shared"/>
        <v>7.5008821470288704E-3</v>
      </c>
      <c r="G35" s="42">
        <f si="22" t="shared"/>
        <v>1.6488161361262171E-3</v>
      </c>
      <c r="H35" s="42"/>
      <c r="J35" s="9" t="s">
        <v>5</v>
      </c>
      <c r="K35" s="42">
        <f si="23" t="shared"/>
        <v>5.4974239124661387E-3</v>
      </c>
      <c r="L35" s="42">
        <f si="24" t="shared"/>
        <v>5.0842134191825998E-3</v>
      </c>
      <c r="M35" s="42">
        <f si="25" t="shared"/>
        <v>0</v>
      </c>
      <c r="N35" s="42">
        <f si="26" t="shared"/>
        <v>6.6676966360657338E-3</v>
      </c>
      <c r="O35" s="42">
        <f si="27" t="shared"/>
        <v>1.8320102148448342E-3</v>
      </c>
      <c r="Q35" s="9" t="s">
        <v>5</v>
      </c>
      <c r="R35" s="44">
        <f>C35/K35</f>
        <v>1.1209178552135137</v>
      </c>
      <c r="S35" s="58">
        <f>IF(L35=0,1,D35/L35)</f>
        <v>1.2172049445109117</v>
      </c>
      <c r="T35" s="44"/>
      <c r="U35" s="58">
        <f>IF(N35=0,1,F35/N35)</f>
        <v>1.1249585211265336</v>
      </c>
      <c r="V35" s="58">
        <f>IF(O35=0,1,G35/O35)</f>
        <v>0.90000378969822881</v>
      </c>
      <c r="X35" s="9" t="s">
        <v>5</v>
      </c>
      <c r="Y35" s="44">
        <f si="13" t="shared"/>
        <v>0.11414786327259058</v>
      </c>
      <c r="Z35" s="58">
        <f ref="Z35:Z38" si="28" t="shared">IF(S35&gt;0,LN(S35),0)</f>
        <v>0.19655720123330866</v>
      </c>
      <c r="AA35" s="44"/>
      <c r="AB35" s="58">
        <f ref="AB35:AB36" si="29" t="shared">IF(U35&gt;0,LN(U35),0)</f>
        <v>0.11774616486691634</v>
      </c>
      <c r="AC35" s="58">
        <f ref="AC35:AC36" si="30" t="shared">IF(V35&gt;0,LN(V35),0)</f>
        <v>-0.10535630489088181</v>
      </c>
      <c r="AF35">
        <f>WorkCoefficients!B43</f>
        <v>168</v>
      </c>
      <c r="AG35" t="str">
        <f>WorkCoefficients!C43</f>
        <v>bi-dempdn</v>
      </c>
      <c r="AH35">
        <f>WorkCoefficients!E43</f>
        <v>1.5323914424799999E-4</v>
      </c>
      <c r="AI35">
        <f si="0" t="shared"/>
        <v>1.5323914424799999E-4</v>
      </c>
      <c r="AK35">
        <f>SchoolCoeffcients!B43</f>
        <v>133</v>
      </c>
      <c r="AL35" t="str">
        <f>SchoolCoeffcients!C43</f>
        <v>sr-escsptr</v>
      </c>
      <c r="AM35" s="55">
        <f>SchoolCoeffcients!E43</f>
        <v>1.28842096954</v>
      </c>
      <c r="AN35" s="55">
        <f si="1" t="shared"/>
        <v>1.28842096954</v>
      </c>
      <c r="AU35">
        <f>OtherCoefficients!B43</f>
        <v>160</v>
      </c>
      <c r="AV35" t="str">
        <f>OtherCoefficients!C43</f>
        <v>bi-socrec</v>
      </c>
      <c r="AW35">
        <f>OtherCoefficients!E43</f>
        <v>0.97577037596600003</v>
      </c>
      <c r="AX35">
        <f si="2" t="shared"/>
        <v>0.97577037596600003</v>
      </c>
    </row>
    <row r="36" spans="2:50" x14ac:dyDescent="0.25">
      <c r="B36" s="9" t="s">
        <v>6</v>
      </c>
      <c r="C36" s="42">
        <f si="18" t="shared"/>
        <v>6.6021915542851042E-3</v>
      </c>
      <c r="D36" s="42">
        <f si="19" t="shared"/>
        <v>1.9624660435738511E-3</v>
      </c>
      <c r="E36" s="42">
        <f si="20" t="shared"/>
        <v>0</v>
      </c>
      <c r="F36" s="42">
        <f si="21" t="shared"/>
        <v>6.7611876671614087E-3</v>
      </c>
      <c r="G36" s="42">
        <f si="22" t="shared"/>
        <v>3.5081290769173974E-3</v>
      </c>
      <c r="H36" s="42"/>
      <c r="J36" s="9" t="s">
        <v>6</v>
      </c>
      <c r="K36" s="42">
        <f si="23" t="shared"/>
        <v>6.6394008604663511E-3</v>
      </c>
      <c r="L36" s="42">
        <f si="24" t="shared"/>
        <v>1.9433865965215343E-3</v>
      </c>
      <c r="M36" s="42">
        <f si="25" t="shared"/>
        <v>9.1399625591895173E-3</v>
      </c>
      <c r="N36" s="42">
        <f si="26" t="shared"/>
        <v>7.1149201909238013E-3</v>
      </c>
      <c r="O36" s="42">
        <f si="27" t="shared"/>
        <v>3.8860822739132848E-3</v>
      </c>
      <c r="Q36" s="9" t="s">
        <v>6</v>
      </c>
      <c r="R36" s="44">
        <f>C36/K36</f>
        <v>0.99439568314020532</v>
      </c>
      <c r="S36" s="44">
        <f>D36/L36</f>
        <v>1.0098176281993851</v>
      </c>
      <c r="T36" s="58">
        <f>IF(M36=0,1,E36/M36)</f>
        <v>0</v>
      </c>
      <c r="U36" s="44">
        <f>F36/N36</f>
        <v>0.95028299485163104</v>
      </c>
      <c r="V36" s="44">
        <f>G36/O36</f>
        <v>0.90274184375018685</v>
      </c>
      <c r="X36" s="9" t="s">
        <v>6</v>
      </c>
      <c r="Y36" s="44">
        <f si="13" t="shared"/>
        <v>-5.6200799654072325E-3</v>
      </c>
      <c r="Z36" s="44">
        <f si="28" t="shared"/>
        <v>9.769748409917468E-3</v>
      </c>
      <c r="AA36" s="44">
        <f>IF(T36&gt;0,LN(T36),0)</f>
        <v>0</v>
      </c>
      <c r="AB36" s="44">
        <f si="29" t="shared"/>
        <v>-5.0995449430257515E-2</v>
      </c>
      <c r="AC36" s="44">
        <f si="30" t="shared"/>
        <v>-0.10231865375855918</v>
      </c>
      <c r="AF36">
        <f>WorkCoefficients!B44</f>
        <v>169</v>
      </c>
      <c r="AG36" t="str">
        <f>WorkCoefficients!C44</f>
        <v>bi-dmixed</v>
      </c>
      <c r="AH36">
        <f>WorkCoefficients!E44</f>
        <v>7.1710322282799996</v>
      </c>
      <c r="AI36">
        <f si="0" t="shared"/>
        <v>7.1710322282799996</v>
      </c>
      <c r="AK36">
        <f>SchoolCoeffcients!B44</f>
        <v>134</v>
      </c>
      <c r="AL36" t="str">
        <f>SchoolCoeffcients!C44</f>
        <v>sr-othsptr</v>
      </c>
      <c r="AM36" s="55">
        <f>SchoolCoeffcients!E44</f>
        <v>0.22135756046499999</v>
      </c>
      <c r="AN36" s="55">
        <f si="1" t="shared"/>
        <v>0.22135756046499999</v>
      </c>
      <c r="AU36">
        <f>OtherCoefficients!B44</f>
        <v>161</v>
      </c>
      <c r="AV36" t="str">
        <f>OtherCoefficients!C44</f>
        <v>bi-class1</v>
      </c>
      <c r="AW36">
        <f>OtherCoefficients!E44</f>
        <v>0.73068915349300001</v>
      </c>
      <c r="AX36">
        <f si="2" t="shared"/>
        <v>0.73068915349300001</v>
      </c>
    </row>
    <row r="37" spans="2:50" x14ac:dyDescent="0.25">
      <c r="B37" s="9" t="s">
        <v>7</v>
      </c>
      <c r="C37" s="42">
        <f si="18" t="shared"/>
        <v>9.6685781919266852E-3</v>
      </c>
      <c r="D37" s="42">
        <f si="19" t="shared"/>
        <v>2.5943113503526415E-2</v>
      </c>
      <c r="E37" s="42">
        <f si="20" t="shared"/>
        <v>3.0482769748102115E-2</v>
      </c>
      <c r="F37" s="42">
        <f si="21" t="shared"/>
        <v>5.4286173160598236E-2</v>
      </c>
      <c r="G37" s="42">
        <f si="22" t="shared"/>
        <v>0.15825375524411009</v>
      </c>
      <c r="H37" s="42"/>
      <c r="J37" s="9" t="s">
        <v>7</v>
      </c>
      <c r="K37" s="42">
        <f si="23" t="shared"/>
        <v>9.7997556700483348E-3</v>
      </c>
      <c r="L37" s="42">
        <f si="24" t="shared"/>
        <v>4.5502728593302184E-2</v>
      </c>
      <c r="M37" s="42">
        <f si="25" t="shared"/>
        <v>3.4742869728003521E-2</v>
      </c>
      <c r="N37" s="42">
        <f si="26" t="shared"/>
        <v>3.3834494759353073E-2</v>
      </c>
      <c r="O37" s="42">
        <f si="27" t="shared"/>
        <v>0.11608282906789541</v>
      </c>
      <c r="Q37" s="9" t="s">
        <v>7</v>
      </c>
      <c r="R37" s="44"/>
      <c r="S37" s="44"/>
      <c r="T37" s="44"/>
      <c r="U37" s="44"/>
      <c r="V37" s="44"/>
      <c r="X37" s="9" t="s">
        <v>7</v>
      </c>
      <c r="Y37" s="44"/>
      <c r="Z37" s="44"/>
      <c r="AA37" s="44"/>
      <c r="AB37" s="44"/>
      <c r="AC37" s="44"/>
      <c r="AF37">
        <f>WorkCoefficients!B45</f>
        <v>179</v>
      </c>
      <c r="AG37" t="str">
        <f>WorkCoefficients!C45</f>
        <v>wk-dmixed</v>
      </c>
      <c r="AH37">
        <f>WorkCoefficients!E45</f>
        <v>0.925274561946</v>
      </c>
      <c r="AI37">
        <f si="0" t="shared"/>
        <v>0.925274561946</v>
      </c>
      <c r="AK37">
        <f>SchoolCoeffcients!B45</f>
        <v>161</v>
      </c>
      <c r="AL37" t="str">
        <f>SchoolCoeffcients!C45</f>
        <v>bi-class1</v>
      </c>
      <c r="AM37" s="55">
        <f>SchoolCoeffcients!E45</f>
        <v>1.07764073896</v>
      </c>
      <c r="AN37" s="55">
        <f si="1" t="shared"/>
        <v>1.07764073896</v>
      </c>
      <c r="AU37">
        <f>OtherCoefficients!B45</f>
        <v>162</v>
      </c>
      <c r="AV37" t="str">
        <f>OtherCoefficients!C45</f>
        <v>bi-class2</v>
      </c>
      <c r="AW37">
        <f>OtherCoefficients!E45</f>
        <v>0.91913294534199996</v>
      </c>
      <c r="AX37">
        <f si="2" t="shared"/>
        <v>0.91913294534199996</v>
      </c>
    </row>
    <row r="38" spans="2:50" x14ac:dyDescent="0.25">
      <c r="B38" s="14" t="s">
        <v>8</v>
      </c>
      <c r="C38" s="42">
        <f si="18" t="shared"/>
        <v>6.8797922943875578E-4</v>
      </c>
      <c r="D38" s="42">
        <f si="19" t="shared"/>
        <v>0.37349821799510968</v>
      </c>
      <c r="E38" s="42">
        <f si="20" t="shared"/>
        <v>2.0962490469041148E-3</v>
      </c>
      <c r="F38" s="42">
        <f si="21" t="shared"/>
        <v>4.4283063873395857E-3</v>
      </c>
      <c r="G38" s="42">
        <f si="22" t="shared"/>
        <v>0</v>
      </c>
      <c r="H38" s="42"/>
      <c r="J38" s="14" t="s">
        <v>8</v>
      </c>
      <c r="K38" s="42">
        <f si="23" t="shared"/>
        <v>0</v>
      </c>
      <c r="L38" s="42">
        <f si="24" t="shared"/>
        <v>0.36541557064897334</v>
      </c>
      <c r="M38" s="42">
        <f si="25" t="shared"/>
        <v>0</v>
      </c>
      <c r="N38" s="42">
        <f si="26" t="shared"/>
        <v>0</v>
      </c>
      <c r="O38" s="42">
        <f si="27" t="shared"/>
        <v>0</v>
      </c>
      <c r="Q38" s="14" t="s">
        <v>8</v>
      </c>
      <c r="R38" s="44"/>
      <c r="S38" s="44">
        <f>D38/L38</f>
        <v>1.0221190556597839</v>
      </c>
      <c r="T38" s="44"/>
      <c r="U38" s="44"/>
      <c r="V38" s="44">
        <f>IF(O38=0,1,G38/O38)</f>
        <v>1</v>
      </c>
      <c r="X38" s="14" t="s">
        <v>8</v>
      </c>
      <c r="Y38" s="44"/>
      <c r="Z38" s="44">
        <f si="28" t="shared"/>
        <v>2.1877977814543762E-2</v>
      </c>
      <c r="AA38" s="44"/>
      <c r="AB38" s="44"/>
      <c r="AC38" s="44"/>
      <c r="AF38">
        <f>WorkCoefficients!B46</f>
        <v>99</v>
      </c>
      <c r="AG38" t="str">
        <f>WorkCoefficients!C46</f>
        <v>modenest</v>
      </c>
      <c r="AH38">
        <f>WorkCoefficients!E46</f>
        <v>0.95968590185500002</v>
      </c>
      <c r="AI38">
        <f si="0" t="shared"/>
        <v>0.95968590185500002</v>
      </c>
      <c r="AK38">
        <f>SchoolCoeffcients!B46</f>
        <v>162</v>
      </c>
      <c r="AL38" t="str">
        <f>SchoolCoeffcients!C46</f>
        <v>bi-class2</v>
      </c>
      <c r="AM38" s="55">
        <f>SchoolCoeffcients!E46</f>
        <v>0.88180479210700002</v>
      </c>
      <c r="AN38" s="55">
        <f si="1" t="shared"/>
        <v>0.88180479210700002</v>
      </c>
      <c r="AU38">
        <f>OtherCoefficients!B46</f>
        <v>163</v>
      </c>
      <c r="AV38" t="str">
        <f>OtherCoefficients!C46</f>
        <v>bi-gauntl</v>
      </c>
      <c r="AW38">
        <f>OtherCoefficients!E46</f>
        <v>-0.88337105065300003</v>
      </c>
      <c r="AX38">
        <f si="2" t="shared"/>
        <v>-0.88337105065300003</v>
      </c>
    </row>
    <row ht="15.75" r="39" spans="2:50" thickBot="1" x14ac:dyDescent="0.3">
      <c r="B39" s="40" t="s">
        <v>19</v>
      </c>
      <c r="C39" s="43">
        <f>SUM(C31:C38)</f>
        <v>0.99999999999999989</v>
      </c>
      <c r="D39" s="43">
        <f ref="D39:G39" si="31" t="shared">SUM(D31:D38)</f>
        <v>0.99999999999999978</v>
      </c>
      <c r="E39" s="43">
        <f si="31" t="shared"/>
        <v>1</v>
      </c>
      <c r="F39" s="43">
        <f si="31" t="shared"/>
        <v>0.99999999999999967</v>
      </c>
      <c r="G39" s="43">
        <f si="31" t="shared"/>
        <v>1</v>
      </c>
      <c r="H39" s="47"/>
      <c r="J39" s="40" t="s">
        <v>19</v>
      </c>
      <c r="K39" s="43">
        <f>SUM(K31:K38)</f>
        <v>1</v>
      </c>
      <c r="L39" s="43">
        <f ref="L39" si="32" t="shared">SUM(L31:L38)</f>
        <v>1</v>
      </c>
      <c r="M39" s="43">
        <f ref="M39" si="33" t="shared">SUM(M31:M38)</f>
        <v>1</v>
      </c>
      <c r="N39" s="43">
        <f ref="N39" si="34" t="shared">SUM(N31:N38)</f>
        <v>0.99999999999999989</v>
      </c>
      <c r="O39" s="43">
        <f ref="O39" si="35" t="shared">SUM(O31:O38)</f>
        <v>1</v>
      </c>
      <c r="Q39" s="48"/>
      <c r="R39" s="49"/>
      <c r="S39" s="49"/>
      <c r="T39" s="49"/>
      <c r="U39" s="49"/>
      <c r="V39" s="49"/>
      <c r="Y39" s="38"/>
      <c r="Z39" s="38"/>
      <c r="AA39" s="38"/>
      <c r="AB39" s="38"/>
      <c r="AC39" s="38"/>
      <c r="AK39">
        <f>SchoolCoeffcients!B47</f>
        <v>163</v>
      </c>
      <c r="AL39" t="str">
        <f>SchoolCoeffcients!C47</f>
        <v>bi-gauntl</v>
      </c>
      <c r="AM39" s="55">
        <f>SchoolCoeffcients!E47</f>
        <v>-1.1532748156899999</v>
      </c>
      <c r="AN39" s="55">
        <f si="1" t="shared"/>
        <v>-1.1532748156899999</v>
      </c>
      <c r="AU39">
        <f>OtherCoefficients!B47</f>
        <v>164</v>
      </c>
      <c r="AV39" t="str">
        <f>OtherCoefficients!C47</f>
        <v>bi-omixed</v>
      </c>
      <c r="AW39">
        <f>OtherCoefficients!E47</f>
        <v>2.8689614342600001</v>
      </c>
      <c r="AX39">
        <f si="2" t="shared"/>
        <v>2.8689614342600001</v>
      </c>
    </row>
    <row r="40" spans="2:50" x14ac:dyDescent="0.25">
      <c r="Q40" s="45"/>
      <c r="R40" s="45"/>
      <c r="S40" s="45"/>
      <c r="T40" s="45"/>
      <c r="U40" s="45"/>
      <c r="V40" s="45"/>
      <c r="AK40">
        <f>SchoolCoeffcients!B48</f>
        <v>164</v>
      </c>
      <c r="AL40" t="str">
        <f>SchoolCoeffcients!C48</f>
        <v>bi-omixed</v>
      </c>
      <c r="AM40" s="55">
        <f>SchoolCoeffcients!E48</f>
        <v>0.93583173807599995</v>
      </c>
      <c r="AN40" s="55">
        <f si="1" t="shared"/>
        <v>0.93583173807599995</v>
      </c>
      <c r="AU40">
        <f>OtherCoefficients!B48</f>
        <v>165</v>
      </c>
      <c r="AV40" t="str">
        <f>OtherCoefficients!C48</f>
        <v>bi-ohhddn</v>
      </c>
      <c r="AW40">
        <f>OtherCoefficients!E48</f>
        <v>8.0969107286800002E-4</v>
      </c>
      <c r="AX40">
        <f si="2" t="shared"/>
        <v>8.0969107286800002E-4</v>
      </c>
    </row>
    <row ht="15.75" r="41" spans="2:50" thickBot="1" x14ac:dyDescent="0.3">
      <c r="Q41" s="39" t="s">
        <v>220</v>
      </c>
      <c r="R41" s="45"/>
      <c r="S41" s="45"/>
      <c r="T41" s="45"/>
      <c r="U41" s="45"/>
      <c r="V41" s="45"/>
      <c r="X41" s="39"/>
      <c r="Y41" s="45"/>
      <c r="Z41" s="45"/>
      <c r="AA41" s="45"/>
      <c r="AB41" s="45"/>
      <c r="AC41" s="45"/>
      <c r="AD41" s="45"/>
      <c r="AK41">
        <f>SchoolCoeffcients!B49</f>
        <v>168</v>
      </c>
      <c r="AL41" t="str">
        <f>SchoolCoeffcients!C49</f>
        <v>bi-dempdn</v>
      </c>
      <c r="AM41" s="55">
        <f>SchoolCoeffcients!E49</f>
        <v>1.7653108240300001E-4</v>
      </c>
      <c r="AN41" s="55">
        <f si="1" t="shared"/>
        <v>1.7653108240300001E-4</v>
      </c>
      <c r="AU41">
        <f>OtherCoefficients!B49</f>
        <v>168</v>
      </c>
      <c r="AV41" t="str">
        <f>OtherCoefficients!C49</f>
        <v>bi-dempdn</v>
      </c>
      <c r="AW41">
        <f>OtherCoefficients!E49</f>
        <v>5.6436182079000003E-5</v>
      </c>
      <c r="AX41">
        <f si="2" t="shared"/>
        <v>5.6436182079000003E-5</v>
      </c>
    </row>
    <row r="42" spans="2:50" x14ac:dyDescent="0.25">
      <c r="Q42" s="2" t="s">
        <v>0</v>
      </c>
      <c r="R42" s="2" t="s">
        <v>195</v>
      </c>
      <c r="S42" s="2" t="s">
        <v>196</v>
      </c>
      <c r="T42" s="2" t="s">
        <v>197</v>
      </c>
      <c r="U42" s="2" t="s">
        <v>198</v>
      </c>
      <c r="V42" s="2" t="s">
        <v>216</v>
      </c>
      <c r="X42" s="45"/>
      <c r="Y42" s="45"/>
      <c r="Z42" s="45"/>
      <c r="AA42" s="45"/>
      <c r="AB42" s="45"/>
      <c r="AC42" s="45"/>
      <c r="AD42" s="45"/>
      <c r="AK42">
        <f>SchoolCoeffcients!B50</f>
        <v>169</v>
      </c>
      <c r="AL42" t="str">
        <f>SchoolCoeffcients!C50</f>
        <v>bi-dmixed</v>
      </c>
      <c r="AM42" s="55">
        <f>SchoolCoeffcients!E50</f>
        <v>0.21170918018000001</v>
      </c>
      <c r="AN42" s="55">
        <f si="1" t="shared"/>
        <v>0.21170918018000001</v>
      </c>
      <c r="AU42">
        <f>OtherCoefficients!B50</f>
        <v>169</v>
      </c>
      <c r="AV42" t="str">
        <f>OtherCoefficients!C50</f>
        <v>bi-dmixed</v>
      </c>
      <c r="AW42">
        <f>OtherCoefficients!E50</f>
        <v>1.04301037572</v>
      </c>
      <c r="AX42">
        <f si="2" t="shared"/>
        <v>1.04301037572</v>
      </c>
    </row>
    <row r="43" spans="2:50" x14ac:dyDescent="0.25">
      <c r="Q43" s="9" t="s">
        <v>1</v>
      </c>
      <c r="R43" s="44">
        <f>VLOOKUP(Y18,$AF$3:$AH$38,3,FALSE)</f>
        <v>2.20032936544</v>
      </c>
      <c r="S43" s="44">
        <f>VLOOKUP(Z18,$AK$3:$AM$44,3,FALSE)</f>
        <v>1.2145079058199999</v>
      </c>
      <c r="T43" s="44">
        <f>VLOOKUP(AA18,$AP$3:$AR$17,3,FALSE)</f>
        <v>-10</v>
      </c>
      <c r="U43" s="44">
        <f>VLOOKUP(AB18,$AU$3:$AW$47,3,FALSE)</f>
        <v>1.21463609016</v>
      </c>
      <c r="V43" s="44">
        <f>VLOOKUP(AC18,$AZ$3:$BB$19,3,FALSE)</f>
        <v>-2.30718445759</v>
      </c>
      <c r="X43" s="12"/>
      <c r="Y43" s="57"/>
      <c r="Z43" s="57"/>
      <c r="AA43" s="57"/>
      <c r="AB43" s="57"/>
      <c r="AC43" s="57"/>
      <c r="AD43" s="45"/>
      <c r="AK43">
        <f>SchoolCoeffcients!B51</f>
        <v>179</v>
      </c>
      <c r="AL43" t="str">
        <f>SchoolCoeffcients!C51</f>
        <v>wk-dmixed</v>
      </c>
      <c r="AM43" s="55">
        <f>SchoolCoeffcients!E51</f>
        <v>0.18728146335900001</v>
      </c>
      <c r="AN43" s="55">
        <f si="1" t="shared"/>
        <v>0.18728146335900001</v>
      </c>
      <c r="AU43">
        <f>OtherCoefficients!B51</f>
        <v>171</v>
      </c>
      <c r="AV43" t="str">
        <f>OtherCoefficients!C51</f>
        <v>wk-meal</v>
      </c>
      <c r="AW43">
        <f>OtherCoefficients!E51</f>
        <v>1.2382774015</v>
      </c>
      <c r="AX43">
        <f si="2" t="shared"/>
        <v>1.2382774015</v>
      </c>
    </row>
    <row r="44" spans="2:50" x14ac:dyDescent="0.25">
      <c r="Q44" s="9" t="s">
        <v>2</v>
      </c>
      <c r="R44" s="44">
        <f ref="R44:R48" si="36" t="shared">VLOOKUP(Y19,$AF$3:$AH$38,3,FALSE)</f>
        <v>-0.43668173859600001</v>
      </c>
      <c r="S44" s="44">
        <f ref="S44:S50" si="37" t="shared">VLOOKUP(Z19,$AK$3:$AM$44,3,FALSE)</f>
        <v>-1.07632083804</v>
      </c>
      <c r="T44" s="44">
        <f ref="T44:T48" si="38" t="shared">VLOOKUP(AA19,$AP$3:$AR$17,3,FALSE)</f>
        <v>-1.3015858506</v>
      </c>
      <c r="U44" s="44">
        <f ref="U44:U48" si="39" t="shared">VLOOKUP(AB19,$AU$3:$AW$47,3,FALSE)</f>
        <v>-0.72293440404700005</v>
      </c>
      <c r="V44" s="44">
        <f ref="V44:V48" si="40" t="shared">VLOOKUP(AC19,$AZ$3:$BB$19,3,FALSE)</f>
        <v>-1.7745103655700001</v>
      </c>
      <c r="X44" s="12"/>
      <c r="Y44" s="57"/>
      <c r="Z44" s="57"/>
      <c r="AA44" s="57"/>
      <c r="AB44" s="57"/>
      <c r="AC44" s="57"/>
      <c r="AD44" s="45"/>
      <c r="AK44">
        <f>SchoolCoeffcients!B52</f>
        <v>99</v>
      </c>
      <c r="AL44" t="str">
        <f>SchoolCoeffcients!C52</f>
        <v>modenest</v>
      </c>
      <c r="AM44" s="55">
        <f>SchoolCoeffcients!E52</f>
        <v>1</v>
      </c>
      <c r="AN44" s="55">
        <f si="1" t="shared"/>
        <v>1</v>
      </c>
      <c r="AU44">
        <f>OtherCoefficients!B52</f>
        <v>172</v>
      </c>
      <c r="AV44" t="str">
        <f>OtherCoefficients!C52</f>
        <v>wk-socrec</v>
      </c>
      <c r="AW44">
        <f>OtherCoefficients!E52</f>
        <v>1.3528226166499999</v>
      </c>
      <c r="AX44">
        <f si="2" t="shared"/>
        <v>1.3528226166499999</v>
      </c>
    </row>
    <row r="45" spans="2:50" x14ac:dyDescent="0.25">
      <c r="Q45" s="9" t="s">
        <v>3</v>
      </c>
      <c r="R45" s="44">
        <f si="36" t="shared"/>
        <v>-0.96957991101999996</v>
      </c>
      <c r="S45" s="44">
        <f si="37" t="shared"/>
        <v>-0.436326716236</v>
      </c>
      <c r="T45" s="44">
        <f si="38" t="shared"/>
        <v>-2.1800862739200002</v>
      </c>
      <c r="U45" s="44">
        <f si="39" t="shared"/>
        <v>-0.81129976642199997</v>
      </c>
      <c r="V45" s="44">
        <f si="40" t="shared"/>
        <v>-2.6353130235300002</v>
      </c>
      <c r="X45" s="12"/>
      <c r="Y45" s="57"/>
      <c r="Z45" s="57"/>
      <c r="AA45" s="57"/>
      <c r="AB45" s="57"/>
      <c r="AC45" s="57"/>
      <c r="AD45" s="45"/>
      <c r="AU45">
        <f>OtherCoefficients!B53</f>
        <v>175</v>
      </c>
      <c r="AV45" t="str">
        <f>OtherCoefficients!C53</f>
        <v>wk-ohhddn</v>
      </c>
      <c r="AW45">
        <f>OtherCoefficients!E53</f>
        <v>8.3440753078999996E-4</v>
      </c>
      <c r="AX45">
        <f si="2" t="shared"/>
        <v>8.3440753078999996E-4</v>
      </c>
    </row>
    <row r="46" spans="2:50" x14ac:dyDescent="0.25">
      <c r="Q46" s="9" t="s">
        <v>4</v>
      </c>
      <c r="R46" s="44">
        <f>VLOOKUP(Y21,$AF$3:$AH$38,3,FALSE)</f>
        <v>-1.6038121758199999</v>
      </c>
      <c r="S46" s="44"/>
      <c r="T46" s="44"/>
      <c r="U46" s="44"/>
      <c r="V46" s="44"/>
      <c r="X46" s="12"/>
      <c r="Y46" s="57"/>
      <c r="Z46" s="57"/>
      <c r="AA46" s="57"/>
      <c r="AB46" s="57"/>
      <c r="AC46" s="57"/>
      <c r="AD46" s="45"/>
      <c r="AU46">
        <f>OtherCoefficients!B54</f>
        <v>178</v>
      </c>
      <c r="AV46" t="str">
        <f>OtherCoefficients!C54</f>
        <v>wk-dempdn</v>
      </c>
      <c r="AW46">
        <f>OtherCoefficients!E54</f>
        <v>1.08742831019E-5</v>
      </c>
      <c r="AX46">
        <f si="2" t="shared"/>
        <v>1.08742831019E-5</v>
      </c>
    </row>
    <row r="47" spans="2:50" x14ac:dyDescent="0.25">
      <c r="Q47" s="9" t="s">
        <v>5</v>
      </c>
      <c r="R47" s="44">
        <f si="36" t="shared"/>
        <v>-1.9181554270400001</v>
      </c>
      <c r="S47" s="44">
        <f si="37" t="shared"/>
        <v>-3.89062176924</v>
      </c>
      <c r="T47" s="44"/>
      <c r="U47" s="44">
        <f si="39" t="shared"/>
        <v>-4.4200798368200003</v>
      </c>
      <c r="V47" s="44">
        <f si="40" t="shared"/>
        <v>-3.4980731239099998</v>
      </c>
      <c r="X47" s="12"/>
      <c r="Y47" s="57"/>
      <c r="Z47" s="57"/>
      <c r="AA47" s="57"/>
      <c r="AB47" s="57"/>
      <c r="AC47" s="57"/>
      <c r="AD47" s="45"/>
      <c r="AU47">
        <f>OtherCoefficients!B55</f>
        <v>99</v>
      </c>
      <c r="AV47" t="str">
        <f>OtherCoefficients!C55</f>
        <v>modenest</v>
      </c>
      <c r="AW47">
        <f>OtherCoefficients!E55</f>
        <v>0.78390199493699997</v>
      </c>
      <c r="AX47">
        <f si="2" t="shared"/>
        <v>0.78390199493699997</v>
      </c>
    </row>
    <row r="48" spans="2:50" x14ac:dyDescent="0.25">
      <c r="Q48" s="9" t="s">
        <v>6</v>
      </c>
      <c r="R48" s="44">
        <f si="36" t="shared"/>
        <v>-9.5721045222600001</v>
      </c>
      <c r="S48" s="44">
        <f si="37" t="shared"/>
        <v>-3.5143971590500001</v>
      </c>
      <c r="T48" s="44">
        <f si="38" t="shared"/>
        <v>-10</v>
      </c>
      <c r="U48" s="44">
        <f si="39" t="shared"/>
        <v>-6.5774811724299997</v>
      </c>
      <c r="V48" s="44">
        <f si="40" t="shared"/>
        <v>-4.8566896576699996</v>
      </c>
      <c r="X48" s="12"/>
      <c r="Y48" s="57"/>
      <c r="Z48" s="57"/>
      <c r="AA48" s="57"/>
      <c r="AB48" s="57"/>
      <c r="AC48" s="57"/>
      <c r="AD48" s="45"/>
    </row>
    <row r="49" spans="17:30" x14ac:dyDescent="0.25">
      <c r="Q49" s="9" t="s">
        <v>7</v>
      </c>
      <c r="R49" s="44"/>
      <c r="S49" s="44"/>
      <c r="T49" s="44"/>
      <c r="U49" s="44"/>
      <c r="V49" s="44"/>
      <c r="X49" s="12"/>
      <c r="Y49" s="57"/>
      <c r="Z49" s="57"/>
      <c r="AA49" s="57"/>
      <c r="AB49" s="57"/>
      <c r="AC49" s="57"/>
      <c r="AD49" s="45"/>
    </row>
    <row r="50" spans="17:30" x14ac:dyDescent="0.25">
      <c r="Q50" s="14" t="s">
        <v>8</v>
      </c>
      <c r="R50" s="46"/>
      <c r="S50" s="46">
        <f si="37" t="shared"/>
        <v>-1.1944700928600001</v>
      </c>
      <c r="T50" s="46"/>
      <c r="U50" s="46"/>
      <c r="V50" s="46"/>
      <c r="X50" s="12"/>
      <c r="Y50" s="57"/>
      <c r="Z50" s="57"/>
      <c r="AA50" s="57"/>
      <c r="AB50" s="57"/>
      <c r="AC50" s="57"/>
      <c r="AD50" s="45"/>
    </row>
    <row r="51" spans="17:30" x14ac:dyDescent="0.25">
      <c r="X51" s="45"/>
      <c r="Y51" s="45"/>
      <c r="Z51" s="45"/>
      <c r="AA51" s="45"/>
      <c r="AB51" s="45"/>
      <c r="AC51" s="45"/>
      <c r="AD51" s="45"/>
    </row>
    <row ht="15.75" r="53" spans="17:30" thickBot="1" x14ac:dyDescent="0.3">
      <c r="Q53" t="s">
        <v>250</v>
      </c>
      <c r="X53" s="39" t="s">
        <v>221</v>
      </c>
    </row>
    <row r="54" spans="17:30" x14ac:dyDescent="0.25">
      <c r="Q54" s="2" t="s">
        <v>0</v>
      </c>
      <c r="R54" s="2" t="s">
        <v>195</v>
      </c>
      <c r="S54" s="2" t="s">
        <v>196</v>
      </c>
      <c r="T54" s="2" t="s">
        <v>197</v>
      </c>
      <c r="U54" s="2" t="s">
        <v>198</v>
      </c>
      <c r="V54" s="2" t="s">
        <v>216</v>
      </c>
      <c r="X54" s="2" t="s">
        <v>0</v>
      </c>
      <c r="Y54" s="2" t="s">
        <v>195</v>
      </c>
      <c r="Z54" s="2" t="s">
        <v>196</v>
      </c>
      <c r="AA54" s="2" t="s">
        <v>197</v>
      </c>
      <c r="AB54" s="2" t="s">
        <v>198</v>
      </c>
      <c r="AC54" s="2" t="s">
        <v>216</v>
      </c>
    </row>
    <row r="55" spans="17:30" x14ac:dyDescent="0.25">
      <c r="Q55" s="9" t="s">
        <v>1</v>
      </c>
      <c r="R55" s="52">
        <f>Y18</f>
        <v>50</v>
      </c>
      <c r="S55" s="52">
        <f ref="S55:V62" si="41" t="shared">Z18</f>
        <v>50</v>
      </c>
      <c r="T55" s="52">
        <f si="41" t="shared"/>
        <v>50</v>
      </c>
      <c r="U55" s="52">
        <f si="41" t="shared"/>
        <v>50</v>
      </c>
      <c r="V55" s="52">
        <f si="41" t="shared"/>
        <v>50</v>
      </c>
      <c r="X55" s="9" t="s">
        <v>1</v>
      </c>
      <c r="Y55" s="44">
        <f>R43+Y31</f>
        <v>2.1980498834375086</v>
      </c>
      <c r="Z55" s="44">
        <f ref="Z55:AC62" si="42" t="shared">S43+Z31</f>
        <v>1.2311161564043256</v>
      </c>
      <c r="AA55" s="44">
        <f si="42" t="shared"/>
        <v>-7.0898030168511248</v>
      </c>
      <c r="AB55" s="44">
        <f si="42" t="shared"/>
        <v>1.1874614780592381</v>
      </c>
      <c r="AC55" s="44">
        <f si="42" t="shared"/>
        <v>-2.3562613456207195</v>
      </c>
    </row>
    <row r="56" spans="17:30" x14ac:dyDescent="0.25">
      <c r="Q56" s="9" t="s">
        <v>2</v>
      </c>
      <c r="R56" s="52">
        <f ref="R56:R60" si="43" t="shared">Y19</f>
        <v>40</v>
      </c>
      <c r="S56" s="52">
        <f si="41" t="shared"/>
        <v>40</v>
      </c>
      <c r="T56" s="52">
        <f si="41" t="shared"/>
        <v>40</v>
      </c>
      <c r="U56" s="52">
        <f si="41" t="shared"/>
        <v>40</v>
      </c>
      <c r="V56" s="52">
        <f si="41" t="shared"/>
        <v>40</v>
      </c>
      <c r="X56" s="9" t="s">
        <v>2</v>
      </c>
      <c r="Y56" s="44">
        <f ref="Y56:Y60" si="44" t="shared">R44+Y32</f>
        <v>-0.43448907272092813</v>
      </c>
      <c r="Z56" s="44">
        <f si="42" t="shared"/>
        <v>-1.0561180979515004</v>
      </c>
      <c r="AA56" s="44">
        <f si="42" t="shared"/>
        <v>-1.3114821693722032</v>
      </c>
      <c r="AB56" s="44">
        <f si="42" t="shared"/>
        <v>-0.75002961628854481</v>
      </c>
      <c r="AC56" s="44">
        <f si="42" t="shared"/>
        <v>-1.8178486698221403</v>
      </c>
    </row>
    <row r="57" spans="17:30" x14ac:dyDescent="0.25">
      <c r="Q57" s="9" t="s">
        <v>3</v>
      </c>
      <c r="R57" s="52">
        <f si="43" t="shared"/>
        <v>30</v>
      </c>
      <c r="S57" s="52">
        <f si="41" t="shared"/>
        <v>30</v>
      </c>
      <c r="T57" s="52">
        <f si="41" t="shared"/>
        <v>30</v>
      </c>
      <c r="U57" s="52">
        <f si="41" t="shared"/>
        <v>30</v>
      </c>
      <c r="V57" s="52">
        <f si="41" t="shared"/>
        <v>30</v>
      </c>
      <c r="X57" s="9" t="s">
        <v>3</v>
      </c>
      <c r="Y57" s="44">
        <f si="44" t="shared"/>
        <v>-0.96699147682510023</v>
      </c>
      <c r="Z57" s="44">
        <f si="42" t="shared"/>
        <v>-0.41956423906808538</v>
      </c>
      <c r="AA57" s="44">
        <f si="42" t="shared"/>
        <v>-2.1866369826506058</v>
      </c>
      <c r="AB57" s="44">
        <f si="42" t="shared"/>
        <v>-0.83775929839440755</v>
      </c>
      <c r="AC57" s="44">
        <f si="42" t="shared"/>
        <v>-2.6934211420143961</v>
      </c>
    </row>
    <row r="58" spans="17:30" x14ac:dyDescent="0.25">
      <c r="Q58" s="9" t="s">
        <v>4</v>
      </c>
      <c r="R58" s="52">
        <f si="43" t="shared"/>
        <v>10</v>
      </c>
      <c r="S58" s="52"/>
      <c r="T58" s="52"/>
      <c r="U58" s="52"/>
      <c r="V58" s="52"/>
      <c r="X58" s="9" t="s">
        <v>4</v>
      </c>
      <c r="Y58" s="44">
        <f si="44" t="shared"/>
        <v>-1.6650571375726828</v>
      </c>
      <c r="Z58" s="44"/>
      <c r="AA58" s="44"/>
      <c r="AB58" s="44"/>
      <c r="AC58" s="44"/>
    </row>
    <row r="59" spans="17:30" x14ac:dyDescent="0.25">
      <c r="Q59" s="9" t="s">
        <v>5</v>
      </c>
      <c r="R59" s="52">
        <f si="43" t="shared"/>
        <v>20</v>
      </c>
      <c r="S59" s="52">
        <f si="41" t="shared"/>
        <v>20</v>
      </c>
      <c r="T59" s="52"/>
      <c r="U59" s="52">
        <f si="41" t="shared"/>
        <v>20</v>
      </c>
      <c r="V59" s="52">
        <f si="41" t="shared"/>
        <v>20</v>
      </c>
      <c r="X59" s="9" t="s">
        <v>5</v>
      </c>
      <c r="Y59" s="44">
        <f si="44" t="shared"/>
        <v>-1.8040075637674096</v>
      </c>
      <c r="Z59" s="44">
        <f si="42" t="shared"/>
        <v>-3.6940645680066915</v>
      </c>
      <c r="AA59" s="44"/>
      <c r="AB59" s="44">
        <f si="42" t="shared"/>
        <v>-4.3023336719530842</v>
      </c>
      <c r="AC59" s="44">
        <f si="42" t="shared"/>
        <v>-3.6034294288008817</v>
      </c>
    </row>
    <row r="60" spans="17:30" x14ac:dyDescent="0.25">
      <c r="Q60" s="9" t="s">
        <v>6</v>
      </c>
      <c r="R60" s="52">
        <f si="43" t="shared"/>
        <v>60</v>
      </c>
      <c r="S60" s="52">
        <f si="41" t="shared"/>
        <v>60</v>
      </c>
      <c r="T60" s="52">
        <f si="41" t="shared"/>
        <v>60</v>
      </c>
      <c r="U60" s="52">
        <f si="41" t="shared"/>
        <v>60</v>
      </c>
      <c r="V60" s="52">
        <f si="41" t="shared"/>
        <v>60</v>
      </c>
      <c r="X60" s="9" t="s">
        <v>6</v>
      </c>
      <c r="Y60" s="44">
        <f si="44" t="shared"/>
        <v>-9.5777246022254072</v>
      </c>
      <c r="Z60" s="44">
        <f si="42" t="shared"/>
        <v>-3.5046274106400825</v>
      </c>
      <c r="AA60" s="44">
        <f si="42" t="shared"/>
        <v>-10</v>
      </c>
      <c r="AB60" s="44">
        <f si="42" t="shared"/>
        <v>-6.6284766218602575</v>
      </c>
      <c r="AC60" s="44">
        <f si="42" t="shared"/>
        <v>-4.9590083114285584</v>
      </c>
    </row>
    <row r="61" spans="17:30" x14ac:dyDescent="0.25">
      <c r="Q61" s="9" t="s">
        <v>7</v>
      </c>
      <c r="R61" s="52"/>
      <c r="S61" s="52"/>
      <c r="T61" s="52"/>
      <c r="U61" s="52"/>
      <c r="V61" s="52"/>
      <c r="X61" s="9" t="s">
        <v>7</v>
      </c>
      <c r="Y61" s="44"/>
      <c r="Z61" s="44"/>
      <c r="AA61" s="44"/>
      <c r="AB61" s="44"/>
      <c r="AC61" s="44"/>
    </row>
    <row r="62" spans="17:30" x14ac:dyDescent="0.25">
      <c r="Q62" s="14" t="s">
        <v>8</v>
      </c>
      <c r="R62" s="53"/>
      <c r="S62" s="53">
        <f si="41" t="shared"/>
        <v>10</v>
      </c>
      <c r="T62" s="53"/>
      <c r="U62" s="53"/>
      <c r="V62" s="53"/>
      <c r="X62" s="14" t="s">
        <v>8</v>
      </c>
      <c r="Y62" s="46"/>
      <c r="Z62" s="46">
        <f si="42" t="shared"/>
        <v>-1.1725921150454564</v>
      </c>
      <c r="AA62" s="46"/>
      <c r="AB62" s="46"/>
      <c r="AC62" s="46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17</vt:i4>
      </vt:variant>
      <vt:variant>
        <vt:lpstr>Named Ranges</vt:lpstr>
      </vt:variant>
      <vt:variant>
        <vt:i4>24</vt:i4>
      </vt:variant>
    </vt:vector>
  </HeadingPairs>
  <TitlesOfParts>
    <vt:vector baseType="lpstr" size="41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2015-04-29T23:38:50Z</dcterms:modified>
</cp:coreProperties>
</file>