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10050" yWindow="-15" windowWidth="14190" windowHeight="10695" activeTab="6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</definedNames>
  <calcPr calcId="171027"/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M54" i="6" s="1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M31" i="6" s="1"/>
  <c r="P30" i="6"/>
  <c r="O30" i="6"/>
  <c r="N30" i="6"/>
  <c r="M30" i="6" s="1"/>
  <c r="P29" i="6"/>
  <c r="O29" i="6"/>
  <c r="N29" i="6"/>
  <c r="M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Q79" i="6" l="1"/>
  <c r="Q84" i="6"/>
  <c r="Q78" i="6"/>
  <c r="Q80" i="6"/>
  <c r="D25" i="6"/>
  <c r="Q4" i="6"/>
  <c r="Q77" i="6"/>
  <c r="Q11" i="6"/>
  <c r="Q12" i="6"/>
  <c r="Q58" i="6"/>
  <c r="Q82" i="6"/>
  <c r="Q28" i="6"/>
  <c r="M12" i="6"/>
  <c r="Q13" i="6"/>
  <c r="Q14" i="6"/>
  <c r="Q15" i="6"/>
  <c r="Q22" i="6"/>
  <c r="Q17" i="6"/>
  <c r="Q16" i="6"/>
  <c r="Q18" i="6"/>
  <c r="Q10" i="6"/>
  <c r="Q47" i="6"/>
  <c r="Q48" i="6"/>
  <c r="Q49" i="6"/>
  <c r="Q50" i="6"/>
  <c r="Q98" i="6"/>
  <c r="Q53" i="6"/>
  <c r="Q54" i="6"/>
  <c r="Q75" i="6"/>
  <c r="Q70" i="6"/>
  <c r="Q38" i="6"/>
  <c r="Q43" i="6"/>
  <c r="Q103" i="6"/>
  <c r="Q99" i="6"/>
  <c r="Q41" i="6"/>
  <c r="Q37" i="6"/>
  <c r="Q6" i="6"/>
  <c r="Q71" i="6"/>
  <c r="Q72" i="6"/>
  <c r="Q8" i="6"/>
  <c r="Q44" i="6"/>
  <c r="Q73" i="6"/>
  <c r="Q104" i="6"/>
  <c r="Q45" i="6"/>
  <c r="Q51" i="6"/>
  <c r="Q57" i="6"/>
  <c r="Q81" i="6"/>
  <c r="Q93" i="6"/>
  <c r="Q101" i="6"/>
  <c r="Q102" i="6"/>
  <c r="Q7" i="6"/>
  <c r="Q9" i="6"/>
  <c r="Q46" i="6"/>
  <c r="Q74" i="6"/>
  <c r="Q85" i="6"/>
  <c r="Q59" i="6"/>
  <c r="Q29" i="6"/>
  <c r="Q21" i="6"/>
  <c r="Q60" i="6"/>
  <c r="Q88" i="6"/>
  <c r="Q26" i="6"/>
  <c r="Q61" i="6"/>
  <c r="Q89" i="6"/>
  <c r="Q83" i="6"/>
  <c r="Q86" i="6"/>
  <c r="Q87" i="6"/>
  <c r="Q27" i="6"/>
  <c r="Q90" i="6"/>
  <c r="Q55" i="6"/>
  <c r="Q20" i="6"/>
  <c r="Q23" i="6"/>
  <c r="Q62" i="6"/>
  <c r="Q30" i="6"/>
  <c r="Q63" i="6"/>
  <c r="Q91" i="6"/>
  <c r="Q31" i="6"/>
  <c r="Q64" i="6"/>
  <c r="Q92" i="6"/>
  <c r="Q94" i="6"/>
  <c r="Q19" i="6"/>
  <c r="Q33" i="6"/>
  <c r="Q95" i="6"/>
  <c r="Q67" i="6"/>
  <c r="Q25" i="6"/>
  <c r="Q35" i="6"/>
  <c r="Q68" i="6"/>
  <c r="Q97" i="6"/>
  <c r="Q56" i="6"/>
  <c r="Q32" i="6"/>
  <c r="Q65" i="6"/>
  <c r="Q66" i="6"/>
  <c r="Q34" i="6"/>
  <c r="Q96" i="6"/>
  <c r="Q3" i="6"/>
  <c r="Q36" i="6"/>
  <c r="Q69" i="6"/>
  <c r="M40" i="6"/>
  <c r="M42" i="6"/>
  <c r="Q24" i="6"/>
  <c r="Q52" i="6"/>
  <c r="Q76" i="6"/>
  <c r="Q100" i="6"/>
  <c r="D24" i="6"/>
  <c r="D26" i="6"/>
  <c r="Q5" i="6"/>
  <c r="D23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H15" i="1" l="1"/>
  <c r="J13" i="1"/>
  <c r="U13" i="1" l="1"/>
  <c r="S15" i="1"/>
  <c r="S28" i="1" s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U26" i="1" l="1"/>
  <c r="G26" i="1"/>
  <c r="C26" i="1"/>
  <c r="F26" i="1"/>
  <c r="B26" i="1"/>
  <c r="H26" i="1"/>
  <c r="D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3" i="1" l="1"/>
  <c r="H25" i="1"/>
  <c r="H24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1" i="1" l="1"/>
  <c r="H20" i="1"/>
  <c r="H22" i="1"/>
  <c r="J24" i="1"/>
  <c r="J23" i="1"/>
  <c r="U22" i="1"/>
  <c r="U20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G6" i="6" s="1"/>
  <c r="L13" i="3"/>
  <c r="L12" i="3"/>
  <c r="L11" i="3"/>
  <c r="G4" i="6" s="1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D4" i="6" s="1"/>
  <c r="G5" i="6" l="1"/>
  <c r="E28" i="1"/>
  <c r="S36" i="1"/>
  <c r="S38" i="1"/>
  <c r="S35" i="1"/>
  <c r="M39" i="1"/>
  <c r="O39" i="1"/>
  <c r="S37" i="1"/>
  <c r="N39" i="1"/>
  <c r="P39" i="1"/>
  <c r="S34" i="1"/>
  <c r="R39" i="1"/>
  <c r="S33" i="1"/>
  <c r="S39" i="1"/>
  <c r="Q39" i="1"/>
  <c r="D7" i="6"/>
  <c r="D5" i="6"/>
  <c r="G7" i="6"/>
  <c r="G8" i="6" s="1"/>
  <c r="D6" i="6"/>
  <c r="H28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D8" i="6" l="1"/>
  <c r="G14" i="6"/>
  <c r="G12" i="6"/>
  <c r="D16" i="6"/>
  <c r="D15" i="6"/>
  <c r="D13" i="6"/>
  <c r="D12" i="6"/>
  <c r="I12" i="6" s="1"/>
  <c r="J12" i="6" s="1"/>
  <c r="K12" i="6" s="1"/>
  <c r="D33" i="6" s="1"/>
  <c r="D43" i="6" s="1"/>
  <c r="Q39" i="6" s="1"/>
  <c r="G13" i="6"/>
  <c r="D14" i="6"/>
  <c r="I14" i="6" s="1"/>
  <c r="J14" i="6" s="1"/>
  <c r="G15" i="6"/>
  <c r="G16" i="6"/>
  <c r="F32" i="4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I13" i="6" l="1"/>
  <c r="J13" i="6" s="1"/>
  <c r="K13" i="6" s="1"/>
  <c r="D34" i="6" s="1"/>
  <c r="D44" i="6" s="1"/>
  <c r="Q40" i="6" s="1"/>
  <c r="I15" i="6"/>
  <c r="J15" i="6" s="1"/>
  <c r="E39" i="1"/>
  <c r="AA39" i="1" s="1"/>
  <c r="H39" i="1"/>
  <c r="AD39" i="1" s="1"/>
  <c r="B39" i="1"/>
  <c r="X39" i="1" s="1"/>
  <c r="C39" i="1"/>
  <c r="Y39" i="1" s="1"/>
  <c r="D39" i="1"/>
  <c r="Z39" i="1" s="1"/>
  <c r="F39" i="1"/>
  <c r="AB39" i="1" s="1"/>
  <c r="G39" i="1"/>
  <c r="AC39" i="1" s="1"/>
  <c r="H37" i="1"/>
  <c r="AD37" i="1" s="1"/>
  <c r="H38" i="1"/>
  <c r="AD38" i="1" s="1"/>
  <c r="H36" i="1"/>
  <c r="AD36" i="1" s="1"/>
  <c r="H35" i="1"/>
  <c r="AD35" i="1" s="1"/>
  <c r="H33" i="1"/>
  <c r="AD33" i="1" s="1"/>
  <c r="H34" i="1"/>
  <c r="AD34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AE41" i="1" s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  <c r="K15" i="6" l="1"/>
  <c r="D36" i="6" s="1"/>
  <c r="D46" i="6" s="1"/>
  <c r="Q42" i="6" s="1"/>
  <c r="K14" i="6"/>
  <c r="D35" i="6" s="1"/>
  <c r="D45" i="6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<sst xmlns="http://schemas.openxmlformats.org/spreadsheetml/2006/main" count="736" uniqueCount="288">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</sst>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56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0" fontId="5" fillId="4" borderId="5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7" fillId="4" borderId="0" xfId="0" applyFont="1" applyFill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3" xfId="0" applyFont="1" applyFill="1" applyBorder="1"/>
    <xf numFmtId="0" fontId="7" fillId="4" borderId="11" xfId="0" applyFont="1" applyFill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" xfId="0" applyFont="1" applyBorder="1"/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0" fillId="0" borderId="0" xfId="0" applyNumberFormat="1" applyFont="1" applyFill="1"/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0.19477466398115215</c:v>
                </c:pt>
                <c:pt idx="1">
                  <c:v>0.1211379359305903</c:v>
                </c:pt>
                <c:pt idx="2">
                  <c:v>5.5971400860087984E-2</c:v>
                </c:pt>
                <c:pt idx="3">
                  <c:v>0.14324859490567635</c:v>
                </c:pt>
                <c:pt idx="4">
                  <c:v>0.1959613433341772</c:v>
                </c:pt>
                <c:pt idx="5">
                  <c:v>0.10682144141510649</c:v>
                </c:pt>
                <c:pt idx="6">
                  <c:v>4.7019832236307076E-2</c:v>
                </c:pt>
                <c:pt idx="7">
                  <c:v>6.5006609592373624E-3</c:v>
                </c:pt>
                <c:pt idx="8">
                  <c:v>3.471027218499366E-2</c:v>
                </c:pt>
                <c:pt idx="9">
                  <c:v>8.6108040922837775E-3</c:v>
                </c:pt>
                <c:pt idx="10">
                  <c:v>3.5856687869014782E-2</c:v>
                </c:pt>
                <c:pt idx="11">
                  <c:v>0</c:v>
                </c:pt>
                <c:pt idx="12">
                  <c:v>7.2052406558508345E-3</c:v>
                </c:pt>
                <c:pt idx="13">
                  <c:v>7.9296370434108251E-3</c:v>
                </c:pt>
                <c:pt idx="14">
                  <c:v>3.4464279568013636E-3</c:v>
                </c:pt>
                <c:pt idx="15">
                  <c:v>0</c:v>
                </c:pt>
                <c:pt idx="16">
                  <c:v>2.0821558603629801E-3</c:v>
                </c:pt>
                <c:pt idx="17">
                  <c:v>1.314286543122483E-3</c:v>
                </c:pt>
                <c:pt idx="18">
                  <c:v>1.4367974097673336E-3</c:v>
                </c:pt>
                <c:pt idx="19">
                  <c:v>6.2459081704546058E-3</c:v>
                </c:pt>
                <c:pt idx="20">
                  <c:v>7.4594637105345862E-4</c:v>
                </c:pt>
                <c:pt idx="21">
                  <c:v>1.7769736543749818E-3</c:v>
                </c:pt>
                <c:pt idx="22">
                  <c:v>5.9419309214147299E-3</c:v>
                </c:pt>
                <c:pt idx="23">
                  <c:v>0</c:v>
                </c:pt>
                <c:pt idx="24">
                  <c:v>3.6135068826538872E-4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4.5314274349395224E-4</c:v>
                </c:pt>
                <c:pt idx="29">
                  <c:v>9.8829645606902656E-4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1.4958987092647189E-3</c:v>
                </c:pt>
                <c:pt idx="34">
                  <c:v>5.1340164912161649E-3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2.8283525564502458E-3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0.32626624494098511</c:v>
                </c:pt>
                <c:pt idx="1">
                  <c:v>0.1246846287240951</c:v>
                </c:pt>
                <c:pt idx="2">
                  <c:v>6.8778162070916526E-2</c:v>
                </c:pt>
                <c:pt idx="3">
                  <c:v>3.6810295364175787E-2</c:v>
                </c:pt>
                <c:pt idx="4">
                  <c:v>0.10072945180870392</c:v>
                </c:pt>
                <c:pt idx="5">
                  <c:v>6.7687627019042046E-2</c:v>
                </c:pt>
                <c:pt idx="6">
                  <c:v>5.447547203112247E-2</c:v>
                </c:pt>
                <c:pt idx="7">
                  <c:v>2.8076387871160093E-2</c:v>
                </c:pt>
                <c:pt idx="8">
                  <c:v>2.9597007273099135E-2</c:v>
                </c:pt>
                <c:pt idx="9">
                  <c:v>2.507770077755609E-2</c:v>
                </c:pt>
                <c:pt idx="10">
                  <c:v>1.3848560132037006E-2</c:v>
                </c:pt>
                <c:pt idx="11">
                  <c:v>1.1647764114301226E-2</c:v>
                </c:pt>
                <c:pt idx="12">
                  <c:v>1.2373091743030107E-2</c:v>
                </c:pt>
                <c:pt idx="13">
                  <c:v>9.1377552195561276E-3</c:v>
                </c:pt>
                <c:pt idx="14">
                  <c:v>8.9790815493864026E-3</c:v>
                </c:pt>
                <c:pt idx="15">
                  <c:v>7.6872004187949258E-3</c:v>
                </c:pt>
                <c:pt idx="16">
                  <c:v>1.2452633508756032E-2</c:v>
                </c:pt>
                <c:pt idx="17">
                  <c:v>6.4732402189606898E-3</c:v>
                </c:pt>
                <c:pt idx="18">
                  <c:v>6.2302288811753766E-3</c:v>
                </c:pt>
                <c:pt idx="19">
                  <c:v>5.9553225856114247E-3</c:v>
                </c:pt>
                <c:pt idx="20">
                  <c:v>4.5656140556361666E-3</c:v>
                </c:pt>
                <c:pt idx="21">
                  <c:v>3.0978658964283473E-3</c:v>
                </c:pt>
                <c:pt idx="22">
                  <c:v>3.6658372963952238E-3</c:v>
                </c:pt>
                <c:pt idx="23">
                  <c:v>2.9376615661900274E-3</c:v>
                </c:pt>
                <c:pt idx="24">
                  <c:v>3.056864832970835E-3</c:v>
                </c:pt>
                <c:pt idx="25">
                  <c:v>2.5346839239403524E-3</c:v>
                </c:pt>
                <c:pt idx="26">
                  <c:v>2.0301871409710696E-3</c:v>
                </c:pt>
                <c:pt idx="27">
                  <c:v>1.9672140332532544E-3</c:v>
                </c:pt>
                <c:pt idx="28">
                  <c:v>1.84426403446912E-3</c:v>
                </c:pt>
                <c:pt idx="29">
                  <c:v>1.7874289559505507E-3</c:v>
                </c:pt>
                <c:pt idx="30">
                  <c:v>8.7110155569083828E-4</c:v>
                </c:pt>
                <c:pt idx="31">
                  <c:v>1.7775592544548825E-3</c:v>
                </c:pt>
                <c:pt idx="32">
                  <c:v>1.2915187016382004E-3</c:v>
                </c:pt>
                <c:pt idx="33">
                  <c:v>9.6592294896163467E-4</c:v>
                </c:pt>
                <c:pt idx="34">
                  <c:v>8.5036701038524321E-4</c:v>
                </c:pt>
                <c:pt idx="35">
                  <c:v>1.0977051768230814E-3</c:v>
                </c:pt>
                <c:pt idx="36">
                  <c:v>1.02943581793632E-3</c:v>
                </c:pt>
                <c:pt idx="37">
                  <c:v>6.5120185138083434E-4</c:v>
                </c:pt>
                <c:pt idx="38">
                  <c:v>8.3651997577407935E-4</c:v>
                </c:pt>
                <c:pt idx="39">
                  <c:v>8.6176956861443914E-4</c:v>
                </c:pt>
                <c:pt idx="40">
                  <c:v>6.5975966975441718E-4</c:v>
                </c:pt>
                <c:pt idx="41">
                  <c:v>6.3040272536205434E-4</c:v>
                </c:pt>
                <c:pt idx="42">
                  <c:v>5.1682225246925742E-4</c:v>
                </c:pt>
                <c:pt idx="43">
                  <c:v>4.6630262634188735E-4</c:v>
                </c:pt>
                <c:pt idx="44">
                  <c:v>6.4062969795338311E-4</c:v>
                </c:pt>
                <c:pt idx="45">
                  <c:v>4.2822570145332133E-4</c:v>
                </c:pt>
                <c:pt idx="46">
                  <c:v>2.8708954284325031E-4</c:v>
                </c:pt>
                <c:pt idx="47">
                  <c:v>5.5582076971260966E-5</c:v>
                </c:pt>
                <c:pt idx="48">
                  <c:v>3.050474517148924E-4</c:v>
                </c:pt>
                <c:pt idx="49">
                  <c:v>1.5426932995482809E-4</c:v>
                </c:pt>
                <c:pt idx="50">
                  <c:v>1.7629808855628454E-4</c:v>
                </c:pt>
                <c:pt idx="51">
                  <c:v>1.3784815325582219E-4</c:v>
                </c:pt>
                <c:pt idx="52">
                  <c:v>1.1903263760236737E-4</c:v>
                </c:pt>
                <c:pt idx="53">
                  <c:v>1.7046673505181864E-5</c:v>
                </c:pt>
                <c:pt idx="54">
                  <c:v>1.3067483863661957E-4</c:v>
                </c:pt>
                <c:pt idx="55">
                  <c:v>1.3068203305935286E-4</c:v>
                </c:pt>
                <c:pt idx="56">
                  <c:v>6.2543657274184285E-5</c:v>
                </c:pt>
                <c:pt idx="57">
                  <c:v>1.4187202114838504E-4</c:v>
                </c:pt>
                <c:pt idx="58">
                  <c:v>2.980429441960213E-5</c:v>
                </c:pt>
                <c:pt idx="59">
                  <c:v>8.6595475681295846E-5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3.7241127198228063E-3</c:v>
                </c:pt>
                <c:pt idx="2">
                  <c:v>4.0518901434828123E-3</c:v>
                </c:pt>
                <c:pt idx="3">
                  <c:v>4.2468796602436569E-2</c:v>
                </c:pt>
                <c:pt idx="4">
                  <c:v>4.8018915842663441E-2</c:v>
                </c:pt>
                <c:pt idx="5">
                  <c:v>9.4224479117550025E-2</c:v>
                </c:pt>
                <c:pt idx="6">
                  <c:v>5.9257177625129769E-2</c:v>
                </c:pt>
                <c:pt idx="7">
                  <c:v>4.2202869951498377E-2</c:v>
                </c:pt>
                <c:pt idx="8">
                  <c:v>1.7522104649697216E-2</c:v>
                </c:pt>
                <c:pt idx="9">
                  <c:v>3.0984031620256026E-2</c:v>
                </c:pt>
                <c:pt idx="10">
                  <c:v>4.3098732417645178E-3</c:v>
                </c:pt>
                <c:pt idx="11">
                  <c:v>1.7951157697383521E-2</c:v>
                </c:pt>
                <c:pt idx="12">
                  <c:v>1.4327767640141913E-2</c:v>
                </c:pt>
                <c:pt idx="13">
                  <c:v>1.2087496768924486E-2</c:v>
                </c:pt>
                <c:pt idx="14">
                  <c:v>3.6771588022503209E-2</c:v>
                </c:pt>
                <c:pt idx="15">
                  <c:v>2.9154178995536854E-2</c:v>
                </c:pt>
                <c:pt idx="16">
                  <c:v>5.114617700983827E-2</c:v>
                </c:pt>
                <c:pt idx="17">
                  <c:v>2.3457277117362712E-2</c:v>
                </c:pt>
                <c:pt idx="18">
                  <c:v>7.5692790949236574E-2</c:v>
                </c:pt>
                <c:pt idx="19">
                  <c:v>8.2860212659528795E-2</c:v>
                </c:pt>
                <c:pt idx="20">
                  <c:v>4.8306682721156499E-2</c:v>
                </c:pt>
                <c:pt idx="21">
                  <c:v>5.6361827889754273E-2</c:v>
                </c:pt>
                <c:pt idx="22">
                  <c:v>3.6231820054256826E-2</c:v>
                </c:pt>
                <c:pt idx="23">
                  <c:v>1.1504704800677884E-2</c:v>
                </c:pt>
                <c:pt idx="24">
                  <c:v>1.591335305553699E-2</c:v>
                </c:pt>
                <c:pt idx="25">
                  <c:v>2.0822711524622773E-3</c:v>
                </c:pt>
                <c:pt idx="26">
                  <c:v>2.4034232465362758E-2</c:v>
                </c:pt>
                <c:pt idx="27">
                  <c:v>7.7460459824788058E-3</c:v>
                </c:pt>
                <c:pt idx="28">
                  <c:v>6.3875028263149676E-4</c:v>
                </c:pt>
                <c:pt idx="29">
                  <c:v>1.9996284063822705E-3</c:v>
                </c:pt>
                <c:pt idx="30">
                  <c:v>3.7400120737688287E-3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2.5918900579497216E-2</c:v>
                </c:pt>
                <c:pt idx="35">
                  <c:v>3.160866004313691E-4</c:v>
                </c:pt>
                <c:pt idx="36">
                  <c:v>4.4461015659452048E-3</c:v>
                </c:pt>
                <c:pt idx="37">
                  <c:v>1.16589206263947E-3</c:v>
                </c:pt>
                <c:pt idx="38">
                  <c:v>1.2679600242534518E-2</c:v>
                </c:pt>
                <c:pt idx="39">
                  <c:v>0</c:v>
                </c:pt>
                <c:pt idx="40">
                  <c:v>3.6135068826538867E-4</c:v>
                </c:pt>
                <c:pt idx="41">
                  <c:v>6.7871367758298856E-3</c:v>
                </c:pt>
                <c:pt idx="42">
                  <c:v>0</c:v>
                </c:pt>
                <c:pt idx="43">
                  <c:v>4.2985977062208925E-4</c:v>
                </c:pt>
                <c:pt idx="44">
                  <c:v>0</c:v>
                </c:pt>
                <c:pt idx="45">
                  <c:v>3.5047003028974059E-2</c:v>
                </c:pt>
                <c:pt idx="46">
                  <c:v>3.208623325478104E-3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5.1340164912161649E-3</c:v>
                </c:pt>
                <c:pt idx="53">
                  <c:v>0</c:v>
                </c:pt>
                <c:pt idx="54">
                  <c:v>4.5314274349395213E-4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1.4958987092647186E-3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5.4959523606995971E-2</c:v>
                </c:pt>
                <c:pt idx="1">
                  <c:v>7.2766414777354085E-2</c:v>
                </c:pt>
                <c:pt idx="2">
                  <c:v>6.7739764537368158E-2</c:v>
                </c:pt>
                <c:pt idx="3">
                  <c:v>6.2044396353240355E-2</c:v>
                </c:pt>
                <c:pt idx="4">
                  <c:v>5.5491276242995775E-2</c:v>
                </c:pt>
                <c:pt idx="5">
                  <c:v>4.6936649762041274E-2</c:v>
                </c:pt>
                <c:pt idx="6">
                  <c:v>3.9392603915455057E-2</c:v>
                </c:pt>
                <c:pt idx="7">
                  <c:v>3.522557065235999E-2</c:v>
                </c:pt>
                <c:pt idx="8">
                  <c:v>2.5953681045023571E-2</c:v>
                </c:pt>
                <c:pt idx="9">
                  <c:v>2.2912666345622387E-2</c:v>
                </c:pt>
                <c:pt idx="10">
                  <c:v>1.8380603048258268E-2</c:v>
                </c:pt>
                <c:pt idx="11">
                  <c:v>1.5169601797414617E-2</c:v>
                </c:pt>
                <c:pt idx="12">
                  <c:v>1.3057456221221075E-2</c:v>
                </c:pt>
                <c:pt idx="13">
                  <c:v>1.2330712704049295E-2</c:v>
                </c:pt>
                <c:pt idx="14">
                  <c:v>9.7086084175541845E-3</c:v>
                </c:pt>
                <c:pt idx="15">
                  <c:v>7.5686444879182069E-3</c:v>
                </c:pt>
                <c:pt idx="16">
                  <c:v>7.8166841408993069E-3</c:v>
                </c:pt>
                <c:pt idx="17">
                  <c:v>6.8540360000861568E-3</c:v>
                </c:pt>
                <c:pt idx="18">
                  <c:v>6.0922197987253277E-2</c:v>
                </c:pt>
                <c:pt idx="19">
                  <c:v>2.901484576260684E-2</c:v>
                </c:pt>
                <c:pt idx="20">
                  <c:v>2.1420711685836862E-2</c:v>
                </c:pt>
                <c:pt idx="21">
                  <c:v>4.0424944882796854E-2</c:v>
                </c:pt>
                <c:pt idx="22">
                  <c:v>2.5743302850411657E-2</c:v>
                </c:pt>
                <c:pt idx="23">
                  <c:v>2.92716856110414E-2</c:v>
                </c:pt>
                <c:pt idx="24">
                  <c:v>1.9283947538850439E-2</c:v>
                </c:pt>
                <c:pt idx="25">
                  <c:v>1.5060183743190281E-2</c:v>
                </c:pt>
                <c:pt idx="26">
                  <c:v>2.0913657540168707E-2</c:v>
                </c:pt>
                <c:pt idx="27">
                  <c:v>9.7742040456323329E-3</c:v>
                </c:pt>
                <c:pt idx="28">
                  <c:v>1.3324262226031494E-2</c:v>
                </c:pt>
                <c:pt idx="29">
                  <c:v>1.129372603435351E-2</c:v>
                </c:pt>
                <c:pt idx="30">
                  <c:v>9.3932898501764492E-3</c:v>
                </c:pt>
                <c:pt idx="31">
                  <c:v>1.5570937467105195E-2</c:v>
                </c:pt>
                <c:pt idx="32">
                  <c:v>1.0744679956303649E-2</c:v>
                </c:pt>
                <c:pt idx="33">
                  <c:v>9.5060807656754277E-3</c:v>
                </c:pt>
                <c:pt idx="34">
                  <c:v>9.7635665857896837E-3</c:v>
                </c:pt>
                <c:pt idx="35">
                  <c:v>6.1388391330237128E-3</c:v>
                </c:pt>
                <c:pt idx="36">
                  <c:v>9.3871364915243203E-3</c:v>
                </c:pt>
                <c:pt idx="37">
                  <c:v>5.1152778234341478E-3</c:v>
                </c:pt>
                <c:pt idx="38">
                  <c:v>4.0535880183934659E-3</c:v>
                </c:pt>
                <c:pt idx="39">
                  <c:v>4.2742561117083064E-3</c:v>
                </c:pt>
                <c:pt idx="40">
                  <c:v>4.4800034311449051E-3</c:v>
                </c:pt>
                <c:pt idx="41">
                  <c:v>2.9822684745692846E-3</c:v>
                </c:pt>
                <c:pt idx="42">
                  <c:v>4.1689162969293769E-3</c:v>
                </c:pt>
                <c:pt idx="43">
                  <c:v>3.351968566126089E-3</c:v>
                </c:pt>
                <c:pt idx="44">
                  <c:v>2.3666933299231075E-3</c:v>
                </c:pt>
                <c:pt idx="45">
                  <c:v>1.7670515125976088E-3</c:v>
                </c:pt>
                <c:pt idx="46">
                  <c:v>2.3588976258660265E-3</c:v>
                </c:pt>
                <c:pt idx="47">
                  <c:v>2.168512035209643E-3</c:v>
                </c:pt>
                <c:pt idx="48">
                  <c:v>1.9189778451776656E-3</c:v>
                </c:pt>
                <c:pt idx="49">
                  <c:v>1.6989267261930819E-3</c:v>
                </c:pt>
                <c:pt idx="50">
                  <c:v>1.8507928358463049E-3</c:v>
                </c:pt>
                <c:pt idx="51">
                  <c:v>1.3858412957907051E-3</c:v>
                </c:pt>
                <c:pt idx="52">
                  <c:v>1.216461532198876E-3</c:v>
                </c:pt>
                <c:pt idx="53">
                  <c:v>1.1924035175837268E-3</c:v>
                </c:pt>
                <c:pt idx="54">
                  <c:v>6.7264245203741812E-4</c:v>
                </c:pt>
                <c:pt idx="55">
                  <c:v>1.1784455139469757E-3</c:v>
                </c:pt>
                <c:pt idx="56">
                  <c:v>9.5829498686848802E-4</c:v>
                </c:pt>
                <c:pt idx="57">
                  <c:v>9.8815952670773879E-4</c:v>
                </c:pt>
                <c:pt idx="58">
                  <c:v>9.4610562070740869E-4</c:v>
                </c:pt>
                <c:pt idx="59">
                  <c:v>7.0454358719031381E-4</c:v>
                </c:pt>
                <c:pt idx="60">
                  <c:v>1.2335990411660577E-3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2"/>
  <sheetViews>
    <sheetView topLeftCell="C1" workbookViewId="0">
      <selection activeCell="O29" sqref="O29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3" max="4" width="9.28515625" bestFit="1" customWidth="1" collapsed="1"/>
    <col min="5" max="5" width="10.5703125" bestFit="1" customWidth="1" collapsed="1"/>
    <col min="9" max="9" width="10.5703125" bestFit="1" customWidth="1" collapsed="1"/>
    <col min="10" max="11" width="9.5703125" bestFit="1" customWidth="1" collapsed="1"/>
    <col min="12" max="12" width="10.5703125" bestFit="1" customWidth="1" collapsed="1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r="9" spans="1:18" ht="15.75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>
        <v>33529.249642833798</v>
      </c>
      <c r="C11" s="520">
        <v>623.85125070649997</v>
      </c>
      <c r="D11" s="520">
        <v>1693.8448047705999</v>
      </c>
      <c r="E11" s="520">
        <f>SUM(B11:D11)</f>
        <v>35846.945698310898</v>
      </c>
      <c r="F11" s="21">
        <f>E11/$E$102</f>
        <v>0.19477466398115215</v>
      </c>
      <c r="H11" s="23">
        <v>0</v>
      </c>
      <c r="I11" s="522">
        <v>25883.791080937332</v>
      </c>
      <c r="J11" s="522">
        <v>21537.591858795862</v>
      </c>
      <c r="K11" s="522">
        <v>9997.3700225628836</v>
      </c>
      <c r="L11" s="520">
        <f>SUM(I11:K11)</f>
        <v>57418.752962296079</v>
      </c>
      <c r="M11" s="21">
        <f>L11/$L$102</f>
        <v>0.32626624494098511</v>
      </c>
      <c r="P11" t="s">
        <v>9</v>
      </c>
      <c r="Q11" s="8">
        <v>3.9962239741690722</v>
      </c>
      <c r="R11" s="8">
        <v>6.4774483945723151</v>
      </c>
    </row>
    <row r="12" spans="1:18" x14ac:dyDescent="0.25">
      <c r="A12">
        <v>1</v>
      </c>
      <c r="B12" s="520">
        <v>19741.0888088627</v>
      </c>
      <c r="C12" s="520">
        <v>1282.9672045294999</v>
      </c>
      <c r="D12" s="520">
        <v>1270.553164984</v>
      </c>
      <c r="E12" s="520">
        <f t="shared" ref="E12:E75" si="0">SUM(B12:D12)</f>
        <v>22294.609178376202</v>
      </c>
      <c r="F12" s="21">
        <f t="shared" ref="F12:F75" si="1">E12/$E$102</f>
        <v>0.1211379359305903</v>
      </c>
      <c r="H12" s="24">
        <v>1</v>
      </c>
      <c r="I12" s="522">
        <v>10483.93790774401</v>
      </c>
      <c r="J12" s="522">
        <v>7760.2817347417122</v>
      </c>
      <c r="K12" s="522">
        <v>3698.7058237983615</v>
      </c>
      <c r="L12" s="520">
        <f t="shared" ref="L12:L75" si="2">SUM(I12:K12)</f>
        <v>21942.925466284083</v>
      </c>
      <c r="M12" s="21">
        <f t="shared" ref="M12:M75" si="3">L12/$L$102</f>
        <v>0.1246846287240951</v>
      </c>
      <c r="P12" t="s">
        <v>10</v>
      </c>
      <c r="Q12" s="8">
        <v>4.3676568275525121</v>
      </c>
      <c r="R12" s="8">
        <v>3.3630520744485684</v>
      </c>
    </row>
    <row r="13" spans="1:18" x14ac:dyDescent="0.25">
      <c r="A13">
        <v>2</v>
      </c>
      <c r="B13" s="520">
        <v>9929.6348443457009</v>
      </c>
      <c r="C13" s="520">
        <v>371.51894167299997</v>
      </c>
      <c r="D13" s="520">
        <v>0</v>
      </c>
      <c r="E13" s="520">
        <f t="shared" si="0"/>
        <v>10301.153786018702</v>
      </c>
      <c r="F13" s="21">
        <f t="shared" si="1"/>
        <v>5.5971400860087984E-2</v>
      </c>
      <c r="H13" s="25">
        <v>2</v>
      </c>
      <c r="I13" s="522">
        <v>6486.8977853955839</v>
      </c>
      <c r="J13" s="522">
        <v>3984.6339042737145</v>
      </c>
      <c r="K13" s="522">
        <v>1632.5592433815295</v>
      </c>
      <c r="L13" s="520">
        <f t="shared" si="2"/>
        <v>12104.090933050828</v>
      </c>
      <c r="M13" s="21">
        <f t="shared" si="3"/>
        <v>6.8778162070916526E-2</v>
      </c>
      <c r="P13" s="6" t="s">
        <v>11</v>
      </c>
      <c r="Q13" s="11">
        <v>4.455458028041579</v>
      </c>
      <c r="R13" s="11">
        <v>3.0838267634560195</v>
      </c>
    </row>
    <row r="14" spans="1:18" ht="15.75" thickBot="1" x14ac:dyDescent="0.3">
      <c r="A14">
        <v>3</v>
      </c>
      <c r="B14" s="520">
        <v>25599.561736635002</v>
      </c>
      <c r="C14" s="520">
        <v>764.363108539</v>
      </c>
      <c r="D14" s="520">
        <v>0</v>
      </c>
      <c r="E14" s="520">
        <f t="shared" si="0"/>
        <v>26363.924845174002</v>
      </c>
      <c r="F14" s="21">
        <f t="shared" si="1"/>
        <v>0.14324859490567635</v>
      </c>
      <c r="H14" s="26">
        <v>3</v>
      </c>
      <c r="I14" s="522">
        <v>3659.7820253550303</v>
      </c>
      <c r="J14" s="522">
        <v>1957.5436228079648</v>
      </c>
      <c r="K14" s="522">
        <v>860.82306859153584</v>
      </c>
      <c r="L14" s="520">
        <f t="shared" si="2"/>
        <v>6478.1487167545311</v>
      </c>
      <c r="M14" s="21">
        <f t="shared" si="3"/>
        <v>3.6810295364175787E-2</v>
      </c>
      <c r="P14" s="1" t="s">
        <v>4</v>
      </c>
      <c r="Q14" s="9">
        <v>4.0245166306047642</v>
      </c>
      <c r="R14" s="9">
        <v>5.088829609341011</v>
      </c>
    </row>
    <row r="15" spans="1:18" x14ac:dyDescent="0.25">
      <c r="A15">
        <v>4</v>
      </c>
      <c r="B15" s="520">
        <v>34768.319183465901</v>
      </c>
      <c r="C15" s="520">
        <v>1001.4134433272001</v>
      </c>
      <c r="D15" s="520">
        <v>295.61329596029998</v>
      </c>
      <c r="E15" s="520">
        <f t="shared" si="0"/>
        <v>36065.345922753397</v>
      </c>
      <c r="F15" s="21">
        <f t="shared" si="1"/>
        <v>0.1959613433341772</v>
      </c>
      <c r="H15" s="27">
        <v>4</v>
      </c>
      <c r="I15" s="522">
        <v>10045.953080163228</v>
      </c>
      <c r="J15" s="522">
        <v>5390.557056847575</v>
      </c>
      <c r="K15" s="522">
        <v>2290.6056744260886</v>
      </c>
      <c r="L15" s="520">
        <f t="shared" si="2"/>
        <v>17727.115811436892</v>
      </c>
      <c r="M15" s="21">
        <f t="shared" si="3"/>
        <v>0.10072945180870392</v>
      </c>
    </row>
    <row r="16" spans="1:18" x14ac:dyDescent="0.25">
      <c r="A16">
        <v>5</v>
      </c>
      <c r="B16" s="520">
        <v>17811.0833723785</v>
      </c>
      <c r="C16" s="520">
        <v>1762.3806864840001</v>
      </c>
      <c r="D16" s="520">
        <v>86.292151489199995</v>
      </c>
      <c r="E16" s="520">
        <f t="shared" si="0"/>
        <v>19659.756210351701</v>
      </c>
      <c r="F16" s="21">
        <f t="shared" si="1"/>
        <v>0.10682144141510649</v>
      </c>
      <c r="H16" s="28">
        <v>5</v>
      </c>
      <c r="I16" s="522">
        <v>7550.0937736015449</v>
      </c>
      <c r="J16" s="522">
        <v>2936.2408431095291</v>
      </c>
      <c r="K16" s="522">
        <v>1425.8358718830139</v>
      </c>
      <c r="L16" s="520">
        <f t="shared" si="2"/>
        <v>11912.170488594087</v>
      </c>
      <c r="M16" s="21">
        <f t="shared" si="3"/>
        <v>6.7687627019042046E-2</v>
      </c>
    </row>
    <row r="17" spans="1:13" x14ac:dyDescent="0.25">
      <c r="A17">
        <v>6</v>
      </c>
      <c r="B17" s="520">
        <v>8332.5743277308993</v>
      </c>
      <c r="C17" s="520">
        <v>321.10443349489998</v>
      </c>
      <c r="D17" s="520">
        <v>0</v>
      </c>
      <c r="E17" s="520">
        <f t="shared" si="0"/>
        <v>8653.6787612257995</v>
      </c>
      <c r="F17" s="21">
        <f t="shared" si="1"/>
        <v>4.7019832236307076E-2</v>
      </c>
      <c r="H17" s="29">
        <v>6</v>
      </c>
      <c r="I17" s="522">
        <v>5986.1188365468697</v>
      </c>
      <c r="J17" s="522">
        <v>2490.5560691761002</v>
      </c>
      <c r="K17" s="522">
        <v>1110.3225834756624</v>
      </c>
      <c r="L17" s="520">
        <f t="shared" si="2"/>
        <v>9586.997489198633</v>
      </c>
      <c r="M17" s="21">
        <f t="shared" si="3"/>
        <v>5.447547203112247E-2</v>
      </c>
    </row>
    <row r="18" spans="1:13" x14ac:dyDescent="0.25">
      <c r="A18">
        <v>7</v>
      </c>
      <c r="B18" s="520">
        <v>1104.0112126567999</v>
      </c>
      <c r="C18" s="520">
        <v>92.391007456699995</v>
      </c>
      <c r="D18" s="520">
        <v>0</v>
      </c>
      <c r="E18" s="520">
        <f t="shared" si="0"/>
        <v>1196.4022201134999</v>
      </c>
      <c r="F18" s="21">
        <f t="shared" si="1"/>
        <v>6.5006609592373624E-3</v>
      </c>
      <c r="H18" s="30">
        <v>7</v>
      </c>
      <c r="I18" s="522">
        <v>3128.4520700295943</v>
      </c>
      <c r="J18" s="522">
        <v>1314.9021947431361</v>
      </c>
      <c r="K18" s="522">
        <v>497.73665175571813</v>
      </c>
      <c r="L18" s="520">
        <f t="shared" si="2"/>
        <v>4941.0909165284484</v>
      </c>
      <c r="M18" s="21">
        <f t="shared" si="3"/>
        <v>2.8076387871160093E-2</v>
      </c>
    </row>
    <row r="19" spans="1:13" x14ac:dyDescent="0.25">
      <c r="A19">
        <v>8</v>
      </c>
      <c r="B19" s="520">
        <v>4243.7919333588998</v>
      </c>
      <c r="C19" s="520">
        <v>0</v>
      </c>
      <c r="D19" s="520">
        <v>2144.3964313735</v>
      </c>
      <c r="E19" s="520">
        <f t="shared" si="0"/>
        <v>6388.1883647323994</v>
      </c>
      <c r="F19" s="21">
        <f t="shared" si="1"/>
        <v>3.471027218499366E-2</v>
      </c>
      <c r="H19" s="31">
        <v>8</v>
      </c>
      <c r="I19" s="522">
        <v>3529.3961446482112</v>
      </c>
      <c r="J19" s="522">
        <v>1229.7453965946845</v>
      </c>
      <c r="K19" s="522">
        <v>449.55925262792181</v>
      </c>
      <c r="L19" s="520">
        <f t="shared" si="2"/>
        <v>5208.7007938708175</v>
      </c>
      <c r="M19" s="21">
        <f t="shared" si="3"/>
        <v>2.9597007273099135E-2</v>
      </c>
    </row>
    <row r="20" spans="1:13" x14ac:dyDescent="0.25">
      <c r="A20">
        <v>9</v>
      </c>
      <c r="B20" s="520">
        <v>1584.759641761</v>
      </c>
      <c r="C20" s="520">
        <v>0</v>
      </c>
      <c r="D20" s="520">
        <v>0</v>
      </c>
      <c r="E20" s="520">
        <f t="shared" si="0"/>
        <v>1584.759641761</v>
      </c>
      <c r="F20" s="21">
        <f t="shared" si="1"/>
        <v>8.6108040922837775E-3</v>
      </c>
      <c r="H20" s="32">
        <v>9</v>
      </c>
      <c r="I20" s="522">
        <v>3149.7126567125256</v>
      </c>
      <c r="J20" s="522">
        <v>888.9317907408539</v>
      </c>
      <c r="K20" s="522">
        <v>374.71527987399844</v>
      </c>
      <c r="L20" s="520">
        <f t="shared" si="2"/>
        <v>4413.3597273273781</v>
      </c>
      <c r="M20" s="21">
        <f t="shared" si="3"/>
        <v>2.507770077755609E-2</v>
      </c>
    </row>
    <row r="21" spans="1:13" x14ac:dyDescent="0.25">
      <c r="A21">
        <v>10</v>
      </c>
      <c r="B21" s="520">
        <v>6599.1783360809004</v>
      </c>
      <c r="C21" s="520">
        <v>0</v>
      </c>
      <c r="D21" s="520">
        <v>0</v>
      </c>
      <c r="E21" s="520">
        <f t="shared" si="0"/>
        <v>6599.1783360809004</v>
      </c>
      <c r="F21" s="21">
        <f t="shared" si="1"/>
        <v>3.5856687869014782E-2</v>
      </c>
      <c r="H21" s="33">
        <v>10</v>
      </c>
      <c r="I21" s="522">
        <v>1838.1149604476564</v>
      </c>
      <c r="J21" s="522">
        <v>467.821806564425</v>
      </c>
      <c r="K21" s="522">
        <v>131.23552842033376</v>
      </c>
      <c r="L21" s="520">
        <f t="shared" si="2"/>
        <v>2437.172295432415</v>
      </c>
      <c r="M21" s="21">
        <f t="shared" si="3"/>
        <v>1.3848560132037006E-2</v>
      </c>
    </row>
    <row r="22" spans="1:13" x14ac:dyDescent="0.25">
      <c r="A22">
        <v>11</v>
      </c>
      <c r="B22" s="520">
        <v>0</v>
      </c>
      <c r="C22" s="520">
        <v>0</v>
      </c>
      <c r="D22" s="520">
        <v>0</v>
      </c>
      <c r="E22" s="520">
        <f t="shared" si="0"/>
        <v>0</v>
      </c>
      <c r="F22" s="21">
        <f t="shared" si="1"/>
        <v>0</v>
      </c>
      <c r="H22" s="34">
        <v>11</v>
      </c>
      <c r="I22" s="522">
        <v>1597.652697284858</v>
      </c>
      <c r="J22" s="522">
        <v>321.06968468771021</v>
      </c>
      <c r="K22" s="522">
        <v>131.13751194055109</v>
      </c>
      <c r="L22" s="520">
        <f t="shared" si="2"/>
        <v>2049.8598939131193</v>
      </c>
      <c r="M22" s="21">
        <f t="shared" si="3"/>
        <v>1.1647764114301226E-2</v>
      </c>
    </row>
    <row r="23" spans="1:13" x14ac:dyDescent="0.25">
      <c r="A23">
        <v>12</v>
      </c>
      <c r="B23" s="520">
        <v>1326.0752977530001</v>
      </c>
      <c r="C23" s="520">
        <v>0</v>
      </c>
      <c r="D23" s="520">
        <v>0</v>
      </c>
      <c r="E23" s="520">
        <f t="shared" si="0"/>
        <v>1326.0752977530001</v>
      </c>
      <c r="F23" s="21">
        <f t="shared" si="1"/>
        <v>7.2052406558508345E-3</v>
      </c>
      <c r="H23" s="35">
        <v>12</v>
      </c>
      <c r="I23" s="522">
        <v>1709.2131738847229</v>
      </c>
      <c r="J23" s="522">
        <v>323.27308692116259</v>
      </c>
      <c r="K23" s="522">
        <v>145.02216732273257</v>
      </c>
      <c r="L23" s="520">
        <f t="shared" si="2"/>
        <v>2177.5084281286181</v>
      </c>
      <c r="M23" s="21">
        <f t="shared" si="3"/>
        <v>1.2373091743030107E-2</v>
      </c>
    </row>
    <row r="24" spans="1:13" x14ac:dyDescent="0.25">
      <c r="A24">
        <v>13</v>
      </c>
      <c r="B24" s="520">
        <v>1459.395501922</v>
      </c>
      <c r="C24" s="520">
        <v>0</v>
      </c>
      <c r="D24" s="520">
        <v>0</v>
      </c>
      <c r="E24" s="520">
        <f t="shared" si="0"/>
        <v>1459.395501922</v>
      </c>
      <c r="F24" s="21">
        <f t="shared" si="1"/>
        <v>7.9296370434108251E-3</v>
      </c>
      <c r="H24" s="36">
        <v>13</v>
      </c>
      <c r="I24" s="522">
        <v>1263.17600439531</v>
      </c>
      <c r="J24" s="522">
        <v>247.28545048613233</v>
      </c>
      <c r="K24" s="522">
        <v>97.668462684895275</v>
      </c>
      <c r="L24" s="520">
        <f t="shared" si="2"/>
        <v>1608.1299175663376</v>
      </c>
      <c r="M24" s="21">
        <f t="shared" si="3"/>
        <v>9.1377552195561276E-3</v>
      </c>
    </row>
    <row r="25" spans="1:13" x14ac:dyDescent="0.25">
      <c r="A25">
        <v>14</v>
      </c>
      <c r="B25" s="520">
        <v>424.85880069249998</v>
      </c>
      <c r="C25" s="520">
        <v>209.43270979140001</v>
      </c>
      <c r="D25" s="520">
        <v>0</v>
      </c>
      <c r="E25" s="520">
        <f t="shared" si="0"/>
        <v>634.29151048389997</v>
      </c>
      <c r="F25" s="21">
        <f t="shared" si="1"/>
        <v>3.4464279568013636E-3</v>
      </c>
      <c r="H25" s="37">
        <v>14</v>
      </c>
      <c r="I25" s="522">
        <v>1230.871229076454</v>
      </c>
      <c r="J25" s="522">
        <v>257.97130306566135</v>
      </c>
      <c r="K25" s="522">
        <v>91.36281642461779</v>
      </c>
      <c r="L25" s="520">
        <f t="shared" si="2"/>
        <v>1580.2053485667334</v>
      </c>
      <c r="M25" s="21">
        <f t="shared" si="3"/>
        <v>8.9790815493864026E-3</v>
      </c>
    </row>
    <row r="26" spans="1:13" x14ac:dyDescent="0.25">
      <c r="A26">
        <v>15</v>
      </c>
      <c r="B26" s="520">
        <v>0</v>
      </c>
      <c r="C26" s="520">
        <v>0</v>
      </c>
      <c r="D26" s="520">
        <v>0</v>
      </c>
      <c r="E26" s="520">
        <f t="shared" si="0"/>
        <v>0</v>
      </c>
      <c r="F26" s="21">
        <f t="shared" si="1"/>
        <v>0</v>
      </c>
      <c r="H26" s="38">
        <v>15</v>
      </c>
      <c r="I26" s="522">
        <v>1062.1714806473058</v>
      </c>
      <c r="J26" s="522">
        <v>204.29861500045251</v>
      </c>
      <c r="K26" s="522">
        <v>86.380432601902413</v>
      </c>
      <c r="L26" s="520">
        <f t="shared" si="2"/>
        <v>1352.8505282496606</v>
      </c>
      <c r="M26" s="21">
        <f t="shared" si="3"/>
        <v>7.6872004187949258E-3</v>
      </c>
    </row>
    <row r="27" spans="1:13" x14ac:dyDescent="0.25">
      <c r="A27">
        <v>16</v>
      </c>
      <c r="B27" s="520">
        <v>0</v>
      </c>
      <c r="C27" s="520">
        <v>0</v>
      </c>
      <c r="D27" s="520">
        <v>383.20655539199998</v>
      </c>
      <c r="E27" s="520">
        <f t="shared" si="0"/>
        <v>383.20655539199998</v>
      </c>
      <c r="F27" s="21">
        <f t="shared" si="1"/>
        <v>2.0821558603629801E-3</v>
      </c>
      <c r="H27" s="39">
        <v>16</v>
      </c>
      <c r="I27" s="522">
        <v>1692.8898129812051</v>
      </c>
      <c r="J27" s="522">
        <v>392.89068195707296</v>
      </c>
      <c r="K27" s="522">
        <v>105.72628290386241</v>
      </c>
      <c r="L27" s="520">
        <f t="shared" si="2"/>
        <v>2191.5067778421403</v>
      </c>
      <c r="M27" s="21">
        <f t="shared" si="3"/>
        <v>1.2452633508756032E-2</v>
      </c>
    </row>
    <row r="28" spans="1:13" x14ac:dyDescent="0.25">
      <c r="A28">
        <v>17</v>
      </c>
      <c r="B28" s="520">
        <v>241.88545563549999</v>
      </c>
      <c r="C28" s="520">
        <v>0</v>
      </c>
      <c r="D28" s="520">
        <v>0</v>
      </c>
      <c r="E28" s="520">
        <f t="shared" si="0"/>
        <v>241.88545563549999</v>
      </c>
      <c r="F28" s="21">
        <f t="shared" si="1"/>
        <v>1.314286543122483E-3</v>
      </c>
      <c r="H28" s="40">
        <v>17</v>
      </c>
      <c r="I28" s="522">
        <v>969.02538426127501</v>
      </c>
      <c r="J28" s="522">
        <v>128.66436165205454</v>
      </c>
      <c r="K28" s="522">
        <v>41.519065176930631</v>
      </c>
      <c r="L28" s="520">
        <f t="shared" si="2"/>
        <v>1139.20881109026</v>
      </c>
      <c r="M28" s="21">
        <f t="shared" si="3"/>
        <v>6.4732402189606898E-3</v>
      </c>
    </row>
    <row r="29" spans="1:13" x14ac:dyDescent="0.25">
      <c r="A29">
        <v>18</v>
      </c>
      <c r="B29" s="520">
        <v>264.43274332840002</v>
      </c>
      <c r="C29" s="520">
        <v>0</v>
      </c>
      <c r="D29" s="520">
        <v>0</v>
      </c>
      <c r="E29" s="520">
        <f t="shared" si="0"/>
        <v>264.43274332840002</v>
      </c>
      <c r="F29" s="21">
        <f t="shared" si="1"/>
        <v>1.4367974097673336E-3</v>
      </c>
      <c r="H29" s="41">
        <v>18</v>
      </c>
      <c r="I29" s="522">
        <v>892.3864626702408</v>
      </c>
      <c r="J29" s="522">
        <v>141.52319608335827</v>
      </c>
      <c r="K29" s="522">
        <v>62.532215248652221</v>
      </c>
      <c r="L29" s="520">
        <f t="shared" si="2"/>
        <v>1096.4418740022513</v>
      </c>
      <c r="M29" s="21">
        <f t="shared" si="3"/>
        <v>6.2302288811753766E-3</v>
      </c>
    </row>
    <row r="30" spans="1:13" x14ac:dyDescent="0.25">
      <c r="A30">
        <v>19</v>
      </c>
      <c r="B30" s="520">
        <v>1149.5167104720999</v>
      </c>
      <c r="C30" s="520">
        <v>0</v>
      </c>
      <c r="D30" s="520">
        <v>0</v>
      </c>
      <c r="E30" s="520">
        <f t="shared" si="0"/>
        <v>1149.5167104720999</v>
      </c>
      <c r="F30" s="21">
        <f t="shared" si="1"/>
        <v>6.2459081704546058E-3</v>
      </c>
      <c r="H30" s="42">
        <v>19</v>
      </c>
      <c r="I30" s="522">
        <v>913.31455099887228</v>
      </c>
      <c r="J30" s="522">
        <v>93.969340133238376</v>
      </c>
      <c r="K30" s="522">
        <v>40.777934619603343</v>
      </c>
      <c r="L30" s="520">
        <f t="shared" si="2"/>
        <v>1048.061825751714</v>
      </c>
      <c r="M30" s="21">
        <f t="shared" si="3"/>
        <v>5.9553225856114247E-3</v>
      </c>
    </row>
    <row r="31" spans="1:13" x14ac:dyDescent="0.25">
      <c r="A31">
        <v>20</v>
      </c>
      <c r="B31" s="520">
        <v>137.28633134540001</v>
      </c>
      <c r="C31" s="520">
        <v>0</v>
      </c>
      <c r="D31" s="520">
        <v>0</v>
      </c>
      <c r="E31" s="520">
        <f t="shared" si="0"/>
        <v>137.28633134540001</v>
      </c>
      <c r="F31" s="21">
        <f t="shared" si="1"/>
        <v>7.4594637105345862E-4</v>
      </c>
      <c r="H31" s="43">
        <v>20</v>
      </c>
      <c r="I31" s="522">
        <v>629.94857022615588</v>
      </c>
      <c r="J31" s="522">
        <v>132.2927787419782</v>
      </c>
      <c r="K31" s="522">
        <v>41.249265358756077</v>
      </c>
      <c r="L31" s="520">
        <f t="shared" si="2"/>
        <v>803.49061432689018</v>
      </c>
      <c r="M31" s="21">
        <f t="shared" si="3"/>
        <v>4.5656140556361666E-3</v>
      </c>
    </row>
    <row r="32" spans="1:13" x14ac:dyDescent="0.25">
      <c r="A32">
        <v>21</v>
      </c>
      <c r="B32" s="520">
        <v>0</v>
      </c>
      <c r="C32" s="520">
        <v>327.03985617900003</v>
      </c>
      <c r="D32" s="520">
        <v>0</v>
      </c>
      <c r="E32" s="520">
        <f t="shared" si="0"/>
        <v>327.03985617900003</v>
      </c>
      <c r="F32" s="21">
        <f t="shared" si="1"/>
        <v>1.7769736543749818E-3</v>
      </c>
      <c r="H32" s="44">
        <v>21</v>
      </c>
      <c r="I32" s="522">
        <v>454.95901855863036</v>
      </c>
      <c r="J32" s="522">
        <v>59.987953116764039</v>
      </c>
      <c r="K32" s="522">
        <v>30.238438631195081</v>
      </c>
      <c r="L32" s="520">
        <f t="shared" si="2"/>
        <v>545.18541030658946</v>
      </c>
      <c r="M32" s="21">
        <f t="shared" si="3"/>
        <v>3.0978658964283473E-3</v>
      </c>
    </row>
    <row r="33" spans="1:13" x14ac:dyDescent="0.25">
      <c r="A33">
        <v>22</v>
      </c>
      <c r="B33" s="520">
        <v>1093.5717753500001</v>
      </c>
      <c r="C33" s="520">
        <v>0</v>
      </c>
      <c r="D33" s="520">
        <v>0</v>
      </c>
      <c r="E33" s="520">
        <f t="shared" si="0"/>
        <v>1093.5717753500001</v>
      </c>
      <c r="F33" s="21">
        <f t="shared" si="1"/>
        <v>5.9419309214147299E-3</v>
      </c>
      <c r="H33" s="45">
        <v>22</v>
      </c>
      <c r="I33" s="522">
        <v>562.37250394724981</v>
      </c>
      <c r="J33" s="522">
        <v>61.268724682643054</v>
      </c>
      <c r="K33" s="522">
        <v>21.5</v>
      </c>
      <c r="L33" s="520">
        <f t="shared" si="2"/>
        <v>645.14122862989291</v>
      </c>
      <c r="M33" s="21">
        <f t="shared" si="3"/>
        <v>3.6658372963952238E-3</v>
      </c>
    </row>
    <row r="34" spans="1:13" x14ac:dyDescent="0.25">
      <c r="A34">
        <v>23</v>
      </c>
      <c r="B34" s="520">
        <v>0</v>
      </c>
      <c r="C34" s="520">
        <v>0</v>
      </c>
      <c r="D34" s="520">
        <v>0</v>
      </c>
      <c r="E34" s="520">
        <f t="shared" si="0"/>
        <v>0</v>
      </c>
      <c r="F34" s="21">
        <f t="shared" si="1"/>
        <v>0</v>
      </c>
      <c r="H34" s="46">
        <v>23</v>
      </c>
      <c r="I34" s="522">
        <v>454.58570064321049</v>
      </c>
      <c r="J34" s="522">
        <v>54.410340486237637</v>
      </c>
      <c r="K34" s="522">
        <v>7.9954232692277598</v>
      </c>
      <c r="L34" s="520">
        <f t="shared" si="2"/>
        <v>516.99146439867593</v>
      </c>
      <c r="M34" s="21">
        <f t="shared" si="3"/>
        <v>2.9376615661900274E-3</v>
      </c>
    </row>
    <row r="35" spans="1:13" x14ac:dyDescent="0.25">
      <c r="A35">
        <v>24</v>
      </c>
      <c r="B35" s="520">
        <v>66.504124486899997</v>
      </c>
      <c r="C35" s="520">
        <v>0</v>
      </c>
      <c r="D35" s="520">
        <v>0</v>
      </c>
      <c r="E35" s="520">
        <f t="shared" si="0"/>
        <v>66.504124486899997</v>
      </c>
      <c r="F35" s="21">
        <f t="shared" si="1"/>
        <v>3.6135068826538872E-4</v>
      </c>
      <c r="H35" s="47">
        <v>24</v>
      </c>
      <c r="I35" s="522">
        <v>461.435180151922</v>
      </c>
      <c r="J35" s="522">
        <v>54.543992957678888</v>
      </c>
      <c r="K35" s="522">
        <v>21.990566037735849</v>
      </c>
      <c r="L35" s="520">
        <f t="shared" si="2"/>
        <v>537.96973914733678</v>
      </c>
      <c r="M35" s="21">
        <f t="shared" si="3"/>
        <v>3.056864832970835E-3</v>
      </c>
    </row>
    <row r="36" spans="1:13" x14ac:dyDescent="0.25">
      <c r="A36">
        <v>25</v>
      </c>
      <c r="B36" s="520">
        <v>0</v>
      </c>
      <c r="C36" s="520">
        <v>0</v>
      </c>
      <c r="D36" s="520">
        <v>0</v>
      </c>
      <c r="E36" s="520">
        <f t="shared" si="0"/>
        <v>0</v>
      </c>
      <c r="F36" s="21">
        <f t="shared" si="1"/>
        <v>0</v>
      </c>
      <c r="H36" s="48">
        <v>25</v>
      </c>
      <c r="I36" s="522">
        <v>380.57381976914775</v>
      </c>
      <c r="J36" s="522">
        <v>62.998651174204895</v>
      </c>
      <c r="K36" s="522">
        <v>2.5</v>
      </c>
      <c r="L36" s="520">
        <f t="shared" si="2"/>
        <v>446.07247094335264</v>
      </c>
      <c r="M36" s="21">
        <f t="shared" si="3"/>
        <v>2.5346839239403524E-3</v>
      </c>
    </row>
    <row r="37" spans="1:13" x14ac:dyDescent="0.25">
      <c r="A37">
        <v>26</v>
      </c>
      <c r="B37" s="520">
        <v>0</v>
      </c>
      <c r="C37" s="520">
        <v>0</v>
      </c>
      <c r="D37" s="520">
        <v>0</v>
      </c>
      <c r="E37" s="520">
        <f t="shared" si="0"/>
        <v>0</v>
      </c>
      <c r="F37" s="21">
        <f t="shared" si="1"/>
        <v>0</v>
      </c>
      <c r="H37" s="49">
        <v>26</v>
      </c>
      <c r="I37" s="522">
        <v>315.83618833576605</v>
      </c>
      <c r="J37" s="522">
        <v>36.206248536002512</v>
      </c>
      <c r="K37" s="522">
        <v>5.2449494949494904</v>
      </c>
      <c r="L37" s="520">
        <f t="shared" si="2"/>
        <v>357.28738636671807</v>
      </c>
      <c r="M37" s="21">
        <f t="shared" si="3"/>
        <v>2.0301871409710696E-3</v>
      </c>
    </row>
    <row r="38" spans="1:13" x14ac:dyDescent="0.25">
      <c r="A38">
        <v>27</v>
      </c>
      <c r="B38" s="520">
        <v>0</v>
      </c>
      <c r="C38" s="520">
        <v>0</v>
      </c>
      <c r="D38" s="520">
        <v>0</v>
      </c>
      <c r="E38" s="520">
        <f t="shared" si="0"/>
        <v>0</v>
      </c>
      <c r="F38" s="21">
        <f t="shared" si="1"/>
        <v>0</v>
      </c>
      <c r="H38" s="50">
        <v>27</v>
      </c>
      <c r="I38" s="522">
        <v>295.72560707583415</v>
      </c>
      <c r="J38" s="522">
        <v>39.726089431745024</v>
      </c>
      <c r="K38" s="522">
        <v>10.7532154340836</v>
      </c>
      <c r="L38" s="520">
        <f t="shared" si="2"/>
        <v>346.20491194166277</v>
      </c>
      <c r="M38" s="21">
        <f t="shared" si="3"/>
        <v>1.9672140332532544E-3</v>
      </c>
    </row>
    <row r="39" spans="1:13" x14ac:dyDescent="0.25">
      <c r="A39">
        <v>28</v>
      </c>
      <c r="B39" s="520">
        <v>83.397824889500001</v>
      </c>
      <c r="C39" s="520">
        <v>0</v>
      </c>
      <c r="D39" s="520">
        <v>0</v>
      </c>
      <c r="E39" s="520">
        <f t="shared" si="0"/>
        <v>83.397824889500001</v>
      </c>
      <c r="F39" s="21">
        <f t="shared" si="1"/>
        <v>4.5314274349395224E-4</v>
      </c>
      <c r="H39" s="51">
        <v>28</v>
      </c>
      <c r="I39" s="522">
        <v>275.44167732303339</v>
      </c>
      <c r="J39" s="522">
        <v>26.41502891231152</v>
      </c>
      <c r="K39" s="522">
        <v>22.710553278688522</v>
      </c>
      <c r="L39" s="520">
        <f t="shared" si="2"/>
        <v>324.56725951403342</v>
      </c>
      <c r="M39" s="21">
        <f t="shared" si="3"/>
        <v>1.84426403446912E-3</v>
      </c>
    </row>
    <row r="40" spans="1:13" x14ac:dyDescent="0.25">
      <c r="A40">
        <v>29</v>
      </c>
      <c r="B40" s="520">
        <v>181.889208126</v>
      </c>
      <c r="C40" s="520">
        <v>0</v>
      </c>
      <c r="D40" s="520">
        <v>0</v>
      </c>
      <c r="E40" s="520">
        <f t="shared" si="0"/>
        <v>181.889208126</v>
      </c>
      <c r="F40" s="21">
        <f t="shared" si="1"/>
        <v>9.8829645606902656E-4</v>
      </c>
      <c r="H40" s="52">
        <v>29</v>
      </c>
      <c r="I40" s="522">
        <v>276.34124932525151</v>
      </c>
      <c r="J40" s="522">
        <v>34.72375165406676</v>
      </c>
      <c r="K40" s="522">
        <v>3.5</v>
      </c>
      <c r="L40" s="520">
        <f t="shared" si="2"/>
        <v>314.56500097931826</v>
      </c>
      <c r="M40" s="21">
        <f t="shared" si="3"/>
        <v>1.7874289559505507E-3</v>
      </c>
    </row>
    <row r="41" spans="1:13" x14ac:dyDescent="0.25">
      <c r="A41">
        <v>30</v>
      </c>
      <c r="B41" s="520">
        <v>0</v>
      </c>
      <c r="C41" s="520">
        <v>0</v>
      </c>
      <c r="D41" s="520">
        <v>0</v>
      </c>
      <c r="E41" s="520">
        <f t="shared" si="0"/>
        <v>0</v>
      </c>
      <c r="F41" s="21">
        <f t="shared" si="1"/>
        <v>0</v>
      </c>
      <c r="H41" s="53">
        <v>30</v>
      </c>
      <c r="I41" s="522">
        <v>144.80711243790125</v>
      </c>
      <c r="J41" s="522">
        <v>7.9957983193277302</v>
      </c>
      <c r="K41" s="522">
        <v>0.5</v>
      </c>
      <c r="L41" s="520">
        <f t="shared" si="2"/>
        <v>153.30291075722897</v>
      </c>
      <c r="M41" s="21">
        <f t="shared" si="3"/>
        <v>8.7110155569083828E-4</v>
      </c>
    </row>
    <row r="42" spans="1:13" x14ac:dyDescent="0.25">
      <c r="A42">
        <v>31</v>
      </c>
      <c r="B42" s="520">
        <v>0</v>
      </c>
      <c r="C42" s="520">
        <v>0</v>
      </c>
      <c r="D42" s="520">
        <v>0</v>
      </c>
      <c r="E42" s="520">
        <f t="shared" si="0"/>
        <v>0</v>
      </c>
      <c r="F42" s="21">
        <f t="shared" si="1"/>
        <v>0</v>
      </c>
      <c r="H42" s="54">
        <v>31</v>
      </c>
      <c r="I42" s="522">
        <v>275.65751213793533</v>
      </c>
      <c r="J42" s="522">
        <v>29.66927655542603</v>
      </c>
      <c r="K42" s="522">
        <v>7.5012690355330003</v>
      </c>
      <c r="L42" s="520">
        <f t="shared" si="2"/>
        <v>312.82805772889441</v>
      </c>
      <c r="M42" s="21">
        <f t="shared" si="3"/>
        <v>1.7775592544548825E-3</v>
      </c>
    </row>
    <row r="43" spans="1:13" x14ac:dyDescent="0.25">
      <c r="A43">
        <v>32</v>
      </c>
      <c r="B43" s="520">
        <v>0</v>
      </c>
      <c r="C43" s="520">
        <v>0</v>
      </c>
      <c r="D43" s="520">
        <v>0</v>
      </c>
      <c r="E43" s="520">
        <f t="shared" si="0"/>
        <v>0</v>
      </c>
      <c r="F43" s="21">
        <f t="shared" si="1"/>
        <v>0</v>
      </c>
      <c r="H43" s="55">
        <v>32</v>
      </c>
      <c r="I43" s="522">
        <v>195.34489435457166</v>
      </c>
      <c r="J43" s="522">
        <v>17.195945945945951</v>
      </c>
      <c r="K43" s="522">
        <v>14.75019708204325</v>
      </c>
      <c r="L43" s="520">
        <f t="shared" si="2"/>
        <v>227.29103738256089</v>
      </c>
      <c r="M43" s="21">
        <f t="shared" si="3"/>
        <v>1.2915187016382004E-3</v>
      </c>
    </row>
    <row r="44" spans="1:13" x14ac:dyDescent="0.25">
      <c r="A44">
        <v>33</v>
      </c>
      <c r="B44" s="520">
        <v>275.30993356699997</v>
      </c>
      <c r="C44" s="520">
        <v>0</v>
      </c>
      <c r="D44" s="520">
        <v>0</v>
      </c>
      <c r="E44" s="520">
        <f t="shared" si="0"/>
        <v>275.30993356699997</v>
      </c>
      <c r="F44" s="21">
        <f t="shared" si="1"/>
        <v>1.4958987092647189E-3</v>
      </c>
      <c r="H44" s="56">
        <v>33</v>
      </c>
      <c r="I44" s="522">
        <v>136.70310107673592</v>
      </c>
      <c r="J44" s="522">
        <v>23.020788101120502</v>
      </c>
      <c r="K44" s="522">
        <v>10.266393442623</v>
      </c>
      <c r="L44" s="520">
        <f t="shared" si="2"/>
        <v>169.99028262047943</v>
      </c>
      <c r="M44" s="21">
        <f t="shared" si="3"/>
        <v>9.6592294896163467E-4</v>
      </c>
    </row>
    <row r="45" spans="1:13" x14ac:dyDescent="0.25">
      <c r="A45">
        <v>34</v>
      </c>
      <c r="B45" s="520">
        <v>944.88064624599997</v>
      </c>
      <c r="C45" s="520">
        <v>0</v>
      </c>
      <c r="D45" s="520">
        <v>0</v>
      </c>
      <c r="E45" s="520">
        <f t="shared" si="0"/>
        <v>944.88064624599997</v>
      </c>
      <c r="F45" s="21">
        <f t="shared" si="1"/>
        <v>5.1340164912161649E-3</v>
      </c>
      <c r="H45" s="57">
        <v>34</v>
      </c>
      <c r="I45" s="522">
        <v>135.15315381484129</v>
      </c>
      <c r="J45" s="522">
        <v>10.50305810397554</v>
      </c>
      <c r="K45" s="522">
        <v>3.9976798143851502</v>
      </c>
      <c r="L45" s="520">
        <f t="shared" si="2"/>
        <v>149.65389173320199</v>
      </c>
      <c r="M45" s="21">
        <f t="shared" si="3"/>
        <v>8.5036701038524321E-4</v>
      </c>
    </row>
    <row r="46" spans="1:13" x14ac:dyDescent="0.25">
      <c r="A46">
        <v>35</v>
      </c>
      <c r="B46" s="520">
        <v>0</v>
      </c>
      <c r="C46" s="520">
        <v>0</v>
      </c>
      <c r="D46" s="520">
        <v>0</v>
      </c>
      <c r="E46" s="520">
        <f t="shared" si="0"/>
        <v>0</v>
      </c>
      <c r="F46" s="21">
        <f t="shared" si="1"/>
        <v>0</v>
      </c>
      <c r="H46" s="58">
        <v>35</v>
      </c>
      <c r="I46" s="522">
        <v>179.20380053027057</v>
      </c>
      <c r="J46" s="522">
        <v>13.47849567949725</v>
      </c>
      <c r="K46" s="522">
        <v>0.5</v>
      </c>
      <c r="L46" s="520">
        <f t="shared" si="2"/>
        <v>193.18229620976783</v>
      </c>
      <c r="M46" s="21">
        <f t="shared" si="3"/>
        <v>1.0977051768230814E-3</v>
      </c>
    </row>
    <row r="47" spans="1:13" x14ac:dyDescent="0.25">
      <c r="A47">
        <v>36</v>
      </c>
      <c r="B47" s="520">
        <v>0</v>
      </c>
      <c r="C47" s="520">
        <v>0</v>
      </c>
      <c r="D47" s="520">
        <v>0</v>
      </c>
      <c r="E47" s="520">
        <f t="shared" si="0"/>
        <v>0</v>
      </c>
      <c r="F47" s="21">
        <f t="shared" si="1"/>
        <v>0</v>
      </c>
      <c r="H47" s="59">
        <v>36</v>
      </c>
      <c r="I47" s="522">
        <v>144.92537454555409</v>
      </c>
      <c r="J47" s="522">
        <v>25.95391214968955</v>
      </c>
      <c r="K47" s="522">
        <v>10.288461538461499</v>
      </c>
      <c r="L47" s="520">
        <f t="shared" si="2"/>
        <v>181.16774823370514</v>
      </c>
      <c r="M47" s="21">
        <f t="shared" si="3"/>
        <v>1.02943581793632E-3</v>
      </c>
    </row>
    <row r="48" spans="1:13" x14ac:dyDescent="0.25">
      <c r="A48">
        <v>37</v>
      </c>
      <c r="B48" s="520">
        <v>0</v>
      </c>
      <c r="C48" s="520">
        <v>0</v>
      </c>
      <c r="D48" s="520">
        <v>0</v>
      </c>
      <c r="E48" s="520">
        <f t="shared" si="0"/>
        <v>0</v>
      </c>
      <c r="F48" s="21">
        <f t="shared" si="1"/>
        <v>0</v>
      </c>
      <c r="H48" s="60">
        <v>37</v>
      </c>
      <c r="I48" s="522">
        <v>93.604690799155946</v>
      </c>
      <c r="J48" s="522">
        <v>20.248639495675128</v>
      </c>
      <c r="K48" s="522">
        <v>0.75</v>
      </c>
      <c r="L48" s="520">
        <f t="shared" si="2"/>
        <v>114.60333029483107</v>
      </c>
      <c r="M48" s="21">
        <f t="shared" si="3"/>
        <v>6.5120185138083434E-4</v>
      </c>
    </row>
    <row r="49" spans="1:13" x14ac:dyDescent="0.25">
      <c r="A49">
        <v>38</v>
      </c>
      <c r="B49" s="520">
        <v>520.53895734900004</v>
      </c>
      <c r="C49" s="520">
        <v>0</v>
      </c>
      <c r="D49" s="520">
        <v>0</v>
      </c>
      <c r="E49" s="520">
        <f t="shared" si="0"/>
        <v>520.53895734900004</v>
      </c>
      <c r="F49" s="21">
        <f t="shared" si="1"/>
        <v>2.8283525564502458E-3</v>
      </c>
      <c r="H49" s="61">
        <v>38</v>
      </c>
      <c r="I49" s="522">
        <v>125.95801871747153</v>
      </c>
      <c r="J49" s="522">
        <v>10.54081632653061</v>
      </c>
      <c r="K49" s="522">
        <v>10.71815286624204</v>
      </c>
      <c r="L49" s="520">
        <f t="shared" si="2"/>
        <v>147.21698791024417</v>
      </c>
      <c r="M49" s="21">
        <f t="shared" si="3"/>
        <v>8.3651997577407935E-4</v>
      </c>
    </row>
    <row r="50" spans="1:13" x14ac:dyDescent="0.25">
      <c r="A50">
        <v>39</v>
      </c>
      <c r="B50" s="520">
        <v>0</v>
      </c>
      <c r="C50" s="520">
        <v>0</v>
      </c>
      <c r="D50" s="520">
        <v>0</v>
      </c>
      <c r="E50" s="520">
        <f t="shared" si="0"/>
        <v>0</v>
      </c>
      <c r="F50" s="21">
        <f t="shared" si="1"/>
        <v>0</v>
      </c>
      <c r="H50" s="62">
        <v>39</v>
      </c>
      <c r="I50" s="522">
        <v>146.6622244935779</v>
      </c>
      <c r="J50" s="522">
        <v>2.7483739837398398</v>
      </c>
      <c r="K50" s="522">
        <v>2.25</v>
      </c>
      <c r="L50" s="520">
        <f t="shared" si="2"/>
        <v>151.66059847731773</v>
      </c>
      <c r="M50" s="21">
        <f t="shared" si="3"/>
        <v>8.6176956861443914E-4</v>
      </c>
    </row>
    <row r="51" spans="1:13" x14ac:dyDescent="0.25">
      <c r="A51">
        <v>40</v>
      </c>
      <c r="B51" s="520">
        <v>0</v>
      </c>
      <c r="C51" s="520">
        <v>0</v>
      </c>
      <c r="D51" s="520">
        <v>0</v>
      </c>
      <c r="E51" s="520">
        <f t="shared" si="0"/>
        <v>0</v>
      </c>
      <c r="F51" s="21">
        <f t="shared" si="1"/>
        <v>0</v>
      </c>
      <c r="H51" s="63">
        <v>40</v>
      </c>
      <c r="I51" s="522">
        <v>108.86048795078405</v>
      </c>
      <c r="J51" s="522">
        <v>2.2489106753812598</v>
      </c>
      <c r="K51" s="522">
        <v>5</v>
      </c>
      <c r="L51" s="520">
        <f t="shared" si="2"/>
        <v>116.1093986261653</v>
      </c>
      <c r="M51" s="21">
        <f t="shared" si="3"/>
        <v>6.5975966975441718E-4</v>
      </c>
    </row>
    <row r="52" spans="1:13" x14ac:dyDescent="0.25">
      <c r="A52">
        <v>41</v>
      </c>
      <c r="B52" s="520">
        <v>0</v>
      </c>
      <c r="C52" s="520">
        <v>0</v>
      </c>
      <c r="D52" s="520">
        <v>0</v>
      </c>
      <c r="E52" s="520">
        <f t="shared" si="0"/>
        <v>0</v>
      </c>
      <c r="F52" s="21">
        <f t="shared" si="1"/>
        <v>0</v>
      </c>
      <c r="H52" s="64">
        <v>41</v>
      </c>
      <c r="I52" s="522">
        <v>102.97866016376327</v>
      </c>
      <c r="J52" s="522">
        <v>3</v>
      </c>
      <c r="K52" s="522">
        <v>4.96428571428571</v>
      </c>
      <c r="L52" s="520">
        <f t="shared" si="2"/>
        <v>110.94294587804897</v>
      </c>
      <c r="M52" s="21">
        <f t="shared" si="3"/>
        <v>6.3040272536205434E-4</v>
      </c>
    </row>
    <row r="53" spans="1:13" x14ac:dyDescent="0.25">
      <c r="A53">
        <v>42</v>
      </c>
      <c r="B53" s="520">
        <v>0</v>
      </c>
      <c r="C53" s="520">
        <v>0</v>
      </c>
      <c r="D53" s="520">
        <v>0</v>
      </c>
      <c r="E53" s="520">
        <f t="shared" si="0"/>
        <v>0</v>
      </c>
      <c r="F53" s="21">
        <f t="shared" si="1"/>
        <v>0</v>
      </c>
      <c r="H53" s="65">
        <v>42</v>
      </c>
      <c r="I53" s="522">
        <v>86.454212089324045</v>
      </c>
      <c r="J53" s="522">
        <v>2.25</v>
      </c>
      <c r="K53" s="522">
        <v>2.25</v>
      </c>
      <c r="L53" s="520">
        <f t="shared" si="2"/>
        <v>90.954212089324045</v>
      </c>
      <c r="M53" s="21">
        <f t="shared" si="3"/>
        <v>5.1682225246925742E-4</v>
      </c>
    </row>
    <row r="54" spans="1:13" x14ac:dyDescent="0.25">
      <c r="A54">
        <v>43</v>
      </c>
      <c r="B54" s="520">
        <v>0</v>
      </c>
      <c r="C54" s="520">
        <v>0</v>
      </c>
      <c r="D54" s="520">
        <v>0</v>
      </c>
      <c r="E54" s="520">
        <f t="shared" si="0"/>
        <v>0</v>
      </c>
      <c r="F54" s="21">
        <f t="shared" si="1"/>
        <v>0</v>
      </c>
      <c r="H54" s="66">
        <v>43</v>
      </c>
      <c r="I54" s="522">
        <v>79.813393693814845</v>
      </c>
      <c r="J54" s="522">
        <v>2</v>
      </c>
      <c r="K54" s="522">
        <v>0.25</v>
      </c>
      <c r="L54" s="520">
        <f t="shared" si="2"/>
        <v>82.063393693814845</v>
      </c>
      <c r="M54" s="21">
        <f t="shared" si="3"/>
        <v>4.6630262634188735E-4</v>
      </c>
    </row>
    <row r="55" spans="1:13" x14ac:dyDescent="0.25">
      <c r="A55">
        <v>44</v>
      </c>
      <c r="B55" s="520">
        <v>0</v>
      </c>
      <c r="C55" s="520">
        <v>0</v>
      </c>
      <c r="D55" s="520">
        <v>0</v>
      </c>
      <c r="E55" s="520">
        <f t="shared" si="0"/>
        <v>0</v>
      </c>
      <c r="F55" s="21">
        <f t="shared" si="1"/>
        <v>0</v>
      </c>
      <c r="H55" s="67">
        <v>44</v>
      </c>
      <c r="I55" s="522">
        <v>99.994151307509483</v>
      </c>
      <c r="J55" s="522">
        <v>2.4986130374479902</v>
      </c>
      <c r="K55" s="522">
        <v>10.25</v>
      </c>
      <c r="L55" s="520">
        <f t="shared" si="2"/>
        <v>112.74276434495748</v>
      </c>
      <c r="M55" s="21">
        <f t="shared" si="3"/>
        <v>6.4062969795338311E-4</v>
      </c>
    </row>
    <row r="56" spans="1:13" x14ac:dyDescent="0.25">
      <c r="A56">
        <v>45</v>
      </c>
      <c r="B56" s="520">
        <v>0</v>
      </c>
      <c r="C56" s="520">
        <v>0</v>
      </c>
      <c r="D56" s="520">
        <v>0</v>
      </c>
      <c r="E56" s="520">
        <f t="shared" si="0"/>
        <v>0</v>
      </c>
      <c r="F56" s="21">
        <f t="shared" si="1"/>
        <v>0</v>
      </c>
      <c r="H56" s="68">
        <v>45</v>
      </c>
      <c r="I56" s="522">
        <v>64.870954811291668</v>
      </c>
      <c r="J56" s="522">
        <v>10.241379310344829</v>
      </c>
      <c r="K56" s="522">
        <v>0.25</v>
      </c>
      <c r="L56" s="520">
        <f t="shared" si="2"/>
        <v>75.362334121636493</v>
      </c>
      <c r="M56" s="21">
        <f t="shared" si="3"/>
        <v>4.2822570145332133E-4</v>
      </c>
    </row>
    <row r="57" spans="1:13" x14ac:dyDescent="0.25">
      <c r="A57">
        <v>46</v>
      </c>
      <c r="B57" s="520">
        <v>0</v>
      </c>
      <c r="C57" s="520">
        <v>0</v>
      </c>
      <c r="D57" s="520">
        <v>0</v>
      </c>
      <c r="E57" s="520">
        <f t="shared" si="0"/>
        <v>0</v>
      </c>
      <c r="F57" s="21">
        <f t="shared" si="1"/>
        <v>0</v>
      </c>
      <c r="H57" s="69">
        <v>46</v>
      </c>
      <c r="I57" s="522">
        <v>50.524146442292192</v>
      </c>
      <c r="J57" s="522">
        <v>0</v>
      </c>
      <c r="K57" s="522">
        <v>0</v>
      </c>
      <c r="L57" s="520">
        <f t="shared" si="2"/>
        <v>50.524146442292192</v>
      </c>
      <c r="M57" s="21">
        <f t="shared" si="3"/>
        <v>2.8708954284325031E-4</v>
      </c>
    </row>
    <row r="58" spans="1:13" x14ac:dyDescent="0.25">
      <c r="A58">
        <v>47</v>
      </c>
      <c r="B58" s="520">
        <v>0</v>
      </c>
      <c r="C58" s="520">
        <v>0</v>
      </c>
      <c r="D58" s="520">
        <v>0</v>
      </c>
      <c r="E58" s="520">
        <f t="shared" si="0"/>
        <v>0</v>
      </c>
      <c r="F58" s="21">
        <f t="shared" si="1"/>
        <v>0</v>
      </c>
      <c r="H58" s="70">
        <v>47</v>
      </c>
      <c r="I58" s="522">
        <v>9.7817460317460299</v>
      </c>
      <c r="J58" s="522">
        <v>0</v>
      </c>
      <c r="K58" s="522">
        <v>0</v>
      </c>
      <c r="L58" s="520">
        <f t="shared" si="2"/>
        <v>9.7817460317460299</v>
      </c>
      <c r="M58" s="21">
        <f t="shared" si="3"/>
        <v>5.5582076971260966E-5</v>
      </c>
    </row>
    <row r="59" spans="1:13" x14ac:dyDescent="0.25">
      <c r="A59">
        <v>48</v>
      </c>
      <c r="B59" s="520">
        <v>0</v>
      </c>
      <c r="C59" s="520">
        <v>0</v>
      </c>
      <c r="D59" s="520">
        <v>0</v>
      </c>
      <c r="E59" s="520">
        <f t="shared" si="0"/>
        <v>0</v>
      </c>
      <c r="F59" s="21">
        <f t="shared" si="1"/>
        <v>0</v>
      </c>
      <c r="H59" s="71">
        <v>48</v>
      </c>
      <c r="I59" s="522">
        <v>48.186055608526708</v>
      </c>
      <c r="J59" s="522">
        <v>5.24845679012346</v>
      </c>
      <c r="K59" s="522">
        <v>0.25</v>
      </c>
      <c r="L59" s="520">
        <f t="shared" si="2"/>
        <v>53.68451239865017</v>
      </c>
      <c r="M59" s="21">
        <f t="shared" si="3"/>
        <v>3.050474517148924E-4</v>
      </c>
    </row>
    <row r="60" spans="1:13" x14ac:dyDescent="0.25">
      <c r="A60">
        <v>49</v>
      </c>
      <c r="B60" s="520">
        <v>0</v>
      </c>
      <c r="C60" s="520">
        <v>0</v>
      </c>
      <c r="D60" s="520">
        <v>0</v>
      </c>
      <c r="E60" s="520">
        <f t="shared" si="0"/>
        <v>0</v>
      </c>
      <c r="F60" s="21">
        <f t="shared" si="1"/>
        <v>0</v>
      </c>
      <c r="H60" s="72">
        <v>49</v>
      </c>
      <c r="I60" s="522">
        <v>25.170737147317951</v>
      </c>
      <c r="J60" s="522">
        <v>0</v>
      </c>
      <c r="K60" s="522">
        <v>1.9787234042553199</v>
      </c>
      <c r="L60" s="520">
        <f t="shared" si="2"/>
        <v>27.14946055157327</v>
      </c>
      <c r="M60" s="21">
        <f t="shared" si="3"/>
        <v>1.5426932995482809E-4</v>
      </c>
    </row>
    <row r="61" spans="1:13" x14ac:dyDescent="0.25">
      <c r="A61">
        <v>50</v>
      </c>
      <c r="B61" s="520">
        <v>0</v>
      </c>
      <c r="C61" s="520">
        <v>0</v>
      </c>
      <c r="D61" s="520">
        <v>0</v>
      </c>
      <c r="E61" s="520">
        <f t="shared" si="0"/>
        <v>0</v>
      </c>
      <c r="F61" s="21">
        <f t="shared" si="1"/>
        <v>0</v>
      </c>
      <c r="H61" s="73">
        <v>50</v>
      </c>
      <c r="I61" s="522">
        <v>31.026244827653901</v>
      </c>
      <c r="J61" s="522">
        <v>0</v>
      </c>
      <c r="K61" s="522">
        <v>0</v>
      </c>
      <c r="L61" s="520">
        <f t="shared" si="2"/>
        <v>31.026244827653901</v>
      </c>
      <c r="M61" s="21">
        <f t="shared" si="3"/>
        <v>1.7629808855628454E-4</v>
      </c>
    </row>
    <row r="62" spans="1:13" x14ac:dyDescent="0.25">
      <c r="A62">
        <v>51</v>
      </c>
      <c r="B62" s="520">
        <v>0</v>
      </c>
      <c r="C62" s="520">
        <v>0</v>
      </c>
      <c r="D62" s="520">
        <v>0</v>
      </c>
      <c r="E62" s="520">
        <f t="shared" si="0"/>
        <v>0</v>
      </c>
      <c r="F62" s="21">
        <f t="shared" si="1"/>
        <v>0</v>
      </c>
      <c r="H62" s="74">
        <v>51</v>
      </c>
      <c r="I62" s="522">
        <v>24.259540117416861</v>
      </c>
      <c r="J62" s="522">
        <v>0</v>
      </c>
      <c r="K62" s="522">
        <v>0</v>
      </c>
      <c r="L62" s="520">
        <f t="shared" si="2"/>
        <v>24.259540117416861</v>
      </c>
      <c r="M62" s="21">
        <f t="shared" si="3"/>
        <v>1.3784815325582219E-4</v>
      </c>
    </row>
    <row r="63" spans="1:13" x14ac:dyDescent="0.25">
      <c r="A63">
        <v>52</v>
      </c>
      <c r="B63" s="520">
        <v>0</v>
      </c>
      <c r="C63" s="520">
        <v>0</v>
      </c>
      <c r="D63" s="520">
        <v>0</v>
      </c>
      <c r="E63" s="520">
        <f t="shared" si="0"/>
        <v>0</v>
      </c>
      <c r="F63" s="21">
        <f t="shared" si="1"/>
        <v>0</v>
      </c>
      <c r="H63" s="75">
        <v>52</v>
      </c>
      <c r="I63" s="522">
        <v>20.448246160668891</v>
      </c>
      <c r="J63" s="522">
        <v>0.5</v>
      </c>
      <c r="K63" s="522">
        <v>0</v>
      </c>
      <c r="L63" s="520">
        <f t="shared" si="2"/>
        <v>20.948246160668891</v>
      </c>
      <c r="M63" s="21">
        <f t="shared" si="3"/>
        <v>1.1903263760236737E-4</v>
      </c>
    </row>
    <row r="64" spans="1:13" x14ac:dyDescent="0.25">
      <c r="A64">
        <v>53</v>
      </c>
      <c r="B64" s="520">
        <v>0</v>
      </c>
      <c r="C64" s="520">
        <v>0</v>
      </c>
      <c r="D64" s="520">
        <v>0</v>
      </c>
      <c r="E64" s="520">
        <f t="shared" si="0"/>
        <v>0</v>
      </c>
      <c r="F64" s="21">
        <f t="shared" si="1"/>
        <v>0</v>
      </c>
      <c r="H64" s="76">
        <v>53</v>
      </c>
      <c r="I64" s="522">
        <v>2.75</v>
      </c>
      <c r="J64" s="522">
        <v>0.25</v>
      </c>
      <c r="K64" s="522">
        <v>0</v>
      </c>
      <c r="L64" s="520">
        <f t="shared" si="2"/>
        <v>3</v>
      </c>
      <c r="M64" s="21">
        <f t="shared" si="3"/>
        <v>1.7046673505181864E-5</v>
      </c>
    </row>
    <row r="65" spans="1:13" x14ac:dyDescent="0.25">
      <c r="A65">
        <v>54</v>
      </c>
      <c r="B65" s="520">
        <v>0</v>
      </c>
      <c r="C65" s="520">
        <v>0</v>
      </c>
      <c r="D65" s="520">
        <v>0</v>
      </c>
      <c r="E65" s="520">
        <f t="shared" si="0"/>
        <v>0</v>
      </c>
      <c r="F65" s="21">
        <f t="shared" si="1"/>
        <v>0</v>
      </c>
      <c r="H65" s="77">
        <v>54</v>
      </c>
      <c r="I65" s="522">
        <v>22.74712702250622</v>
      </c>
      <c r="J65" s="522">
        <v>0.25</v>
      </c>
      <c r="K65" s="522">
        <v>0</v>
      </c>
      <c r="L65" s="520">
        <f t="shared" si="2"/>
        <v>22.99712702250622</v>
      </c>
      <c r="M65" s="21">
        <f t="shared" si="3"/>
        <v>1.3067483863661957E-4</v>
      </c>
    </row>
    <row r="66" spans="1:13" x14ac:dyDescent="0.25">
      <c r="A66">
        <v>55</v>
      </c>
      <c r="B66" s="520">
        <v>0</v>
      </c>
      <c r="C66" s="520">
        <v>0</v>
      </c>
      <c r="D66" s="520">
        <v>0</v>
      </c>
      <c r="E66" s="520">
        <f t="shared" si="0"/>
        <v>0</v>
      </c>
      <c r="F66" s="21">
        <f t="shared" si="1"/>
        <v>0</v>
      </c>
      <c r="H66" s="78">
        <v>55</v>
      </c>
      <c r="I66" s="522">
        <v>12.991496598639459</v>
      </c>
      <c r="J66" s="522">
        <v>10.0068965517241</v>
      </c>
      <c r="K66" s="522">
        <v>0</v>
      </c>
      <c r="L66" s="520">
        <f t="shared" si="2"/>
        <v>22.998393150363562</v>
      </c>
      <c r="M66" s="21">
        <f t="shared" si="3"/>
        <v>1.3068203305935286E-4</v>
      </c>
    </row>
    <row r="67" spans="1:13" x14ac:dyDescent="0.25">
      <c r="A67">
        <v>56</v>
      </c>
      <c r="B67" s="520">
        <v>0</v>
      </c>
      <c r="C67" s="520">
        <v>0</v>
      </c>
      <c r="D67" s="520">
        <v>0</v>
      </c>
      <c r="E67" s="520">
        <f t="shared" si="0"/>
        <v>0</v>
      </c>
      <c r="F67" s="21">
        <f t="shared" si="1"/>
        <v>0</v>
      </c>
      <c r="H67" s="79">
        <v>56</v>
      </c>
      <c r="I67" s="522">
        <v>11.0068965517241</v>
      </c>
      <c r="J67" s="522">
        <v>0</v>
      </c>
      <c r="K67" s="522">
        <v>0</v>
      </c>
      <c r="L67" s="520">
        <f t="shared" si="2"/>
        <v>11.0068965517241</v>
      </c>
      <c r="M67" s="21">
        <f t="shared" si="3"/>
        <v>6.2543657274184285E-5</v>
      </c>
    </row>
    <row r="68" spans="1:13" x14ac:dyDescent="0.25">
      <c r="A68">
        <v>57</v>
      </c>
      <c r="B68" s="520">
        <v>0</v>
      </c>
      <c r="C68" s="520">
        <v>0</v>
      </c>
      <c r="D68" s="520">
        <v>0</v>
      </c>
      <c r="E68" s="520">
        <f t="shared" si="0"/>
        <v>0</v>
      </c>
      <c r="F68" s="21">
        <f t="shared" si="1"/>
        <v>0</v>
      </c>
      <c r="H68" s="80">
        <v>57</v>
      </c>
      <c r="I68" s="522">
        <v>24.71769022506215</v>
      </c>
      <c r="J68" s="522">
        <v>0.25</v>
      </c>
      <c r="K68" s="522">
        <v>0</v>
      </c>
      <c r="L68" s="520">
        <f t="shared" si="2"/>
        <v>24.96769022506215</v>
      </c>
      <c r="M68" s="21">
        <f t="shared" si="3"/>
        <v>1.4187202114838504E-4</v>
      </c>
    </row>
    <row r="69" spans="1:13" x14ac:dyDescent="0.25">
      <c r="A69">
        <v>58</v>
      </c>
      <c r="B69" s="520">
        <v>0</v>
      </c>
      <c r="C69" s="520">
        <v>0</v>
      </c>
      <c r="D69" s="520">
        <v>0</v>
      </c>
      <c r="E69" s="520">
        <f t="shared" si="0"/>
        <v>0</v>
      </c>
      <c r="F69" s="21">
        <f t="shared" si="1"/>
        <v>0</v>
      </c>
      <c r="H69" s="81">
        <v>58</v>
      </c>
      <c r="I69" s="522">
        <v>5.2451807228915701</v>
      </c>
      <c r="J69" s="522">
        <v>0</v>
      </c>
      <c r="K69" s="522">
        <v>0</v>
      </c>
      <c r="L69" s="520">
        <f t="shared" si="2"/>
        <v>5.2451807228915701</v>
      </c>
      <c r="M69" s="21">
        <f t="shared" si="3"/>
        <v>2.980429441960213E-5</v>
      </c>
    </row>
    <row r="70" spans="1:13" x14ac:dyDescent="0.25">
      <c r="A70">
        <v>59</v>
      </c>
      <c r="B70" s="520">
        <v>0</v>
      </c>
      <c r="C70" s="520">
        <v>0</v>
      </c>
      <c r="D70" s="520">
        <v>0</v>
      </c>
      <c r="E70" s="520">
        <f t="shared" si="0"/>
        <v>0</v>
      </c>
      <c r="F70" s="21">
        <f t="shared" si="1"/>
        <v>0</v>
      </c>
      <c r="H70" s="82">
        <v>59</v>
      </c>
      <c r="I70" s="522">
        <v>15.239713892855249</v>
      </c>
      <c r="J70" s="522">
        <v>0</v>
      </c>
      <c r="K70" s="522">
        <v>0</v>
      </c>
      <c r="L70" s="520">
        <f t="shared" si="2"/>
        <v>15.239713892855249</v>
      </c>
      <c r="M70" s="21">
        <f t="shared" si="3"/>
        <v>8.6595475681295846E-5</v>
      </c>
    </row>
    <row r="71" spans="1:13" x14ac:dyDescent="0.25">
      <c r="A71">
        <v>60</v>
      </c>
      <c r="B71" s="520">
        <v>0</v>
      </c>
      <c r="C71" s="520">
        <v>0</v>
      </c>
      <c r="D71" s="520">
        <v>0</v>
      </c>
      <c r="E71" s="520">
        <f t="shared" si="0"/>
        <v>0</v>
      </c>
      <c r="F71" s="21">
        <f t="shared" si="1"/>
        <v>0</v>
      </c>
      <c r="H71" s="83">
        <v>60</v>
      </c>
      <c r="I71" s="522">
        <v>0</v>
      </c>
      <c r="J71" s="522">
        <v>0</v>
      </c>
      <c r="K71" s="522">
        <v>0</v>
      </c>
      <c r="L71" s="520">
        <f t="shared" si="2"/>
        <v>0</v>
      </c>
      <c r="M71" s="21">
        <f t="shared" si="3"/>
        <v>0</v>
      </c>
    </row>
    <row r="72" spans="1:13" x14ac:dyDescent="0.25">
      <c r="A72">
        <v>61</v>
      </c>
      <c r="B72" s="520">
        <v>0</v>
      </c>
      <c r="C72" s="520">
        <v>0</v>
      </c>
      <c r="D72" s="520">
        <v>0</v>
      </c>
      <c r="E72" s="520">
        <f t="shared" si="0"/>
        <v>0</v>
      </c>
      <c r="F72" s="21">
        <f t="shared" si="1"/>
        <v>0</v>
      </c>
      <c r="H72" s="84">
        <v>61</v>
      </c>
      <c r="I72" s="522">
        <v>0.25</v>
      </c>
      <c r="J72" s="522">
        <v>0</v>
      </c>
      <c r="K72" s="522">
        <v>0</v>
      </c>
      <c r="L72" s="520">
        <f t="shared" si="2"/>
        <v>0.25</v>
      </c>
      <c r="M72" s="21">
        <f t="shared" si="3"/>
        <v>1.420556125431822E-6</v>
      </c>
    </row>
    <row r="73" spans="1:13" x14ac:dyDescent="0.25">
      <c r="A73">
        <v>62</v>
      </c>
      <c r="B73" s="520">
        <v>0</v>
      </c>
      <c r="C73" s="520">
        <v>0</v>
      </c>
      <c r="D73" s="520">
        <v>0</v>
      </c>
      <c r="E73" s="520">
        <f t="shared" si="0"/>
        <v>0</v>
      </c>
      <c r="F73" s="21">
        <f t="shared" si="1"/>
        <v>0</v>
      </c>
      <c r="H73" s="85">
        <v>62</v>
      </c>
      <c r="I73" s="522">
        <v>0.25</v>
      </c>
      <c r="J73" s="522">
        <v>0</v>
      </c>
      <c r="K73" s="522">
        <v>0</v>
      </c>
      <c r="L73" s="520">
        <f t="shared" si="2"/>
        <v>0.25</v>
      </c>
      <c r="M73" s="21">
        <f t="shared" si="3"/>
        <v>1.420556125431822E-6</v>
      </c>
    </row>
    <row r="74" spans="1:13" x14ac:dyDescent="0.25">
      <c r="A74">
        <v>63</v>
      </c>
      <c r="B74" s="520">
        <v>0</v>
      </c>
      <c r="C74" s="520">
        <v>0</v>
      </c>
      <c r="D74" s="520">
        <v>0</v>
      </c>
      <c r="E74" s="520">
        <f t="shared" si="0"/>
        <v>0</v>
      </c>
      <c r="F74" s="21">
        <f t="shared" si="1"/>
        <v>0</v>
      </c>
      <c r="H74" s="86">
        <v>63</v>
      </c>
      <c r="I74" s="522">
        <v>0.25</v>
      </c>
      <c r="J74" s="522">
        <v>0</v>
      </c>
      <c r="K74" s="522">
        <v>0</v>
      </c>
      <c r="L74" s="520">
        <f t="shared" si="2"/>
        <v>0.25</v>
      </c>
      <c r="M74" s="21">
        <f t="shared" si="3"/>
        <v>1.420556125431822E-6</v>
      </c>
    </row>
    <row r="75" spans="1:13" x14ac:dyDescent="0.25">
      <c r="A75">
        <v>64</v>
      </c>
      <c r="B75" s="520">
        <v>0</v>
      </c>
      <c r="C75" s="520">
        <v>0</v>
      </c>
      <c r="D75" s="520">
        <v>0</v>
      </c>
      <c r="E75" s="520">
        <f t="shared" si="0"/>
        <v>0</v>
      </c>
      <c r="F75" s="21">
        <f t="shared" si="1"/>
        <v>0</v>
      </c>
      <c r="H75" s="87">
        <v>64</v>
      </c>
      <c r="I75" s="522">
        <v>0</v>
      </c>
      <c r="J75" s="522">
        <v>0</v>
      </c>
      <c r="K75" s="522">
        <v>0</v>
      </c>
      <c r="L75" s="520">
        <f t="shared" si="2"/>
        <v>0</v>
      </c>
      <c r="M75" s="21">
        <f t="shared" si="3"/>
        <v>0</v>
      </c>
    </row>
    <row r="76" spans="1:13" x14ac:dyDescent="0.25">
      <c r="A76">
        <v>65</v>
      </c>
      <c r="B76" s="520">
        <v>0</v>
      </c>
      <c r="C76" s="520">
        <v>0</v>
      </c>
      <c r="D76" s="520">
        <v>0</v>
      </c>
      <c r="E76" s="520">
        <f t="shared" ref="E76:E101" si="4">SUM(B76:D76)</f>
        <v>0</v>
      </c>
      <c r="F76" s="21">
        <f t="shared" ref="F76:F102" si="5">E76/$E$102</f>
        <v>0</v>
      </c>
      <c r="H76" s="88">
        <v>65</v>
      </c>
      <c r="I76" s="522">
        <v>0</v>
      </c>
      <c r="J76" s="522">
        <v>0</v>
      </c>
      <c r="K76" s="522">
        <v>0</v>
      </c>
      <c r="L76" s="520">
        <f t="shared" ref="L76:L101" si="6">SUM(I76:K76)</f>
        <v>0</v>
      </c>
      <c r="M76" s="21">
        <f t="shared" ref="M76:M102" si="7">L76/$L$102</f>
        <v>0</v>
      </c>
    </row>
    <row r="77" spans="1:13" x14ac:dyDescent="0.25">
      <c r="A77">
        <v>66</v>
      </c>
      <c r="B77" s="520">
        <v>0</v>
      </c>
      <c r="C77" s="520">
        <v>0</v>
      </c>
      <c r="D77" s="520">
        <v>0</v>
      </c>
      <c r="E77" s="520">
        <f t="shared" si="4"/>
        <v>0</v>
      </c>
      <c r="F77" s="21">
        <f t="shared" si="5"/>
        <v>0</v>
      </c>
      <c r="H77" s="89">
        <v>66</v>
      </c>
      <c r="I77" s="522">
        <v>0</v>
      </c>
      <c r="J77" s="522">
        <v>0</v>
      </c>
      <c r="K77" s="522">
        <v>0</v>
      </c>
      <c r="L77" s="520">
        <f t="shared" si="6"/>
        <v>0</v>
      </c>
      <c r="M77" s="21">
        <f t="shared" si="7"/>
        <v>0</v>
      </c>
    </row>
    <row r="78" spans="1:13" x14ac:dyDescent="0.25">
      <c r="A78">
        <v>67</v>
      </c>
      <c r="B78" s="520">
        <v>0</v>
      </c>
      <c r="C78" s="520">
        <v>0</v>
      </c>
      <c r="D78" s="520">
        <v>0</v>
      </c>
      <c r="E78" s="520">
        <f t="shared" si="4"/>
        <v>0</v>
      </c>
      <c r="F78" s="21">
        <f t="shared" si="5"/>
        <v>0</v>
      </c>
      <c r="H78" s="90">
        <v>67</v>
      </c>
      <c r="I78" s="522">
        <v>0</v>
      </c>
      <c r="J78" s="522">
        <v>0</v>
      </c>
      <c r="K78" s="522">
        <v>0</v>
      </c>
      <c r="L78" s="520">
        <f t="shared" si="6"/>
        <v>0</v>
      </c>
      <c r="M78" s="21">
        <f t="shared" si="7"/>
        <v>0</v>
      </c>
    </row>
    <row r="79" spans="1:13" x14ac:dyDescent="0.25">
      <c r="A79">
        <v>68</v>
      </c>
      <c r="B79" s="520">
        <v>0</v>
      </c>
      <c r="C79" s="520">
        <v>0</v>
      </c>
      <c r="D79" s="520">
        <v>0</v>
      </c>
      <c r="E79" s="520">
        <f t="shared" si="4"/>
        <v>0</v>
      </c>
      <c r="F79" s="21">
        <f t="shared" si="5"/>
        <v>0</v>
      </c>
      <c r="H79" s="91">
        <v>68</v>
      </c>
      <c r="I79" s="522">
        <v>0.5</v>
      </c>
      <c r="J79" s="522">
        <v>0</v>
      </c>
      <c r="K79" s="522">
        <v>0</v>
      </c>
      <c r="L79" s="520">
        <f t="shared" si="6"/>
        <v>0.5</v>
      </c>
      <c r="M79" s="21">
        <f t="shared" si="7"/>
        <v>2.8411122508636441E-6</v>
      </c>
    </row>
    <row r="80" spans="1:13" x14ac:dyDescent="0.25">
      <c r="A80">
        <v>69</v>
      </c>
      <c r="B80" s="520">
        <v>0</v>
      </c>
      <c r="C80" s="520">
        <v>0</v>
      </c>
      <c r="D80" s="520">
        <v>0</v>
      </c>
      <c r="E80" s="520">
        <f t="shared" si="4"/>
        <v>0</v>
      </c>
      <c r="F80" s="21">
        <f t="shared" si="5"/>
        <v>0</v>
      </c>
      <c r="H80" s="92">
        <v>69</v>
      </c>
      <c r="I80" s="522">
        <v>0</v>
      </c>
      <c r="J80" s="522">
        <v>0</v>
      </c>
      <c r="K80" s="522">
        <v>0</v>
      </c>
      <c r="L80" s="520">
        <f t="shared" si="6"/>
        <v>0</v>
      </c>
      <c r="M80" s="21">
        <f t="shared" si="7"/>
        <v>0</v>
      </c>
    </row>
    <row r="81" spans="1:13" x14ac:dyDescent="0.25">
      <c r="A81">
        <v>70</v>
      </c>
      <c r="B81" s="520">
        <v>0</v>
      </c>
      <c r="C81" s="520">
        <v>0</v>
      </c>
      <c r="D81" s="520">
        <v>0</v>
      </c>
      <c r="E81" s="520">
        <f t="shared" si="4"/>
        <v>0</v>
      </c>
      <c r="F81" s="21">
        <f t="shared" si="5"/>
        <v>0</v>
      </c>
      <c r="H81" s="93">
        <v>70</v>
      </c>
      <c r="I81" s="522">
        <v>0</v>
      </c>
      <c r="J81" s="522">
        <v>0</v>
      </c>
      <c r="K81" s="522">
        <v>0</v>
      </c>
      <c r="L81" s="520">
        <f t="shared" si="6"/>
        <v>0</v>
      </c>
      <c r="M81" s="21">
        <f t="shared" si="7"/>
        <v>0</v>
      </c>
    </row>
    <row r="82" spans="1:13" x14ac:dyDescent="0.25">
      <c r="A82">
        <v>71</v>
      </c>
      <c r="B82" s="520">
        <v>0</v>
      </c>
      <c r="C82" s="520">
        <v>0</v>
      </c>
      <c r="D82" s="520">
        <v>0</v>
      </c>
      <c r="E82" s="520">
        <f t="shared" si="4"/>
        <v>0</v>
      </c>
      <c r="F82" s="21">
        <f t="shared" si="5"/>
        <v>0</v>
      </c>
      <c r="H82" s="94">
        <v>71</v>
      </c>
      <c r="I82" s="522">
        <v>0</v>
      </c>
      <c r="J82" s="522">
        <v>0</v>
      </c>
      <c r="K82" s="522">
        <v>0</v>
      </c>
      <c r="L82" s="520">
        <f t="shared" si="6"/>
        <v>0</v>
      </c>
      <c r="M82" s="21">
        <f t="shared" si="7"/>
        <v>0</v>
      </c>
    </row>
    <row r="83" spans="1:13" x14ac:dyDescent="0.25">
      <c r="A83">
        <v>72</v>
      </c>
      <c r="B83" s="520">
        <v>0</v>
      </c>
      <c r="C83" s="520">
        <v>0</v>
      </c>
      <c r="D83" s="520">
        <v>0</v>
      </c>
      <c r="E83" s="520">
        <f t="shared" si="4"/>
        <v>0</v>
      </c>
      <c r="F83" s="21">
        <f t="shared" si="5"/>
        <v>0</v>
      </c>
      <c r="H83" s="95">
        <v>72</v>
      </c>
      <c r="I83" s="522">
        <v>10</v>
      </c>
      <c r="J83" s="522">
        <v>0</v>
      </c>
      <c r="K83" s="522">
        <v>0</v>
      </c>
      <c r="L83" s="520">
        <f t="shared" si="6"/>
        <v>10</v>
      </c>
      <c r="M83" s="21">
        <f t="shared" si="7"/>
        <v>5.6822245017272881E-5</v>
      </c>
    </row>
    <row r="84" spans="1:13" x14ac:dyDescent="0.25">
      <c r="A84">
        <v>73</v>
      </c>
      <c r="B84" s="520">
        <v>0</v>
      </c>
      <c r="C84" s="520">
        <v>0</v>
      </c>
      <c r="D84" s="520">
        <v>0</v>
      </c>
      <c r="E84" s="520">
        <f t="shared" si="4"/>
        <v>0</v>
      </c>
      <c r="F84" s="21">
        <f t="shared" si="5"/>
        <v>0</v>
      </c>
      <c r="H84" s="96">
        <v>73</v>
      </c>
      <c r="I84" s="522">
        <v>1.9969969969970001</v>
      </c>
      <c r="J84" s="522">
        <v>0</v>
      </c>
      <c r="K84" s="522">
        <v>0</v>
      </c>
      <c r="L84" s="520">
        <f t="shared" si="6"/>
        <v>1.9969969969970001</v>
      </c>
      <c r="M84" s="21">
        <f t="shared" si="7"/>
        <v>1.134738526621217E-5</v>
      </c>
    </row>
    <row r="85" spans="1:13" x14ac:dyDescent="0.25">
      <c r="A85">
        <v>74</v>
      </c>
      <c r="B85" s="520">
        <v>0</v>
      </c>
      <c r="C85" s="520">
        <v>0</v>
      </c>
      <c r="D85" s="520">
        <v>0</v>
      </c>
      <c r="E85" s="520">
        <f t="shared" si="4"/>
        <v>0</v>
      </c>
      <c r="F85" s="21">
        <f t="shared" si="5"/>
        <v>0</v>
      </c>
      <c r="H85" s="97">
        <v>74</v>
      </c>
      <c r="I85" s="522">
        <v>9.9921568627450998</v>
      </c>
      <c r="J85" s="522">
        <v>0</v>
      </c>
      <c r="K85" s="522">
        <v>0</v>
      </c>
      <c r="L85" s="520">
        <f t="shared" si="6"/>
        <v>9.9921568627450998</v>
      </c>
      <c r="M85" s="21">
        <f t="shared" si="7"/>
        <v>5.6777678550592676E-5</v>
      </c>
    </row>
    <row r="86" spans="1:13" x14ac:dyDescent="0.25">
      <c r="A86">
        <v>75</v>
      </c>
      <c r="B86" s="520">
        <v>0</v>
      </c>
      <c r="C86" s="520">
        <v>0</v>
      </c>
      <c r="D86" s="520">
        <v>0</v>
      </c>
      <c r="E86" s="520">
        <f t="shared" si="4"/>
        <v>0</v>
      </c>
      <c r="F86" s="21">
        <f t="shared" si="5"/>
        <v>0</v>
      </c>
      <c r="H86" s="98">
        <v>75</v>
      </c>
      <c r="I86" s="522">
        <v>0</v>
      </c>
      <c r="J86" s="522">
        <v>0</v>
      </c>
      <c r="K86" s="522">
        <v>0</v>
      </c>
      <c r="L86" s="520">
        <f t="shared" si="6"/>
        <v>0</v>
      </c>
      <c r="M86" s="21">
        <f t="shared" si="7"/>
        <v>0</v>
      </c>
    </row>
    <row r="87" spans="1:13" x14ac:dyDescent="0.25">
      <c r="A87">
        <v>76</v>
      </c>
      <c r="B87" s="520">
        <v>0</v>
      </c>
      <c r="C87" s="520">
        <v>0</v>
      </c>
      <c r="D87" s="520">
        <v>0</v>
      </c>
      <c r="E87" s="520">
        <f t="shared" si="4"/>
        <v>0</v>
      </c>
      <c r="F87" s="21">
        <f t="shared" si="5"/>
        <v>0</v>
      </c>
      <c r="H87" s="99">
        <v>76</v>
      </c>
      <c r="I87" s="522">
        <v>0.25</v>
      </c>
      <c r="J87" s="522">
        <v>0</v>
      </c>
      <c r="K87" s="522">
        <v>0</v>
      </c>
      <c r="L87" s="520">
        <f t="shared" si="6"/>
        <v>0.25</v>
      </c>
      <c r="M87" s="21">
        <f t="shared" si="7"/>
        <v>1.420556125431822E-6</v>
      </c>
    </row>
    <row r="88" spans="1:13" x14ac:dyDescent="0.25">
      <c r="A88">
        <v>77</v>
      </c>
      <c r="B88" s="520">
        <v>0</v>
      </c>
      <c r="C88" s="520">
        <v>0</v>
      </c>
      <c r="D88" s="520">
        <v>0</v>
      </c>
      <c r="E88" s="520">
        <f t="shared" si="4"/>
        <v>0</v>
      </c>
      <c r="F88" s="21">
        <f t="shared" si="5"/>
        <v>0</v>
      </c>
      <c r="H88" s="100">
        <v>77</v>
      </c>
      <c r="I88" s="522">
        <v>0.25</v>
      </c>
      <c r="J88" s="522">
        <v>0</v>
      </c>
      <c r="K88" s="522">
        <v>0</v>
      </c>
      <c r="L88" s="520">
        <f t="shared" si="6"/>
        <v>0.25</v>
      </c>
      <c r="M88" s="21">
        <f t="shared" si="7"/>
        <v>1.420556125431822E-6</v>
      </c>
    </row>
    <row r="89" spans="1:13" x14ac:dyDescent="0.25">
      <c r="A89">
        <v>78</v>
      </c>
      <c r="B89" s="520">
        <v>0</v>
      </c>
      <c r="C89" s="520">
        <v>0</v>
      </c>
      <c r="D89" s="520">
        <v>0</v>
      </c>
      <c r="E89" s="520">
        <f t="shared" si="4"/>
        <v>0</v>
      </c>
      <c r="F89" s="21">
        <f t="shared" si="5"/>
        <v>0</v>
      </c>
      <c r="H89" s="101">
        <v>78</v>
      </c>
      <c r="I89" s="522">
        <v>0</v>
      </c>
      <c r="J89" s="522">
        <v>0</v>
      </c>
      <c r="K89" s="522">
        <v>0</v>
      </c>
      <c r="L89" s="520">
        <f t="shared" si="6"/>
        <v>0</v>
      </c>
      <c r="M89" s="21">
        <f t="shared" si="7"/>
        <v>0</v>
      </c>
    </row>
    <row r="90" spans="1:13" x14ac:dyDescent="0.25">
      <c r="A90">
        <v>79</v>
      </c>
      <c r="B90" s="520">
        <v>0</v>
      </c>
      <c r="C90" s="520">
        <v>0</v>
      </c>
      <c r="D90" s="520">
        <v>0</v>
      </c>
      <c r="E90" s="520">
        <f t="shared" si="4"/>
        <v>0</v>
      </c>
      <c r="F90" s="21">
        <f t="shared" si="5"/>
        <v>0</v>
      </c>
      <c r="H90" s="102">
        <v>79</v>
      </c>
      <c r="I90" s="522">
        <v>0</v>
      </c>
      <c r="J90" s="522">
        <v>0</v>
      </c>
      <c r="K90" s="522">
        <v>0</v>
      </c>
      <c r="L90" s="520">
        <f t="shared" si="6"/>
        <v>0</v>
      </c>
      <c r="M90" s="21">
        <f t="shared" si="7"/>
        <v>0</v>
      </c>
    </row>
    <row r="91" spans="1:13" x14ac:dyDescent="0.25">
      <c r="A91">
        <v>80</v>
      </c>
      <c r="B91" s="520">
        <v>0</v>
      </c>
      <c r="C91" s="520">
        <v>0</v>
      </c>
      <c r="D91" s="520">
        <v>0</v>
      </c>
      <c r="E91" s="520">
        <f t="shared" si="4"/>
        <v>0</v>
      </c>
      <c r="F91" s="21">
        <f t="shared" si="5"/>
        <v>0</v>
      </c>
      <c r="H91" s="103">
        <v>80</v>
      </c>
      <c r="I91" s="522">
        <v>0</v>
      </c>
      <c r="J91" s="522">
        <v>0</v>
      </c>
      <c r="K91" s="522">
        <v>0</v>
      </c>
      <c r="L91" s="520">
        <f t="shared" si="6"/>
        <v>0</v>
      </c>
      <c r="M91" s="21">
        <f t="shared" si="7"/>
        <v>0</v>
      </c>
    </row>
    <row r="92" spans="1:13" x14ac:dyDescent="0.25">
      <c r="A92">
        <v>81</v>
      </c>
      <c r="B92" s="520">
        <v>0</v>
      </c>
      <c r="C92" s="520">
        <v>0</v>
      </c>
      <c r="D92" s="520">
        <v>0</v>
      </c>
      <c r="E92" s="520">
        <f t="shared" si="4"/>
        <v>0</v>
      </c>
      <c r="F92" s="21">
        <f t="shared" si="5"/>
        <v>0</v>
      </c>
      <c r="H92" s="104">
        <v>81</v>
      </c>
      <c r="I92" s="522">
        <v>0</v>
      </c>
      <c r="J92" s="522">
        <v>0</v>
      </c>
      <c r="K92" s="522">
        <v>0</v>
      </c>
      <c r="L92" s="520">
        <f t="shared" si="6"/>
        <v>0</v>
      </c>
      <c r="M92" s="21">
        <f t="shared" si="7"/>
        <v>0</v>
      </c>
    </row>
    <row r="93" spans="1:13" x14ac:dyDescent="0.25">
      <c r="A93">
        <v>82</v>
      </c>
      <c r="B93" s="520">
        <v>0</v>
      </c>
      <c r="C93" s="520">
        <v>0</v>
      </c>
      <c r="D93" s="520">
        <v>0</v>
      </c>
      <c r="E93" s="520">
        <f t="shared" si="4"/>
        <v>0</v>
      </c>
      <c r="F93" s="21">
        <f t="shared" si="5"/>
        <v>0</v>
      </c>
      <c r="H93" s="105">
        <v>82</v>
      </c>
      <c r="I93" s="522">
        <v>0</v>
      </c>
      <c r="J93" s="522">
        <v>0</v>
      </c>
      <c r="K93" s="522">
        <v>0</v>
      </c>
      <c r="L93" s="520">
        <f t="shared" si="6"/>
        <v>0</v>
      </c>
      <c r="M93" s="21">
        <f t="shared" si="7"/>
        <v>0</v>
      </c>
    </row>
    <row r="94" spans="1:13" x14ac:dyDescent="0.25">
      <c r="A94">
        <v>83</v>
      </c>
      <c r="B94" s="520">
        <v>0</v>
      </c>
      <c r="C94" s="520">
        <v>0</v>
      </c>
      <c r="D94" s="520">
        <v>0</v>
      </c>
      <c r="E94" s="520">
        <f t="shared" si="4"/>
        <v>0</v>
      </c>
      <c r="F94" s="21">
        <f t="shared" si="5"/>
        <v>0</v>
      </c>
      <c r="H94" s="106">
        <v>83</v>
      </c>
      <c r="I94" s="522">
        <v>0</v>
      </c>
      <c r="J94" s="522">
        <v>0</v>
      </c>
      <c r="K94" s="522">
        <v>0</v>
      </c>
      <c r="L94" s="520">
        <f t="shared" si="6"/>
        <v>0</v>
      </c>
      <c r="M94" s="21">
        <f t="shared" si="7"/>
        <v>0</v>
      </c>
    </row>
    <row r="95" spans="1:13" x14ac:dyDescent="0.25">
      <c r="A95">
        <v>84</v>
      </c>
      <c r="B95" s="520">
        <v>0</v>
      </c>
      <c r="C95" s="520">
        <v>0</v>
      </c>
      <c r="D95" s="520">
        <v>0</v>
      </c>
      <c r="E95" s="520">
        <f t="shared" si="4"/>
        <v>0</v>
      </c>
      <c r="F95" s="21">
        <f t="shared" si="5"/>
        <v>0</v>
      </c>
      <c r="H95" s="107">
        <v>84</v>
      </c>
      <c r="I95" s="522">
        <v>0</v>
      </c>
      <c r="J95" s="522">
        <v>0</v>
      </c>
      <c r="K95" s="522">
        <v>0</v>
      </c>
      <c r="L95" s="520">
        <f t="shared" si="6"/>
        <v>0</v>
      </c>
      <c r="M95" s="21">
        <f t="shared" si="7"/>
        <v>0</v>
      </c>
    </row>
    <row r="96" spans="1:13" x14ac:dyDescent="0.25">
      <c r="A96">
        <v>85</v>
      </c>
      <c r="B96" s="520">
        <v>0</v>
      </c>
      <c r="C96" s="520">
        <v>0</v>
      </c>
      <c r="D96" s="520">
        <v>0</v>
      </c>
      <c r="E96" s="520">
        <f t="shared" si="4"/>
        <v>0</v>
      </c>
      <c r="F96" s="21">
        <f t="shared" si="5"/>
        <v>0</v>
      </c>
      <c r="H96" s="108">
        <v>85</v>
      </c>
      <c r="I96" s="522">
        <v>0</v>
      </c>
      <c r="J96" s="522">
        <v>0</v>
      </c>
      <c r="K96" s="522">
        <v>0</v>
      </c>
      <c r="L96" s="520">
        <f t="shared" si="6"/>
        <v>0</v>
      </c>
      <c r="M96" s="21">
        <f t="shared" si="7"/>
        <v>0</v>
      </c>
    </row>
    <row r="97" spans="1:13" x14ac:dyDescent="0.25">
      <c r="A97">
        <v>86</v>
      </c>
      <c r="B97" s="520">
        <v>0</v>
      </c>
      <c r="C97" s="520">
        <v>0</v>
      </c>
      <c r="D97" s="520">
        <v>0</v>
      </c>
      <c r="E97" s="520">
        <f t="shared" si="4"/>
        <v>0</v>
      </c>
      <c r="F97" s="21">
        <f t="shared" si="5"/>
        <v>0</v>
      </c>
      <c r="H97" s="109">
        <v>86</v>
      </c>
      <c r="I97" s="522">
        <v>0</v>
      </c>
      <c r="J97" s="522">
        <v>0</v>
      </c>
      <c r="K97" s="522">
        <v>0</v>
      </c>
      <c r="L97" s="520">
        <f t="shared" si="6"/>
        <v>0</v>
      </c>
      <c r="M97" s="21">
        <f t="shared" si="7"/>
        <v>0</v>
      </c>
    </row>
    <row r="98" spans="1:13" x14ac:dyDescent="0.25">
      <c r="A98">
        <v>87</v>
      </c>
      <c r="B98" s="520">
        <v>0</v>
      </c>
      <c r="C98" s="520">
        <v>0</v>
      </c>
      <c r="D98" s="520">
        <v>0</v>
      </c>
      <c r="E98" s="520">
        <f t="shared" si="4"/>
        <v>0</v>
      </c>
      <c r="F98" s="21">
        <f t="shared" si="5"/>
        <v>0</v>
      </c>
      <c r="H98" s="110">
        <v>87</v>
      </c>
      <c r="I98" s="522">
        <v>0</v>
      </c>
      <c r="J98" s="522">
        <v>0</v>
      </c>
      <c r="K98" s="522">
        <v>0</v>
      </c>
      <c r="L98" s="520">
        <f t="shared" si="6"/>
        <v>0</v>
      </c>
      <c r="M98" s="21">
        <f t="shared" si="7"/>
        <v>0</v>
      </c>
    </row>
    <row r="99" spans="1:13" x14ac:dyDescent="0.25">
      <c r="A99">
        <v>88</v>
      </c>
      <c r="B99" s="520">
        <v>0</v>
      </c>
      <c r="C99" s="520">
        <v>0</v>
      </c>
      <c r="D99" s="520">
        <v>0</v>
      </c>
      <c r="E99" s="520">
        <f t="shared" si="4"/>
        <v>0</v>
      </c>
      <c r="F99" s="21">
        <f t="shared" si="5"/>
        <v>0</v>
      </c>
      <c r="H99" s="111">
        <v>88</v>
      </c>
      <c r="I99" s="522">
        <v>0</v>
      </c>
      <c r="J99" s="522">
        <v>0</v>
      </c>
      <c r="K99" s="522">
        <v>0</v>
      </c>
      <c r="L99" s="520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520">
        <v>0</v>
      </c>
      <c r="C100" s="520">
        <v>0</v>
      </c>
      <c r="D100" s="520">
        <v>0</v>
      </c>
      <c r="E100" s="520">
        <f t="shared" si="4"/>
        <v>0</v>
      </c>
      <c r="F100" s="21">
        <f t="shared" si="5"/>
        <v>0</v>
      </c>
      <c r="H100" s="112">
        <v>89</v>
      </c>
      <c r="I100" s="522">
        <v>0</v>
      </c>
      <c r="J100" s="522">
        <v>0</v>
      </c>
      <c r="K100" s="522">
        <v>0</v>
      </c>
      <c r="L100" s="52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521">
        <v>0</v>
      </c>
      <c r="C101" s="521">
        <v>0</v>
      </c>
      <c r="D101" s="521">
        <v>0</v>
      </c>
      <c r="E101" s="521">
        <f t="shared" si="4"/>
        <v>0</v>
      </c>
      <c r="F101" s="21">
        <f t="shared" si="5"/>
        <v>0</v>
      </c>
      <c r="H101" s="474">
        <v>90</v>
      </c>
      <c r="I101" s="521">
        <v>0</v>
      </c>
      <c r="J101" s="521">
        <v>0</v>
      </c>
      <c r="K101" s="521">
        <v>0</v>
      </c>
      <c r="L101" s="521">
        <f t="shared" si="6"/>
        <v>0</v>
      </c>
      <c r="M101" s="21">
        <f t="shared" si="7"/>
        <v>0</v>
      </c>
    </row>
    <row r="102" spans="1:13" x14ac:dyDescent="0.25">
      <c r="B102" s="520"/>
      <c r="C102" s="520"/>
      <c r="D102" s="520"/>
      <c r="E102" s="520">
        <f>SUM(E11:E101)</f>
        <v>184043.16539742416</v>
      </c>
      <c r="F102" s="21">
        <f t="shared" si="5"/>
        <v>1</v>
      </c>
      <c r="I102" s="520"/>
      <c r="J102" s="520"/>
      <c r="K102" s="520"/>
      <c r="L102" s="520">
        <f>SUM(L11:L101)</f>
        <v>175987.41473449685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width="10.140625" bestFit="1" customWidth="1" collapsed="1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r="9" spans="1:18" ht="15.75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>
        <v>0</v>
      </c>
      <c r="C11" s="8">
        <v>0</v>
      </c>
      <c r="D11" s="8">
        <v>0</v>
      </c>
      <c r="E11" s="8">
        <f>SUM(B11:D11)</f>
        <v>0</v>
      </c>
      <c r="F11" s="21">
        <f>E11/$E$102</f>
        <v>0</v>
      </c>
      <c r="H11" s="113">
        <v>0</v>
      </c>
      <c r="I11" s="203">
        <v>4404.5563613866443</v>
      </c>
      <c r="J11" s="293">
        <v>3737.1426175928491</v>
      </c>
      <c r="K11" s="383">
        <v>1530.4854956552729</v>
      </c>
      <c r="L11">
        <f>SUM(I11:K11)</f>
        <v>9672.184474634767</v>
      </c>
      <c r="M11" s="21">
        <f>L11/$L$102</f>
        <v>5.4959523606995971E-2</v>
      </c>
      <c r="P11" t="s">
        <v>9</v>
      </c>
      <c r="Q11" s="8">
        <v>16.404392896874448</v>
      </c>
      <c r="R11" s="8">
        <v>17.682339641526891</v>
      </c>
    </row>
    <row r="12" spans="1:18" x14ac:dyDescent="0.25">
      <c r="A12">
        <v>1</v>
      </c>
      <c r="B12" s="8">
        <v>685.39749325299999</v>
      </c>
      <c r="C12" s="8">
        <v>0</v>
      </c>
      <c r="D12" s="8">
        <v>0</v>
      </c>
      <c r="E12" s="8">
        <f t="shared" ref="E12:E75" si="0">SUM(B12:D12)</f>
        <v>685.39749325299999</v>
      </c>
      <c r="F12" s="21">
        <f t="shared" ref="F12:F75" si="1">E12/$E$102</f>
        <v>3.7241127198228063E-3</v>
      </c>
      <c r="H12" s="114">
        <v>1</v>
      </c>
      <c r="I12" s="204">
        <v>5529.9944388391441</v>
      </c>
      <c r="J12" s="294">
        <v>4917.5564625487123</v>
      </c>
      <c r="K12" s="384">
        <v>2358.4223147767734</v>
      </c>
      <c r="L12">
        <f t="shared" ref="L12:L75" si="2">SUM(I12:K12)</f>
        <v>12805.97321616463</v>
      </c>
      <c r="M12" s="21">
        <f t="shared" ref="M12:M75" si="3">L12/$L$102</f>
        <v>7.2766414777354085E-2</v>
      </c>
      <c r="P12" t="s">
        <v>10</v>
      </c>
      <c r="Q12" s="8">
        <v>16.466197029932996</v>
      </c>
      <c r="R12" s="8">
        <v>11.5929149026001</v>
      </c>
    </row>
    <row r="13" spans="1:18" x14ac:dyDescent="0.25">
      <c r="A13">
        <v>2</v>
      </c>
      <c r="B13" s="8">
        <v>745.72268784920004</v>
      </c>
      <c r="C13" s="8">
        <v>0</v>
      </c>
      <c r="D13" s="8">
        <v>0</v>
      </c>
      <c r="E13" s="8">
        <f t="shared" si="0"/>
        <v>745.72268784920004</v>
      </c>
      <c r="F13" s="21">
        <f t="shared" si="1"/>
        <v>4.0518901434828123E-3</v>
      </c>
      <c r="H13" s="115">
        <v>2</v>
      </c>
      <c r="I13" s="205">
        <v>5531.6435222787413</v>
      </c>
      <c r="J13" s="295">
        <v>4372.8904752013486</v>
      </c>
      <c r="K13" s="385">
        <v>2016.8120381748804</v>
      </c>
      <c r="L13">
        <f t="shared" si="2"/>
        <v>11921.346035654969</v>
      </c>
      <c r="M13" s="21">
        <f t="shared" si="3"/>
        <v>6.7739764537368158E-2</v>
      </c>
      <c r="P13" s="6" t="s">
        <v>11</v>
      </c>
      <c r="Q13" s="11">
        <v>18.599176063687192</v>
      </c>
      <c r="R13" s="8">
        <v>10.997878299087413</v>
      </c>
    </row>
    <row r="14" spans="1:18" ht="15.75" thickBot="1" x14ac:dyDescent="0.3">
      <c r="A14">
        <v>3</v>
      </c>
      <c r="B14" s="8">
        <v>6549.2333025765001</v>
      </c>
      <c r="C14" s="8">
        <v>282.04110677049999</v>
      </c>
      <c r="D14" s="8">
        <v>984.81734798479999</v>
      </c>
      <c r="E14" s="8">
        <f t="shared" si="0"/>
        <v>7816.0917573318002</v>
      </c>
      <c r="F14" s="21">
        <f t="shared" si="1"/>
        <v>4.2468796602436569E-2</v>
      </c>
      <c r="H14" s="116">
        <v>3</v>
      </c>
      <c r="I14" s="206">
        <v>4988.1246161499375</v>
      </c>
      <c r="J14" s="296">
        <v>3986.0771006150426</v>
      </c>
      <c r="K14" s="386">
        <v>1944.8311962042321</v>
      </c>
      <c r="L14">
        <f t="shared" si="2"/>
        <v>10919.032912969211</v>
      </c>
      <c r="M14" s="21">
        <f t="shared" si="3"/>
        <v>6.2044396353240355E-2</v>
      </c>
      <c r="P14" s="1" t="s">
        <v>4</v>
      </c>
      <c r="Q14" s="12">
        <v>16.476710324072943</v>
      </c>
      <c r="R14" s="12">
        <v>14.960680993970209</v>
      </c>
    </row>
    <row r="15" spans="1:18" x14ac:dyDescent="0.25">
      <c r="A15">
        <v>4</v>
      </c>
      <c r="B15" s="8">
        <v>8784.3481885992005</v>
      </c>
      <c r="C15" s="8">
        <v>53.205082037099999</v>
      </c>
      <c r="D15" s="8">
        <v>0</v>
      </c>
      <c r="E15" s="8">
        <f t="shared" si="0"/>
        <v>8837.553270636301</v>
      </c>
      <c r="F15" s="21">
        <f t="shared" si="1"/>
        <v>4.8018915842663441E-2</v>
      </c>
      <c r="H15" s="117">
        <v>4</v>
      </c>
      <c r="I15" s="207">
        <v>4458.2750379512754</v>
      </c>
      <c r="J15" s="297">
        <v>3651.8204229252933</v>
      </c>
      <c r="K15" s="387">
        <v>1655.6707854460574</v>
      </c>
      <c r="L15">
        <f t="shared" si="2"/>
        <v>9765.7662463226261</v>
      </c>
      <c r="M15" s="21">
        <f t="shared" si="3"/>
        <v>5.5491276242995775E-2</v>
      </c>
    </row>
    <row r="16" spans="1:18" x14ac:dyDescent="0.25">
      <c r="A16">
        <v>5</v>
      </c>
      <c r="B16" s="8">
        <v>15754.526464491601</v>
      </c>
      <c r="C16" s="8">
        <v>341.81014393600003</v>
      </c>
      <c r="D16" s="8">
        <v>1245.0347862898</v>
      </c>
      <c r="E16" s="8">
        <f t="shared" si="0"/>
        <v>17341.3713947174</v>
      </c>
      <c r="F16" s="21">
        <f t="shared" si="1"/>
        <v>9.4224479117550025E-2</v>
      </c>
      <c r="H16" s="118">
        <v>5</v>
      </c>
      <c r="I16" s="208">
        <v>3936.1811717276873</v>
      </c>
      <c r="J16" s="298">
        <v>2863.574076158327</v>
      </c>
      <c r="K16" s="388">
        <v>1460.5044000341647</v>
      </c>
      <c r="L16">
        <f t="shared" si="2"/>
        <v>8260.2596479201784</v>
      </c>
      <c r="M16" s="21">
        <f t="shared" si="3"/>
        <v>4.6936649762041274E-2</v>
      </c>
    </row>
    <row r="17" spans="1:13" x14ac:dyDescent="0.25">
      <c r="A17">
        <v>6</v>
      </c>
      <c r="B17" s="8">
        <v>9965.5440861781008</v>
      </c>
      <c r="C17" s="8">
        <v>524.3175229492</v>
      </c>
      <c r="D17" s="8">
        <v>416.01693351900002</v>
      </c>
      <c r="E17" s="8">
        <f t="shared" si="0"/>
        <v>10905.878542646302</v>
      </c>
      <c r="F17" s="21">
        <f t="shared" si="1"/>
        <v>5.9257177625129769E-2</v>
      </c>
      <c r="H17" s="119">
        <v>6</v>
      </c>
      <c r="I17" s="209">
        <v>3238.1686538097824</v>
      </c>
      <c r="J17" s="299">
        <v>2462.3327696842557</v>
      </c>
      <c r="K17" s="389">
        <v>1232.1010992469132</v>
      </c>
      <c r="L17">
        <f t="shared" si="2"/>
        <v>6932.6025227409518</v>
      </c>
      <c r="M17" s="21">
        <f t="shared" si="3"/>
        <v>3.9392603915455057E-2</v>
      </c>
    </row>
    <row r="18" spans="1:13" x14ac:dyDescent="0.25">
      <c r="A18">
        <v>7</v>
      </c>
      <c r="B18" s="8">
        <v>7448.6208727685998</v>
      </c>
      <c r="C18" s="8">
        <v>0</v>
      </c>
      <c r="D18" s="8">
        <v>318.52890196099997</v>
      </c>
      <c r="E18" s="8">
        <f t="shared" si="0"/>
        <v>7767.1497747295998</v>
      </c>
      <c r="F18" s="21">
        <f t="shared" si="1"/>
        <v>4.2202869951498377E-2</v>
      </c>
      <c r="H18" s="120">
        <v>7</v>
      </c>
      <c r="I18" s="210">
        <v>3078.8573197061187</v>
      </c>
      <c r="J18" s="300">
        <v>2242.0664231518394</v>
      </c>
      <c r="K18" s="390">
        <v>878.33336879823787</v>
      </c>
      <c r="L18">
        <f t="shared" si="2"/>
        <v>6199.2571116561958</v>
      </c>
      <c r="M18" s="21">
        <f t="shared" si="3"/>
        <v>3.522557065235999E-2</v>
      </c>
    </row>
    <row r="19" spans="1:13" x14ac:dyDescent="0.25">
      <c r="A19">
        <v>8</v>
      </c>
      <c r="B19" s="8">
        <v>3089.0101472219999</v>
      </c>
      <c r="C19" s="8">
        <v>135.8134569332</v>
      </c>
      <c r="D19" s="8">
        <v>0</v>
      </c>
      <c r="E19" s="8">
        <f t="shared" si="0"/>
        <v>3224.8236041552</v>
      </c>
      <c r="F19" s="21">
        <f t="shared" si="1"/>
        <v>1.7522104649697216E-2</v>
      </c>
      <c r="H19" s="121">
        <v>8</v>
      </c>
      <c r="I19" s="211">
        <v>2362.6532130567462</v>
      </c>
      <c r="J19" s="301">
        <v>1486.8951604103763</v>
      </c>
      <c r="K19" s="391">
        <v>717.97285649028879</v>
      </c>
      <c r="L19">
        <f t="shared" si="2"/>
        <v>4567.5212299574114</v>
      </c>
      <c r="M19" s="21">
        <f t="shared" si="3"/>
        <v>2.5953681045023571E-2</v>
      </c>
    </row>
    <row r="20" spans="1:13" x14ac:dyDescent="0.25">
      <c r="A20">
        <v>9</v>
      </c>
      <c r="B20" s="8">
        <v>5132.7681135558005</v>
      </c>
      <c r="C20" s="8">
        <v>569.63114260999998</v>
      </c>
      <c r="D20" s="8">
        <v>0</v>
      </c>
      <c r="E20" s="8">
        <f t="shared" si="0"/>
        <v>5702.3992561658006</v>
      </c>
      <c r="F20" s="21">
        <f t="shared" si="1"/>
        <v>3.0984031620256026E-2</v>
      </c>
      <c r="H20" s="122">
        <v>9</v>
      </c>
      <c r="I20" s="212">
        <v>2177.6718135056981</v>
      </c>
      <c r="J20" s="302">
        <v>1361.4356549573586</v>
      </c>
      <c r="K20" s="392">
        <v>493.23344637713785</v>
      </c>
      <c r="L20">
        <f t="shared" si="2"/>
        <v>4032.3409148401943</v>
      </c>
      <c r="M20" s="21">
        <f t="shared" si="3"/>
        <v>2.2912666345622387E-2</v>
      </c>
    </row>
    <row r="21" spans="1:13" x14ac:dyDescent="0.25">
      <c r="A21">
        <v>10</v>
      </c>
      <c r="B21" s="8">
        <v>793.20271387599996</v>
      </c>
      <c r="C21" s="8">
        <v>0</v>
      </c>
      <c r="D21" s="8">
        <v>0</v>
      </c>
      <c r="E21" s="8">
        <f t="shared" si="0"/>
        <v>793.20271387599996</v>
      </c>
      <c r="F21" s="21">
        <f t="shared" si="1"/>
        <v>4.3098732417645178E-3</v>
      </c>
      <c r="H21" s="123">
        <v>10</v>
      </c>
      <c r="I21" s="213">
        <v>1770.4753931317525</v>
      </c>
      <c r="J21" s="303">
        <v>954.91731672395713</v>
      </c>
      <c r="K21" s="393">
        <v>509.36210186827401</v>
      </c>
      <c r="L21">
        <f t="shared" si="2"/>
        <v>3234.7548117239835</v>
      </c>
      <c r="M21" s="21">
        <f t="shared" si="3"/>
        <v>1.8380603048258268E-2</v>
      </c>
    </row>
    <row r="22" spans="1:13" x14ac:dyDescent="0.25">
      <c r="A22">
        <v>11</v>
      </c>
      <c r="B22" s="8">
        <v>3303.7878851748001</v>
      </c>
      <c r="C22" s="8">
        <v>0</v>
      </c>
      <c r="D22" s="8">
        <v>0</v>
      </c>
      <c r="E22" s="8">
        <f t="shared" si="0"/>
        <v>3303.7878851748001</v>
      </c>
      <c r="F22" s="21">
        <f t="shared" si="1"/>
        <v>1.7951157697383521E-2</v>
      </c>
      <c r="H22" s="124">
        <v>11</v>
      </c>
      <c r="I22" s="214">
        <v>1506.6825854620249</v>
      </c>
      <c r="J22" s="304">
        <v>811.3504549424373</v>
      </c>
      <c r="K22" s="394">
        <v>351.62596247431202</v>
      </c>
      <c r="L22">
        <f t="shared" si="2"/>
        <v>2669.6590028787741</v>
      </c>
      <c r="M22" s="21">
        <f t="shared" si="3"/>
        <v>1.5169601797414617E-2</v>
      </c>
    </row>
    <row r="23" spans="1:13" x14ac:dyDescent="0.25">
      <c r="A23">
        <v>12</v>
      </c>
      <c r="B23" s="8">
        <v>2265.4087678975002</v>
      </c>
      <c r="C23" s="8">
        <v>371.51894167299997</v>
      </c>
      <c r="D23" s="8">
        <v>0</v>
      </c>
      <c r="E23" s="8">
        <f t="shared" si="0"/>
        <v>2636.9277095705002</v>
      </c>
      <c r="F23" s="21">
        <f t="shared" si="1"/>
        <v>1.4327767640141913E-2</v>
      </c>
      <c r="H23" s="125">
        <v>12</v>
      </c>
      <c r="I23" s="215">
        <v>1258.0463243669335</v>
      </c>
      <c r="J23" s="305">
        <v>765.09576904916435</v>
      </c>
      <c r="K23" s="395">
        <v>274.80586996547083</v>
      </c>
      <c r="L23">
        <f t="shared" si="2"/>
        <v>2297.9479633815686</v>
      </c>
      <c r="M23" s="21">
        <f t="shared" si="3"/>
        <v>1.3057456221221075E-2</v>
      </c>
    </row>
    <row r="24" spans="1:13" x14ac:dyDescent="0.25">
      <c r="A24">
        <v>13</v>
      </c>
      <c r="B24" s="8">
        <v>2224.6211670839998</v>
      </c>
      <c r="C24" s="8">
        <v>0</v>
      </c>
      <c r="D24" s="8">
        <v>0</v>
      </c>
      <c r="E24" s="8">
        <f t="shared" si="0"/>
        <v>2224.6211670839998</v>
      </c>
      <c r="F24" s="21">
        <f t="shared" si="1"/>
        <v>1.2087496768924486E-2</v>
      </c>
      <c r="H24" s="126">
        <v>13</v>
      </c>
      <c r="I24" s="216">
        <v>1101.5923659893058</v>
      </c>
      <c r="J24" s="306">
        <v>727.64726672302788</v>
      </c>
      <c r="K24" s="396">
        <v>340.81061790711783</v>
      </c>
      <c r="L24">
        <f t="shared" si="2"/>
        <v>2170.0502506194516</v>
      </c>
      <c r="M24" s="21">
        <f t="shared" si="3"/>
        <v>1.2330712704049295E-2</v>
      </c>
    </row>
    <row r="25" spans="1:13" x14ac:dyDescent="0.25">
      <c r="A25">
        <v>14</v>
      </c>
      <c r="B25" s="8">
        <v>6622.1749909665004</v>
      </c>
      <c r="C25" s="8">
        <v>145.384465385</v>
      </c>
      <c r="D25" s="8">
        <v>0</v>
      </c>
      <c r="E25" s="8">
        <f t="shared" si="0"/>
        <v>6767.5594563515006</v>
      </c>
      <c r="F25" s="21">
        <f t="shared" si="1"/>
        <v>3.6771588022503209E-2</v>
      </c>
      <c r="H25" s="127">
        <v>14</v>
      </c>
      <c r="I25" s="217">
        <v>954.75942838534172</v>
      </c>
      <c r="J25" s="307">
        <v>531.65666276714524</v>
      </c>
      <c r="K25" s="397">
        <v>222.17680492244784</v>
      </c>
      <c r="L25">
        <f t="shared" si="2"/>
        <v>1708.5928960749347</v>
      </c>
      <c r="M25" s="21">
        <f t="shared" si="3"/>
        <v>9.7086084175541845E-3</v>
      </c>
    </row>
    <row r="26" spans="1:13" x14ac:dyDescent="0.25">
      <c r="A26">
        <v>15</v>
      </c>
      <c r="B26" s="8">
        <v>5365.6273869016995</v>
      </c>
      <c r="C26" s="8">
        <v>0</v>
      </c>
      <c r="D26" s="8">
        <v>0</v>
      </c>
      <c r="E26" s="8">
        <f t="shared" si="0"/>
        <v>5365.6273869016995</v>
      </c>
      <c r="F26" s="21">
        <f t="shared" si="1"/>
        <v>2.9154178995536854E-2</v>
      </c>
      <c r="H26" s="128">
        <v>15</v>
      </c>
      <c r="I26" s="218">
        <v>765.64120726536453</v>
      </c>
      <c r="J26" s="308">
        <v>377.80473872029455</v>
      </c>
      <c r="K26" s="398">
        <v>188.54023048756551</v>
      </c>
      <c r="L26">
        <f t="shared" si="2"/>
        <v>1331.9861764732245</v>
      </c>
      <c r="M26" s="21">
        <f t="shared" si="3"/>
        <v>7.5686444879182069E-3</v>
      </c>
    </row>
    <row r="27" spans="1:13" x14ac:dyDescent="0.25">
      <c r="A27">
        <v>16</v>
      </c>
      <c r="B27" s="8">
        <v>8794.1256717136002</v>
      </c>
      <c r="C27" s="8">
        <v>618.978643154</v>
      </c>
      <c r="D27" s="8">
        <v>0</v>
      </c>
      <c r="E27" s="8">
        <f t="shared" si="0"/>
        <v>9413.1043148675999</v>
      </c>
      <c r="F27" s="21">
        <f t="shared" si="1"/>
        <v>5.114617700983827E-2</v>
      </c>
      <c r="H27" s="129">
        <v>16</v>
      </c>
      <c r="I27" s="219">
        <v>852.01555365205786</v>
      </c>
      <c r="J27" s="309">
        <v>356.83117919405566</v>
      </c>
      <c r="K27" s="399">
        <v>166.7913009068964</v>
      </c>
      <c r="L27">
        <f t="shared" si="2"/>
        <v>1375.6380337530099</v>
      </c>
      <c r="M27" s="21">
        <f t="shared" si="3"/>
        <v>7.8166841408993069E-3</v>
      </c>
    </row>
    <row r="28" spans="1:13" x14ac:dyDescent="0.25">
      <c r="A28">
        <v>17</v>
      </c>
      <c r="B28" s="8">
        <v>4317.1515322839996</v>
      </c>
      <c r="C28" s="8">
        <v>0</v>
      </c>
      <c r="D28" s="8">
        <v>0</v>
      </c>
      <c r="E28" s="8">
        <f t="shared" si="0"/>
        <v>4317.1515322839996</v>
      </c>
      <c r="F28" s="21">
        <f t="shared" si="1"/>
        <v>2.3457277117362712E-2</v>
      </c>
      <c r="H28" s="130">
        <v>17</v>
      </c>
      <c r="I28" s="220">
        <v>666.94690999037039</v>
      </c>
      <c r="J28" s="310">
        <v>361.72554272927829</v>
      </c>
      <c r="K28" s="400">
        <v>177.55162343268523</v>
      </c>
      <c r="L28">
        <f t="shared" si="2"/>
        <v>1206.224076152334</v>
      </c>
      <c r="M28" s="21">
        <f t="shared" si="3"/>
        <v>6.8540360000861568E-3</v>
      </c>
    </row>
    <row r="29" spans="1:13" x14ac:dyDescent="0.25">
      <c r="A29">
        <v>18</v>
      </c>
      <c r="B29" s="8">
        <v>13371.8236885691</v>
      </c>
      <c r="C29" s="8">
        <v>558.91715549390005</v>
      </c>
      <c r="D29" s="8">
        <v>0</v>
      </c>
      <c r="E29" s="8">
        <f t="shared" si="0"/>
        <v>13930.740844063001</v>
      </c>
      <c r="F29" s="21">
        <f t="shared" si="1"/>
        <v>7.5692790949236574E-2</v>
      </c>
      <c r="H29" s="131">
        <v>18</v>
      </c>
      <c r="I29" s="221">
        <v>5680.6086629475776</v>
      </c>
      <c r="J29" s="311">
        <v>3533.2212645550603</v>
      </c>
      <c r="K29" s="401">
        <v>1507.7101962172292</v>
      </c>
      <c r="L29">
        <f t="shared" si="2"/>
        <v>10721.540123719868</v>
      </c>
      <c r="M29" s="21">
        <f t="shared" si="3"/>
        <v>6.0922197987253277E-2</v>
      </c>
    </row>
    <row r="30" spans="1:13" x14ac:dyDescent="0.25">
      <c r="A30">
        <v>19</v>
      </c>
      <c r="B30" s="8">
        <v>14511.7462395698</v>
      </c>
      <c r="C30" s="8">
        <v>442.49628783330002</v>
      </c>
      <c r="D30" s="8">
        <v>295.61329596029998</v>
      </c>
      <c r="E30" s="8">
        <f t="shared" si="0"/>
        <v>15249.855823363401</v>
      </c>
      <c r="F30" s="21">
        <f t="shared" si="1"/>
        <v>8.2860212659528795E-2</v>
      </c>
      <c r="H30" s="132">
        <v>19</v>
      </c>
      <c r="I30" s="222">
        <v>3183.18148156905</v>
      </c>
      <c r="J30" s="312">
        <v>1371.1040001790823</v>
      </c>
      <c r="K30" s="402">
        <v>551.96221293321469</v>
      </c>
      <c r="L30">
        <f t="shared" si="2"/>
        <v>5106.2476946813467</v>
      </c>
      <c r="M30" s="21">
        <f t="shared" si="3"/>
        <v>2.901484576260684E-2</v>
      </c>
    </row>
    <row r="31" spans="1:13" x14ac:dyDescent="0.25">
      <c r="A31">
        <v>20</v>
      </c>
      <c r="B31" s="8">
        <v>8268.3347137766996</v>
      </c>
      <c r="C31" s="8">
        <v>622.18008407399998</v>
      </c>
      <c r="D31" s="8">
        <v>0</v>
      </c>
      <c r="E31" s="8">
        <f t="shared" si="0"/>
        <v>8890.5147978506993</v>
      </c>
      <c r="F31" s="21">
        <f t="shared" si="1"/>
        <v>4.8306682721156499E-2</v>
      </c>
      <c r="H31" s="133">
        <v>20</v>
      </c>
      <c r="I31" s="223">
        <v>2379.35578632639</v>
      </c>
      <c r="J31" s="313">
        <v>931.274448159548</v>
      </c>
      <c r="K31" s="403">
        <v>459.14543687751626</v>
      </c>
      <c r="L31">
        <f t="shared" si="2"/>
        <v>3769.775671363454</v>
      </c>
      <c r="M31" s="21">
        <f t="shared" si="3"/>
        <v>2.1420711685836862E-2</v>
      </c>
    </row>
    <row r="32" spans="1:13" x14ac:dyDescent="0.25">
      <c r="A32">
        <v>21</v>
      </c>
      <c r="B32" s="8">
        <v>8869.3063673060005</v>
      </c>
      <c r="C32" s="8">
        <v>1417.4106936200001</v>
      </c>
      <c r="D32" s="8">
        <v>86.292151489199995</v>
      </c>
      <c r="E32" s="8">
        <f t="shared" si="0"/>
        <v>10373.009212415202</v>
      </c>
      <c r="F32" s="21">
        <f t="shared" si="1"/>
        <v>5.6361827889754273E-2</v>
      </c>
      <c r="H32" s="134">
        <v>21</v>
      </c>
      <c r="I32" s="224">
        <v>4572.0372469569111</v>
      </c>
      <c r="J32" s="314">
        <v>1721.5395884781105</v>
      </c>
      <c r="K32" s="404">
        <v>820.70470527292184</v>
      </c>
      <c r="L32">
        <f t="shared" si="2"/>
        <v>7114.2815407079443</v>
      </c>
      <c r="M32" s="21">
        <f t="shared" si="3"/>
        <v>4.0424944882796854E-2</v>
      </c>
    </row>
    <row r="33" spans="1:13" x14ac:dyDescent="0.25">
      <c r="A33">
        <v>22</v>
      </c>
      <c r="B33" s="8">
        <v>6624.3245086103998</v>
      </c>
      <c r="C33" s="8">
        <v>43.894342284899999</v>
      </c>
      <c r="D33" s="8">
        <v>0</v>
      </c>
      <c r="E33" s="8">
        <f t="shared" si="0"/>
        <v>6668.2188508952995</v>
      </c>
      <c r="F33" s="21">
        <f t="shared" si="1"/>
        <v>3.6231820054256826E-2</v>
      </c>
      <c r="H33" s="135">
        <v>22</v>
      </c>
      <c r="I33" s="225">
        <v>2900.6715741997191</v>
      </c>
      <c r="J33" s="315">
        <v>1104.0162907243248</v>
      </c>
      <c r="K33" s="405">
        <v>525.80945044710563</v>
      </c>
      <c r="L33">
        <f t="shared" si="2"/>
        <v>4530.4973153711499</v>
      </c>
      <c r="M33" s="21">
        <f t="shared" si="3"/>
        <v>2.5743302850411657E-2</v>
      </c>
    </row>
    <row r="34" spans="1:13" x14ac:dyDescent="0.25">
      <c r="A34">
        <v>23</v>
      </c>
      <c r="B34" s="8">
        <v>2024.9712810230001</v>
      </c>
      <c r="C34" s="8">
        <v>92.391007456699995</v>
      </c>
      <c r="D34" s="8">
        <v>0</v>
      </c>
      <c r="E34" s="8">
        <f t="shared" si="0"/>
        <v>2117.3622884797001</v>
      </c>
      <c r="F34" s="21">
        <f t="shared" si="1"/>
        <v>1.1504704800677884E-2</v>
      </c>
      <c r="H34" s="136">
        <v>23</v>
      </c>
      <c r="I34" s="226">
        <v>3338.4262276372542</v>
      </c>
      <c r="J34" s="316">
        <v>1268.0202787177147</v>
      </c>
      <c r="K34" s="406">
        <v>545.00176925317669</v>
      </c>
      <c r="L34">
        <f t="shared" si="2"/>
        <v>5151.4482756081452</v>
      </c>
      <c r="M34" s="21">
        <f t="shared" si="3"/>
        <v>2.92716856110414E-2</v>
      </c>
    </row>
    <row r="35" spans="1:13" x14ac:dyDescent="0.25">
      <c r="A35">
        <v>24</v>
      </c>
      <c r="B35" s="8">
        <v>2928.7438684278</v>
      </c>
      <c r="C35" s="8">
        <v>0</v>
      </c>
      <c r="D35" s="8">
        <v>0</v>
      </c>
      <c r="E35" s="8">
        <f t="shared" si="0"/>
        <v>2928.7438684278</v>
      </c>
      <c r="F35" s="21">
        <f t="shared" si="1"/>
        <v>1.591335305553699E-2</v>
      </c>
      <c r="H35" s="137">
        <v>24</v>
      </c>
      <c r="I35" s="227">
        <v>2159.0118087902206</v>
      </c>
      <c r="J35" s="317">
        <v>866.41156837237588</v>
      </c>
      <c r="K35" s="407">
        <v>368.30869607535431</v>
      </c>
      <c r="L35">
        <f t="shared" si="2"/>
        <v>3393.7320732379508</v>
      </c>
      <c r="M35" s="21">
        <f t="shared" si="3"/>
        <v>1.9283947538850439E-2</v>
      </c>
    </row>
    <row r="36" spans="1:13" x14ac:dyDescent="0.25">
      <c r="A36">
        <v>25</v>
      </c>
      <c r="B36" s="8">
        <v>383.2277741149</v>
      </c>
      <c r="C36" s="8">
        <v>0</v>
      </c>
      <c r="D36" s="8">
        <v>0</v>
      </c>
      <c r="E36" s="8">
        <f t="shared" si="0"/>
        <v>383.2277741149</v>
      </c>
      <c r="F36" s="21">
        <f t="shared" si="1"/>
        <v>2.0822711524622773E-3</v>
      </c>
      <c r="H36" s="138">
        <v>25</v>
      </c>
      <c r="I36" s="228">
        <v>1877.6863504637699</v>
      </c>
      <c r="J36" s="318">
        <v>533.87825345274143</v>
      </c>
      <c r="K36" s="408">
        <v>238.83819847404297</v>
      </c>
      <c r="L36">
        <f t="shared" si="2"/>
        <v>2650.4028023905544</v>
      </c>
      <c r="M36" s="21">
        <f t="shared" si="3"/>
        <v>1.5060183743190281E-2</v>
      </c>
    </row>
    <row r="37" spans="1:13" x14ac:dyDescent="0.25">
      <c r="A37">
        <v>26</v>
      </c>
      <c r="B37" s="8">
        <v>4423.3362208229</v>
      </c>
      <c r="C37" s="8">
        <v>0</v>
      </c>
      <c r="D37" s="8">
        <v>0</v>
      </c>
      <c r="E37" s="8">
        <f t="shared" si="0"/>
        <v>4423.3362208229</v>
      </c>
      <c r="F37" s="21">
        <f t="shared" si="1"/>
        <v>2.4034232465362758E-2</v>
      </c>
      <c r="H37" s="139">
        <v>26</v>
      </c>
      <c r="I37" s="229">
        <v>2464.9623546367816</v>
      </c>
      <c r="J37" s="319">
        <v>881.00610086969539</v>
      </c>
      <c r="K37" s="409">
        <v>334.5720676304295</v>
      </c>
      <c r="L37">
        <f t="shared" si="2"/>
        <v>3680.5405231369064</v>
      </c>
      <c r="M37" s="21">
        <f t="shared" si="3"/>
        <v>2.0913657540168707E-2</v>
      </c>
    </row>
    <row r="38" spans="1:13" x14ac:dyDescent="0.25">
      <c r="A38">
        <v>27</v>
      </c>
      <c r="B38" s="8">
        <v>1369.4679458390001</v>
      </c>
      <c r="C38" s="8">
        <v>56.138876090399997</v>
      </c>
      <c r="D38" s="8">
        <v>0</v>
      </c>
      <c r="E38" s="8">
        <f t="shared" si="0"/>
        <v>1425.6068219294</v>
      </c>
      <c r="F38" s="21">
        <f t="shared" si="1"/>
        <v>7.7460459824788058E-3</v>
      </c>
      <c r="H38" s="140">
        <v>27</v>
      </c>
      <c r="I38" s="230">
        <v>1198.4004867502124</v>
      </c>
      <c r="J38" s="320">
        <v>393.01254078752254</v>
      </c>
      <c r="K38" s="410">
        <v>128.72387354055874</v>
      </c>
      <c r="L38">
        <f t="shared" si="2"/>
        <v>1720.1369010782937</v>
      </c>
      <c r="M38" s="21">
        <f t="shared" si="3"/>
        <v>9.7742040456323329E-3</v>
      </c>
    </row>
    <row r="39" spans="1:13" x14ac:dyDescent="0.25">
      <c r="A39">
        <v>28</v>
      </c>
      <c r="B39" s="8">
        <v>0</v>
      </c>
      <c r="C39" s="8">
        <v>0</v>
      </c>
      <c r="D39" s="8">
        <v>117.557623914</v>
      </c>
      <c r="E39" s="8">
        <f t="shared" si="0"/>
        <v>117.557623914</v>
      </c>
      <c r="F39" s="21">
        <f t="shared" si="1"/>
        <v>6.3875028263149676E-4</v>
      </c>
      <c r="H39" s="141">
        <v>28</v>
      </c>
      <c r="I39" s="231">
        <v>1670.2056374412898</v>
      </c>
      <c r="J39" s="321">
        <v>472.22558609251178</v>
      </c>
      <c r="K39" s="411">
        <v>202.47123886999216</v>
      </c>
      <c r="L39">
        <f t="shared" si="2"/>
        <v>2344.9024624037938</v>
      </c>
      <c r="M39" s="21">
        <f t="shared" si="3"/>
        <v>1.3324262226031494E-2</v>
      </c>
    </row>
    <row r="40" spans="1:13" x14ac:dyDescent="0.25">
      <c r="A40">
        <v>29</v>
      </c>
      <c r="B40" s="8">
        <v>368.01794152919996</v>
      </c>
      <c r="C40" s="8">
        <v>0</v>
      </c>
      <c r="D40" s="8">
        <v>0</v>
      </c>
      <c r="E40" s="8">
        <f t="shared" si="0"/>
        <v>368.01794152919996</v>
      </c>
      <c r="F40" s="21">
        <f t="shared" si="1"/>
        <v>1.9996284063822705E-3</v>
      </c>
      <c r="H40" s="142">
        <v>29</v>
      </c>
      <c r="I40" s="232">
        <v>1364.3790818161826</v>
      </c>
      <c r="J40" s="322">
        <v>471.76545450092675</v>
      </c>
      <c r="K40" s="412">
        <v>151.40911118844539</v>
      </c>
      <c r="L40">
        <f t="shared" si="2"/>
        <v>1987.5536475055549</v>
      </c>
      <c r="M40" s="21">
        <f t="shared" si="3"/>
        <v>1.129372603435351E-2</v>
      </c>
    </row>
    <row r="41" spans="1:13" x14ac:dyDescent="0.25">
      <c r="A41">
        <v>30</v>
      </c>
      <c r="B41" s="8">
        <v>688.32366068099998</v>
      </c>
      <c r="C41" s="8">
        <v>0</v>
      </c>
      <c r="D41" s="8">
        <v>0</v>
      </c>
      <c r="E41" s="8">
        <f t="shared" si="0"/>
        <v>688.32366068099998</v>
      </c>
      <c r="F41" s="21">
        <f t="shared" si="1"/>
        <v>3.7400120737688287E-3</v>
      </c>
      <c r="H41" s="143">
        <v>30</v>
      </c>
      <c r="I41" s="233">
        <v>1250.263928869259</v>
      </c>
      <c r="J41" s="323">
        <v>308.99959955628816</v>
      </c>
      <c r="K41" s="413">
        <v>93.83726815879487</v>
      </c>
      <c r="L41">
        <f t="shared" si="2"/>
        <v>1653.1007965843419</v>
      </c>
      <c r="M41" s="21">
        <f t="shared" si="3"/>
        <v>9.3932898501764492E-3</v>
      </c>
    </row>
    <row r="42" spans="1:13" x14ac:dyDescent="0.25">
      <c r="A42">
        <v>31</v>
      </c>
      <c r="B42" s="8">
        <v>0</v>
      </c>
      <c r="C42" s="8">
        <v>0</v>
      </c>
      <c r="D42" s="8">
        <v>0</v>
      </c>
      <c r="E42" s="8">
        <f t="shared" si="0"/>
        <v>0</v>
      </c>
      <c r="F42" s="21">
        <f t="shared" si="1"/>
        <v>0</v>
      </c>
      <c r="H42" s="144">
        <v>31</v>
      </c>
      <c r="I42" s="234">
        <v>2122.8295690942059</v>
      </c>
      <c r="J42" s="324">
        <v>466.94066771526673</v>
      </c>
      <c r="K42" s="414">
        <v>150.51879301888457</v>
      </c>
      <c r="L42">
        <f t="shared" si="2"/>
        <v>2740.2890298283569</v>
      </c>
      <c r="M42" s="21">
        <f t="shared" si="3"/>
        <v>1.5570937467105195E-2</v>
      </c>
    </row>
    <row r="43" spans="1:13" x14ac:dyDescent="0.25">
      <c r="A43">
        <v>32</v>
      </c>
      <c r="B43" s="8">
        <v>0</v>
      </c>
      <c r="C43" s="8">
        <v>0</v>
      </c>
      <c r="D43" s="8">
        <v>0</v>
      </c>
      <c r="E43" s="8">
        <f t="shared" si="0"/>
        <v>0</v>
      </c>
      <c r="F43" s="21">
        <f t="shared" si="1"/>
        <v>0</v>
      </c>
      <c r="H43" s="145">
        <v>32</v>
      </c>
      <c r="I43" s="235">
        <v>1464.6104959765694</v>
      </c>
      <c r="J43" s="325">
        <v>367.55743459609755</v>
      </c>
      <c r="K43" s="415">
        <v>58.760517086778002</v>
      </c>
      <c r="L43">
        <f t="shared" si="2"/>
        <v>1890.9284476594451</v>
      </c>
      <c r="M43" s="21">
        <f t="shared" si="3"/>
        <v>1.0744679956303649E-2</v>
      </c>
    </row>
    <row r="44" spans="1:13" x14ac:dyDescent="0.25">
      <c r="A44">
        <v>33</v>
      </c>
      <c r="B44" s="8">
        <v>0</v>
      </c>
      <c r="C44" s="8">
        <v>0</v>
      </c>
      <c r="D44" s="8">
        <v>0</v>
      </c>
      <c r="E44" s="8">
        <f t="shared" si="0"/>
        <v>0</v>
      </c>
      <c r="F44" s="21">
        <f t="shared" si="1"/>
        <v>0</v>
      </c>
      <c r="H44" s="146">
        <v>33</v>
      </c>
      <c r="I44" s="236">
        <v>1322.2782818842763</v>
      </c>
      <c r="J44" s="326">
        <v>264.4425364223444</v>
      </c>
      <c r="K44" s="416">
        <v>86.229759901923643</v>
      </c>
      <c r="L44">
        <f t="shared" si="2"/>
        <v>1672.9505782085444</v>
      </c>
      <c r="M44" s="21">
        <f t="shared" si="3"/>
        <v>9.5060807656754277E-3</v>
      </c>
    </row>
    <row r="45" spans="1:13" x14ac:dyDescent="0.25">
      <c r="A45">
        <v>34</v>
      </c>
      <c r="B45" s="8">
        <v>2743.3576988123</v>
      </c>
      <c r="C45" s="8">
        <v>0</v>
      </c>
      <c r="D45" s="8">
        <v>2026.8388074595</v>
      </c>
      <c r="E45" s="8">
        <f t="shared" si="0"/>
        <v>4770.1965062718</v>
      </c>
      <c r="F45" s="21">
        <f t="shared" si="1"/>
        <v>2.5918900579497216E-2</v>
      </c>
      <c r="H45" s="147">
        <v>34</v>
      </c>
      <c r="I45" s="237">
        <v>1412.7962428821513</v>
      </c>
      <c r="J45" s="327">
        <v>206.22502746515138</v>
      </c>
      <c r="K45" s="417">
        <v>99.243571673941176</v>
      </c>
      <c r="L45">
        <f t="shared" si="2"/>
        <v>1718.264842021244</v>
      </c>
      <c r="M45" s="21">
        <f t="shared" si="3"/>
        <v>9.7635665857896837E-3</v>
      </c>
    </row>
    <row r="46" spans="1:13" x14ac:dyDescent="0.25">
      <c r="A46">
        <v>35</v>
      </c>
      <c r="B46" s="8">
        <v>58.173578483100002</v>
      </c>
      <c r="C46" s="8">
        <v>0</v>
      </c>
      <c r="D46" s="8">
        <v>0</v>
      </c>
      <c r="E46" s="8">
        <f t="shared" si="0"/>
        <v>58.173578483100002</v>
      </c>
      <c r="F46" s="21">
        <f t="shared" si="1"/>
        <v>3.160866004313691E-4</v>
      </c>
      <c r="H46" s="148">
        <v>35</v>
      </c>
      <c r="I46" s="238">
        <v>801.33491894924771</v>
      </c>
      <c r="J46" s="328">
        <v>191.02170326821567</v>
      </c>
      <c r="K46" s="418">
        <v>88.001806274339415</v>
      </c>
      <c r="L46">
        <f t="shared" si="2"/>
        <v>1080.3584284918029</v>
      </c>
      <c r="M46" s="21">
        <f t="shared" si="3"/>
        <v>6.1388391330237128E-3</v>
      </c>
    </row>
    <row r="47" spans="1:13" x14ac:dyDescent="0.25">
      <c r="A47">
        <v>36</v>
      </c>
      <c r="B47" s="8">
        <v>491.23474969599999</v>
      </c>
      <c r="C47" s="8">
        <v>327.03985617900003</v>
      </c>
      <c r="D47" s="8">
        <v>0</v>
      </c>
      <c r="E47" s="8">
        <f t="shared" si="0"/>
        <v>818.27460587500002</v>
      </c>
      <c r="F47" s="21">
        <f t="shared" si="1"/>
        <v>4.4461015659452048E-3</v>
      </c>
      <c r="H47" s="149">
        <v>36</v>
      </c>
      <c r="I47" s="239">
        <v>1296.9221810921633</v>
      </c>
      <c r="J47" s="329">
        <v>210.60367252761236</v>
      </c>
      <c r="K47" s="419">
        <v>144.49202928344414</v>
      </c>
      <c r="L47">
        <f t="shared" si="2"/>
        <v>1652.0178829032197</v>
      </c>
      <c r="M47" s="21">
        <f t="shared" si="3"/>
        <v>9.3871364915243203E-3</v>
      </c>
    </row>
    <row r="48" spans="1:13" x14ac:dyDescent="0.25">
      <c r="A48">
        <v>37</v>
      </c>
      <c r="B48" s="8">
        <v>61.2806320189</v>
      </c>
      <c r="C48" s="8">
        <v>153.29383370100001</v>
      </c>
      <c r="D48" s="8">
        <v>0</v>
      </c>
      <c r="E48" s="8">
        <f t="shared" si="0"/>
        <v>214.57446571990002</v>
      </c>
      <c r="F48" s="21">
        <f t="shared" si="1"/>
        <v>1.16589206263947E-3</v>
      </c>
      <c r="H48" s="150">
        <v>37</v>
      </c>
      <c r="I48" s="240">
        <v>715.41619313551155</v>
      </c>
      <c r="J48" s="330">
        <v>141.26502038994212</v>
      </c>
      <c r="K48" s="420">
        <v>43.543306269425798</v>
      </c>
      <c r="L48">
        <f t="shared" si="2"/>
        <v>900.22451979487948</v>
      </c>
      <c r="M48" s="21">
        <f t="shared" si="3"/>
        <v>5.1152778234341478E-3</v>
      </c>
    </row>
    <row r="49" spans="1:13" x14ac:dyDescent="0.25">
      <c r="A49">
        <v>38</v>
      </c>
      <c r="B49" s="8">
        <v>2333.5937646100001</v>
      </c>
      <c r="C49" s="8">
        <v>0</v>
      </c>
      <c r="D49" s="8">
        <v>0</v>
      </c>
      <c r="E49" s="8">
        <f t="shared" si="0"/>
        <v>2333.5937646100001</v>
      </c>
      <c r="F49" s="21">
        <f t="shared" si="1"/>
        <v>1.2679600242534518E-2</v>
      </c>
      <c r="H49" s="151">
        <v>38</v>
      </c>
      <c r="I49" s="241">
        <v>622.87030667486124</v>
      </c>
      <c r="J49" s="331">
        <v>67.019047820417597</v>
      </c>
      <c r="K49" s="421">
        <v>23.491121260519002</v>
      </c>
      <c r="L49">
        <f t="shared" si="2"/>
        <v>713.38047575579787</v>
      </c>
      <c r="M49" s="21">
        <f t="shared" si="3"/>
        <v>4.0535880183934659E-3</v>
      </c>
    </row>
    <row r="50" spans="1:13" x14ac:dyDescent="0.25">
      <c r="A50">
        <v>39</v>
      </c>
      <c r="B50" s="8">
        <v>0</v>
      </c>
      <c r="C50" s="8">
        <v>0</v>
      </c>
      <c r="D50" s="8">
        <v>0</v>
      </c>
      <c r="E50" s="8">
        <f t="shared" si="0"/>
        <v>0</v>
      </c>
      <c r="F50" s="21">
        <f t="shared" si="1"/>
        <v>0</v>
      </c>
      <c r="H50" s="152">
        <v>39</v>
      </c>
      <c r="I50" s="242">
        <v>572.44765259595124</v>
      </c>
      <c r="J50" s="332">
        <v>140.51195392954151</v>
      </c>
      <c r="K50" s="422">
        <v>39.255676487174661</v>
      </c>
      <c r="L50">
        <f t="shared" si="2"/>
        <v>752.21528301266744</v>
      </c>
      <c r="M50" s="21">
        <f t="shared" si="3"/>
        <v>4.2742561117083064E-3</v>
      </c>
    </row>
    <row r="51" spans="1:13" x14ac:dyDescent="0.25">
      <c r="A51">
        <v>40</v>
      </c>
      <c r="B51" s="8">
        <v>66.504124486899997</v>
      </c>
      <c r="C51" s="8">
        <v>0</v>
      </c>
      <c r="D51" s="8">
        <v>0</v>
      </c>
      <c r="E51" s="8">
        <f t="shared" si="0"/>
        <v>66.504124486899997</v>
      </c>
      <c r="F51" s="21">
        <f t="shared" si="1"/>
        <v>3.6135068826538867E-4</v>
      </c>
      <c r="H51" s="153">
        <v>40</v>
      </c>
      <c r="I51" s="243">
        <v>630.72435232017187</v>
      </c>
      <c r="J51" s="333">
        <v>121.47261023815089</v>
      </c>
      <c r="K51" s="423">
        <v>36.22725929054436</v>
      </c>
      <c r="L51">
        <f t="shared" si="2"/>
        <v>788.42422184886709</v>
      </c>
      <c r="M51" s="21">
        <f t="shared" si="3"/>
        <v>4.4800034311449051E-3</v>
      </c>
    </row>
    <row r="52" spans="1:13" x14ac:dyDescent="0.25">
      <c r="A52">
        <v>41</v>
      </c>
      <c r="B52" s="8">
        <v>865.919580817</v>
      </c>
      <c r="C52" s="8">
        <v>0</v>
      </c>
      <c r="D52" s="8">
        <v>383.20655539199998</v>
      </c>
      <c r="E52" s="8">
        <f t="shared" si="0"/>
        <v>1249.1261362089999</v>
      </c>
      <c r="F52" s="21">
        <f t="shared" si="1"/>
        <v>6.7871367758298856E-3</v>
      </c>
      <c r="H52" s="154">
        <v>41</v>
      </c>
      <c r="I52" s="244">
        <v>438.42797584503495</v>
      </c>
      <c r="J52" s="334">
        <v>46.716286871125831</v>
      </c>
      <c r="K52" s="424">
        <v>39.697456167479046</v>
      </c>
      <c r="L52">
        <f t="shared" si="2"/>
        <v>524.84171888363983</v>
      </c>
      <c r="M52" s="21">
        <f t="shared" si="3"/>
        <v>2.9822684745692846E-3</v>
      </c>
    </row>
    <row r="53" spans="1:13" x14ac:dyDescent="0.25">
      <c r="A53">
        <v>42</v>
      </c>
      <c r="B53" s="8">
        <v>0</v>
      </c>
      <c r="C53" s="8">
        <v>0</v>
      </c>
      <c r="D53" s="8">
        <v>0</v>
      </c>
      <c r="E53" s="8">
        <f t="shared" si="0"/>
        <v>0</v>
      </c>
      <c r="F53" s="21">
        <f t="shared" si="1"/>
        <v>0</v>
      </c>
      <c r="H53" s="155">
        <v>42</v>
      </c>
      <c r="I53" s="245">
        <v>561.5978700653784</v>
      </c>
      <c r="J53" s="335">
        <v>144.53558305874975</v>
      </c>
      <c r="K53" s="425">
        <v>27.543348216984629</v>
      </c>
      <c r="L53">
        <f t="shared" si="2"/>
        <v>733.67680134111288</v>
      </c>
      <c r="M53" s="21">
        <f t="shared" si="3"/>
        <v>4.1689162969293769E-3</v>
      </c>
    </row>
    <row r="54" spans="1:13" x14ac:dyDescent="0.25">
      <c r="A54">
        <v>43</v>
      </c>
      <c r="B54" s="8">
        <v>79.112752862299999</v>
      </c>
      <c r="C54" s="8">
        <v>0</v>
      </c>
      <c r="D54" s="8">
        <v>0</v>
      </c>
      <c r="E54" s="8">
        <f t="shared" si="0"/>
        <v>79.112752862299999</v>
      </c>
      <c r="F54" s="21">
        <f t="shared" si="1"/>
        <v>4.2985977062208925E-4</v>
      </c>
      <c r="H54" s="156">
        <v>43</v>
      </c>
      <c r="I54" s="246">
        <v>510.70201543637035</v>
      </c>
      <c r="J54" s="336">
        <v>42.25143886538028</v>
      </c>
      <c r="K54" s="426">
        <v>36.950827922077927</v>
      </c>
      <c r="L54">
        <f t="shared" si="2"/>
        <v>589.90428222382855</v>
      </c>
      <c r="M54" s="21">
        <f t="shared" si="3"/>
        <v>3.351968566126089E-3</v>
      </c>
    </row>
    <row r="55" spans="1:13" x14ac:dyDescent="0.25">
      <c r="A55">
        <v>44</v>
      </c>
      <c r="B55" s="8">
        <v>0</v>
      </c>
      <c r="C55" s="8">
        <v>0</v>
      </c>
      <c r="D55" s="8">
        <v>0</v>
      </c>
      <c r="E55" s="8">
        <f t="shared" si="0"/>
        <v>0</v>
      </c>
      <c r="F55" s="21">
        <f t="shared" si="1"/>
        <v>0</v>
      </c>
      <c r="H55" s="157">
        <v>44</v>
      </c>
      <c r="I55" s="247">
        <v>320.04414236820264</v>
      </c>
      <c r="J55" s="337">
        <v>58.18913956640165</v>
      </c>
      <c r="K55" s="427">
        <v>38.274958667940894</v>
      </c>
      <c r="L55">
        <f t="shared" si="2"/>
        <v>416.50824060254519</v>
      </c>
      <c r="M55" s="21">
        <f t="shared" si="3"/>
        <v>2.3666933299231075E-3</v>
      </c>
    </row>
    <row r="56" spans="1:13" x14ac:dyDescent="0.25">
      <c r="A56">
        <v>45</v>
      </c>
      <c r="B56" s="8">
        <v>6450.1613751454997</v>
      </c>
      <c r="C56" s="8">
        <v>0</v>
      </c>
      <c r="D56" s="8">
        <v>0</v>
      </c>
      <c r="E56" s="8">
        <f t="shared" si="0"/>
        <v>6450.1613751454997</v>
      </c>
      <c r="F56" s="21">
        <f t="shared" si="1"/>
        <v>3.5047003028974059E-2</v>
      </c>
      <c r="H56" s="158">
        <v>45</v>
      </c>
      <c r="I56" s="248">
        <v>264.13857255417219</v>
      </c>
      <c r="J56" s="338">
        <v>45.84025485056307</v>
      </c>
      <c r="K56" s="428">
        <v>1</v>
      </c>
      <c r="L56">
        <f t="shared" si="2"/>
        <v>310.97882740473528</v>
      </c>
      <c r="M56" s="21">
        <f t="shared" si="3"/>
        <v>1.7670515125976088E-3</v>
      </c>
    </row>
    <row r="57" spans="1:13" x14ac:dyDescent="0.25">
      <c r="A57">
        <v>46</v>
      </c>
      <c r="B57" s="8">
        <v>590.52519338899992</v>
      </c>
      <c r="C57" s="8">
        <v>0</v>
      </c>
      <c r="D57" s="8">
        <v>0</v>
      </c>
      <c r="E57" s="8">
        <f t="shared" si="0"/>
        <v>590.52519338899992</v>
      </c>
      <c r="F57" s="21">
        <f t="shared" si="1"/>
        <v>3.208623325478104E-3</v>
      </c>
      <c r="H57" s="159">
        <v>46</v>
      </c>
      <c r="I57" s="249">
        <v>329.34215377098286</v>
      </c>
      <c r="J57" s="339">
        <v>67.792779414498312</v>
      </c>
      <c r="K57" s="429">
        <v>18.001361614023132</v>
      </c>
      <c r="L57">
        <f t="shared" si="2"/>
        <v>415.1362947995043</v>
      </c>
      <c r="M57" s="21">
        <f t="shared" si="3"/>
        <v>2.3588976258660265E-3</v>
      </c>
    </row>
    <row r="58" spans="1:13" x14ac:dyDescent="0.25">
      <c r="A58">
        <v>47</v>
      </c>
      <c r="B58" s="8">
        <v>0</v>
      </c>
      <c r="C58" s="8">
        <v>0</v>
      </c>
      <c r="D58" s="8">
        <v>0</v>
      </c>
      <c r="E58" s="8">
        <f t="shared" si="0"/>
        <v>0</v>
      </c>
      <c r="F58" s="21">
        <f t="shared" si="1"/>
        <v>0</v>
      </c>
      <c r="H58" s="160">
        <v>47</v>
      </c>
      <c r="I58" s="250">
        <v>289.90770385948991</v>
      </c>
      <c r="J58" s="340">
        <v>64.714926316385672</v>
      </c>
      <c r="K58" s="430">
        <v>27.008196721311521</v>
      </c>
      <c r="L58">
        <f t="shared" si="2"/>
        <v>381.63082689718715</v>
      </c>
      <c r="M58" s="21">
        <f t="shared" si="3"/>
        <v>2.168512035209643E-3</v>
      </c>
    </row>
    <row r="59" spans="1:13" x14ac:dyDescent="0.25">
      <c r="A59">
        <v>48</v>
      </c>
      <c r="B59" s="8">
        <v>0</v>
      </c>
      <c r="C59" s="8">
        <v>0</v>
      </c>
      <c r="D59" s="8">
        <v>0</v>
      </c>
      <c r="E59" s="8">
        <f t="shared" si="0"/>
        <v>0</v>
      </c>
      <c r="F59" s="21">
        <f t="shared" si="1"/>
        <v>0</v>
      </c>
      <c r="H59" s="161">
        <v>48</v>
      </c>
      <c r="I59" s="251">
        <v>278.19716252164051</v>
      </c>
      <c r="J59" s="341">
        <v>43.477971057421691</v>
      </c>
      <c r="K59" s="431">
        <v>16.04081632653061</v>
      </c>
      <c r="L59">
        <f t="shared" si="2"/>
        <v>337.71594990559282</v>
      </c>
      <c r="M59" s="21">
        <f t="shared" si="3"/>
        <v>1.9189778451776656E-3</v>
      </c>
    </row>
    <row r="60" spans="1:13" x14ac:dyDescent="0.25">
      <c r="A60">
        <v>49</v>
      </c>
      <c r="B60" s="8">
        <v>0</v>
      </c>
      <c r="C60" s="8">
        <v>0</v>
      </c>
      <c r="D60" s="8">
        <v>0</v>
      </c>
      <c r="E60" s="8">
        <f t="shared" si="0"/>
        <v>0</v>
      </c>
      <c r="F60" s="21">
        <f t="shared" si="1"/>
        <v>0</v>
      </c>
      <c r="H60" s="162">
        <v>49</v>
      </c>
      <c r="I60" s="252">
        <v>243.73428060440722</v>
      </c>
      <c r="J60" s="342">
        <v>47.505441761655533</v>
      </c>
      <c r="K60" s="432">
        <v>7.75</v>
      </c>
      <c r="L60">
        <f t="shared" si="2"/>
        <v>298.98972236606278</v>
      </c>
      <c r="M60" s="21">
        <f t="shared" si="3"/>
        <v>1.6989267261930819E-3</v>
      </c>
    </row>
    <row r="61" spans="1:13" x14ac:dyDescent="0.25">
      <c r="A61">
        <v>50</v>
      </c>
      <c r="B61" s="8">
        <v>0</v>
      </c>
      <c r="C61" s="8">
        <v>0</v>
      </c>
      <c r="D61" s="8">
        <v>0</v>
      </c>
      <c r="E61" s="8">
        <f t="shared" si="0"/>
        <v>0</v>
      </c>
      <c r="F61" s="21">
        <f t="shared" si="1"/>
        <v>0</v>
      </c>
      <c r="H61" s="163">
        <v>50</v>
      </c>
      <c r="I61" s="253">
        <v>273.2354784679726</v>
      </c>
      <c r="J61" s="343">
        <v>35.979215345881983</v>
      </c>
      <c r="K61" s="433">
        <v>16.501552575864551</v>
      </c>
      <c r="L61">
        <f t="shared" si="2"/>
        <v>325.71624638971912</v>
      </c>
      <c r="M61" s="21">
        <f t="shared" si="3"/>
        <v>1.8507928358463049E-3</v>
      </c>
    </row>
    <row r="62" spans="1:13" x14ac:dyDescent="0.25">
      <c r="A62">
        <v>51</v>
      </c>
      <c r="B62" s="8">
        <v>0</v>
      </c>
      <c r="C62" s="8">
        <v>0</v>
      </c>
      <c r="D62" s="8">
        <v>0</v>
      </c>
      <c r="E62" s="8">
        <f t="shared" si="0"/>
        <v>0</v>
      </c>
      <c r="F62" s="21">
        <f t="shared" si="1"/>
        <v>0</v>
      </c>
      <c r="H62" s="164">
        <v>51</v>
      </c>
      <c r="I62" s="254">
        <v>221.21256084077544</v>
      </c>
      <c r="J62" s="344">
        <v>19.178066037735849</v>
      </c>
      <c r="K62" s="434">
        <v>3.5</v>
      </c>
      <c r="L62">
        <f t="shared" si="2"/>
        <v>243.89062687851128</v>
      </c>
      <c r="M62" s="21">
        <f t="shared" si="3"/>
        <v>1.3858412957907051E-3</v>
      </c>
    </row>
    <row r="63" spans="1:13" x14ac:dyDescent="0.25">
      <c r="A63">
        <v>52</v>
      </c>
      <c r="B63" s="8">
        <v>944.88064624599997</v>
      </c>
      <c r="C63" s="8">
        <v>0</v>
      </c>
      <c r="D63" s="8">
        <v>0</v>
      </c>
      <c r="E63" s="8">
        <f t="shared" si="0"/>
        <v>944.88064624599997</v>
      </c>
      <c r="F63" s="21">
        <f t="shared" si="1"/>
        <v>5.1340164912161649E-3</v>
      </c>
      <c r="H63" s="165">
        <v>52</v>
      </c>
      <c r="I63" s="255">
        <v>172.34915939193402</v>
      </c>
      <c r="J63" s="345">
        <v>39.232760783711001</v>
      </c>
      <c r="K63" s="435">
        <v>2.5</v>
      </c>
      <c r="L63">
        <f t="shared" si="2"/>
        <v>214.08192017564502</v>
      </c>
      <c r="M63" s="21">
        <f t="shared" si="3"/>
        <v>1.216461532198876E-3</v>
      </c>
    </row>
    <row r="64" spans="1:13" x14ac:dyDescent="0.25">
      <c r="A64">
        <v>53</v>
      </c>
      <c r="B64" s="8">
        <v>0</v>
      </c>
      <c r="C64" s="8">
        <v>0</v>
      </c>
      <c r="D64" s="8">
        <v>0</v>
      </c>
      <c r="E64" s="8">
        <f t="shared" si="0"/>
        <v>0</v>
      </c>
      <c r="F64" s="21">
        <f t="shared" si="1"/>
        <v>0</v>
      </c>
      <c r="H64" s="166">
        <v>53</v>
      </c>
      <c r="I64" s="256">
        <v>181.59232757326001</v>
      </c>
      <c r="J64" s="346">
        <v>25.505684806620181</v>
      </c>
      <c r="K64" s="436">
        <v>2.75</v>
      </c>
      <c r="L64">
        <f t="shared" si="2"/>
        <v>209.84801237988017</v>
      </c>
      <c r="M64" s="21">
        <f t="shared" si="3"/>
        <v>1.1924035175837268E-3</v>
      </c>
    </row>
    <row r="65" spans="1:13" x14ac:dyDescent="0.25">
      <c r="A65">
        <v>54</v>
      </c>
      <c r="B65" s="8">
        <v>83.397824889500001</v>
      </c>
      <c r="C65" s="8">
        <v>0</v>
      </c>
      <c r="D65" s="8">
        <v>0</v>
      </c>
      <c r="E65" s="8">
        <f t="shared" si="0"/>
        <v>83.397824889500001</v>
      </c>
      <c r="F65" s="21">
        <f t="shared" si="1"/>
        <v>4.5314274349395213E-4</v>
      </c>
      <c r="H65" s="167">
        <v>54</v>
      </c>
      <c r="I65" s="257">
        <v>105.88869958591395</v>
      </c>
      <c r="J65" s="347">
        <v>7.2530581039755404</v>
      </c>
      <c r="K65" s="437">
        <v>5.2348484848484897</v>
      </c>
      <c r="L65">
        <f t="shared" si="2"/>
        <v>118.37660617473797</v>
      </c>
      <c r="M65" s="21">
        <f t="shared" si="3"/>
        <v>6.7264245203741812E-4</v>
      </c>
    </row>
    <row r="66" spans="1:13" x14ac:dyDescent="0.25">
      <c r="A66">
        <v>55</v>
      </c>
      <c r="B66" s="8">
        <v>0</v>
      </c>
      <c r="C66" s="8">
        <v>0</v>
      </c>
      <c r="D66" s="8">
        <v>0</v>
      </c>
      <c r="E66" s="8">
        <f t="shared" si="0"/>
        <v>0</v>
      </c>
      <c r="F66" s="21">
        <f t="shared" si="1"/>
        <v>0</v>
      </c>
      <c r="H66" s="168">
        <v>55</v>
      </c>
      <c r="I66" s="258">
        <v>179.41207580876866</v>
      </c>
      <c r="J66" s="348">
        <v>27.479503596225001</v>
      </c>
      <c r="K66" s="438">
        <v>0.5</v>
      </c>
      <c r="L66">
        <f t="shared" si="2"/>
        <v>207.39157940499365</v>
      </c>
      <c r="M66" s="21">
        <f t="shared" si="3"/>
        <v>1.1784455139469757E-3</v>
      </c>
    </row>
    <row r="67" spans="1:13" x14ac:dyDescent="0.25">
      <c r="A67">
        <v>56</v>
      </c>
      <c r="B67" s="8">
        <v>0</v>
      </c>
      <c r="C67" s="8">
        <v>0</v>
      </c>
      <c r="D67" s="8">
        <v>0</v>
      </c>
      <c r="E67" s="8">
        <f t="shared" si="0"/>
        <v>0</v>
      </c>
      <c r="F67" s="21">
        <f t="shared" si="1"/>
        <v>0</v>
      </c>
      <c r="H67" s="169">
        <v>56</v>
      </c>
      <c r="I67" s="259">
        <v>161.39785729201375</v>
      </c>
      <c r="J67" s="349">
        <v>6.25</v>
      </c>
      <c r="K67" s="439">
        <v>1</v>
      </c>
      <c r="L67">
        <f t="shared" si="2"/>
        <v>168.64785729201375</v>
      </c>
      <c r="M67" s="21">
        <f t="shared" si="3"/>
        <v>9.5829498686848802E-4</v>
      </c>
    </row>
    <row r="68" spans="1:13" x14ac:dyDescent="0.25">
      <c r="A68">
        <v>57</v>
      </c>
      <c r="B68" s="8">
        <v>0</v>
      </c>
      <c r="C68" s="8">
        <v>0</v>
      </c>
      <c r="D68" s="8">
        <v>0</v>
      </c>
      <c r="E68" s="8">
        <f t="shared" si="0"/>
        <v>0</v>
      </c>
      <c r="F68" s="21">
        <f t="shared" si="1"/>
        <v>0</v>
      </c>
      <c r="H68" s="170">
        <v>57</v>
      </c>
      <c r="I68" s="260">
        <v>153.38081249468274</v>
      </c>
      <c r="J68" s="350">
        <v>20.522827955876153</v>
      </c>
      <c r="K68" s="440">
        <v>0</v>
      </c>
      <c r="L68">
        <f t="shared" si="2"/>
        <v>173.9036404505589</v>
      </c>
      <c r="M68" s="21">
        <f t="shared" si="3"/>
        <v>9.8815952670773879E-4</v>
      </c>
    </row>
    <row r="69" spans="1:13" x14ac:dyDescent="0.25">
      <c r="A69">
        <v>58</v>
      </c>
      <c r="B69" s="8">
        <v>275.30993356699997</v>
      </c>
      <c r="C69" s="8">
        <v>0</v>
      </c>
      <c r="D69" s="8">
        <v>0</v>
      </c>
      <c r="E69" s="8">
        <f t="shared" si="0"/>
        <v>275.30993356699997</v>
      </c>
      <c r="F69" s="21">
        <f t="shared" si="1"/>
        <v>1.4958987092647186E-3</v>
      </c>
      <c r="H69" s="171">
        <v>58</v>
      </c>
      <c r="I69" s="261">
        <v>157.00430827033341</v>
      </c>
      <c r="J69" s="351">
        <v>8.9983739837398407</v>
      </c>
      <c r="K69" s="441">
        <v>0.5</v>
      </c>
      <c r="L69">
        <f t="shared" si="2"/>
        <v>166.50268225407325</v>
      </c>
      <c r="M69" s="21">
        <f t="shared" si="3"/>
        <v>9.4610562070740869E-4</v>
      </c>
    </row>
    <row r="70" spans="1:13" x14ac:dyDescent="0.25">
      <c r="A70">
        <v>59</v>
      </c>
      <c r="B70" s="8">
        <v>0</v>
      </c>
      <c r="C70" s="8">
        <v>0</v>
      </c>
      <c r="D70" s="8">
        <v>0</v>
      </c>
      <c r="E70" s="8">
        <f t="shared" si="0"/>
        <v>0</v>
      </c>
      <c r="F70" s="21">
        <f t="shared" si="1"/>
        <v>0</v>
      </c>
      <c r="H70" s="172">
        <v>59</v>
      </c>
      <c r="I70" s="262">
        <v>111.73758904330826</v>
      </c>
      <c r="J70" s="352">
        <v>2.25</v>
      </c>
      <c r="K70" s="442">
        <v>10.0032154340836</v>
      </c>
      <c r="L70">
        <f t="shared" si="2"/>
        <v>123.99080447739186</v>
      </c>
      <c r="M70" s="21">
        <f t="shared" si="3"/>
        <v>7.0454358719031381E-4</v>
      </c>
    </row>
    <row r="71" spans="1:13" x14ac:dyDescent="0.25">
      <c r="A71">
        <v>60</v>
      </c>
      <c r="B71" s="8">
        <v>0</v>
      </c>
      <c r="C71" s="8">
        <v>0</v>
      </c>
      <c r="D71" s="8">
        <v>0</v>
      </c>
      <c r="E71" s="8">
        <f t="shared" si="0"/>
        <v>0</v>
      </c>
      <c r="F71" s="21">
        <f t="shared" si="1"/>
        <v>0</v>
      </c>
      <c r="H71" s="173">
        <v>60</v>
      </c>
      <c r="I71" s="263">
        <v>189.89238805575059</v>
      </c>
      <c r="J71" s="353">
        <v>20.205518018017997</v>
      </c>
      <c r="K71" s="443">
        <v>7</v>
      </c>
      <c r="L71">
        <f t="shared" si="2"/>
        <v>217.09790607376857</v>
      </c>
      <c r="M71" s="21">
        <f t="shared" si="3"/>
        <v>1.2335990411660577E-3</v>
      </c>
    </row>
    <row r="72" spans="1:13" x14ac:dyDescent="0.25">
      <c r="A72">
        <v>61</v>
      </c>
      <c r="B72" s="8">
        <v>0</v>
      </c>
      <c r="C72" s="8">
        <v>0</v>
      </c>
      <c r="D72" s="8">
        <v>0</v>
      </c>
      <c r="E72" s="8">
        <f t="shared" si="0"/>
        <v>0</v>
      </c>
      <c r="F72" s="21">
        <f t="shared" si="1"/>
        <v>0</v>
      </c>
      <c r="H72" s="174">
        <v>61</v>
      </c>
      <c r="I72" s="264">
        <v>80.707660570658675</v>
      </c>
      <c r="J72" s="354">
        <v>17.522923181895081</v>
      </c>
      <c r="K72" s="444">
        <v>4.4976798143851502</v>
      </c>
      <c r="L72">
        <f t="shared" si="2"/>
        <v>102.72826356693891</v>
      </c>
      <c r="M72" s="21">
        <f t="shared" si="3"/>
        <v>5.8372505625995915E-4</v>
      </c>
    </row>
    <row r="73" spans="1:13" x14ac:dyDescent="0.25">
      <c r="A73">
        <v>62</v>
      </c>
      <c r="B73" s="8">
        <v>0</v>
      </c>
      <c r="C73" s="8">
        <v>0</v>
      </c>
      <c r="D73" s="8">
        <v>0</v>
      </c>
      <c r="E73" s="8">
        <f t="shared" si="0"/>
        <v>0</v>
      </c>
      <c r="F73" s="21">
        <f t="shared" si="1"/>
        <v>0</v>
      </c>
      <c r="H73" s="175">
        <v>62</v>
      </c>
      <c r="I73" s="265">
        <v>76.969923158065185</v>
      </c>
      <c r="J73" s="355">
        <v>0.25</v>
      </c>
      <c r="K73" s="445">
        <v>0</v>
      </c>
      <c r="L73">
        <f t="shared" si="2"/>
        <v>77.219923158065185</v>
      </c>
      <c r="M73" s="21">
        <f t="shared" si="3"/>
        <v>4.3878093939025661E-4</v>
      </c>
    </row>
    <row r="74" spans="1:13" x14ac:dyDescent="0.25">
      <c r="A74">
        <v>63</v>
      </c>
      <c r="B74" s="8">
        <v>0</v>
      </c>
      <c r="C74" s="8">
        <v>0</v>
      </c>
      <c r="D74" s="8">
        <v>0</v>
      </c>
      <c r="E74" s="8">
        <f t="shared" si="0"/>
        <v>0</v>
      </c>
      <c r="F74" s="21">
        <f t="shared" si="1"/>
        <v>0</v>
      </c>
      <c r="H74" s="176">
        <v>63</v>
      </c>
      <c r="I74" s="266">
        <v>88.233274813121753</v>
      </c>
      <c r="J74" s="356">
        <v>2.25</v>
      </c>
      <c r="K74" s="446">
        <v>0.5</v>
      </c>
      <c r="L74">
        <f t="shared" si="2"/>
        <v>90.983274813121753</v>
      </c>
      <c r="M74" s="21">
        <f t="shared" si="3"/>
        <v>5.1698739339050789E-4</v>
      </c>
    </row>
    <row r="75" spans="1:13" x14ac:dyDescent="0.25">
      <c r="A75">
        <v>64</v>
      </c>
      <c r="B75" s="8">
        <v>0</v>
      </c>
      <c r="C75" s="8">
        <v>0</v>
      </c>
      <c r="D75" s="8">
        <v>0</v>
      </c>
      <c r="E75" s="8">
        <f t="shared" si="0"/>
        <v>0</v>
      </c>
      <c r="F75" s="21">
        <f t="shared" si="1"/>
        <v>0</v>
      </c>
      <c r="H75" s="177">
        <v>64</v>
      </c>
      <c r="I75" s="267">
        <v>53.71366459860873</v>
      </c>
      <c r="J75" s="357">
        <v>3.9986130374479902</v>
      </c>
      <c r="K75" s="447">
        <v>12.038461538461499</v>
      </c>
      <c r="L75">
        <f t="shared" si="2"/>
        <v>69.750739174518216</v>
      </c>
      <c r="M75" s="21">
        <f t="shared" si="3"/>
        <v>3.9633935915103693E-4</v>
      </c>
    </row>
    <row r="76" spans="1:13" x14ac:dyDescent="0.25">
      <c r="A76">
        <v>65</v>
      </c>
      <c r="B76" s="8">
        <v>0</v>
      </c>
      <c r="C76" s="8">
        <v>0</v>
      </c>
      <c r="D76" s="8">
        <v>0</v>
      </c>
      <c r="E76" s="8">
        <f t="shared" ref="E76:E101" si="4">SUM(B76:D76)</f>
        <v>0</v>
      </c>
      <c r="F76" s="21">
        <f t="shared" ref="F76:F102" si="5">E76/$E$102</f>
        <v>0</v>
      </c>
      <c r="H76" s="178">
        <v>65</v>
      </c>
      <c r="I76" s="268">
        <v>72.288564783963466</v>
      </c>
      <c r="J76" s="358">
        <v>2.4230769230769198</v>
      </c>
      <c r="K76" s="448">
        <v>10.25</v>
      </c>
      <c r="L76">
        <f t="shared" ref="L76:L101" si="6">SUM(I76:K76)</f>
        <v>84.961641707040386</v>
      </c>
      <c r="M76" s="21">
        <f t="shared" ref="M76:M102" si="7">L76/$L$102</f>
        <v>4.8277112221472012E-4</v>
      </c>
    </row>
    <row r="77" spans="1:13" x14ac:dyDescent="0.25">
      <c r="A77">
        <v>66</v>
      </c>
      <c r="B77" s="8">
        <v>0</v>
      </c>
      <c r="C77" s="8">
        <v>0</v>
      </c>
      <c r="D77" s="8">
        <v>0</v>
      </c>
      <c r="E77" s="8">
        <f t="shared" si="4"/>
        <v>0</v>
      </c>
      <c r="F77" s="21">
        <f t="shared" si="5"/>
        <v>0</v>
      </c>
      <c r="H77" s="179">
        <v>66</v>
      </c>
      <c r="I77" s="269">
        <v>79.189750618734948</v>
      </c>
      <c r="J77" s="359">
        <v>0</v>
      </c>
      <c r="K77" s="449">
        <v>0.25</v>
      </c>
      <c r="L77">
        <f t="shared" si="6"/>
        <v>79.439750618734948</v>
      </c>
      <c r="M77" s="21">
        <f t="shared" si="7"/>
        <v>4.5139449737688136E-4</v>
      </c>
    </row>
    <row r="78" spans="1:13" x14ac:dyDescent="0.25">
      <c r="A78">
        <v>67</v>
      </c>
      <c r="B78" s="8">
        <v>0</v>
      </c>
      <c r="C78" s="8">
        <v>0</v>
      </c>
      <c r="D78" s="8">
        <v>0</v>
      </c>
      <c r="E78" s="8">
        <f t="shared" si="4"/>
        <v>0</v>
      </c>
      <c r="F78" s="21">
        <f t="shared" si="5"/>
        <v>0</v>
      </c>
      <c r="H78" s="180">
        <v>67</v>
      </c>
      <c r="I78" s="270">
        <v>31.660000701259399</v>
      </c>
      <c r="J78" s="360">
        <v>0</v>
      </c>
      <c r="K78" s="450">
        <v>0</v>
      </c>
      <c r="L78">
        <f t="shared" si="6"/>
        <v>31.660000701259399</v>
      </c>
      <c r="M78" s="21">
        <f t="shared" si="7"/>
        <v>1.7989923170939935E-4</v>
      </c>
    </row>
    <row r="79" spans="1:13" x14ac:dyDescent="0.25">
      <c r="A79">
        <v>68</v>
      </c>
      <c r="B79" s="8">
        <v>0</v>
      </c>
      <c r="C79" s="8">
        <v>0</v>
      </c>
      <c r="D79" s="8">
        <v>0</v>
      </c>
      <c r="E79" s="8">
        <f t="shared" si="4"/>
        <v>0</v>
      </c>
      <c r="F79" s="21">
        <f t="shared" si="5"/>
        <v>0</v>
      </c>
      <c r="H79" s="181">
        <v>68</v>
      </c>
      <c r="I79" s="271">
        <v>39.286692102418399</v>
      </c>
      <c r="J79" s="361">
        <v>9.9913793103448292</v>
      </c>
      <c r="K79" s="451">
        <v>5.46428571428571</v>
      </c>
      <c r="L79">
        <f t="shared" si="6"/>
        <v>54.742357127048933</v>
      </c>
      <c r="M79" s="21">
        <f t="shared" si="7"/>
        <v>3.1105836294962301E-4</v>
      </c>
    </row>
    <row r="80" spans="1:13" x14ac:dyDescent="0.25">
      <c r="A80">
        <v>69</v>
      </c>
      <c r="B80" s="8">
        <v>0</v>
      </c>
      <c r="C80" s="8">
        <v>0</v>
      </c>
      <c r="D80" s="8">
        <v>0</v>
      </c>
      <c r="E80" s="8">
        <f t="shared" si="4"/>
        <v>0</v>
      </c>
      <c r="F80" s="21">
        <f t="shared" si="5"/>
        <v>0</v>
      </c>
      <c r="H80" s="182">
        <v>69</v>
      </c>
      <c r="I80" s="272">
        <v>18.265992957975541</v>
      </c>
      <c r="J80" s="362">
        <v>0.25</v>
      </c>
      <c r="K80" s="452">
        <v>0</v>
      </c>
      <c r="L80">
        <f t="shared" si="6"/>
        <v>18.515992957975541</v>
      </c>
      <c r="M80" s="21">
        <f t="shared" si="7"/>
        <v>1.0521202885961859E-4</v>
      </c>
    </row>
    <row r="81" spans="1:13" x14ac:dyDescent="0.25">
      <c r="A81">
        <v>70</v>
      </c>
      <c r="B81" s="8">
        <v>0</v>
      </c>
      <c r="C81" s="8">
        <v>0</v>
      </c>
      <c r="D81" s="8">
        <v>0</v>
      </c>
      <c r="E81" s="8">
        <f t="shared" si="4"/>
        <v>0</v>
      </c>
      <c r="F81" s="21">
        <f t="shared" si="5"/>
        <v>0</v>
      </c>
      <c r="H81" s="183">
        <v>70</v>
      </c>
      <c r="I81" s="273">
        <v>51.160832503163427</v>
      </c>
      <c r="J81" s="363">
        <v>0.5</v>
      </c>
      <c r="K81" s="453">
        <v>0</v>
      </c>
      <c r="L81">
        <f t="shared" si="6"/>
        <v>51.660832503163427</v>
      </c>
      <c r="M81" s="21">
        <f t="shared" si="7"/>
        <v>2.935484482291048E-4</v>
      </c>
    </row>
    <row r="82" spans="1:13" x14ac:dyDescent="0.25">
      <c r="A82">
        <v>71</v>
      </c>
      <c r="B82" s="8">
        <v>520.53895734900004</v>
      </c>
      <c r="C82" s="8">
        <v>0</v>
      </c>
      <c r="D82" s="8">
        <v>0</v>
      </c>
      <c r="E82" s="8">
        <f t="shared" si="4"/>
        <v>520.53895734900004</v>
      </c>
      <c r="F82" s="21">
        <f t="shared" si="5"/>
        <v>2.8283525564502454E-3</v>
      </c>
      <c r="H82" s="184">
        <v>71</v>
      </c>
      <c r="I82" s="274">
        <v>25.214527845036319</v>
      </c>
      <c r="J82" s="364">
        <v>0</v>
      </c>
      <c r="K82" s="454">
        <v>0.5</v>
      </c>
      <c r="L82">
        <f t="shared" si="6"/>
        <v>25.714527845036319</v>
      </c>
      <c r="M82" s="21">
        <f t="shared" si="7"/>
        <v>1.4611572017141403E-4</v>
      </c>
    </row>
    <row r="83" spans="1:13" x14ac:dyDescent="0.25">
      <c r="A83">
        <v>72</v>
      </c>
      <c r="B83" s="8">
        <v>175.90985623899999</v>
      </c>
      <c r="C83" s="8">
        <v>0</v>
      </c>
      <c r="D83" s="8">
        <v>0</v>
      </c>
      <c r="E83" s="8">
        <f t="shared" si="4"/>
        <v>175.90985623899999</v>
      </c>
      <c r="F83" s="21">
        <f t="shared" si="5"/>
        <v>9.5580760013086561E-4</v>
      </c>
      <c r="H83" s="185">
        <v>72</v>
      </c>
      <c r="I83" s="275">
        <v>47.474457584785291</v>
      </c>
      <c r="J83" s="365">
        <v>4.99845679012346</v>
      </c>
      <c r="K83" s="455">
        <v>9.9681528662420398</v>
      </c>
      <c r="L83">
        <f t="shared" si="6"/>
        <v>62.44106724115079</v>
      </c>
      <c r="M83" s="21">
        <f t="shared" si="7"/>
        <v>3.5480416219166826E-4</v>
      </c>
    </row>
    <row r="84" spans="1:13" x14ac:dyDescent="0.25">
      <c r="A84">
        <v>73</v>
      </c>
      <c r="B84" s="8">
        <v>0</v>
      </c>
      <c r="C84" s="8">
        <v>0</v>
      </c>
      <c r="D84" s="8">
        <v>0</v>
      </c>
      <c r="E84" s="8">
        <f t="shared" si="4"/>
        <v>0</v>
      </c>
      <c r="F84" s="21">
        <f t="shared" si="5"/>
        <v>0</v>
      </c>
      <c r="H84" s="186">
        <v>73</v>
      </c>
      <c r="I84" s="276">
        <v>4.99673202614379</v>
      </c>
      <c r="J84" s="366">
        <v>0.25</v>
      </c>
      <c r="K84" s="456">
        <v>1.9787234042553199</v>
      </c>
      <c r="L84">
        <f t="shared" si="6"/>
        <v>7.2254554303991103</v>
      </c>
      <c r="M84" s="21">
        <f t="shared" si="7"/>
        <v>4.1056659882752331E-5</v>
      </c>
    </row>
    <row r="85" spans="1:13" x14ac:dyDescent="0.25">
      <c r="A85">
        <v>74</v>
      </c>
      <c r="B85" s="8">
        <v>0</v>
      </c>
      <c r="C85" s="8">
        <v>0</v>
      </c>
      <c r="D85" s="8">
        <v>0</v>
      </c>
      <c r="E85" s="8">
        <f t="shared" si="4"/>
        <v>0</v>
      </c>
      <c r="F85" s="21">
        <f t="shared" si="5"/>
        <v>0</v>
      </c>
      <c r="H85" s="187">
        <v>74</v>
      </c>
      <c r="I85" s="277">
        <v>24.513292942568409</v>
      </c>
      <c r="J85" s="367">
        <v>0.75</v>
      </c>
      <c r="K85" s="457">
        <v>0</v>
      </c>
      <c r="L85">
        <f t="shared" si="6"/>
        <v>25.263292942568409</v>
      </c>
      <c r="M85" s="21">
        <f t="shared" si="7"/>
        <v>1.4355170215257635E-4</v>
      </c>
    </row>
    <row r="86" spans="1:13" x14ac:dyDescent="0.25">
      <c r="A86">
        <v>75</v>
      </c>
      <c r="B86" s="8">
        <v>0</v>
      </c>
      <c r="C86" s="8">
        <v>0</v>
      </c>
      <c r="D86" s="8">
        <v>0</v>
      </c>
      <c r="E86" s="8">
        <f t="shared" si="4"/>
        <v>0</v>
      </c>
      <c r="F86" s="21">
        <f t="shared" si="5"/>
        <v>0</v>
      </c>
      <c r="H86" s="188">
        <v>75</v>
      </c>
      <c r="I86" s="278">
        <v>11.18670886075949</v>
      </c>
      <c r="J86" s="368">
        <v>0.25</v>
      </c>
      <c r="K86" s="458">
        <v>0</v>
      </c>
      <c r="L86">
        <f t="shared" si="6"/>
        <v>11.43670886075949</v>
      </c>
      <c r="M86" s="21">
        <f t="shared" si="7"/>
        <v>6.498594730772917E-5</v>
      </c>
    </row>
    <row r="87" spans="1:13" x14ac:dyDescent="0.25">
      <c r="A87">
        <v>76</v>
      </c>
      <c r="B87" s="8">
        <v>0</v>
      </c>
      <c r="C87" s="8">
        <v>0</v>
      </c>
      <c r="D87" s="8">
        <v>0</v>
      </c>
      <c r="E87" s="8">
        <f t="shared" si="4"/>
        <v>0</v>
      </c>
      <c r="F87" s="21">
        <f t="shared" si="5"/>
        <v>0</v>
      </c>
      <c r="H87" s="189">
        <v>76</v>
      </c>
      <c r="I87" s="279">
        <v>38.252582130690499</v>
      </c>
      <c r="J87" s="369">
        <v>10.5068965517241</v>
      </c>
      <c r="K87" s="459">
        <v>0</v>
      </c>
      <c r="L87">
        <f t="shared" si="6"/>
        <v>48.759478682414596</v>
      </c>
      <c r="M87" s="21">
        <f t="shared" si="7"/>
        <v>2.7706230446066567E-4</v>
      </c>
    </row>
    <row r="88" spans="1:13" x14ac:dyDescent="0.25">
      <c r="A88">
        <v>77</v>
      </c>
      <c r="B88" s="8">
        <v>0</v>
      </c>
      <c r="C88" s="8">
        <v>0</v>
      </c>
      <c r="D88" s="8">
        <v>0</v>
      </c>
      <c r="E88" s="8">
        <f t="shared" si="4"/>
        <v>0</v>
      </c>
      <c r="F88" s="21">
        <f t="shared" si="5"/>
        <v>0</v>
      </c>
      <c r="H88" s="190">
        <v>77</v>
      </c>
      <c r="I88" s="280">
        <v>19.76111849439722</v>
      </c>
      <c r="J88" s="370">
        <v>0.25</v>
      </c>
      <c r="K88" s="460">
        <v>0.25</v>
      </c>
      <c r="L88">
        <f t="shared" si="6"/>
        <v>20.26111849439722</v>
      </c>
      <c r="M88" s="21">
        <f t="shared" si="7"/>
        <v>1.1512822394126382E-4</v>
      </c>
    </row>
    <row r="89" spans="1:13" x14ac:dyDescent="0.25">
      <c r="A89">
        <v>78</v>
      </c>
      <c r="B89" s="8">
        <v>0</v>
      </c>
      <c r="C89" s="8">
        <v>0</v>
      </c>
      <c r="D89" s="8">
        <v>0</v>
      </c>
      <c r="E89" s="8">
        <f t="shared" si="4"/>
        <v>0</v>
      </c>
      <c r="F89" s="21">
        <f t="shared" si="5"/>
        <v>0</v>
      </c>
      <c r="H89" s="191">
        <v>78</v>
      </c>
      <c r="I89" s="281">
        <v>34.777551283151659</v>
      </c>
      <c r="J89" s="371">
        <v>0</v>
      </c>
      <c r="K89" s="461">
        <v>0</v>
      </c>
      <c r="L89">
        <f t="shared" si="6"/>
        <v>34.777551283151659</v>
      </c>
      <c r="M89" s="21">
        <f t="shared" si="7"/>
        <v>1.9761385401120173E-4</v>
      </c>
    </row>
    <row r="90" spans="1:13" x14ac:dyDescent="0.25">
      <c r="A90">
        <v>79</v>
      </c>
      <c r="B90" s="8">
        <v>0</v>
      </c>
      <c r="C90" s="8">
        <v>0</v>
      </c>
      <c r="D90" s="8">
        <v>0</v>
      </c>
      <c r="E90" s="8">
        <f t="shared" si="4"/>
        <v>0</v>
      </c>
      <c r="F90" s="21">
        <f t="shared" si="5"/>
        <v>0</v>
      </c>
      <c r="H90" s="192">
        <v>79</v>
      </c>
      <c r="I90" s="282">
        <v>18.472727272727269</v>
      </c>
      <c r="J90" s="372">
        <v>2</v>
      </c>
      <c r="K90" s="462">
        <v>0</v>
      </c>
      <c r="L90">
        <f t="shared" si="6"/>
        <v>20.472727272727269</v>
      </c>
      <c r="M90" s="21">
        <f t="shared" si="7"/>
        <v>1.1633063252627141E-4</v>
      </c>
    </row>
    <row r="91" spans="1:13" x14ac:dyDescent="0.25">
      <c r="A91">
        <v>80</v>
      </c>
      <c r="B91" s="8">
        <v>0</v>
      </c>
      <c r="C91" s="8">
        <v>0</v>
      </c>
      <c r="D91" s="8">
        <v>0</v>
      </c>
      <c r="E91" s="8">
        <f t="shared" si="4"/>
        <v>0</v>
      </c>
      <c r="F91" s="21">
        <f t="shared" si="5"/>
        <v>0</v>
      </c>
      <c r="H91" s="193">
        <v>80</v>
      </c>
      <c r="I91" s="283">
        <v>23.74743282932662</v>
      </c>
      <c r="J91" s="373">
        <v>0</v>
      </c>
      <c r="K91" s="463">
        <v>0</v>
      </c>
      <c r="L91">
        <f t="shared" si="6"/>
        <v>23.74743282932662</v>
      </c>
      <c r="M91" s="21">
        <f t="shared" si="7"/>
        <v>1.3493824467592275E-4</v>
      </c>
    </row>
    <row r="92" spans="1:13" x14ac:dyDescent="0.25">
      <c r="A92">
        <v>81</v>
      </c>
      <c r="B92" s="8">
        <v>0</v>
      </c>
      <c r="C92" s="8">
        <v>0</v>
      </c>
      <c r="D92" s="8">
        <v>0</v>
      </c>
      <c r="E92" s="8">
        <f t="shared" si="4"/>
        <v>0</v>
      </c>
      <c r="F92" s="21">
        <f t="shared" si="5"/>
        <v>0</v>
      </c>
      <c r="H92" s="194">
        <v>81</v>
      </c>
      <c r="I92" s="284">
        <v>7.4922773883365599</v>
      </c>
      <c r="J92" s="374">
        <v>0</v>
      </c>
      <c r="K92" s="464">
        <v>0</v>
      </c>
      <c r="L92">
        <f t="shared" si="6"/>
        <v>7.4922773883365599</v>
      </c>
      <c r="M92" s="21">
        <f t="shared" si="7"/>
        <v>4.2572802149743349E-5</v>
      </c>
    </row>
    <row r="93" spans="1:13" x14ac:dyDescent="0.25">
      <c r="A93">
        <v>82</v>
      </c>
      <c r="B93" s="8">
        <v>0</v>
      </c>
      <c r="C93" s="8">
        <v>0</v>
      </c>
      <c r="D93" s="8">
        <v>0</v>
      </c>
      <c r="E93" s="8">
        <f t="shared" si="4"/>
        <v>0</v>
      </c>
      <c r="F93" s="21">
        <f t="shared" si="5"/>
        <v>0</v>
      </c>
      <c r="H93" s="195">
        <v>82</v>
      </c>
      <c r="I93" s="285">
        <v>12.21551724137931</v>
      </c>
      <c r="J93" s="375">
        <v>0</v>
      </c>
      <c r="K93" s="465">
        <v>0</v>
      </c>
      <c r="L93">
        <f t="shared" si="6"/>
        <v>12.21551724137931</v>
      </c>
      <c r="M93" s="21">
        <f t="shared" si="7"/>
        <v>6.9411311370237675E-5</v>
      </c>
    </row>
    <row r="94" spans="1:13" x14ac:dyDescent="0.25">
      <c r="A94">
        <v>83</v>
      </c>
      <c r="B94" s="8">
        <v>0</v>
      </c>
      <c r="C94" s="8">
        <v>0</v>
      </c>
      <c r="D94" s="8">
        <v>0</v>
      </c>
      <c r="E94" s="8">
        <f t="shared" si="4"/>
        <v>0</v>
      </c>
      <c r="F94" s="21">
        <f t="shared" si="5"/>
        <v>0</v>
      </c>
      <c r="H94" s="196">
        <v>83</v>
      </c>
      <c r="I94" s="286">
        <v>0</v>
      </c>
      <c r="J94" s="376">
        <v>0</v>
      </c>
      <c r="K94" s="466">
        <v>0</v>
      </c>
      <c r="L94">
        <f t="shared" si="6"/>
        <v>0</v>
      </c>
      <c r="M94" s="21">
        <f t="shared" si="7"/>
        <v>0</v>
      </c>
    </row>
    <row r="95" spans="1:13" x14ac:dyDescent="0.25">
      <c r="A95">
        <v>84</v>
      </c>
      <c r="B95" s="8">
        <v>0</v>
      </c>
      <c r="C95" s="8">
        <v>0</v>
      </c>
      <c r="D95" s="8">
        <v>0</v>
      </c>
      <c r="E95" s="8">
        <f t="shared" si="4"/>
        <v>0</v>
      </c>
      <c r="F95" s="21">
        <f t="shared" si="5"/>
        <v>0</v>
      </c>
      <c r="H95" s="197">
        <v>84</v>
      </c>
      <c r="I95" s="287">
        <v>4.7472677595628401</v>
      </c>
      <c r="J95" s="377">
        <v>0</v>
      </c>
      <c r="K95" s="467">
        <v>0</v>
      </c>
      <c r="L95">
        <f t="shared" si="6"/>
        <v>4.7472677595628401</v>
      </c>
      <c r="M95" s="21">
        <f t="shared" si="7"/>
        <v>2.6975041179647987E-5</v>
      </c>
    </row>
    <row r="96" spans="1:13" x14ac:dyDescent="0.25">
      <c r="A96">
        <v>85</v>
      </c>
      <c r="B96" s="8">
        <v>0</v>
      </c>
      <c r="C96" s="8">
        <v>0</v>
      </c>
      <c r="D96" s="8">
        <v>0</v>
      </c>
      <c r="E96" s="8">
        <f t="shared" si="4"/>
        <v>0</v>
      </c>
      <c r="F96" s="21">
        <f t="shared" si="5"/>
        <v>0</v>
      </c>
      <c r="H96" s="198">
        <v>85</v>
      </c>
      <c r="I96" s="288">
        <v>0.25</v>
      </c>
      <c r="J96" s="378">
        <v>0</v>
      </c>
      <c r="K96" s="468">
        <v>0</v>
      </c>
      <c r="L96">
        <f t="shared" si="6"/>
        <v>0.25</v>
      </c>
      <c r="M96" s="21">
        <f t="shared" si="7"/>
        <v>1.4205561254318225E-6</v>
      </c>
    </row>
    <row r="97" spans="1:13" x14ac:dyDescent="0.25">
      <c r="A97">
        <v>86</v>
      </c>
      <c r="B97" s="8">
        <v>0</v>
      </c>
      <c r="C97" s="8">
        <v>0</v>
      </c>
      <c r="D97" s="8">
        <v>0</v>
      </c>
      <c r="E97" s="8">
        <f t="shared" si="4"/>
        <v>0</v>
      </c>
      <c r="F97" s="21">
        <f t="shared" si="5"/>
        <v>0</v>
      </c>
      <c r="H97" s="199">
        <v>86</v>
      </c>
      <c r="I97" s="289">
        <v>0</v>
      </c>
      <c r="J97" s="379">
        <v>0</v>
      </c>
      <c r="K97" s="469">
        <v>0</v>
      </c>
      <c r="L97">
        <f t="shared" si="6"/>
        <v>0</v>
      </c>
      <c r="M97" s="21">
        <f t="shared" si="7"/>
        <v>0</v>
      </c>
    </row>
    <row r="98" spans="1:13" x14ac:dyDescent="0.25">
      <c r="A98">
        <v>87</v>
      </c>
      <c r="B98" s="8">
        <v>0</v>
      </c>
      <c r="C98" s="8">
        <v>0</v>
      </c>
      <c r="D98" s="8">
        <v>0</v>
      </c>
      <c r="E98" s="8">
        <f t="shared" si="4"/>
        <v>0</v>
      </c>
      <c r="F98" s="21">
        <f t="shared" si="5"/>
        <v>0</v>
      </c>
      <c r="H98" s="200">
        <v>87</v>
      </c>
      <c r="I98" s="290">
        <v>0.25</v>
      </c>
      <c r="J98" s="380">
        <v>0</v>
      </c>
      <c r="K98" s="470">
        <v>0</v>
      </c>
      <c r="L98">
        <f t="shared" si="6"/>
        <v>0.25</v>
      </c>
      <c r="M98" s="21">
        <f t="shared" si="7"/>
        <v>1.4205561254318225E-6</v>
      </c>
    </row>
    <row r="99" spans="1:13" x14ac:dyDescent="0.25">
      <c r="A99">
        <v>88</v>
      </c>
      <c r="B99" s="8">
        <v>0</v>
      </c>
      <c r="C99" s="8">
        <v>0</v>
      </c>
      <c r="D99" s="8">
        <v>0</v>
      </c>
      <c r="E99" s="8">
        <f t="shared" si="4"/>
        <v>0</v>
      </c>
      <c r="F99" s="21">
        <f t="shared" si="5"/>
        <v>0</v>
      </c>
      <c r="H99" s="201">
        <v>88</v>
      </c>
      <c r="I99" s="291">
        <v>2.2493761696818497</v>
      </c>
      <c r="J99" s="381">
        <v>0</v>
      </c>
      <c r="K99" s="471">
        <v>0</v>
      </c>
      <c r="L99">
        <f t="shared" si="6"/>
        <v>2.2493761696818497</v>
      </c>
      <c r="M99" s="21">
        <f t="shared" si="7"/>
        <v>1.2781460384967689E-5</v>
      </c>
    </row>
    <row r="100" spans="1:13" x14ac:dyDescent="0.25">
      <c r="A100">
        <v>89</v>
      </c>
      <c r="B100" s="8">
        <v>0</v>
      </c>
      <c r="C100" s="8">
        <v>0</v>
      </c>
      <c r="D100" s="8">
        <v>0</v>
      </c>
      <c r="E100" s="8">
        <f t="shared" si="4"/>
        <v>0</v>
      </c>
      <c r="F100" s="21">
        <f t="shared" si="5"/>
        <v>0</v>
      </c>
      <c r="H100" s="202">
        <v>89</v>
      </c>
      <c r="I100" s="292">
        <v>0</v>
      </c>
      <c r="J100" s="382">
        <v>0</v>
      </c>
      <c r="K100" s="472">
        <v>0</v>
      </c>
      <c r="L10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9">
        <v>0</v>
      </c>
      <c r="C101" s="9">
        <v>0</v>
      </c>
      <c r="D101" s="9">
        <v>0</v>
      </c>
      <c r="E101" s="9">
        <f t="shared" si="4"/>
        <v>0</v>
      </c>
      <c r="F101" s="21">
        <f t="shared" si="5"/>
        <v>0</v>
      </c>
      <c r="H101" s="475">
        <v>90</v>
      </c>
      <c r="I101" s="475">
        <v>35.016551120016103</v>
      </c>
      <c r="J101" s="475">
        <v>0</v>
      </c>
      <c r="K101" s="475">
        <v>0.25</v>
      </c>
      <c r="L101" s="1">
        <f t="shared" si="6"/>
        <v>35.266551120016103</v>
      </c>
      <c r="M101" s="21">
        <f t="shared" si="7"/>
        <v>2.0039246086557352E-4</v>
      </c>
    </row>
    <row r="102" spans="1:13" x14ac:dyDescent="0.25">
      <c r="E102" s="8">
        <f>SUM(E11:E101)</f>
        <v>184043.16539742419</v>
      </c>
      <c r="F102" s="21">
        <f t="shared" si="5"/>
        <v>1</v>
      </c>
      <c r="L102" s="22">
        <f>SUM(L11:L101)</f>
        <v>175987.41473449679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F1" workbookViewId="0">
      <selection activeCell="AD35" sqref="AD35"/>
    </sheetView>
  </sheetViews>
  <sheetFormatPr defaultRowHeight="15" x14ac:dyDescent="0.25"/>
  <cols>
    <col min="4" max="4" width="12.28515625" bestFit="1" customWidth="1" collapsed="1"/>
    <col min="13" max="14" width="10.5703125" bestFit="1" customWidth="1" collapsed="1"/>
    <col min="15" max="15" width="12.42578125" bestFit="1" customWidth="1" collapsed="1"/>
    <col min="16" max="16" width="10.5703125" bestFit="1" customWidth="1" collapsed="1"/>
    <col min="17" max="17" width="11.5703125" bestFit="1" customWidth="1" collapsed="1"/>
    <col min="18" max="19" width="10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r="5" spans="1:21" ht="15.75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>
        <v>7603.9101153389001</v>
      </c>
      <c r="C7" s="13">
        <v>225.79141457060001</v>
      </c>
      <c r="D7" s="13">
        <v>0</v>
      </c>
      <c r="E7" s="13">
        <v>1292.8679586580001</v>
      </c>
      <c r="F7" s="13">
        <v>224.20143396750001</v>
      </c>
      <c r="G7" s="13">
        <v>0</v>
      </c>
      <c r="H7" s="13">
        <v>704.45342143300002</v>
      </c>
      <c r="I7" s="13"/>
      <c r="J7" s="13">
        <f>SUM(B7:I7)</f>
        <v>10051.224343968001</v>
      </c>
      <c r="K7" s="13"/>
      <c r="L7" t="str">
        <f>$A$7</f>
        <v>Bellevue</v>
      </c>
      <c r="M7" s="522">
        <v>4955.2035925760638</v>
      </c>
      <c r="N7" s="522">
        <v>993.10424953912104</v>
      </c>
      <c r="O7" s="522">
        <v>493.9466895235322</v>
      </c>
      <c r="P7" s="522">
        <v>535.468583184826</v>
      </c>
      <c r="Q7" s="522">
        <v>431.60501215389195</v>
      </c>
      <c r="R7" s="522">
        <v>47.040796722782133</v>
      </c>
      <c r="S7" s="522">
        <v>753.61316162233197</v>
      </c>
      <c r="T7" s="473"/>
      <c r="U7" s="13">
        <f>SUM(M7:T7)</f>
        <v>8209.9820853225483</v>
      </c>
    </row>
    <row r="8" spans="1:21" x14ac:dyDescent="0.25">
      <c r="A8" t="s">
        <v>253</v>
      </c>
      <c r="B8" s="13">
        <v>1844.964152923</v>
      </c>
      <c r="C8" s="13">
        <v>4453.4228392198002</v>
      </c>
      <c r="D8" s="13">
        <v>317.95479176499998</v>
      </c>
      <c r="E8" s="13">
        <v>506.93441124740002</v>
      </c>
      <c r="F8" s="13">
        <v>0</v>
      </c>
      <c r="G8" s="13">
        <v>1345.57431748</v>
      </c>
      <c r="H8" s="13">
        <v>0</v>
      </c>
      <c r="I8" s="13"/>
      <c r="J8" s="13">
        <f t="shared" ref="J8:J14" si="0">SUM(B8:I8)</f>
        <v>8468.8505126351993</v>
      </c>
      <c r="K8" s="13"/>
      <c r="L8" t="str">
        <f>$A$8</f>
        <v>Bellevue Downtown</v>
      </c>
      <c r="M8" s="522">
        <v>762.7872941793878</v>
      </c>
      <c r="N8" s="522">
        <v>1987.9299140631101</v>
      </c>
      <c r="O8" s="522">
        <v>186.37517448869258</v>
      </c>
      <c r="P8" s="522">
        <v>74.722151106161846</v>
      </c>
      <c r="Q8" s="522">
        <v>170.22556685127361</v>
      </c>
      <c r="R8" s="522">
        <v>34.50503869212254</v>
      </c>
      <c r="S8" s="522">
        <v>303.49540625595267</v>
      </c>
      <c r="T8" s="473"/>
      <c r="U8" s="13">
        <f t="shared" ref="U8:U14" si="1">SUM(M8:T8)</f>
        <v>3520.0405456367012</v>
      </c>
    </row>
    <row r="9" spans="1:21" x14ac:dyDescent="0.25">
      <c r="A9" t="s">
        <v>254</v>
      </c>
      <c r="B9" s="13">
        <v>0</v>
      </c>
      <c r="C9" s="13">
        <v>0</v>
      </c>
      <c r="D9" s="13">
        <v>5493.2858028157998</v>
      </c>
      <c r="E9" s="13">
        <v>397.3849235138</v>
      </c>
      <c r="F9" s="13">
        <v>0</v>
      </c>
      <c r="G9" s="13">
        <v>0</v>
      </c>
      <c r="H9" s="13">
        <v>1981.0829941171</v>
      </c>
      <c r="I9" s="13"/>
      <c r="J9" s="13">
        <f t="shared" si="0"/>
        <v>7871.7537204466989</v>
      </c>
      <c r="K9" s="14"/>
      <c r="L9" t="str">
        <f>$A$9</f>
        <v>Kirkland</v>
      </c>
      <c r="M9" s="522">
        <v>397.71413963684472</v>
      </c>
      <c r="N9" s="522">
        <v>124.18289182654982</v>
      </c>
      <c r="O9" s="522">
        <v>3861.489822822492</v>
      </c>
      <c r="P9" s="522">
        <v>510.94426512373838</v>
      </c>
      <c r="Q9" s="522">
        <v>364.51599436231174</v>
      </c>
      <c r="R9" s="522">
        <v>13.74926524614254</v>
      </c>
      <c r="S9" s="522">
        <v>683.48426445539087</v>
      </c>
      <c r="T9" s="473"/>
      <c r="U9" s="13">
        <f t="shared" si="1"/>
        <v>5956.0806434734704</v>
      </c>
    </row>
    <row r="10" spans="1:21" x14ac:dyDescent="0.25">
      <c r="A10" t="s">
        <v>255</v>
      </c>
      <c r="B10" s="13">
        <v>1485.5079150782999</v>
      </c>
      <c r="C10" s="13">
        <v>407.74558346399999</v>
      </c>
      <c r="D10" s="13">
        <v>826.28291740940006</v>
      </c>
      <c r="E10" s="13">
        <v>6837.2373192181003</v>
      </c>
      <c r="F10" s="13">
        <v>0</v>
      </c>
      <c r="G10" s="13">
        <v>0</v>
      </c>
      <c r="H10" s="13">
        <v>702.42816547500001</v>
      </c>
      <c r="I10" s="13"/>
      <c r="J10" s="13">
        <f t="shared" si="0"/>
        <v>10259.201900644799</v>
      </c>
      <c r="K10" s="14"/>
      <c r="L10" t="str">
        <f>$A$10</f>
        <v>Redmond</v>
      </c>
      <c r="M10" s="522">
        <v>1926.1758239079431</v>
      </c>
      <c r="N10" s="522">
        <v>113.88173239964107</v>
      </c>
      <c r="O10" s="522">
        <v>934.0443276500398</v>
      </c>
      <c r="P10" s="522">
        <v>4371.1685351881779</v>
      </c>
      <c r="Q10" s="522">
        <v>414.71164087332812</v>
      </c>
      <c r="R10" s="522">
        <v>47.511143682945978</v>
      </c>
      <c r="S10" s="522">
        <v>764.78835067589046</v>
      </c>
      <c r="T10" s="473"/>
      <c r="U10" s="13">
        <f t="shared" si="1"/>
        <v>8572.2815543779652</v>
      </c>
    </row>
    <row r="11" spans="1:21" x14ac:dyDescent="0.25">
      <c r="A11" t="s">
        <v>251</v>
      </c>
      <c r="B11" s="13">
        <v>56.138876090399997</v>
      </c>
      <c r="C11" s="13">
        <v>0</v>
      </c>
      <c r="D11" s="13">
        <v>0</v>
      </c>
      <c r="E11" s="13">
        <v>0</v>
      </c>
      <c r="F11" s="13">
        <v>32735.606989494099</v>
      </c>
      <c r="G11" s="13">
        <v>4162.9400519856999</v>
      </c>
      <c r="H11" s="13">
        <v>1320.4057760047999</v>
      </c>
      <c r="I11" s="13"/>
      <c r="J11" s="13">
        <f t="shared" si="0"/>
        <v>38275.091693574999</v>
      </c>
      <c r="K11" s="14"/>
      <c r="L11" t="str">
        <f>$A$11</f>
        <v>Seattle</v>
      </c>
      <c r="M11" s="522">
        <v>429.27061314137791</v>
      </c>
      <c r="N11" s="522">
        <v>25.47542756736707</v>
      </c>
      <c r="O11" s="522">
        <v>448.18936419931873</v>
      </c>
      <c r="P11" s="522">
        <v>168.3841021794635</v>
      </c>
      <c r="Q11" s="522">
        <v>27566.005391367918</v>
      </c>
      <c r="R11" s="522">
        <v>1431.8523552326392</v>
      </c>
      <c r="S11" s="522">
        <v>2638.4093562502176</v>
      </c>
      <c r="T11" s="473"/>
      <c r="U11" s="13">
        <f t="shared" si="1"/>
        <v>32707.586609938302</v>
      </c>
    </row>
    <row r="12" spans="1:21" x14ac:dyDescent="0.25">
      <c r="A12" t="s">
        <v>256</v>
      </c>
      <c r="B12" s="13">
        <v>161.2664198805</v>
      </c>
      <c r="C12" s="13">
        <v>0</v>
      </c>
      <c r="D12" s="13">
        <v>0</v>
      </c>
      <c r="E12" s="13">
        <v>0</v>
      </c>
      <c r="F12" s="13">
        <v>3259.0409993550002</v>
      </c>
      <c r="G12" s="13">
        <v>27890.462298742899</v>
      </c>
      <c r="H12" s="13">
        <v>198.49729023660001</v>
      </c>
      <c r="I12" s="13"/>
      <c r="J12" s="13">
        <f t="shared" si="0"/>
        <v>31509.267008215</v>
      </c>
      <c r="K12" s="14"/>
      <c r="L12" t="str">
        <f>$A$12</f>
        <v>Seattle Downtown</v>
      </c>
      <c r="M12" s="522">
        <v>410.66128177948838</v>
      </c>
      <c r="N12" s="522">
        <v>53.38393475035231</v>
      </c>
      <c r="O12" s="522">
        <v>211.87098395155024</v>
      </c>
      <c r="P12" s="522">
        <v>175.57584512428113</v>
      </c>
      <c r="Q12" s="522">
        <v>4812.2379140720614</v>
      </c>
      <c r="R12" s="522">
        <v>14749.822642401503</v>
      </c>
      <c r="S12" s="522">
        <v>1628.8947179191809</v>
      </c>
      <c r="T12" s="473"/>
      <c r="U12" s="13">
        <f t="shared" si="1"/>
        <v>22042.44731999842</v>
      </c>
    </row>
    <row r="13" spans="1:21" x14ac:dyDescent="0.25">
      <c r="A13" t="s">
        <v>257</v>
      </c>
      <c r="B13" s="13">
        <v>292.47511488499998</v>
      </c>
      <c r="C13" s="13">
        <v>0</v>
      </c>
      <c r="D13" s="13">
        <v>1499.3695797969999</v>
      </c>
      <c r="E13" s="13">
        <v>496.321471143</v>
      </c>
      <c r="F13" s="13">
        <v>354.42268642929997</v>
      </c>
      <c r="G13" s="13">
        <v>0</v>
      </c>
      <c r="H13" s="13">
        <v>74965.187365685197</v>
      </c>
      <c r="I13" s="13"/>
      <c r="J13" s="13">
        <f t="shared" si="0"/>
        <v>77607.776217939492</v>
      </c>
      <c r="K13" s="14"/>
      <c r="L13" t="str">
        <f>$A$13</f>
        <v>Rest</v>
      </c>
      <c r="M13" s="522">
        <v>1198.5296336887479</v>
      </c>
      <c r="N13" s="522">
        <v>152.35724667813309</v>
      </c>
      <c r="O13" s="522">
        <v>1055.3233442851893</v>
      </c>
      <c r="P13" s="522">
        <v>672.4300666049935</v>
      </c>
      <c r="Q13" s="522">
        <v>3635.4170402224236</v>
      </c>
      <c r="R13" s="522">
        <v>344.03647492738463</v>
      </c>
      <c r="S13" s="522">
        <v>86722.804138490945</v>
      </c>
      <c r="T13" s="473"/>
      <c r="U13" s="13">
        <f t="shared" si="1"/>
        <v>93780.897944897821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11444.262594196098</v>
      </c>
      <c r="C15" s="16">
        <f t="shared" si="2"/>
        <v>5086.9598372544006</v>
      </c>
      <c r="D15" s="16">
        <f t="shared" si="2"/>
        <v>8136.8930917872003</v>
      </c>
      <c r="E15" s="16">
        <f t="shared" si="2"/>
        <v>9530.7460837802992</v>
      </c>
      <c r="F15" s="16">
        <f t="shared" si="2"/>
        <v>36573.272109245896</v>
      </c>
      <c r="G15" s="16">
        <f t="shared" si="2"/>
        <v>33398.976668208597</v>
      </c>
      <c r="H15" s="16">
        <f t="shared" si="2"/>
        <v>79872.055012951692</v>
      </c>
      <c r="I15" s="16">
        <f t="shared" si="2"/>
        <v>0</v>
      </c>
      <c r="J15" s="16">
        <f t="shared" si="2"/>
        <v>184043.16539742419</v>
      </c>
      <c r="K15" s="13"/>
      <c r="L15" s="16" t="s">
        <v>4</v>
      </c>
      <c r="M15" s="16">
        <f t="shared" ref="M15:U15" si="3">SUM(M7:M14)</f>
        <v>10080.342378909852</v>
      </c>
      <c r="N15" s="16">
        <f t="shared" si="3"/>
        <v>3450.3153968242741</v>
      </c>
      <c r="O15" s="16">
        <f t="shared" si="3"/>
        <v>7191.2397069208146</v>
      </c>
      <c r="P15" s="16">
        <f t="shared" si="3"/>
        <v>6508.6935485116428</v>
      </c>
      <c r="Q15" s="16">
        <f t="shared" si="3"/>
        <v>37394.718559903209</v>
      </c>
      <c r="R15" s="16">
        <f t="shared" si="3"/>
        <v>16668.517716905521</v>
      </c>
      <c r="S15" s="16">
        <f t="shared" si="3"/>
        <v>93495.489395669909</v>
      </c>
      <c r="T15" s="16">
        <f t="shared" si="3"/>
        <v>0</v>
      </c>
      <c r="U15" s="16">
        <f t="shared" si="3"/>
        <v>174789.31670364522</v>
      </c>
    </row>
    <row r="18" spans="1:32" ht="15.75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t="shared" ref="B20:G20" si="4">($U7/$J7)*B7</f>
        <v>6210.981238599049</v>
      </c>
      <c r="C20" s="13">
        <f t="shared" si="4"/>
        <v>184.42961824414377</v>
      </c>
      <c r="D20" s="13">
        <f t="shared" si="4"/>
        <v>0</v>
      </c>
      <c r="E20" s="13">
        <f t="shared" si="4"/>
        <v>1056.0328190903135</v>
      </c>
      <c r="F20" s="13">
        <f t="shared" si="4"/>
        <v>183.13089961835811</v>
      </c>
      <c r="G20" s="13">
        <f t="shared" si="4"/>
        <v>0</v>
      </c>
      <c r="H20" s="13">
        <f t="shared" ref="H20" si="5">($U7/$J7)*H7</f>
        <v>575.4075097706841</v>
      </c>
      <c r="I20" s="13"/>
      <c r="J20" s="13">
        <f>SUM(B20:I20)</f>
        <v>8209.9820853225483</v>
      </c>
      <c r="K20" s="13"/>
      <c r="L20" t="str">
        <f>$A$7</f>
        <v>Bellevue</v>
      </c>
      <c r="M20" s="13">
        <f t="shared" ref="M20:M26" si="6">M7</f>
        <v>4955.2035925760638</v>
      </c>
      <c r="N20" s="13">
        <f t="shared" ref="N20:U20" si="7">N7</f>
        <v>993.10424953912104</v>
      </c>
      <c r="O20" s="13">
        <f t="shared" si="7"/>
        <v>493.9466895235322</v>
      </c>
      <c r="P20" s="13">
        <f t="shared" si="7"/>
        <v>535.468583184826</v>
      </c>
      <c r="Q20" s="13">
        <f t="shared" si="7"/>
        <v>431.60501215389195</v>
      </c>
      <c r="R20" s="13">
        <f t="shared" si="7"/>
        <v>47.040796722782133</v>
      </c>
      <c r="S20" s="13">
        <f t="shared" ref="S20" si="8">S7</f>
        <v>753.61316162233197</v>
      </c>
      <c r="T20" s="13"/>
      <c r="U20" s="13">
        <f t="shared" si="7"/>
        <v>8209.9820853225483</v>
      </c>
    </row>
    <row r="21" spans="1:32" x14ac:dyDescent="0.25">
      <c r="A21" t="str">
        <f>$A$8</f>
        <v>Bellevue Downtown</v>
      </c>
      <c r="B21" s="13">
        <f t="shared" ref="B21:G26" si="9">($U8/$J8)*B8</f>
        <v>766.85125258096275</v>
      </c>
      <c r="C21" s="13">
        <f t="shared" si="9"/>
        <v>1851.0456569672451</v>
      </c>
      <c r="D21" s="13">
        <f t="shared" si="9"/>
        <v>132.15651368771364</v>
      </c>
      <c r="E21" s="13">
        <f t="shared" si="9"/>
        <v>210.70506309055963</v>
      </c>
      <c r="F21" s="13">
        <f t="shared" si="9"/>
        <v>0</v>
      </c>
      <c r="G21" s="13">
        <f t="shared" si="9"/>
        <v>559.28205931022057</v>
      </c>
      <c r="H21" s="13">
        <f t="shared" ref="H21" si="10">($U8/$J8)*H8</f>
        <v>0</v>
      </c>
      <c r="I21" s="13"/>
      <c r="J21" s="13">
        <f t="shared" ref="J21:J27" si="11">SUM(B21:I21)</f>
        <v>3520.0405456367016</v>
      </c>
      <c r="K21" s="13"/>
      <c r="L21" t="str">
        <f>$A$8</f>
        <v>Bellevue Downtown</v>
      </c>
      <c r="M21" s="13">
        <f t="shared" si="6"/>
        <v>762.7872941793878</v>
      </c>
      <c r="N21" s="13">
        <f t="shared" ref="N21:R26" si="12">N8</f>
        <v>1987.9299140631101</v>
      </c>
      <c r="O21" s="13">
        <f t="shared" si="12"/>
        <v>186.37517448869258</v>
      </c>
      <c r="P21" s="13">
        <f t="shared" si="12"/>
        <v>74.722151106161846</v>
      </c>
      <c r="Q21" s="13">
        <f t="shared" si="12"/>
        <v>170.22556685127361</v>
      </c>
      <c r="R21" s="13">
        <f t="shared" si="12"/>
        <v>34.50503869212254</v>
      </c>
      <c r="S21" s="13">
        <f t="shared" ref="S21" si="13">S8</f>
        <v>303.49540625595267</v>
      </c>
      <c r="T21" s="13"/>
      <c r="U21" s="13">
        <f t="shared" ref="U21:U26" si="14">U8</f>
        <v>3520.0405456367012</v>
      </c>
    </row>
    <row r="22" spans="1:32" x14ac:dyDescent="0.25">
      <c r="A22" t="str">
        <f>$A$9</f>
        <v>Kirkland</v>
      </c>
      <c r="B22" s="13">
        <f t="shared" si="9"/>
        <v>0</v>
      </c>
      <c r="C22" s="13">
        <f t="shared" si="9"/>
        <v>0</v>
      </c>
      <c r="D22" s="13">
        <f t="shared" si="9"/>
        <v>4156.437612400573</v>
      </c>
      <c r="E22" s="13">
        <f t="shared" si="9"/>
        <v>300.67717245788242</v>
      </c>
      <c r="F22" s="13">
        <f t="shared" si="9"/>
        <v>0</v>
      </c>
      <c r="G22" s="13">
        <f t="shared" si="9"/>
        <v>0</v>
      </c>
      <c r="H22" s="13">
        <f t="shared" ref="H22" si="15">($U9/$J9)*H9</f>
        <v>1498.9658586150151</v>
      </c>
      <c r="I22" s="13"/>
      <c r="J22" s="13">
        <f t="shared" si="11"/>
        <v>5956.0806434734704</v>
      </c>
      <c r="K22" s="14"/>
      <c r="L22" t="str">
        <f>$A$9</f>
        <v>Kirkland</v>
      </c>
      <c r="M22" s="13">
        <f t="shared" si="6"/>
        <v>397.71413963684472</v>
      </c>
      <c r="N22" s="13">
        <f t="shared" si="12"/>
        <v>124.18289182654982</v>
      </c>
      <c r="O22" s="13">
        <f t="shared" si="12"/>
        <v>3861.489822822492</v>
      </c>
      <c r="P22" s="13">
        <f t="shared" si="12"/>
        <v>510.94426512373838</v>
      </c>
      <c r="Q22" s="13">
        <f t="shared" si="12"/>
        <v>364.51599436231174</v>
      </c>
      <c r="R22" s="13">
        <f t="shared" si="12"/>
        <v>13.74926524614254</v>
      </c>
      <c r="S22" s="13">
        <f t="shared" ref="S22" si="16">S9</f>
        <v>683.48426445539087</v>
      </c>
      <c r="T22" s="13"/>
      <c r="U22" s="13">
        <f t="shared" si="14"/>
        <v>5956.0806434734704</v>
      </c>
    </row>
    <row r="23" spans="1:32" x14ac:dyDescent="0.25">
      <c r="A23" t="str">
        <f>$A$10</f>
        <v>Redmond</v>
      </c>
      <c r="B23" s="13">
        <f t="shared" si="9"/>
        <v>1241.2458807841401</v>
      </c>
      <c r="C23" s="13">
        <f t="shared" si="9"/>
        <v>340.69998600844821</v>
      </c>
      <c r="D23" s="13">
        <f t="shared" si="9"/>
        <v>690.4172352004332</v>
      </c>
      <c r="E23" s="13">
        <f t="shared" si="9"/>
        <v>5712.9905349415376</v>
      </c>
      <c r="F23" s="13">
        <f t="shared" si="9"/>
        <v>0</v>
      </c>
      <c r="G23" s="13">
        <f t="shared" si="9"/>
        <v>0</v>
      </c>
      <c r="H23" s="13">
        <f t="shared" ref="H23" si="17">($U10/$J10)*H10</f>
        <v>586.92791744340707</v>
      </c>
      <c r="I23" s="13"/>
      <c r="J23" s="13">
        <f>SUM(B23:I23)</f>
        <v>8572.281554377967</v>
      </c>
      <c r="K23" s="14"/>
      <c r="L23" t="str">
        <f>$A$10</f>
        <v>Redmond</v>
      </c>
      <c r="M23" s="13">
        <f t="shared" si="6"/>
        <v>1926.1758239079431</v>
      </c>
      <c r="N23" s="13">
        <f t="shared" si="12"/>
        <v>113.88173239964107</v>
      </c>
      <c r="O23" s="13">
        <f t="shared" si="12"/>
        <v>934.0443276500398</v>
      </c>
      <c r="P23" s="13">
        <f t="shared" si="12"/>
        <v>4371.1685351881779</v>
      </c>
      <c r="Q23" s="13">
        <f t="shared" si="12"/>
        <v>414.71164087332812</v>
      </c>
      <c r="R23" s="13">
        <f t="shared" si="12"/>
        <v>47.511143682945978</v>
      </c>
      <c r="S23" s="13">
        <f t="shared" ref="S23" si="18">S10</f>
        <v>764.78835067589046</v>
      </c>
      <c r="T23" s="13"/>
      <c r="U23" s="13">
        <f t="shared" si="14"/>
        <v>8572.2815543779652</v>
      </c>
    </row>
    <row r="24" spans="1:32" x14ac:dyDescent="0.25">
      <c r="A24" t="str">
        <f>$A$11</f>
        <v>Seattle</v>
      </c>
      <c r="B24" s="13">
        <f t="shared" si="9"/>
        <v>47.972900146430696</v>
      </c>
      <c r="C24" s="13">
        <f t="shared" si="9"/>
        <v>0</v>
      </c>
      <c r="D24" s="13">
        <f t="shared" si="9"/>
        <v>0</v>
      </c>
      <c r="E24" s="13">
        <f t="shared" si="9"/>
        <v>0</v>
      </c>
      <c r="F24" s="13">
        <f t="shared" si="9"/>
        <v>27973.876833782007</v>
      </c>
      <c r="G24" s="13">
        <f t="shared" si="9"/>
        <v>3557.3976776431764</v>
      </c>
      <c r="H24" s="13">
        <f t="shared" ref="H24" si="19">($U11/$J11)*H11</f>
        <v>1128.3391983666852</v>
      </c>
      <c r="I24" s="13"/>
      <c r="J24" s="13">
        <f t="shared" si="11"/>
        <v>32707.586609938298</v>
      </c>
      <c r="K24" s="14"/>
      <c r="L24" t="str">
        <f>$A$11</f>
        <v>Seattle</v>
      </c>
      <c r="M24" s="13">
        <f t="shared" si="6"/>
        <v>429.27061314137791</v>
      </c>
      <c r="N24" s="13">
        <f t="shared" si="12"/>
        <v>25.47542756736707</v>
      </c>
      <c r="O24" s="13">
        <f t="shared" si="12"/>
        <v>448.18936419931873</v>
      </c>
      <c r="P24" s="13">
        <f t="shared" si="12"/>
        <v>168.3841021794635</v>
      </c>
      <c r="Q24" s="13">
        <f t="shared" si="12"/>
        <v>27566.005391367918</v>
      </c>
      <c r="R24" s="13">
        <f t="shared" si="12"/>
        <v>1431.8523552326392</v>
      </c>
      <c r="S24" s="13">
        <f t="shared" ref="S24" si="20">S11</f>
        <v>2638.4093562502176</v>
      </c>
      <c r="T24" s="13"/>
      <c r="U24" s="13">
        <f t="shared" si="14"/>
        <v>32707.586609938302</v>
      </c>
    </row>
    <row r="25" spans="1:32" x14ac:dyDescent="0.25">
      <c r="A25" t="str">
        <f>$A$12</f>
        <v>Seattle Downtown</v>
      </c>
      <c r="B25" s="13">
        <f t="shared" si="9"/>
        <v>112.81463842919274</v>
      </c>
      <c r="C25" s="13">
        <f t="shared" si="9"/>
        <v>0</v>
      </c>
      <c r="D25" s="13">
        <f t="shared" si="9"/>
        <v>0</v>
      </c>
      <c r="E25" s="13">
        <f t="shared" si="9"/>
        <v>0</v>
      </c>
      <c r="F25" s="13">
        <f t="shared" si="9"/>
        <v>2279.876568479629</v>
      </c>
      <c r="G25" s="13">
        <f t="shared" si="9"/>
        <v>19510.896454371992</v>
      </c>
      <c r="H25" s="13">
        <f t="shared" ref="H25" si="21">($U12/$J12)*H12</f>
        <v>138.85965871760712</v>
      </c>
      <c r="I25" s="13"/>
      <c r="J25" s="13">
        <f t="shared" si="11"/>
        <v>22042.44731999842</v>
      </c>
      <c r="K25" s="14"/>
      <c r="L25" t="str">
        <f>$A$12</f>
        <v>Seattle Downtown</v>
      </c>
      <c r="M25" s="13">
        <f t="shared" si="6"/>
        <v>410.66128177948838</v>
      </c>
      <c r="N25" s="13">
        <f t="shared" si="12"/>
        <v>53.38393475035231</v>
      </c>
      <c r="O25" s="13">
        <f t="shared" si="12"/>
        <v>211.87098395155024</v>
      </c>
      <c r="P25" s="13">
        <f t="shared" si="12"/>
        <v>175.57584512428113</v>
      </c>
      <c r="Q25" s="13">
        <f t="shared" si="12"/>
        <v>4812.2379140720614</v>
      </c>
      <c r="R25" s="13">
        <f t="shared" si="12"/>
        <v>14749.822642401503</v>
      </c>
      <c r="S25" s="13">
        <f t="shared" ref="S25:S26" si="22">S12</f>
        <v>1628.8947179191809</v>
      </c>
      <c r="T25" s="13"/>
      <c r="U25" s="13">
        <f t="shared" si="14"/>
        <v>22042.44731999842</v>
      </c>
    </row>
    <row r="26" spans="1:32" x14ac:dyDescent="0.25">
      <c r="A26" t="str">
        <f>$A$13</f>
        <v>Rest</v>
      </c>
      <c r="B26" s="13">
        <f t="shared" si="9"/>
        <v>353.42565187574814</v>
      </c>
      <c r="C26" s="13">
        <f t="shared" si="9"/>
        <v>0</v>
      </c>
      <c r="D26" s="13">
        <f t="shared" si="9"/>
        <v>1811.8316539538141</v>
      </c>
      <c r="E26" s="13">
        <f t="shared" si="9"/>
        <v>599.75269878128495</v>
      </c>
      <c r="F26" s="13">
        <f t="shared" si="9"/>
        <v>428.28282686573783</v>
      </c>
      <c r="G26" s="13">
        <f t="shared" si="9"/>
        <v>0</v>
      </c>
      <c r="H26" s="13">
        <f t="shared" ref="H26" si="23">($U13/$J13)*H13</f>
        <v>90587.605113421247</v>
      </c>
      <c r="I26" s="13"/>
      <c r="J26" s="13">
        <f t="shared" si="11"/>
        <v>93780.897944897835</v>
      </c>
      <c r="K26" s="14"/>
      <c r="L26" t="str">
        <f>$A$13</f>
        <v>Rest</v>
      </c>
      <c r="M26" s="13">
        <f t="shared" si="6"/>
        <v>1198.5296336887479</v>
      </c>
      <c r="N26" s="13">
        <f t="shared" si="12"/>
        <v>152.35724667813309</v>
      </c>
      <c r="O26" s="13">
        <f t="shared" si="12"/>
        <v>1055.3233442851893</v>
      </c>
      <c r="P26" s="13">
        <f t="shared" si="12"/>
        <v>672.4300666049935</v>
      </c>
      <c r="Q26" s="13">
        <f t="shared" si="12"/>
        <v>3635.4170402224236</v>
      </c>
      <c r="R26" s="13">
        <f t="shared" si="12"/>
        <v>344.03647492738463</v>
      </c>
      <c r="S26" s="13">
        <f t="shared" si="22"/>
        <v>86722.804138490945</v>
      </c>
      <c r="T26" s="13"/>
      <c r="U26" s="13">
        <f t="shared" si="14"/>
        <v>93780.897944897821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t="shared" si="11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5.75" thickBot="1" x14ac:dyDescent="0.3">
      <c r="A28" s="1" t="s">
        <v>4</v>
      </c>
      <c r="B28" s="16">
        <f t="shared" ref="B28:J28" si="24">SUM(B20:B27)</f>
        <v>8733.291562415523</v>
      </c>
      <c r="C28" s="16">
        <f t="shared" si="24"/>
        <v>2376.175261219837</v>
      </c>
      <c r="D28" s="16">
        <f t="shared" si="24"/>
        <v>6790.8430152425335</v>
      </c>
      <c r="E28" s="16">
        <f t="shared" si="24"/>
        <v>7880.1582883615783</v>
      </c>
      <c r="F28" s="16">
        <f t="shared" si="24"/>
        <v>30865.167128745736</v>
      </c>
      <c r="G28" s="16">
        <f t="shared" si="24"/>
        <v>23627.576191325388</v>
      </c>
      <c r="H28" s="16">
        <f t="shared" si="24"/>
        <v>94516.105256334646</v>
      </c>
      <c r="I28" s="16">
        <f t="shared" si="24"/>
        <v>0</v>
      </c>
      <c r="J28" s="16">
        <f t="shared" si="24"/>
        <v>174789.31670364522</v>
      </c>
      <c r="K28" s="13"/>
      <c r="L28" s="16" t="s">
        <v>4</v>
      </c>
      <c r="M28" s="16">
        <f t="shared" ref="M28:U28" si="25">M15</f>
        <v>10080.342378909852</v>
      </c>
      <c r="N28" s="16">
        <f t="shared" si="25"/>
        <v>3450.3153968242741</v>
      </c>
      <c r="O28" s="16">
        <f t="shared" si="25"/>
        <v>7191.2397069208146</v>
      </c>
      <c r="P28" s="16">
        <f t="shared" si="25"/>
        <v>6508.6935485116428</v>
      </c>
      <c r="Q28" s="16">
        <f t="shared" si="25"/>
        <v>37394.718559903209</v>
      </c>
      <c r="R28" s="16">
        <f t="shared" si="25"/>
        <v>16668.517716905521</v>
      </c>
      <c r="S28" s="16">
        <f t="shared" si="25"/>
        <v>93495.489395669909</v>
      </c>
      <c r="T28" s="16"/>
      <c r="U28" s="16">
        <f t="shared" si="25"/>
        <v>174789.31670364522</v>
      </c>
    </row>
    <row r="31" spans="1:32" ht="15.75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t="shared" ref="B33:G33" si="26">B20/$J$28</f>
        <v>3.553410102935381E-2</v>
      </c>
      <c r="C33" s="17">
        <f t="shared" si="26"/>
        <v>1.055153837330022E-3</v>
      </c>
      <c r="D33" s="17">
        <f t="shared" si="26"/>
        <v>0</v>
      </c>
      <c r="E33" s="17">
        <f t="shared" si="26"/>
        <v>6.0417469385775678E-3</v>
      </c>
      <c r="F33" s="17">
        <f t="shared" si="26"/>
        <v>1.0477236427948054E-3</v>
      </c>
      <c r="G33" s="17">
        <f t="shared" si="26"/>
        <v>0</v>
      </c>
      <c r="H33" s="17">
        <f t="shared" ref="H33" si="27">H20/$J$28</f>
        <v>3.2920061741890431E-3</v>
      </c>
      <c r="I33" s="13"/>
      <c r="J33" s="17">
        <f t="shared" ref="J33:J39" si="28">J20/$J$28</f>
        <v>4.697073162224525E-2</v>
      </c>
      <c r="K33" s="13"/>
      <c r="L33" t="str">
        <f>$A$7</f>
        <v>Bellevue</v>
      </c>
      <c r="M33" s="17">
        <f t="shared" ref="M33:R33" si="29">M20/$U$28</f>
        <v>2.8349579287946968E-2</v>
      </c>
      <c r="N33" s="17">
        <f t="shared" si="29"/>
        <v>5.6817216765194314E-3</v>
      </c>
      <c r="O33" s="17">
        <f t="shared" si="29"/>
        <v>2.8259546912756538E-3</v>
      </c>
      <c r="P33" s="17">
        <f t="shared" si="29"/>
        <v>3.0635086473431981E-3</v>
      </c>
      <c r="Q33" s="17">
        <f t="shared" si="29"/>
        <v>2.4692871411911119E-3</v>
      </c>
      <c r="R33" s="17">
        <f t="shared" si="29"/>
        <v>2.691285577970401E-4</v>
      </c>
      <c r="S33" s="17">
        <f t="shared" ref="S33" si="30">S20/$U$28</f>
        <v>4.311551620171849E-3</v>
      </c>
      <c r="T33" s="17"/>
      <c r="U33" s="17">
        <f t="shared" ref="U33:U39" si="31">U20/$U$28</f>
        <v>4.697073162224525E-2</v>
      </c>
      <c r="W33" t="str">
        <f>$A$7</f>
        <v>Bellevue</v>
      </c>
      <c r="X33" s="17">
        <f t="shared" ref="X33:AD33" si="32">M33-B33</f>
        <v>-7.1845217414068414E-3</v>
      </c>
      <c r="Y33" s="17">
        <f t="shared" si="32"/>
        <v>4.6265678391894096E-3</v>
      </c>
      <c r="Z33" s="17">
        <f t="shared" si="32"/>
        <v>2.8259546912756538E-3</v>
      </c>
      <c r="AA33" s="17">
        <f t="shared" si="32"/>
        <v>-2.9782382912343698E-3</v>
      </c>
      <c r="AB33" s="17">
        <f t="shared" si="32"/>
        <v>1.4215634983963065E-3</v>
      </c>
      <c r="AC33" s="17">
        <f t="shared" si="32"/>
        <v>2.691285577970401E-4</v>
      </c>
      <c r="AD33" s="17">
        <f t="shared" si="32"/>
        <v>1.019545445982806E-3</v>
      </c>
      <c r="AE33" s="17"/>
      <c r="AF33" s="17">
        <f t="shared" ref="AF33:AF39" si="33">U33-J33</f>
        <v>0</v>
      </c>
    </row>
    <row r="34" spans="1:32" x14ac:dyDescent="0.25">
      <c r="A34" t="str">
        <f>$A$8</f>
        <v>Bellevue Downtown</v>
      </c>
      <c r="B34" s="17">
        <f t="shared" ref="B34:G39" si="34">B21/$J$28</f>
        <v>4.3872890348393362E-3</v>
      </c>
      <c r="C34" s="17">
        <f t="shared" si="34"/>
        <v>1.0590153287833304E-2</v>
      </c>
      <c r="D34" s="17">
        <f t="shared" si="34"/>
        <v>7.560903388150697E-4</v>
      </c>
      <c r="E34" s="17">
        <f t="shared" si="34"/>
        <v>1.2054802150626258E-3</v>
      </c>
      <c r="F34" s="17">
        <f t="shared" si="34"/>
        <v>0</v>
      </c>
      <c r="G34" s="17">
        <f t="shared" si="34"/>
        <v>3.199749674967159E-3</v>
      </c>
      <c r="H34" s="17">
        <f t="shared" ref="H34" si="35">H21/$J$28</f>
        <v>0</v>
      </c>
      <c r="I34" s="13"/>
      <c r="J34" s="17">
        <f t="shared" si="28"/>
        <v>2.0138762551517496E-2</v>
      </c>
      <c r="K34" s="13"/>
      <c r="L34" t="str">
        <f>$A$8</f>
        <v>Bellevue Downtown</v>
      </c>
      <c r="M34" s="17">
        <f t="shared" ref="M34:R39" si="36">M21/$U$28</f>
        <v>4.3640384238854335E-3</v>
      </c>
      <c r="N34" s="17">
        <f t="shared" si="36"/>
        <v>1.1373291866765745E-2</v>
      </c>
      <c r="O34" s="17">
        <f t="shared" si="36"/>
        <v>1.0662847020833151E-3</v>
      </c>
      <c r="P34" s="17">
        <f t="shared" si="36"/>
        <v>4.2749838786115878E-4</v>
      </c>
      <c r="Q34" s="17">
        <f t="shared" si="36"/>
        <v>9.7388999546173965E-4</v>
      </c>
      <c r="R34" s="17">
        <f t="shared" si="36"/>
        <v>1.9740931163788307E-4</v>
      </c>
      <c r="S34" s="17">
        <f t="shared" ref="S34" si="37">S21/$U$28</f>
        <v>1.7363498638222165E-3</v>
      </c>
      <c r="T34" s="17"/>
      <c r="U34" s="17">
        <f t="shared" si="31"/>
        <v>2.0138762551517492E-2</v>
      </c>
      <c r="W34" t="str">
        <f>$A$8</f>
        <v>Bellevue Downtown</v>
      </c>
      <c r="X34" s="17">
        <f t="shared" ref="X34:X38" si="38">M34-B34</f>
        <v>-2.3250610953902753E-5</v>
      </c>
      <c r="Y34" s="17">
        <f t="shared" ref="Y34:AD38" si="39">N34-C34</f>
        <v>7.8313857893244111E-4</v>
      </c>
      <c r="Z34" s="17">
        <f t="shared" si="39"/>
        <v>3.1019436326824542E-4</v>
      </c>
      <c r="AA34" s="17">
        <f t="shared" si="39"/>
        <v>-7.7798182720146701E-4</v>
      </c>
      <c r="AB34" s="17">
        <f t="shared" si="39"/>
        <v>9.7388999546173965E-4</v>
      </c>
      <c r="AC34" s="17">
        <f t="shared" si="39"/>
        <v>-3.002340363329276E-3</v>
      </c>
      <c r="AD34" s="17">
        <f t="shared" si="39"/>
        <v>1.7363498638222165E-3</v>
      </c>
      <c r="AE34" s="17"/>
      <c r="AF34" s="17">
        <f t="shared" si="33"/>
        <v>0</v>
      </c>
    </row>
    <row r="35" spans="1:32" x14ac:dyDescent="0.25">
      <c r="A35" t="str">
        <f>$A$9</f>
        <v>Kirkland</v>
      </c>
      <c r="B35" s="17">
        <f t="shared" si="34"/>
        <v>0</v>
      </c>
      <c r="C35" s="17">
        <f t="shared" si="34"/>
        <v>0</v>
      </c>
      <c r="D35" s="17">
        <f t="shared" si="34"/>
        <v>2.3779700560577172E-2</v>
      </c>
      <c r="E35" s="17">
        <f t="shared" si="34"/>
        <v>1.7202262594096622E-3</v>
      </c>
      <c r="F35" s="17">
        <f t="shared" si="34"/>
        <v>0</v>
      </c>
      <c r="G35" s="17">
        <f t="shared" si="34"/>
        <v>0</v>
      </c>
      <c r="H35" s="17">
        <f t="shared" ref="H35" si="40">H22/$J$28</f>
        <v>8.575843689328606E-3</v>
      </c>
      <c r="I35" s="13"/>
      <c r="J35" s="17">
        <f t="shared" si="28"/>
        <v>3.4075770509315442E-2</v>
      </c>
      <c r="K35" s="14"/>
      <c r="L35" t="str">
        <f>$A$9</f>
        <v>Kirkland</v>
      </c>
      <c r="M35" s="17">
        <f t="shared" si="36"/>
        <v>2.2753915807747441E-3</v>
      </c>
      <c r="N35" s="17">
        <f t="shared" si="36"/>
        <v>7.1047186503452931E-4</v>
      </c>
      <c r="O35" s="17">
        <f t="shared" si="36"/>
        <v>2.2092253094447626E-2</v>
      </c>
      <c r="P35" s="17">
        <f t="shared" si="36"/>
        <v>2.9232007697017484E-3</v>
      </c>
      <c r="Q35" s="17">
        <f t="shared" si="36"/>
        <v>2.0854592330739959E-3</v>
      </c>
      <c r="R35" s="17">
        <f t="shared" si="36"/>
        <v>7.8661931435171055E-5</v>
      </c>
      <c r="S35" s="17">
        <f t="shared" ref="S35" si="41">S22/$U$28</f>
        <v>3.9103320348476247E-3</v>
      </c>
      <c r="T35" s="17"/>
      <c r="U35" s="17">
        <f t="shared" si="31"/>
        <v>3.4075770509315442E-2</v>
      </c>
      <c r="W35" t="str">
        <f>$A$9</f>
        <v>Kirkland</v>
      </c>
      <c r="X35" s="17">
        <f t="shared" si="38"/>
        <v>2.2753915807747441E-3</v>
      </c>
      <c r="Y35" s="17">
        <f t="shared" si="39"/>
        <v>7.1047186503452931E-4</v>
      </c>
      <c r="Z35" s="17">
        <f t="shared" si="39"/>
        <v>-1.6874474661295463E-3</v>
      </c>
      <c r="AA35" s="17">
        <f t="shared" si="39"/>
        <v>1.2029745102920862E-3</v>
      </c>
      <c r="AB35" s="17">
        <f t="shared" si="39"/>
        <v>2.0854592330739959E-3</v>
      </c>
      <c r="AC35" s="17">
        <f t="shared" si="39"/>
        <v>7.8661931435171055E-5</v>
      </c>
      <c r="AD35" s="17">
        <f t="shared" si="39"/>
        <v>-4.6655116544809814E-3</v>
      </c>
      <c r="AE35" s="17"/>
      <c r="AF35" s="17">
        <f t="shared" si="33"/>
        <v>0</v>
      </c>
    </row>
    <row r="36" spans="1:32" x14ac:dyDescent="0.25">
      <c r="A36" t="str">
        <f>$A$10</f>
        <v>Redmond</v>
      </c>
      <c r="B36" s="17">
        <f t="shared" si="34"/>
        <v>7.1013829917801492E-3</v>
      </c>
      <c r="C36" s="17">
        <f t="shared" si="34"/>
        <v>1.949203718131721E-3</v>
      </c>
      <c r="D36" s="17">
        <f t="shared" si="34"/>
        <v>3.9499967630803982E-3</v>
      </c>
      <c r="E36" s="17">
        <f t="shared" si="34"/>
        <v>3.2685009831738721E-2</v>
      </c>
      <c r="F36" s="17">
        <f t="shared" si="34"/>
        <v>0</v>
      </c>
      <c r="G36" s="17">
        <f t="shared" si="34"/>
        <v>0</v>
      </c>
      <c r="H36" s="17">
        <f t="shared" ref="H36" si="42">H23/$J$28</f>
        <v>3.3579164248267054E-3</v>
      </c>
      <c r="I36" s="13"/>
      <c r="J36" s="17">
        <f t="shared" si="28"/>
        <v>4.9043509729557705E-2</v>
      </c>
      <c r="K36" s="14"/>
      <c r="L36" t="str">
        <f>$A$10</f>
        <v>Redmond</v>
      </c>
      <c r="M36" s="17">
        <f t="shared" si="36"/>
        <v>1.1019986005058699E-2</v>
      </c>
      <c r="N36" s="17">
        <f t="shared" si="36"/>
        <v>6.5153714510325146E-4</v>
      </c>
      <c r="O36" s="17">
        <f t="shared" si="36"/>
        <v>5.3438296187959203E-3</v>
      </c>
      <c r="P36" s="17">
        <f t="shared" si="36"/>
        <v>2.5008213417296445E-2</v>
      </c>
      <c r="Q36" s="17">
        <f t="shared" si="36"/>
        <v>2.3726372337530819E-3</v>
      </c>
      <c r="R36" s="17">
        <f t="shared" si="36"/>
        <v>2.7181949434301517E-4</v>
      </c>
      <c r="S36" s="17">
        <f t="shared" ref="S36" si="43">S23/$U$28</f>
        <v>4.3754868152072867E-3</v>
      </c>
      <c r="T36" s="17"/>
      <c r="U36" s="17">
        <f t="shared" si="31"/>
        <v>4.9043509729557691E-2</v>
      </c>
      <c r="W36" t="str">
        <f>$A$10</f>
        <v>Redmond</v>
      </c>
      <c r="X36" s="17">
        <f t="shared" si="38"/>
        <v>3.9186030132785498E-3</v>
      </c>
      <c r="Y36" s="17">
        <f t="shared" si="39"/>
        <v>-1.2976665730284696E-3</v>
      </c>
      <c r="Z36" s="17">
        <f t="shared" si="39"/>
        <v>1.3938328557155221E-3</v>
      </c>
      <c r="AA36" s="17">
        <f t="shared" si="39"/>
        <v>-7.6767964144422753E-3</v>
      </c>
      <c r="AB36" s="17">
        <f t="shared" si="39"/>
        <v>2.3726372337530819E-3</v>
      </c>
      <c r="AC36" s="17">
        <f t="shared" si="39"/>
        <v>2.7181949434301517E-4</v>
      </c>
      <c r="AD36" s="17">
        <f t="shared" si="39"/>
        <v>1.0175703903805814E-3</v>
      </c>
      <c r="AE36" s="17"/>
      <c r="AF36" s="17">
        <f t="shared" si="33"/>
        <v>0</v>
      </c>
    </row>
    <row r="37" spans="1:32" x14ac:dyDescent="0.25">
      <c r="A37" t="str">
        <f>$A$11</f>
        <v>Seattle</v>
      </c>
      <c r="B37" s="17">
        <f t="shared" si="34"/>
        <v>2.7446128316737235E-4</v>
      </c>
      <c r="C37" s="17">
        <f t="shared" si="34"/>
        <v>0</v>
      </c>
      <c r="D37" s="17">
        <f t="shared" si="34"/>
        <v>0</v>
      </c>
      <c r="E37" s="17">
        <f t="shared" si="34"/>
        <v>0</v>
      </c>
      <c r="F37" s="17">
        <f t="shared" si="34"/>
        <v>0.16004340174412165</v>
      </c>
      <c r="G37" s="17">
        <f t="shared" si="34"/>
        <v>2.0352489183733887E-2</v>
      </c>
      <c r="H37" s="17">
        <f t="shared" ref="H37" si="44">H24/$J$28</f>
        <v>6.4554242767581784E-3</v>
      </c>
      <c r="I37" s="13"/>
      <c r="J37" s="17">
        <f t="shared" si="28"/>
        <v>0.18712577648778109</v>
      </c>
      <c r="K37" s="14"/>
      <c r="L37" t="str">
        <f>$A$11</f>
        <v>Seattle</v>
      </c>
      <c r="M37" s="17">
        <f t="shared" si="36"/>
        <v>2.4559316395132147E-3</v>
      </c>
      <c r="N37" s="17">
        <f t="shared" si="36"/>
        <v>1.457493401073281E-4</v>
      </c>
      <c r="O37" s="17">
        <f t="shared" si="36"/>
        <v>2.5641690959821218E-3</v>
      </c>
      <c r="P37" s="17">
        <f t="shared" si="36"/>
        <v>9.6335465665191799E-4</v>
      </c>
      <c r="Q37" s="17">
        <f t="shared" si="36"/>
        <v>0.15770989847226191</v>
      </c>
      <c r="R37" s="17">
        <f t="shared" si="36"/>
        <v>8.1918756948992522E-3</v>
      </c>
      <c r="S37" s="17">
        <f t="shared" ref="S37" si="45">S24/$U$28</f>
        <v>1.5094797588365386E-2</v>
      </c>
      <c r="T37" s="17"/>
      <c r="U37" s="17">
        <f t="shared" si="31"/>
        <v>0.18712577648778111</v>
      </c>
      <c r="W37" t="str">
        <f>$A$11</f>
        <v>Seattle</v>
      </c>
      <c r="X37" s="17">
        <f t="shared" si="38"/>
        <v>2.1814703563458422E-3</v>
      </c>
      <c r="Y37" s="17">
        <f t="shared" si="39"/>
        <v>1.457493401073281E-4</v>
      </c>
      <c r="Z37" s="17">
        <f t="shared" si="39"/>
        <v>2.5641690959821218E-3</v>
      </c>
      <c r="AA37" s="17">
        <f t="shared" si="39"/>
        <v>9.6335465665191799E-4</v>
      </c>
      <c r="AB37" s="17">
        <f t="shared" si="39"/>
        <v>-2.3335032718597437E-3</v>
      </c>
      <c r="AC37" s="17">
        <f t="shared" si="39"/>
        <v>-1.2160613488834635E-2</v>
      </c>
      <c r="AD37" s="17">
        <f t="shared" si="39"/>
        <v>8.6393733116072076E-3</v>
      </c>
      <c r="AE37" s="17"/>
      <c r="AF37" s="17">
        <f t="shared" si="33"/>
        <v>0</v>
      </c>
    </row>
    <row r="38" spans="1:32" x14ac:dyDescent="0.25">
      <c r="A38" t="str">
        <f>$A$12</f>
        <v>Seattle Downtown</v>
      </c>
      <c r="B38" s="17">
        <f t="shared" si="34"/>
        <v>6.4543211539907575E-4</v>
      </c>
      <c r="C38" s="17">
        <f t="shared" si="34"/>
        <v>0</v>
      </c>
      <c r="D38" s="17">
        <f t="shared" si="34"/>
        <v>0</v>
      </c>
      <c r="E38" s="17">
        <f t="shared" si="34"/>
        <v>0</v>
      </c>
      <c r="F38" s="17">
        <f t="shared" si="34"/>
        <v>1.3043569318055937E-2</v>
      </c>
      <c r="G38" s="17">
        <f t="shared" si="34"/>
        <v>0.11162522299605221</v>
      </c>
      <c r="H38" s="17">
        <f t="shared" ref="H38:H39" si="46">H25/$J$28</f>
        <v>7.9444019426566713E-4</v>
      </c>
      <c r="I38" s="13"/>
      <c r="J38" s="17">
        <f t="shared" si="28"/>
        <v>0.1261086646237729</v>
      </c>
      <c r="K38" s="14"/>
      <c r="L38" t="str">
        <f>$A$12</f>
        <v>Seattle Downtown</v>
      </c>
      <c r="M38" s="17">
        <f t="shared" si="36"/>
        <v>2.3494644267976822E-3</v>
      </c>
      <c r="N38" s="17">
        <f t="shared" si="36"/>
        <v>3.0541875074015316E-4</v>
      </c>
      <c r="O38" s="17">
        <f t="shared" si="36"/>
        <v>1.21215065055021E-3</v>
      </c>
      <c r="P38" s="17">
        <f t="shared" si="36"/>
        <v>1.0044998655265038E-3</v>
      </c>
      <c r="Q38" s="17">
        <f t="shared" si="36"/>
        <v>2.7531647842248829E-2</v>
      </c>
      <c r="R38" s="17">
        <f t="shared" si="36"/>
        <v>8.4386293856905367E-2</v>
      </c>
      <c r="S38" s="17">
        <f t="shared" ref="S38" si="47">S25/$U$28</f>
        <v>9.319189231004131E-3</v>
      </c>
      <c r="T38" s="17"/>
      <c r="U38" s="17">
        <f t="shared" si="31"/>
        <v>0.1261086646237729</v>
      </c>
      <c r="W38" t="str">
        <f>$A$12</f>
        <v>Seattle Downtown</v>
      </c>
      <c r="X38" s="17">
        <f t="shared" si="38"/>
        <v>1.7040323113986064E-3</v>
      </c>
      <c r="Y38" s="17">
        <f t="shared" si="39"/>
        <v>3.0541875074015316E-4</v>
      </c>
      <c r="Z38" s="17">
        <f t="shared" si="39"/>
        <v>1.21215065055021E-3</v>
      </c>
      <c r="AA38" s="17">
        <f t="shared" si="39"/>
        <v>1.0044998655265038E-3</v>
      </c>
      <c r="AB38" s="17">
        <f t="shared" si="39"/>
        <v>1.4488078524192892E-2</v>
      </c>
      <c r="AC38" s="17">
        <f t="shared" si="39"/>
        <v>-2.7238929139146842E-2</v>
      </c>
      <c r="AD38" s="17">
        <f t="shared" si="39"/>
        <v>8.5247490367384646E-3</v>
      </c>
      <c r="AE38" s="17"/>
      <c r="AF38" s="17">
        <f t="shared" si="33"/>
        <v>0</v>
      </c>
    </row>
    <row r="39" spans="1:32" x14ac:dyDescent="0.25">
      <c r="A39" t="str">
        <f>$A$13</f>
        <v>Rest</v>
      </c>
      <c r="B39" s="17">
        <f t="shared" si="34"/>
        <v>2.0220094599659104E-3</v>
      </c>
      <c r="C39" s="17">
        <f t="shared" si="34"/>
        <v>0</v>
      </c>
      <c r="D39" s="17">
        <f t="shared" si="34"/>
        <v>1.0365803174491319E-2</v>
      </c>
      <c r="E39" s="17">
        <f t="shared" si="34"/>
        <v>3.4312892234607444E-3</v>
      </c>
      <c r="F39" s="17">
        <f t="shared" si="34"/>
        <v>2.4502803428878327E-3</v>
      </c>
      <c r="G39" s="17">
        <f t="shared" si="34"/>
        <v>0</v>
      </c>
      <c r="H39" s="17">
        <f t="shared" si="46"/>
        <v>0.51826740227500445</v>
      </c>
      <c r="I39" s="13"/>
      <c r="J39" s="17">
        <f t="shared" si="28"/>
        <v>0.53653678447581021</v>
      </c>
      <c r="K39" s="14"/>
      <c r="L39" t="str">
        <f>$A$13</f>
        <v>Rest</v>
      </c>
      <c r="M39" s="17">
        <f t="shared" si="36"/>
        <v>6.8569959325423275E-3</v>
      </c>
      <c r="N39" s="17">
        <f t="shared" si="36"/>
        <v>8.7166223629361948E-4</v>
      </c>
      <c r="O39" s="17">
        <f t="shared" si="36"/>
        <v>6.0376879101512078E-3</v>
      </c>
      <c r="P39" s="17">
        <f t="shared" si="36"/>
        <v>3.8470890514727325E-3</v>
      </c>
      <c r="Q39" s="17">
        <f t="shared" si="36"/>
        <v>2.0798851490370335E-2</v>
      </c>
      <c r="R39" s="17">
        <f t="shared" si="36"/>
        <v>1.9682923499878282E-3</v>
      </c>
      <c r="S39" s="17">
        <f t="shared" ref="S39" si="48">S26/$U$28</f>
        <v>0.49615620550499206</v>
      </c>
      <c r="T39" s="17"/>
      <c r="U39" s="17">
        <f t="shared" si="31"/>
        <v>0.53653678447581021</v>
      </c>
      <c r="W39" t="str">
        <f>$A$13</f>
        <v>Rest</v>
      </c>
      <c r="X39" s="17">
        <f t="shared" ref="X39" si="49">M39-B39</f>
        <v>4.8349864725764167E-3</v>
      </c>
      <c r="Y39" s="17">
        <f t="shared" ref="Y39" si="50">N39-C39</f>
        <v>8.7166223629361948E-4</v>
      </c>
      <c r="Z39" s="17">
        <f t="shared" ref="Z39" si="51">O39-D39</f>
        <v>-4.328115264340111E-3</v>
      </c>
      <c r="AA39" s="17">
        <f t="shared" ref="AA39" si="52">P39-E39</f>
        <v>4.1579982801198808E-4</v>
      </c>
      <c r="AB39" s="17">
        <f t="shared" ref="AB39" si="53">Q39-F39</f>
        <v>1.8348571147482503E-2</v>
      </c>
      <c r="AC39" s="17">
        <f t="shared" ref="AC39" si="54">R39-G39</f>
        <v>1.9682923499878282E-3</v>
      </c>
      <c r="AD39" s="17">
        <f t="shared" ref="AD39" si="55">S39-H39</f>
        <v>-2.2111196770012387E-2</v>
      </c>
      <c r="AE39" s="17"/>
      <c r="AF39" s="17">
        <f t="shared" si="33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G41" si="56">B28/$J$28</f>
        <v>4.9964675914505652E-2</v>
      </c>
      <c r="C41" s="19">
        <f t="shared" si="56"/>
        <v>1.3594510843295047E-2</v>
      </c>
      <c r="D41" s="19">
        <f t="shared" si="56"/>
        <v>3.8851590836963955E-2</v>
      </c>
      <c r="E41" s="19">
        <f t="shared" si="56"/>
        <v>4.5083752468249326E-2</v>
      </c>
      <c r="F41" s="19">
        <f t="shared" si="56"/>
        <v>0.17658497504786025</v>
      </c>
      <c r="G41" s="19">
        <f t="shared" si="56"/>
        <v>0.13517746185475327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5.7671387296519064E-2</v>
      </c>
      <c r="N41" s="19">
        <f>N28/$U$28</f>
        <v>1.9739852880564054E-2</v>
      </c>
      <c r="O41" s="19">
        <f>O28/$U$28</f>
        <v>4.1142329763286051E-2</v>
      </c>
      <c r="P41" s="19">
        <f>P28/$U$28</f>
        <v>3.7237364795853704E-2</v>
      </c>
      <c r="Q41" s="19">
        <f t="shared" ref="Q41:S41" si="57">Q28/$U$28</f>
        <v>0.21394167140836098</v>
      </c>
      <c r="R41" s="19">
        <f t="shared" si="57"/>
        <v>9.5363481197005551E-2</v>
      </c>
      <c r="S41" s="19">
        <f t="shared" si="57"/>
        <v>0.53490391265841053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58">M41-B41</f>
        <v>7.706711382013412E-3</v>
      </c>
      <c r="Y41" s="19">
        <f t="shared" si="58"/>
        <v>6.1453420372690071E-3</v>
      </c>
      <c r="Z41" s="19">
        <f t="shared" si="58"/>
        <v>2.2907389263220959E-3</v>
      </c>
      <c r="AA41" s="19">
        <f t="shared" si="58"/>
        <v>-7.8463876723956216E-3</v>
      </c>
      <c r="AB41" s="19">
        <f t="shared" si="58"/>
        <v>3.7356696360500735E-2</v>
      </c>
      <c r="AC41" s="19">
        <f t="shared" si="58"/>
        <v>-3.9813980657747716E-2</v>
      </c>
      <c r="AD41" s="19">
        <f t="shared" si="58"/>
        <v>0.53490391265841053</v>
      </c>
      <c r="AE41" s="19">
        <f>T41-I41</f>
        <v>0</v>
      </c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4"/>
  <sheetViews>
    <sheetView topLeftCell="A20" workbookViewId="0">
      <selection activeCell="J50" sqref="J50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W104"/>
  <sheetViews>
    <sheetView tabSelected="1" workbookViewId="0">
      <selection activeCell="H20" sqref="H20"/>
    </sheetView>
  </sheetViews>
  <sheetFormatPr defaultRowHeight="15" x14ac:dyDescent="0.25"/>
  <cols>
    <col min="1" max="2" width="9.140625" style="479" collapsed="1"/>
    <col min="3" max="3" width="12.7109375" style="479" bestFit="1" customWidth="1" collapsed="1"/>
    <col min="4" max="4" width="18.85546875" style="478" customWidth="1" collapsed="1"/>
    <col min="5" max="5" width="6.7109375" style="479" customWidth="1" collapsed="1"/>
    <col min="6" max="6" width="12.7109375" style="479" customWidth="1" collapsed="1"/>
    <col min="7" max="8" width="18.85546875" style="478" customWidth="1" collapsed="1"/>
    <col min="9" max="9" width="6.5703125" style="478" customWidth="1" collapsed="1"/>
    <col min="10" max="10" width="10.140625" style="478" customWidth="1" collapsed="1"/>
    <col min="11" max="11" width="9.85546875" style="478" customWidth="1" collapsed="1"/>
    <col min="12" max="14" width="9.140625" style="479" collapsed="1"/>
    <col min="15" max="15" width="13" style="479" customWidth="1" collapsed="1"/>
    <col min="16" max="16" width="19.5703125" style="481" customWidth="1" collapsed="1"/>
    <col min="17" max="17" width="19.5703125" style="556" customWidth="1" collapsed="1"/>
    <col min="18" max="16384" width="9.140625" style="479" collapsed="1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r="2" spans="3:23" ht="15.75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35846.945698310898</v>
      </c>
      <c r="F4" s="486" t="s">
        <v>51</v>
      </c>
      <c r="G4" s="487">
        <f>TLFD!L11</f>
        <v>57418.752962296079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45777.725386981903</v>
      </c>
      <c r="F5" s="489" t="s">
        <v>54</v>
      </c>
      <c r="G5" s="490">
        <f>TLFD!L12+TLFD!L13+(TLFD!L14/2)</f>
        <v>37286.090757712176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t="shared" ref="Q5:Q68" si="0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86730.09354352481</v>
      </c>
      <c r="F6" s="489" t="s">
        <v>57</v>
      </c>
      <c r="G6" s="490">
        <f>(TLFD!L14/2)+SUM(TLFD!L15:L20)</f>
        <v>57028.509585333522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t="shared" si="0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15688.4007686066</v>
      </c>
      <c r="F7" s="492" t="s">
        <v>60</v>
      </c>
      <c r="G7" s="493">
        <f>SUM(TLFD!L21:L101)</f>
        <v>24254.061429155041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t="shared" si="0"/>
        <v>-0.34490013167299999</v>
      </c>
      <c r="T7" s="505">
        <v>5</v>
      </c>
      <c r="U7" s="505" t="s">
        <v>280</v>
      </c>
    </row>
    <row r="8" spans="3:23" ht="15.75" thickBot="1" x14ac:dyDescent="0.3">
      <c r="C8" s="495" t="s">
        <v>4</v>
      </c>
      <c r="D8" s="496">
        <f>SUM(D4:D7)</f>
        <v>184043.16539742422</v>
      </c>
      <c r="E8" s="497"/>
      <c r="F8" s="495" t="s">
        <v>4</v>
      </c>
      <c r="G8" s="496">
        <f>SUM(G4:G7)</f>
        <v>175987.41473449682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t="shared" si="0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t="shared" si="0"/>
        <v>-3.9895313632499998</v>
      </c>
      <c r="T9" s="505"/>
      <c r="U9" s="560" t="s">
        <v>281</v>
      </c>
    </row>
    <row r="10" spans="3:23" ht="15.75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t="shared" si="0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t="shared" si="0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0.19477466398115206</v>
      </c>
      <c r="F12" s="486" t="s">
        <v>51</v>
      </c>
      <c r="G12" s="500">
        <f>G4/G$8</f>
        <v>0.32626624494098516</v>
      </c>
      <c r="H12" s="500"/>
      <c r="I12" s="544">
        <f>D12/G12</f>
        <v>0.59698073889434311</v>
      </c>
      <c r="J12" s="545">
        <f>LN(I12)</f>
        <v>-0.51587042926855609</v>
      </c>
      <c r="K12" s="545">
        <f>K8*J12</f>
        <v>-0.51587042926855609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t="shared" si="0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t="shared" ref="D13:D16" si="1">D5/D$8</f>
        <v>0.24873363424351635</v>
      </c>
      <c r="F13" s="489" t="s">
        <v>54</v>
      </c>
      <c r="G13" s="501">
        <f t="shared" ref="G13:G16" si="2">G5/G$8</f>
        <v>0.21186793847709956</v>
      </c>
      <c r="H13" s="501"/>
      <c r="I13" s="544">
        <f t="shared" ref="I13:I15" si="3">D13/G13</f>
        <v>1.174003183451948</v>
      </c>
      <c r="J13" s="545">
        <f t="shared" ref="J13:J15" si="4">LN(I13)</f>
        <v>0.16041943303080405</v>
      </c>
      <c r="K13" s="545">
        <f>K8*(J13-J12)</f>
        <v>0.67628986229936017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t="shared" si="0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t="shared" si="1"/>
        <v>0.47124865167494367</v>
      </c>
      <c r="F14" s="489" t="s">
        <v>57</v>
      </c>
      <c r="G14" s="501">
        <f t="shared" si="2"/>
        <v>0.32404879446277168</v>
      </c>
      <c r="H14" s="501"/>
      <c r="I14" s="544">
        <f t="shared" si="3"/>
        <v>1.4542521364913858</v>
      </c>
      <c r="J14" s="545">
        <f t="shared" si="4"/>
        <v>0.37449177294390074</v>
      </c>
      <c r="K14" s="545">
        <f>K8*(J14-J13-J12)</f>
        <v>0.7299427691816528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t="shared" si="0"/>
        <v>-0.80534348065299999</v>
      </c>
      <c r="T14" s="505">
        <v>5</v>
      </c>
      <c r="U14" s="477" t="s">
        <v>285</v>
      </c>
    </row>
    <row r="15" spans="3:23" ht="15.75" thickBot="1" x14ac:dyDescent="0.3">
      <c r="C15" s="492" t="s">
        <v>60</v>
      </c>
      <c r="D15" s="501">
        <f t="shared" si="1"/>
        <v>8.5243050100387852E-2</v>
      </c>
      <c r="F15" s="492" t="s">
        <v>60</v>
      </c>
      <c r="G15" s="501">
        <f t="shared" si="2"/>
        <v>0.13781702211914357</v>
      </c>
      <c r="H15" s="501"/>
      <c r="I15" s="546">
        <f t="shared" si="3"/>
        <v>0.61852337824201986</v>
      </c>
      <c r="J15" s="547">
        <f t="shared" si="4"/>
        <v>-0.48042028957448984</v>
      </c>
      <c r="K15" s="547">
        <f>K8*(J15-J14-J13-J12)</f>
        <v>-0.49946106628063847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t="shared" si="0"/>
        <v>-0.51977799879300002</v>
      </c>
      <c r="T15" s="505">
        <v>6</v>
      </c>
      <c r="U15" s="505" t="s">
        <v>286</v>
      </c>
    </row>
    <row r="16" spans="3:23" ht="15.75" thickBot="1" x14ac:dyDescent="0.3">
      <c r="C16" s="495" t="s">
        <v>4</v>
      </c>
      <c r="D16" s="503">
        <f t="shared" si="1"/>
        <v>1</v>
      </c>
      <c r="E16" s="497"/>
      <c r="F16" s="495" t="s">
        <v>4</v>
      </c>
      <c r="G16" s="503">
        <f t="shared" si="2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t="shared" si="0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t="shared" si="0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t="shared" si="0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t="shared" si="0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t="shared" si="0"/>
        <v>0</v>
      </c>
    </row>
    <row r="21" spans="2:21" ht="15.75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t="shared" si="0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t="shared" si="0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t="shared" si="0"/>
        <v>-12.0946718381</v>
      </c>
    </row>
    <row r="24" spans="2:21" x14ac:dyDescent="0.25">
      <c r="B24" s="537">
        <v>0</v>
      </c>
      <c r="C24" s="489" t="s">
        <v>54</v>
      </c>
      <c r="D24" s="550" t="e">
        <f t="shared" ref="D24:D26" si="5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t="shared" si="0"/>
        <v>-4.03623745316</v>
      </c>
    </row>
    <row r="25" spans="2:21" x14ac:dyDescent="0.25">
      <c r="B25" s="537">
        <v>0</v>
      </c>
      <c r="C25" s="489" t="s">
        <v>57</v>
      </c>
      <c r="D25" s="550" t="e">
        <f t="shared" si="5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t="shared" si="0"/>
        <v>-2.16371815818</v>
      </c>
    </row>
    <row r="26" spans="2:21" ht="15.75" thickBot="1" x14ac:dyDescent="0.3">
      <c r="B26" s="538">
        <v>0</v>
      </c>
      <c r="C26" s="509" t="s">
        <v>60</v>
      </c>
      <c r="D26" s="551" t="e">
        <f t="shared" si="5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t="shared" si="0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t="shared" si="0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t="shared" si="0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t="shared" si="0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t="shared" si="0"/>
        <v>-5.1880432348000003</v>
      </c>
    </row>
    <row r="31" spans="2:21" ht="15.75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t="shared" si="0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t="shared" si="0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-0.51587042926855609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t="shared" si="0"/>
        <v>5.7553461640599997E-2</v>
      </c>
    </row>
    <row r="34" spans="2:17" x14ac:dyDescent="0.25">
      <c r="B34" s="537">
        <f t="shared" ref="B34:B36" si="6">B24</f>
        <v>0</v>
      </c>
      <c r="C34" s="489" t="s">
        <v>54</v>
      </c>
      <c r="D34" s="553">
        <f t="shared" ref="D34:D36" si="7">K13</f>
        <v>0.67628986229936017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t="shared" si="0"/>
        <v>0.237798002151</v>
      </c>
    </row>
    <row r="35" spans="2:17" x14ac:dyDescent="0.25">
      <c r="B35" s="537">
        <f t="shared" si="6"/>
        <v>0</v>
      </c>
      <c r="C35" s="489" t="s">
        <v>57</v>
      </c>
      <c r="D35" s="553">
        <f t="shared" si="7"/>
        <v>0.7299427691816528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t="shared" si="0"/>
        <v>0</v>
      </c>
    </row>
    <row r="36" spans="2:17" ht="15.75" thickBot="1" x14ac:dyDescent="0.3">
      <c r="B36" s="539">
        <f t="shared" si="6"/>
        <v>0</v>
      </c>
      <c r="C36" s="509" t="s">
        <v>60</v>
      </c>
      <c r="D36" s="510">
        <f t="shared" si="7"/>
        <v>-0.49946106628063847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t="shared" si="0"/>
        <v>0</v>
      </c>
    </row>
    <row r="37" spans="2:17" ht="15.75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t="shared" si="0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t="shared" si="0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t="shared" si="0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t="shared" si="0"/>
        <v>-7.1836373472300004</v>
      </c>
    </row>
    <row r="41" spans="2:17" ht="15.75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t="shared" si="0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t="shared" si="0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t="shared" si="0"/>
        <v>-0.22141031751900001</v>
      </c>
    </row>
    <row r="44" spans="2:17" x14ac:dyDescent="0.25">
      <c r="B44" s="537">
        <f t="shared" ref="B44:B46" si="8">B34</f>
        <v>0</v>
      </c>
      <c r="C44" s="489" t="s">
        <v>54</v>
      </c>
      <c r="D44" s="554" t="e">
        <f t="shared" ref="D44:D46" si="9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t="shared" si="0"/>
        <v>0.64228876129599999</v>
      </c>
    </row>
    <row r="45" spans="2:17" x14ac:dyDescent="0.25">
      <c r="B45" s="537">
        <f t="shared" si="8"/>
        <v>0</v>
      </c>
      <c r="C45" s="489" t="s">
        <v>57</v>
      </c>
      <c r="D45" s="554" t="e">
        <f t="shared" si="9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t="shared" si="0"/>
        <v>0.74588429254199995</v>
      </c>
    </row>
    <row r="46" spans="2:17" ht="15.75" thickBot="1" x14ac:dyDescent="0.3">
      <c r="B46" s="539">
        <f t="shared" si="8"/>
        <v>0</v>
      </c>
      <c r="C46" s="509" t="s">
        <v>60</v>
      </c>
      <c r="D46" s="555" t="e">
        <f t="shared" si="9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t="shared" si="0"/>
        <v>-32.156094092099998</v>
      </c>
    </row>
    <row r="47" spans="2:17" ht="15.75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t="shared" si="0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t="shared" si="0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t="shared" si="0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t="shared" si="0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t="shared" si="0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t="shared" si="0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t="shared" si="0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t="shared" si="0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t="shared" si="0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t="shared" si="0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t="shared" si="0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t="shared" si="0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t="shared" si="0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t="shared" si="0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t="shared" si="0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t="shared" si="0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t="shared" si="0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t="shared" si="0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t="shared" si="0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t="shared" si="0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t="shared" si="0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t="shared" si="0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t="shared" ref="Q69:Q104" si="10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t="shared" si="10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t="shared" si="10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t="shared" si="10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t="shared" si="10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t="shared" si="10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t="shared" si="10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t="shared" si="10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t="shared" si="10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t="shared" si="10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t="shared" si="10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t="shared" si="10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t="shared" si="10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t="shared" si="10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t="shared" si="10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t="shared" si="10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t="shared" si="10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t="shared" si="10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t="shared" si="10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t="shared" si="10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t="shared" si="10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t="shared" si="10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t="shared" si="10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t="shared" si="10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t="shared" si="10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t="shared" si="10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t="shared" si="10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t="shared" si="10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t="shared" si="10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t="shared" si="10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t="shared" si="10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t="shared" si="10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t="shared" si="10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t="shared" si="10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t="shared" si="10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2017-06-23T18:05:48Z</dcterms:modified>
</cp:coreProperties>
</file>