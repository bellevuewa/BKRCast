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79"/>
  <c i="6" r="Q84"/>
  <c i="6" r="Q78"/>
  <c i="6" r="Q80"/>
  <c i="6" r="D25"/>
  <c i="6" r="Q4"/>
  <c i="6" r="Q77"/>
  <c i="6" r="Q11"/>
  <c i="6" r="Q12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6" r="G6" s="1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G14"/>
  <c i="6" r="G12"/>
  <c i="6" r="D16"/>
  <c i="6" r="D15"/>
  <c i="6" r="D13"/>
  <c i="6" r="D12"/>
  <c i="6" r="I12" s="1"/>
  <c i="6" r="J12" s="1"/>
  <c i="6" r="K12" s="1"/>
  <c i="6" r="D33" s="1"/>
  <c i="6" r="D43" s="1"/>
  <c i="6" r="Q39" s="1"/>
  <c i="6" r="G13"/>
  <c i="6" r="D14"/>
  <c i="6" r="I14" s="1"/>
  <c i="6" r="J14" s="1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I13"/>
  <c i="6" r="J13" s="1"/>
  <c i="6" r="K13" s="1"/>
  <c i="6" r="D34" s="1"/>
  <c i="6" r="D44" s="1"/>
  <c i="6" r="Q40" s="1"/>
  <c i="6" r="I15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K15"/>
  <c i="6" r="D36" s="1"/>
  <c i="6" r="D46" s="1"/>
  <c i="6" r="Q42" s="1"/>
  <c i="6" r="K14"/>
  <c i="6" r="D35" s="1"/>
  <c i="6" r="D45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<sst xmlns="http://schemas.openxmlformats.org/spreadsheetml/2006/main" count="736" uniqueCount="288">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</sst>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0.34045717234991119</c:v>
                </c:pt>
                <c:pt idx="1">
                  <c:v>0.119144508441077</c:v>
                </c:pt>
                <c:pt idx="2">
                  <c:v>7.2208351250459074E-2</c:v>
                </c:pt>
                <c:pt idx="3">
                  <c:v>3.8127844622304362E-2</c:v>
                </c:pt>
                <c:pt idx="4">
                  <c:v>9.8812943663515021E-2</c:v>
                </c:pt>
                <c:pt idx="5">
                  <c:v>6.606449143427652E-2</c:v>
                </c:pt>
                <c:pt idx="6">
                  <c:v>5.4837455104306973E-2</c:v>
                </c:pt>
                <c:pt idx="7">
                  <c:v>2.7950995653300881E-2</c:v>
                </c:pt>
                <c:pt idx="8">
                  <c:v>2.5034573836599943E-2</c:v>
                </c:pt>
                <c:pt idx="9">
                  <c:v>2.7675907137422323E-2</c:v>
                </c:pt>
                <c:pt idx="10">
                  <c:v>1.2311871258737067E-2</c:v>
                </c:pt>
                <c:pt idx="11">
                  <c:v>1.1693254089375108E-2</c:v>
                </c:pt>
                <c:pt idx="12">
                  <c:v>1.4210642222404016E-2</c:v>
                </c:pt>
                <c:pt idx="13">
                  <c:v>8.4795864719565614E-3</c:v>
                </c:pt>
                <c:pt idx="14">
                  <c:v>9.4321030176860582E-3</c:v>
                </c:pt>
                <c:pt idx="15">
                  <c:v>7.4453901960159037E-3</c:v>
                </c:pt>
                <c:pt idx="16">
                  <c:v>1.1442802505682042E-2</c:v>
                </c:pt>
                <c:pt idx="17">
                  <c:v>6.8988478162863697E-3</c:v>
                </c:pt>
                <c:pt idx="18">
                  <c:v>5.0491861875272799E-3</c:v>
                </c:pt>
                <c:pt idx="19">
                  <c:v>4.4200526298249065E-3</c:v>
                </c:pt>
                <c:pt idx="20">
                  <c:v>4.1981332276978022E-3</c:v>
                </c:pt>
                <c:pt idx="21">
                  <c:v>3.0323230194837115E-3</c:v>
                </c:pt>
                <c:pt idx="22">
                  <c:v>3.0875024336863965E-3</c:v>
                </c:pt>
                <c:pt idx="23">
                  <c:v>3.1233971616702414E-3</c:v>
                </c:pt>
                <c:pt idx="24">
                  <c:v>2.624289549631521E-3</c:v>
                </c:pt>
                <c:pt idx="25">
                  <c:v>2.4480141677481683E-3</c:v>
                </c:pt>
                <c:pt idx="26">
                  <c:v>1.8329775537409927E-3</c:v>
                </c:pt>
                <c:pt idx="27">
                  <c:v>1.8978377580232758E-3</c:v>
                </c:pt>
                <c:pt idx="28">
                  <c:v>1.5896103974345054E-3</c:v>
                </c:pt>
                <c:pt idx="29">
                  <c:v>1.8159418998346067E-3</c:v>
                </c:pt>
                <c:pt idx="30">
                  <c:v>1.373612176401102E-3</c:v>
                </c:pt>
                <c:pt idx="31">
                  <c:v>1.3303966880084917E-3</c:v>
                </c:pt>
                <c:pt idx="32">
                  <c:v>7.5562510930816409E-4</c:v>
                </c:pt>
                <c:pt idx="33">
                  <c:v>5.7665296150594277E-4</c:v>
                </c:pt>
                <c:pt idx="34">
                  <c:v>1.0028087342053564E-3</c:v>
                </c:pt>
                <c:pt idx="35">
                  <c:v>8.9672390856900507E-4</c:v>
                </c:pt>
                <c:pt idx="36">
                  <c:v>8.7037020663711441E-4</c:v>
                </c:pt>
                <c:pt idx="37">
                  <c:v>5.070154593563586E-4</c:v>
                </c:pt>
                <c:pt idx="38">
                  <c:v>5.3671399824087643E-4</c:v>
                </c:pt>
                <c:pt idx="39">
                  <c:v>5.6995281710750956E-4</c:v>
                </c:pt>
                <c:pt idx="40">
                  <c:v>3.9239476215472834E-4</c:v>
                </c:pt>
                <c:pt idx="41">
                  <c:v>3.8827217403889392E-4</c:v>
                </c:pt>
                <c:pt idx="42">
                  <c:v>3.0510347220973988E-4</c:v>
                </c:pt>
                <c:pt idx="43">
                  <c:v>2.8242477892829879E-4</c:v>
                </c:pt>
                <c:pt idx="44">
                  <c:v>3.6172187649689727E-4</c:v>
                </c:pt>
                <c:pt idx="45">
                  <c:v>4.8419917951541787E-4</c:v>
                </c:pt>
                <c:pt idx="46">
                  <c:v>1.8160001576324227E-4</c:v>
                </c:pt>
                <c:pt idx="47">
                  <c:v>1.1932464765782945E-4</c:v>
                </c:pt>
                <c:pt idx="48">
                  <c:v>7.9604870867268251E-5</c:v>
                </c:pt>
                <c:pt idx="49">
                  <c:v>1.3380749586844033E-4</c:v>
                </c:pt>
                <c:pt idx="50">
                  <c:v>1.3975998880378499E-4</c:v>
                </c:pt>
                <c:pt idx="51">
                  <c:v>2.2419268446249857E-4</c:v>
                </c:pt>
                <c:pt idx="52">
                  <c:v>3.1411106784487512E-4</c:v>
                </c:pt>
                <c:pt idx="53">
                  <c:v>3.0450983630102789E-5</c:v>
                </c:pt>
                <c:pt idx="54">
                  <c:v>3.1579794123154625E-4</c:v>
                </c:pt>
                <c:pt idx="55">
                  <c:v>3.1852609289859362E-5</c:v>
                </c:pt>
                <c:pt idx="56">
                  <c:v>1.5902152990373955E-5</c:v>
                </c:pt>
                <c:pt idx="57">
                  <c:v>5.5629286462520668E-5</c:v>
                </c:pt>
                <c:pt idx="58">
                  <c:v>2.6516305970033319E-6</c:v>
                </c:pt>
                <c:pt idx="59">
                  <c:v>1.3258152985016659E-6</c:v>
                </c:pt>
                <c:pt idx="60">
                  <c:v>5.2979936562155346E-5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6.7871367758298856E-3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5.8083558127495501E-2</c:v>
                </c:pt>
                <c:pt idx="1">
                  <c:v>7.5369103615491123E-2</c:v>
                </c:pt>
                <c:pt idx="2">
                  <c:v>6.9518017559087583E-2</c:v>
                </c:pt>
                <c:pt idx="3">
                  <c:v>6.450210913878858E-2</c:v>
                </c:pt>
                <c:pt idx="4">
                  <c:v>5.4810823768790748E-2</c:v>
                </c:pt>
                <c:pt idx="5">
                  <c:v>4.4960607228390327E-2</c:v>
                </c:pt>
                <c:pt idx="6">
                  <c:v>3.9516162844323369E-2</c:v>
                </c:pt>
                <c:pt idx="7">
                  <c:v>3.5331667435010448E-2</c:v>
                </c:pt>
                <c:pt idx="8">
                  <c:v>2.6940567020952495E-2</c:v>
                </c:pt>
                <c:pt idx="9">
                  <c:v>2.2579584688141349E-2</c:v>
                </c:pt>
                <c:pt idx="10">
                  <c:v>2.0437150906808775E-2</c:v>
                </c:pt>
                <c:pt idx="11">
                  <c:v>1.6108285544930503E-2</c:v>
                </c:pt>
                <c:pt idx="12">
                  <c:v>1.3334809012875617E-2</c:v>
                </c:pt>
                <c:pt idx="13">
                  <c:v>1.2450570468754758E-2</c:v>
                </c:pt>
                <c:pt idx="14">
                  <c:v>9.725625164555057E-3</c:v>
                </c:pt>
                <c:pt idx="15">
                  <c:v>8.6672419766297536E-3</c:v>
                </c:pt>
                <c:pt idx="16">
                  <c:v>7.8899062178929454E-3</c:v>
                </c:pt>
                <c:pt idx="17">
                  <c:v>6.4920494809300013E-3</c:v>
                </c:pt>
                <c:pt idx="18">
                  <c:v>5.9685205510980284E-2</c:v>
                </c:pt>
                <c:pt idx="19">
                  <c:v>2.7059106608574704E-2</c:v>
                </c:pt>
                <c:pt idx="20">
                  <c:v>2.5029948157385826E-2</c:v>
                </c:pt>
                <c:pt idx="21">
                  <c:v>3.7114689616402241E-2</c:v>
                </c:pt>
                <c:pt idx="22">
                  <c:v>2.8559952553683498E-2</c:v>
                </c:pt>
                <c:pt idx="23">
                  <c:v>2.4341355396675243E-2</c:v>
                </c:pt>
                <c:pt idx="24">
                  <c:v>1.7437424067247496E-2</c:v>
                </c:pt>
                <c:pt idx="25">
                  <c:v>1.4363672927103294E-2</c:v>
                </c:pt>
                <c:pt idx="26">
                  <c:v>2.0527803891720726E-2</c:v>
                </c:pt>
                <c:pt idx="27">
                  <c:v>1.0072387229483552E-2</c:v>
                </c:pt>
                <c:pt idx="28">
                  <c:v>9.6155489208151097E-3</c:v>
                </c:pt>
                <c:pt idx="29">
                  <c:v>1.3416120886906555E-2</c:v>
                </c:pt>
                <c:pt idx="30">
                  <c:v>7.0860945429672495E-3</c:v>
                </c:pt>
                <c:pt idx="31">
                  <c:v>8.9959711415979037E-3</c:v>
                </c:pt>
                <c:pt idx="32">
                  <c:v>2.0127265862366645E-2</c:v>
                </c:pt>
                <c:pt idx="33">
                  <c:v>7.242114263615658E-3</c:v>
                </c:pt>
                <c:pt idx="34">
                  <c:v>9.0255125781652269E-3</c:v>
                </c:pt>
                <c:pt idx="35">
                  <c:v>1.2273354146657152E-2</c:v>
                </c:pt>
                <c:pt idx="36">
                  <c:v>4.8471195623189913E-3</c:v>
                </c:pt>
                <c:pt idx="37">
                  <c:v>4.522539419222653E-3</c:v>
                </c:pt>
                <c:pt idx="38">
                  <c:v>5.1472322510271121E-3</c:v>
                </c:pt>
                <c:pt idx="39">
                  <c:v>4.2050427322296077E-3</c:v>
                </c:pt>
                <c:pt idx="40">
                  <c:v>4.8251775780211691E-3</c:v>
                </c:pt>
                <c:pt idx="41">
                  <c:v>3.4788888913680088E-3</c:v>
                </c:pt>
                <c:pt idx="42">
                  <c:v>4.7542791983217775E-3</c:v>
                </c:pt>
                <c:pt idx="43">
                  <c:v>2.9928197577821806E-3</c:v>
                </c:pt>
                <c:pt idx="44">
                  <c:v>1.7850608432357631E-3</c:v>
                </c:pt>
                <c:pt idx="45">
                  <c:v>2.0300452018435907E-3</c:v>
                </c:pt>
                <c:pt idx="46">
                  <c:v>1.4640288495724721E-3</c:v>
                </c:pt>
                <c:pt idx="47">
                  <c:v>1.7248886983864495E-3</c:v>
                </c:pt>
                <c:pt idx="48">
                  <c:v>1.4817246999239227E-3</c:v>
                </c:pt>
                <c:pt idx="49">
                  <c:v>1.975500760164076E-3</c:v>
                </c:pt>
                <c:pt idx="50">
                  <c:v>1.3922384033058298E-3</c:v>
                </c:pt>
                <c:pt idx="51">
                  <c:v>1.7777187220150428E-3</c:v>
                </c:pt>
                <c:pt idx="52">
                  <c:v>1.4379168595870595E-3</c:v>
                </c:pt>
                <c:pt idx="53">
                  <c:v>9.9460991092042983E-4</c:v>
                </c:pt>
                <c:pt idx="54">
                  <c:v>1.1382079660622992E-3</c:v>
                </c:pt>
                <c:pt idx="55">
                  <c:v>7.404528318102323E-4</c:v>
                </c:pt>
                <c:pt idx="56">
                  <c:v>6.7038503721816053E-4</c:v>
                </c:pt>
                <c:pt idx="57">
                  <c:v>1.1186593615364361E-3</c:v>
                </c:pt>
                <c:pt idx="58">
                  <c:v>5.4596554795413208E-4</c:v>
                </c:pt>
                <c:pt idx="59">
                  <c:v>5.6828404572020676E-4</c:v>
                </c:pt>
                <c:pt idx="60">
                  <c:v>3.404518084350276E-4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33529.2496428338</v>
      </c>
      <c r="C11" s="520" t="n">
        <v>623.8512507065</v>
      </c>
      <c r="D11" s="520" t="n">
        <v>1693.8448047706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 t="n">
        <v>68672.24999999996</v>
      </c>
      <c r="J11" s="522" t="n">
        <v>5920.2</v>
      </c>
      <c r="K11" s="522" t="n">
        <v>2369.9624670006856</v>
      </c>
      <c r="L11" s="520">
        <f>SUM(I11:K11)</f>
        <v>64197.700225414053</v>
      </c>
      <c r="M11" s="21">
        <f>L11/$L$102</f>
        <v>0.34045717234991119</v>
      </c>
      <c r="P11" t="s">
        <v>9</v>
      </c>
      <c r="Q11" s="8" t="n">
        <v>3.996223974169072</v>
      </c>
      <c r="R11" s="8" t="n">
        <v>4.752164881569742</v>
      </c>
    </row>
    <row r="12" spans="1:18" x14ac:dyDescent="0.25">
      <c r="A12">
        <v>1</v>
      </c>
      <c r="B12" s="520" t="n">
        <v>19741.0888088627</v>
      </c>
      <c r="C12" s="520" t="n">
        <v>1282.9672045295</v>
      </c>
      <c r="D12" s="520" t="n">
        <v>1270.553164984</v>
      </c>
      <c r="E12" s="520">
        <f ref="E12:E75" si="0" t="shared">SUM(B12:D12)</f>
        <v>22294.609178376202</v>
      </c>
      <c r="F12" s="21">
        <f ref="F12:F75" si="1" t="shared">E12/$E$102</f>
        <v>0.1211379359305903</v>
      </c>
      <c r="H12" s="24">
        <v>1</v>
      </c>
      <c r="I12" s="522" t="n">
        <v>22231.800000000003</v>
      </c>
      <c r="J12" s="522" t="n">
        <v>2439.1499999999996</v>
      </c>
      <c r="K12" s="522" t="n">
        <v>893.2377877390409</v>
      </c>
      <c r="L12" s="520">
        <f ref="L12:L75" si="2" t="shared">SUM(I12:K12)</f>
        <v>22466.271994244773</v>
      </c>
      <c r="M12" s="21">
        <f ref="M12:M75" si="3" t="shared">L12/$L$102</f>
        <v>0.119144508441077</v>
      </c>
      <c r="P12" t="s">
        <v>10</v>
      </c>
      <c r="Q12" s="8" t="n">
        <v>4.367656827552512</v>
      </c>
      <c r="R12" s="8" t="n">
        <v>4.726640591098728</v>
      </c>
    </row>
    <row r="13" spans="1:18" x14ac:dyDescent="0.25">
      <c r="A13">
        <v>2</v>
      </c>
      <c r="B13" s="520" t="n">
        <v>9929.634844345701</v>
      </c>
      <c r="C13" s="520" t="n">
        <v>371.518941673</v>
      </c>
      <c r="D13" s="520" t="n">
        <v>0.0</v>
      </c>
      <c r="E13" s="520">
        <f si="0" t="shared"/>
        <v>10301.153786018702</v>
      </c>
      <c r="F13" s="21">
        <f si="1" t="shared"/>
        <v>5.5971400860087984E-2</v>
      </c>
      <c r="H13" s="25">
        <v>2</v>
      </c>
      <c r="I13" s="522" t="n">
        <v>13383.7</v>
      </c>
      <c r="J13" s="522" t="n">
        <v>1345.5</v>
      </c>
      <c r="K13" s="522" t="n">
        <v>441.3891193499313</v>
      </c>
      <c r="L13" s="520">
        <f si="2" t="shared"/>
        <v>13615.839124058868</v>
      </c>
      <c r="M13" s="21">
        <f si="3" t="shared"/>
        <v>7.2208351250459074E-2</v>
      </c>
      <c r="P13" s="6" t="s">
        <v>11</v>
      </c>
      <c r="Q13" s="11" t="n">
        <v>4.455458028041579</v>
      </c>
      <c r="R13" s="11" t="n">
        <v>4.400993316441472</v>
      </c>
    </row>
    <row ht="15.75" r="14" spans="1:18" thickBot="1" x14ac:dyDescent="0.3">
      <c r="A14">
        <v>3</v>
      </c>
      <c r="B14" s="520" t="n">
        <v>25599.561736635</v>
      </c>
      <c r="C14" s="520" t="n">
        <v>764.363108539</v>
      </c>
      <c r="D14" s="520" t="n">
        <v>0.0</v>
      </c>
      <c r="E14" s="520">
        <f si="0" t="shared"/>
        <v>26363.924845174002</v>
      </c>
      <c r="F14" s="21">
        <f si="1" t="shared"/>
        <v>0.14324859490567635</v>
      </c>
      <c r="H14" s="26">
        <v>3</v>
      </c>
      <c r="I14" s="522" t="n">
        <v>6527.4</v>
      </c>
      <c r="J14" s="522" t="n">
        <v>739.4499999999999</v>
      </c>
      <c r="K14" s="522" t="n">
        <v>293.8098023390191</v>
      </c>
      <c r="L14" s="520">
        <f si="2" t="shared"/>
        <v>7189.5091015682028</v>
      </c>
      <c r="M14" s="21">
        <f si="3" t="shared"/>
        <v>3.8127844622304362E-2</v>
      </c>
      <c r="P14" s="1" t="s">
        <v>4</v>
      </c>
      <c r="Q14" s="9" t="n">
        <v>4.024516630604764</v>
      </c>
      <c r="R14" s="9" t="n">
        <v>4.738651869474235</v>
      </c>
    </row>
    <row r="15" spans="1:18" x14ac:dyDescent="0.25">
      <c r="A15">
        <v>4</v>
      </c>
      <c r="B15" s="520" t="n">
        <v>34768.3191834659</v>
      </c>
      <c r="C15" s="520" t="n">
        <v>1001.4134433272001</v>
      </c>
      <c r="D15" s="520" t="n">
        <v>295.6132959603</v>
      </c>
      <c r="E15" s="520">
        <f si="0" t="shared"/>
        <v>36065.345922753397</v>
      </c>
      <c r="F15" s="21">
        <f si="1" t="shared"/>
        <v>0.1959613433341772</v>
      </c>
      <c r="H15" s="27">
        <v>4</v>
      </c>
      <c r="I15" s="522" t="n">
        <v>18120.550000000003</v>
      </c>
      <c r="J15" s="522" t="n">
        <v>2048.1499999999996</v>
      </c>
      <c r="K15" s="522" t="n">
        <v>765.6391006790575</v>
      </c>
      <c r="L15" s="520">
        <f si="2" t="shared"/>
        <v>18632.486699916983</v>
      </c>
      <c r="M15" s="21">
        <f si="3" t="shared"/>
        <v>9.8812943663515021E-2</v>
      </c>
    </row>
    <row r="16" spans="1:18" x14ac:dyDescent="0.25">
      <c r="A16">
        <v>5</v>
      </c>
      <c r="B16" s="520" t="n">
        <v>17811.0833723785</v>
      </c>
      <c r="C16" s="520" t="n">
        <v>1762.380686484</v>
      </c>
      <c r="D16" s="520" t="n">
        <v>86.2921514892</v>
      </c>
      <c r="E16" s="520">
        <f si="0" t="shared"/>
        <v>19659.756210351701</v>
      </c>
      <c r="F16" s="21">
        <f si="1" t="shared"/>
        <v>0.10682144141510649</v>
      </c>
      <c r="H16" s="28">
        <v>5</v>
      </c>
      <c r="I16" s="522" t="n">
        <v>12112.95</v>
      </c>
      <c r="J16" s="522" t="n">
        <v>1354.6999999999998</v>
      </c>
      <c r="K16" s="522" t="n">
        <v>457.92450065526515</v>
      </c>
      <c r="L16" s="520">
        <f si="2" t="shared"/>
        <v>12457.333142281868</v>
      </c>
      <c r="M16" s="21">
        <f si="3" t="shared"/>
        <v>6.606449143427652E-2</v>
      </c>
    </row>
    <row r="17" spans="1:13" x14ac:dyDescent="0.25">
      <c r="A17">
        <v>6</v>
      </c>
      <c r="B17" s="520" t="n">
        <v>8332.5743277309</v>
      </c>
      <c r="C17" s="520" t="n">
        <v>321.1044334949</v>
      </c>
      <c r="D17" s="520" t="n">
        <v>0.0</v>
      </c>
      <c r="E17" s="520">
        <f si="0" t="shared"/>
        <v>8653.6787612257995</v>
      </c>
      <c r="F17" s="21">
        <f si="1" t="shared"/>
        <v>4.7019832236307076E-2</v>
      </c>
      <c r="H17" s="29">
        <v>6</v>
      </c>
      <c r="I17" s="522" t="n">
        <v>9710.6</v>
      </c>
      <c r="J17" s="522" t="n">
        <v>1127.0</v>
      </c>
      <c r="K17" s="522" t="n">
        <v>424.89432293343737</v>
      </c>
      <c r="L17" s="520">
        <f si="2" t="shared"/>
        <v>10340.327036179178</v>
      </c>
      <c r="M17" s="21">
        <f si="3" t="shared"/>
        <v>5.4837455104306973E-2</v>
      </c>
    </row>
    <row r="18" spans="1:13" x14ac:dyDescent="0.2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si="0" t="shared"/>
        <v>1196.4022201134999</v>
      </c>
      <c r="F18" s="21">
        <f si="1" t="shared"/>
        <v>6.5006609592373624E-3</v>
      </c>
      <c r="H18" s="30">
        <v>7</v>
      </c>
      <c r="I18" s="522" t="n">
        <v>5239.4</v>
      </c>
      <c r="J18" s="522" t="n">
        <v>547.4</v>
      </c>
      <c r="K18" s="522" t="n">
        <v>204.7088874878485</v>
      </c>
      <c r="L18" s="520">
        <f si="2" t="shared"/>
        <v>5270.5297044182807</v>
      </c>
      <c r="M18" s="21">
        <f si="3" t="shared"/>
        <v>2.7950995653300881E-2</v>
      </c>
    </row>
    <row r="19" spans="1:13" x14ac:dyDescent="0.2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si="0" t="shared"/>
        <v>6388.1883647323994</v>
      </c>
      <c r="F19" s="21">
        <f si="1" t="shared"/>
        <v>3.471027218499366E-2</v>
      </c>
      <c r="H19" s="31">
        <v>8</v>
      </c>
      <c r="I19" s="522" t="n">
        <v>5430.299999999999</v>
      </c>
      <c r="J19" s="522" t="n">
        <v>629.05</v>
      </c>
      <c r="K19" s="522" t="n">
        <v>223.2352244686504</v>
      </c>
      <c r="L19" s="520">
        <f si="2" t="shared"/>
        <v>4720.5998197660119</v>
      </c>
      <c r="M19" s="21">
        <f si="3" t="shared"/>
        <v>2.5034573836599943E-2</v>
      </c>
    </row>
    <row r="20" spans="1:13" x14ac:dyDescent="0.25">
      <c r="A20">
        <v>9</v>
      </c>
      <c r="B20" s="520" t="n">
        <v>1584.759641761</v>
      </c>
      <c r="C20" s="520" t="n">
        <v>0.0</v>
      </c>
      <c r="D20" s="520" t="n">
        <v>0.0</v>
      </c>
      <c r="E20" s="520">
        <f si="0" t="shared"/>
        <v>1584.759641761</v>
      </c>
      <c r="F20" s="21">
        <f si="1" t="shared"/>
        <v>8.6108040922837775E-3</v>
      </c>
      <c r="H20" s="32">
        <v>9</v>
      </c>
      <c r="I20" s="522" t="n">
        <v>3916.8999999999996</v>
      </c>
      <c r="J20" s="522" t="n">
        <v>364.54999999999995</v>
      </c>
      <c r="K20" s="522" t="n">
        <v>130.91852200681484</v>
      </c>
      <c r="L20" s="520">
        <f si="2" t="shared"/>
        <v>5218.658128454902</v>
      </c>
      <c r="M20" s="21">
        <f si="3" t="shared"/>
        <v>2.7675907137422323E-2</v>
      </c>
    </row>
    <row r="21" spans="1:13" x14ac:dyDescent="0.25">
      <c r="A21">
        <v>10</v>
      </c>
      <c r="B21" s="520" t="n">
        <v>6599.1783360809</v>
      </c>
      <c r="C21" s="520" t="n">
        <v>0.0</v>
      </c>
      <c r="D21" s="520" t="n">
        <v>0.0</v>
      </c>
      <c r="E21" s="520">
        <f si="0" t="shared"/>
        <v>6599.1783360809004</v>
      </c>
      <c r="F21" s="21">
        <f si="1" t="shared"/>
        <v>3.5856687869014782E-2</v>
      </c>
      <c r="H21" s="33">
        <v>10</v>
      </c>
      <c r="I21" s="522" t="n">
        <v>2233.2999999999997</v>
      </c>
      <c r="J21" s="522" t="n">
        <v>232.29999999999998</v>
      </c>
      <c r="K21" s="522" t="n">
        <v>80.53003218849712</v>
      </c>
      <c r="L21" s="520">
        <f si="2" t="shared"/>
        <v>2321.5660719579478</v>
      </c>
      <c r="M21" s="21">
        <f si="3" t="shared"/>
        <v>1.2311871258737067E-2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2168.8999999999996</v>
      </c>
      <c r="J22" s="522" t="n">
        <v>261.04999999999995</v>
      </c>
      <c r="K22" s="522" t="n">
        <v>74.60615384416764</v>
      </c>
      <c r="L22" s="520">
        <f si="2" t="shared"/>
        <v>2204.9176274006495</v>
      </c>
      <c r="M22" s="21">
        <f si="3" t="shared"/>
        <v>1.1693254089375108E-2</v>
      </c>
    </row>
    <row r="23" spans="1:13" x14ac:dyDescent="0.2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si="0" t="shared"/>
        <v>1326.0752977530001</v>
      </c>
      <c r="F23" s="21">
        <f si="1" t="shared"/>
        <v>7.2052406558508345E-3</v>
      </c>
      <c r="H23" s="35">
        <v>12</v>
      </c>
      <c r="I23" s="522" t="n">
        <v>2369.0</v>
      </c>
      <c r="J23" s="522" t="n">
        <v>156.39999999999998</v>
      </c>
      <c r="K23" s="522" t="n">
        <v>70.46521081634316</v>
      </c>
      <c r="L23" s="520">
        <f si="2" t="shared"/>
        <v>2679.60443631624</v>
      </c>
      <c r="M23" s="21">
        <f si="3" t="shared"/>
        <v>1.4210642222404016E-2</v>
      </c>
    </row>
    <row r="24" spans="1:13" x14ac:dyDescent="0.25">
      <c r="A24">
        <v>13</v>
      </c>
      <c r="B24" s="520" t="n">
        <v>1459.395501922</v>
      </c>
      <c r="C24" s="520" t="n">
        <v>0.0</v>
      </c>
      <c r="D24" s="520" t="n">
        <v>0.0</v>
      </c>
      <c r="E24" s="520">
        <f si="0" t="shared"/>
        <v>1459.395501922</v>
      </c>
      <c r="F24" s="21">
        <f si="1" t="shared"/>
        <v>7.9296370434108251E-3</v>
      </c>
      <c r="H24" s="36">
        <v>13</v>
      </c>
      <c r="I24" s="522" t="n">
        <v>1795.1499999999999</v>
      </c>
      <c r="J24" s="522" t="n">
        <v>177.1</v>
      </c>
      <c r="K24" s="522" t="n">
        <v>55.83936650731354</v>
      </c>
      <c r="L24" s="520">
        <f si="2" t="shared"/>
        <v>1598.938117839554</v>
      </c>
      <c r="M24" s="21">
        <f si="3" t="shared"/>
        <v>8.4795864719565614E-3</v>
      </c>
    </row>
    <row r="25" spans="1:13" x14ac:dyDescent="0.25">
      <c r="A25">
        <v>14</v>
      </c>
      <c r="B25" s="520" t="n">
        <v>424.8588006925</v>
      </c>
      <c r="C25" s="520" t="n">
        <v>209.43270979140001</v>
      </c>
      <c r="D25" s="520" t="n">
        <v>0.0</v>
      </c>
      <c r="E25" s="520">
        <f si="0" t="shared"/>
        <v>634.29151048389997</v>
      </c>
      <c r="F25" s="21">
        <f si="1" t="shared"/>
        <v>3.4464279568013636E-3</v>
      </c>
      <c r="H25" s="37">
        <v>14</v>
      </c>
      <c r="I25" s="522" t="n">
        <v>1812.3999999999999</v>
      </c>
      <c r="J25" s="522" t="n">
        <v>174.79999999999998</v>
      </c>
      <c r="K25" s="522" t="n">
        <v>43.14886296573413</v>
      </c>
      <c r="L25" s="520">
        <f si="2" t="shared"/>
        <v>1778.5477035046836</v>
      </c>
      <c r="M25" s="21">
        <f si="3" t="shared"/>
        <v>9.4321030176860582E-3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1454.75</v>
      </c>
      <c r="J26" s="522" t="n">
        <v>123.05</v>
      </c>
      <c r="K26" s="522" t="n">
        <v>46.432787493974494</v>
      </c>
      <c r="L26" s="520">
        <f si="2" t="shared"/>
        <v>1403.9267393486311</v>
      </c>
      <c r="M26" s="21">
        <f si="3" t="shared"/>
        <v>7.4453901960159037E-3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si="0" t="shared"/>
        <v>383.20655539199998</v>
      </c>
      <c r="F27" s="21">
        <f si="1" t="shared"/>
        <v>2.0821558603629801E-3</v>
      </c>
      <c r="H27" s="39">
        <v>16</v>
      </c>
      <c r="I27" s="522" t="n">
        <v>1914.7499999999998</v>
      </c>
      <c r="J27" s="522" t="n">
        <v>188.6</v>
      </c>
      <c r="K27" s="522" t="n">
        <v>50.539254024602286</v>
      </c>
      <c r="L27" s="520">
        <f si="2" t="shared"/>
        <v>2157.6916706674401</v>
      </c>
      <c r="M27" s="21">
        <f si="3" t="shared"/>
        <v>1.1442802505682042E-2</v>
      </c>
    </row>
    <row r="28" spans="1:13" x14ac:dyDescent="0.2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si="0" t="shared"/>
        <v>241.88545563549999</v>
      </c>
      <c r="F28" s="21">
        <f si="1" t="shared"/>
        <v>1.314286543122483E-3</v>
      </c>
      <c r="H28" s="40">
        <v>17</v>
      </c>
      <c r="I28" s="522" t="n">
        <v>1219.0</v>
      </c>
      <c r="J28" s="522" t="n">
        <v>119.6</v>
      </c>
      <c r="K28" s="522" t="n">
        <v>42.573938894534635</v>
      </c>
      <c r="L28" s="520">
        <f si="2" t="shared"/>
        <v>1300.8689491068089</v>
      </c>
      <c r="M28" s="21">
        <f si="3" t="shared"/>
        <v>6.8988478162863697E-3</v>
      </c>
    </row>
    <row r="29" spans="1:13" x14ac:dyDescent="0.2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si="0" t="shared"/>
        <v>264.43274332840002</v>
      </c>
      <c r="F29" s="21">
        <f si="1" t="shared"/>
        <v>1.4367974097673336E-3</v>
      </c>
      <c r="H29" s="41">
        <v>18</v>
      </c>
      <c r="I29" s="522" t="n">
        <v>1006.2499999999999</v>
      </c>
      <c r="J29" s="522" t="n">
        <v>106.94999999999999</v>
      </c>
      <c r="K29" s="522" t="n">
        <v>37.305231005195616</v>
      </c>
      <c r="L29" s="520">
        <f si="2" t="shared"/>
        <v>952.09079900373001</v>
      </c>
      <c r="M29" s="21">
        <f si="3" t="shared"/>
        <v>5.0491861875272799E-3</v>
      </c>
    </row>
    <row r="30" spans="1:13" x14ac:dyDescent="0.25">
      <c r="A30">
        <v>19</v>
      </c>
      <c r="B30" s="520" t="n">
        <v>1149.5167104721</v>
      </c>
      <c r="C30" s="520" t="n">
        <v>0.0</v>
      </c>
      <c r="D30" s="520" t="n">
        <v>0.0</v>
      </c>
      <c r="E30" s="520">
        <f si="0" t="shared"/>
        <v>1149.5167104720999</v>
      </c>
      <c r="F30" s="21">
        <f si="1" t="shared"/>
        <v>6.2459081704546058E-3</v>
      </c>
      <c r="H30" s="42">
        <v>19</v>
      </c>
      <c r="I30" s="522" t="n">
        <v>911.9499999999999</v>
      </c>
      <c r="J30" s="522" t="n">
        <v>74.75</v>
      </c>
      <c r="K30" s="522" t="n">
        <v>33.40830247754573</v>
      </c>
      <c r="L30" s="520">
        <f si="2" t="shared"/>
        <v>833.4593504125553</v>
      </c>
      <c r="M30" s="21">
        <f si="3" t="shared"/>
        <v>4.4200526298249065E-3</v>
      </c>
    </row>
    <row r="31" spans="1:13" x14ac:dyDescent="0.2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si="0" t="shared"/>
        <v>137.28633134540001</v>
      </c>
      <c r="F31" s="21">
        <f si="1" t="shared"/>
        <v>7.4594637105345862E-4</v>
      </c>
      <c r="H31" s="43">
        <v>20</v>
      </c>
      <c r="I31" s="522" t="n">
        <v>753.2499999999999</v>
      </c>
      <c r="J31" s="522" t="n">
        <v>60.949999999999996</v>
      </c>
      <c r="K31" s="522" t="n">
        <v>19.813772510397836</v>
      </c>
      <c r="L31" s="520">
        <f si="2" t="shared"/>
        <v>791.61351367008069</v>
      </c>
      <c r="M31" s="21">
        <f si="3" t="shared"/>
        <v>4.1981332276978022E-3</v>
      </c>
    </row>
    <row r="32" spans="1:13" x14ac:dyDescent="0.2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si="0" t="shared"/>
        <v>327.03985617900003</v>
      </c>
      <c r="F32" s="21">
        <f si="1" t="shared"/>
        <v>1.7769736543749818E-3</v>
      </c>
      <c r="H32" s="44">
        <v>21</v>
      </c>
      <c r="I32" s="522" t="n">
        <v>702.65</v>
      </c>
      <c r="J32" s="522" t="n">
        <v>70.14999999999999</v>
      </c>
      <c r="K32" s="522" t="n">
        <v>18.617739905689074</v>
      </c>
      <c r="L32" s="520">
        <f si="2" t="shared"/>
        <v>571.78458849256924</v>
      </c>
      <c r="M32" s="21">
        <f si="3" t="shared"/>
        <v>3.0323230194837115E-3</v>
      </c>
    </row>
    <row r="33" spans="1:13" x14ac:dyDescent="0.2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si="0" t="shared"/>
        <v>1093.5717753500001</v>
      </c>
      <c r="F33" s="21">
        <f si="1" t="shared"/>
        <v>5.9419309214147299E-3</v>
      </c>
      <c r="H33" s="45">
        <v>22</v>
      </c>
      <c r="I33" s="522" t="n">
        <v>703.8</v>
      </c>
      <c r="J33" s="522" t="n">
        <v>70.14999999999999</v>
      </c>
      <c r="K33" s="522" t="n">
        <v>18.029707336394093</v>
      </c>
      <c r="L33" s="520">
        <f si="2" t="shared"/>
        <v>582.18939643697979</v>
      </c>
      <c r="M33" s="21">
        <f si="3" t="shared"/>
        <v>3.0875024336863965E-3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591.0999999999999</v>
      </c>
      <c r="J34" s="522" t="n">
        <v>39.099999999999994</v>
      </c>
      <c r="K34" s="522" t="n">
        <v>13.396784512091916</v>
      </c>
      <c r="L34" s="520">
        <f si="2" t="shared"/>
        <v>588.95782187761438</v>
      </c>
      <c r="M34" s="21">
        <f si="3" t="shared"/>
        <v>3.1233971616702414E-3</v>
      </c>
    </row>
    <row r="35" spans="1:13" x14ac:dyDescent="0.2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si="0" t="shared"/>
        <v>66.504124486899997</v>
      </c>
      <c r="F35" s="21">
        <f si="1" t="shared"/>
        <v>3.6135068826538872E-4</v>
      </c>
      <c r="H35" s="47">
        <v>24</v>
      </c>
      <c r="I35" s="522" t="n">
        <v>549.6999999999999</v>
      </c>
      <c r="J35" s="522" t="n">
        <v>48.3</v>
      </c>
      <c r="K35" s="522" t="n">
        <v>9.2</v>
      </c>
      <c r="L35" s="520">
        <f si="2" t="shared"/>
        <v>494.84448410673991</v>
      </c>
      <c r="M35" s="21">
        <f si="3" t="shared"/>
        <v>2.624289549631521E-3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478.4</v>
      </c>
      <c r="J36" s="522" t="n">
        <v>44.849999999999994</v>
      </c>
      <c r="K36" s="522" t="n">
        <v>10.35</v>
      </c>
      <c r="L36" s="520">
        <f si="2" t="shared"/>
        <v>461.60543073283378</v>
      </c>
      <c r="M36" s="21">
        <f si="3" t="shared"/>
        <v>2.4480141677481683E-3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370.29999999999995</v>
      </c>
      <c r="J37" s="522" t="n">
        <v>25.299999999999997</v>
      </c>
      <c r="K37" s="522" t="n">
        <v>9.366369160653319</v>
      </c>
      <c r="L37" s="520">
        <f si="2" t="shared"/>
        <v>345.6321472177313</v>
      </c>
      <c r="M37" s="21">
        <f si="3" t="shared"/>
        <v>1.8329775537409927E-3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289.79999999999995</v>
      </c>
      <c r="J38" s="522" t="n">
        <v>18.4</v>
      </c>
      <c r="K38" s="522" t="n">
        <v>5.75</v>
      </c>
      <c r="L38" s="520">
        <f si="2" t="shared"/>
        <v>357.86239609847343</v>
      </c>
      <c r="M38" s="21">
        <f si="3" t="shared"/>
        <v>1.8978377580232758E-3</v>
      </c>
    </row>
    <row r="39" spans="1:13" x14ac:dyDescent="0.2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si="0" t="shared"/>
        <v>83.397824889500001</v>
      </c>
      <c r="F39" s="21">
        <f si="1" t="shared"/>
        <v>4.5314274349395224E-4</v>
      </c>
      <c r="H39" s="51">
        <v>28</v>
      </c>
      <c r="I39" s="522" t="n">
        <v>287.5</v>
      </c>
      <c r="J39" s="522" t="n">
        <v>19.549999999999997</v>
      </c>
      <c r="K39" s="522" t="n">
        <v>3.4499999999999997</v>
      </c>
      <c r="L39" s="520">
        <f si="2" t="shared"/>
        <v>299.742052914716</v>
      </c>
      <c r="M39" s="21">
        <f si="3" t="shared"/>
        <v>1.5896103974345054E-3</v>
      </c>
    </row>
    <row r="40" spans="1:13" x14ac:dyDescent="0.2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si="0" t="shared"/>
        <v>181.889208126</v>
      </c>
      <c r="F40" s="21">
        <f si="1" t="shared"/>
        <v>9.8829645606902656E-4</v>
      </c>
      <c r="H40" s="52">
        <v>29</v>
      </c>
      <c r="I40" s="522" t="n">
        <v>244.95</v>
      </c>
      <c r="J40" s="522" t="n">
        <v>21.849999999999998</v>
      </c>
      <c r="K40" s="522" t="n">
        <v>14.194927536231729</v>
      </c>
      <c r="L40" s="520">
        <f si="2" t="shared"/>
        <v>342.41984948560406</v>
      </c>
      <c r="M40" s="21">
        <f si="3" t="shared"/>
        <v>1.8159418998346067E-3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224.24999999999997</v>
      </c>
      <c r="J41" s="522" t="n">
        <v>16.099999999999998</v>
      </c>
      <c r="K41" s="522" t="n">
        <v>4.6</v>
      </c>
      <c r="L41" s="520">
        <f si="2" t="shared"/>
        <v>259.01273313738579</v>
      </c>
      <c r="M41" s="21">
        <f si="3" t="shared"/>
        <v>1.373612176401102E-3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217.35</v>
      </c>
      <c r="J42" s="522" t="n">
        <v>21.849999999999998</v>
      </c>
      <c r="K42" s="522" t="n">
        <v>4.6</v>
      </c>
      <c r="L42" s="520">
        <f si="2" t="shared"/>
        <v>250.86388155122424</v>
      </c>
      <c r="M42" s="21">
        <f si="3" t="shared"/>
        <v>1.3303966880084917E-3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212.74999999999997</v>
      </c>
      <c r="J43" s="522" t="n">
        <v>18.4</v>
      </c>
      <c r="K43" s="522" t="n">
        <v>9.891520373499013</v>
      </c>
      <c r="L43" s="520">
        <f si="2" t="shared"/>
        <v>142.48310269200266</v>
      </c>
      <c r="M43" s="21">
        <f si="3" t="shared"/>
        <v>7.5562510930816409E-4</v>
      </c>
    </row>
    <row r="44" spans="1:13" x14ac:dyDescent="0.2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si="0" t="shared"/>
        <v>275.30993356699997</v>
      </c>
      <c r="F44" s="21">
        <f si="1" t="shared"/>
        <v>1.4958987092647189E-3</v>
      </c>
      <c r="H44" s="56">
        <v>33</v>
      </c>
      <c r="I44" s="522" t="n">
        <v>182.85</v>
      </c>
      <c r="J44" s="522" t="n">
        <v>17.25</v>
      </c>
      <c r="K44" s="522" t="n">
        <v>6.8999999999999995</v>
      </c>
      <c r="L44" s="520">
        <f si="2" t="shared"/>
        <v>108.73553845653151</v>
      </c>
      <c r="M44" s="21">
        <f si="3" t="shared"/>
        <v>5.7665296150594277E-4</v>
      </c>
    </row>
    <row r="45" spans="1:13" x14ac:dyDescent="0.2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si="0" t="shared"/>
        <v>944.88064624599997</v>
      </c>
      <c r="F45" s="21">
        <f si="1" t="shared"/>
        <v>5.1340164912161649E-3</v>
      </c>
      <c r="H45" s="57">
        <v>34</v>
      </c>
      <c r="I45" s="522" t="n">
        <v>170.2</v>
      </c>
      <c r="J45" s="522" t="n">
        <v>19.549999999999997</v>
      </c>
      <c r="K45" s="522" t="n">
        <v>5.75</v>
      </c>
      <c r="L45" s="520">
        <f si="2" t="shared"/>
        <v>189.09284259629783</v>
      </c>
      <c r="M45" s="21">
        <f si="3" t="shared"/>
        <v>1.0028087342053564E-3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163.29999999999998</v>
      </c>
      <c r="J46" s="522" t="n">
        <v>14.95</v>
      </c>
      <c r="K46" s="522" t="n">
        <v>1.15</v>
      </c>
      <c r="L46" s="520">
        <f si="2" t="shared"/>
        <v>169.08914642605444</v>
      </c>
      <c r="M46" s="21">
        <f si="3" t="shared"/>
        <v>8.9672390856900507E-4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182.85</v>
      </c>
      <c r="J47" s="522" t="n">
        <v>8.049999999999999</v>
      </c>
      <c r="K47" s="522" t="n">
        <v>5.75</v>
      </c>
      <c r="L47" s="520">
        <f si="2" t="shared"/>
        <v>164.11980756684954</v>
      </c>
      <c r="M47" s="21">
        <f si="3" t="shared"/>
        <v>8.7037020663711441E-4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136.85</v>
      </c>
      <c r="J48" s="522" t="n">
        <v>10.35</v>
      </c>
      <c r="K48" s="522" t="n">
        <v>2.3</v>
      </c>
      <c r="L48" s="520">
        <f si="2" t="shared"/>
        <v>95.604466913556578</v>
      </c>
      <c r="M48" s="21">
        <f si="3" t="shared"/>
        <v>5.070154593563586E-4</v>
      </c>
    </row>
    <row r="49" spans="1:13" x14ac:dyDescent="0.2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si="0" t="shared"/>
        <v>520.53895734900004</v>
      </c>
      <c r="F49" s="21">
        <f si="1" t="shared"/>
        <v>2.8283525564502458E-3</v>
      </c>
      <c r="H49" s="61">
        <v>38</v>
      </c>
      <c r="I49" s="522" t="n">
        <v>146.04999999999998</v>
      </c>
      <c r="J49" s="522" t="n">
        <v>10.35</v>
      </c>
      <c r="K49" s="522" t="n">
        <v>8.684612058061072</v>
      </c>
      <c r="L49" s="520">
        <f si="2" t="shared"/>
        <v>101.20451899435562</v>
      </c>
      <c r="M49" s="21">
        <f si="3" t="shared"/>
        <v>5.3671399824087643E-4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128.79999999999998</v>
      </c>
      <c r="J50" s="522" t="n">
        <v>4.6</v>
      </c>
      <c r="K50" s="522" t="n">
        <v>4.6</v>
      </c>
      <c r="L50" s="520">
        <f si="2" t="shared"/>
        <v>107.47213766344872</v>
      </c>
      <c r="M50" s="21">
        <f si="3" t="shared"/>
        <v>5.6995281710750956E-4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83.94999999999999</v>
      </c>
      <c r="J51" s="522" t="n">
        <v>3.4499999999999997</v>
      </c>
      <c r="K51" s="522" t="n">
        <v>0.270530622365715</v>
      </c>
      <c r="L51" s="520">
        <f si="2" t="shared"/>
        <v>73.991219327115658</v>
      </c>
      <c r="M51" s="21">
        <f si="3" t="shared"/>
        <v>3.9239476215472834E-4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101.19999999999999</v>
      </c>
      <c r="J52" s="522" t="n">
        <v>6.8999999999999995</v>
      </c>
      <c r="K52" s="522" t="n">
        <v>0.0</v>
      </c>
      <c r="L52" s="520">
        <f si="2" t="shared"/>
        <v>73.213850842890622</v>
      </c>
      <c r="M52" s="21">
        <f si="3" t="shared"/>
        <v>3.8827217403889392E-4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48.3</v>
      </c>
      <c r="J53" s="522" t="n">
        <v>5.75</v>
      </c>
      <c r="K53" s="522" t="n">
        <v>2.3</v>
      </c>
      <c r="L53" s="520">
        <f si="2" t="shared"/>
        <v>57.531292736353301</v>
      </c>
      <c r="M53" s="21">
        <f si="3" t="shared"/>
        <v>3.0510347220973988E-4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47.15</v>
      </c>
      <c r="J54" s="522" t="n">
        <v>5.75</v>
      </c>
      <c r="K54" s="522" t="n">
        <v>1.15</v>
      </c>
      <c r="L54" s="520">
        <f si="2" t="shared"/>
        <v>53.254925336785874</v>
      </c>
      <c r="M54" s="21">
        <f si="3" t="shared"/>
        <v>2.8242477892829879E-4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54.05</v>
      </c>
      <c r="J55" s="522" t="n">
        <v>1.15</v>
      </c>
      <c r="K55" s="522" t="n">
        <v>2.3</v>
      </c>
      <c r="L55" s="520">
        <f si="2" t="shared"/>
        <v>68.207441282674779</v>
      </c>
      <c r="M55" s="21">
        <f si="3" t="shared"/>
        <v>3.6172187649689727E-4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48.3</v>
      </c>
      <c r="J56" s="522" t="n">
        <v>4.6</v>
      </c>
      <c r="K56" s="522" t="n">
        <v>2.3</v>
      </c>
      <c r="L56" s="520">
        <f si="2" t="shared"/>
        <v>91.302155749489089</v>
      </c>
      <c r="M56" s="21">
        <f si="3" t="shared"/>
        <v>4.8419917951541787E-4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56.349999999999994</v>
      </c>
      <c r="J57" s="522" t="n">
        <v>0.0</v>
      </c>
      <c r="K57" s="522" t="n">
        <v>0.0</v>
      </c>
      <c r="L57" s="520">
        <f si="2" t="shared"/>
        <v>34.243083476347081</v>
      </c>
      <c r="M57" s="21">
        <f si="3" t="shared"/>
        <v>1.8160001576324227E-4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32.199999999999996</v>
      </c>
      <c r="J58" s="522" t="n">
        <v>1.15</v>
      </c>
      <c r="K58" s="522" t="n">
        <v>0.0</v>
      </c>
      <c r="L58" s="520">
        <f si="2" t="shared"/>
        <v>22.500239624757867</v>
      </c>
      <c r="M58" s="21">
        <f si="3" t="shared"/>
        <v>1.1932464765782945E-4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26.45</v>
      </c>
      <c r="J59" s="522" t="n">
        <v>4.6</v>
      </c>
      <c r="K59" s="522" t="n">
        <v>0.0</v>
      </c>
      <c r="L59" s="520">
        <f si="2" t="shared"/>
        <v>15.010550669695759</v>
      </c>
      <c r="M59" s="21">
        <f si="3" t="shared"/>
        <v>7.9604870867268251E-5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28.749999999999996</v>
      </c>
      <c r="J60" s="522" t="n">
        <v>1.15</v>
      </c>
      <c r="K60" s="522" t="n">
        <v>0.0</v>
      </c>
      <c r="L60" s="520">
        <f si="2" t="shared"/>
        <v>25.231172098341908</v>
      </c>
      <c r="M60" s="21">
        <f si="3" t="shared"/>
        <v>1.3380749586844033E-4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27.599999999999998</v>
      </c>
      <c r="J61" s="522" t="n">
        <v>2.3</v>
      </c>
      <c r="K61" s="522" t="n">
        <v>0.0</v>
      </c>
      <c r="L61" s="520">
        <f si="2" t="shared"/>
        <v>26.35359332512812</v>
      </c>
      <c r="M61" s="21">
        <f si="3" t="shared"/>
        <v>1.3975998880378499E-4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17.25</v>
      </c>
      <c r="J62" s="522" t="n">
        <v>2.3</v>
      </c>
      <c r="K62" s="522" t="n">
        <v>0.0</v>
      </c>
      <c r="L62" s="520">
        <f si="2" t="shared"/>
        <v>42.274494176501022</v>
      </c>
      <c r="M62" s="21">
        <f si="3" t="shared"/>
        <v>2.2419268446249857E-4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26.45</v>
      </c>
      <c r="J63" s="522" t="n">
        <v>5.75</v>
      </c>
      <c r="K63" s="522" t="n">
        <v>0.0</v>
      </c>
      <c r="L63" s="520">
        <f si="2" t="shared"/>
        <v>59.229793961470193</v>
      </c>
      <c r="M63" s="21">
        <f si="3" t="shared"/>
        <v>3.1411106784487512E-4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24.15</v>
      </c>
      <c r="J64" s="522" t="n">
        <v>1.15</v>
      </c>
      <c r="K64" s="522" t="n">
        <v>1.15</v>
      </c>
      <c r="L64" s="520">
        <f si="2" t="shared"/>
        <v>5.7419354838709697</v>
      </c>
      <c r="M64" s="21">
        <f si="3" t="shared"/>
        <v>3.0450983630102789E-5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14.95</v>
      </c>
      <c r="J65" s="522" t="n">
        <v>1.15</v>
      </c>
      <c r="K65" s="522" t="n">
        <v>0.0</v>
      </c>
      <c r="L65" s="520">
        <f si="2" t="shared"/>
        <v>59.547876236689355</v>
      </c>
      <c r="M65" s="21">
        <f si="3" t="shared"/>
        <v>3.1579794123154625E-4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16.099999999999998</v>
      </c>
      <c r="J66" s="522" t="n">
        <v>1.15</v>
      </c>
      <c r="K66" s="522" t="n">
        <v>0.0</v>
      </c>
      <c r="L66" s="520">
        <f si="2" t="shared"/>
        <v>6.0062305295950198</v>
      </c>
      <c r="M66" s="21">
        <f si="3" t="shared"/>
        <v>3.1852609289859362E-5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14.95</v>
      </c>
      <c r="J67" s="522" t="n">
        <v>0.0</v>
      </c>
      <c r="K67" s="522" t="n">
        <v>0.0</v>
      </c>
      <c r="L67" s="520">
        <f si="2" t="shared"/>
        <v>2.9985611510791399</v>
      </c>
      <c r="M67" s="21">
        <f si="3" t="shared"/>
        <v>1.5902152990373955E-5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9.2</v>
      </c>
      <c r="J68" s="522" t="n">
        <v>0.0</v>
      </c>
      <c r="K68" s="522" t="n">
        <v>0.0</v>
      </c>
      <c r="L68" s="520">
        <f si="2" t="shared"/>
        <v>10.48963730569948</v>
      </c>
      <c r="M68" s="21">
        <f si="3" t="shared"/>
        <v>5.5629286462520668E-5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21.849999999999998</v>
      </c>
      <c r="J69" s="522" t="n">
        <v>0.0</v>
      </c>
      <c r="K69" s="522" t="n">
        <v>0.0</v>
      </c>
      <c r="L69" s="520">
        <f si="2" t="shared"/>
        <v>0.5</v>
      </c>
      <c r="M69" s="21">
        <f si="3" t="shared"/>
        <v>2.6516305970033319E-6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5.75</v>
      </c>
      <c r="J70" s="522" t="n">
        <v>0.0</v>
      </c>
      <c r="K70" s="522" t="n">
        <v>0.0</v>
      </c>
      <c r="L70" s="520">
        <f si="2" t="shared"/>
        <v>0.25</v>
      </c>
      <c r="M70" s="21">
        <f si="3" t="shared"/>
        <v>1.3258152985016659E-6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10.35</v>
      </c>
      <c r="J71" s="522" t="n">
        <v>1.15</v>
      </c>
      <c r="K71" s="522" t="n">
        <v>0.0</v>
      </c>
      <c r="L71" s="520">
        <f si="2" t="shared"/>
        <v>9.9900673611982711</v>
      </c>
      <c r="M71" s="21">
        <f si="3" t="shared"/>
        <v>5.2979936562155346E-5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6.8999999999999995</v>
      </c>
      <c r="J72" s="522" t="n">
        <v>0.0</v>
      </c>
      <c r="K72" s="522" t="n">
        <v>0.0</v>
      </c>
      <c r="L72" s="520">
        <f si="2" t="shared"/>
        <v>0</v>
      </c>
      <c r="M72" s="21">
        <f si="3" t="shared"/>
        <v>0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3.4499999999999997</v>
      </c>
      <c r="J73" s="522" t="n">
        <v>1.15</v>
      </c>
      <c r="K73" s="522" t="n">
        <v>0.0</v>
      </c>
      <c r="L73" s="520">
        <f si="2" t="shared"/>
        <v>4.99845679012346</v>
      </c>
      <c r="M73" s="21">
        <f si="3" t="shared"/>
        <v>2.6508121924980855E-5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3.4499999999999997</v>
      </c>
      <c r="J74" s="522" t="n">
        <v>1.15</v>
      </c>
      <c r="K74" s="522" t="n">
        <v>0.0</v>
      </c>
      <c r="L74" s="520">
        <f si="2" t="shared"/>
        <v>0</v>
      </c>
      <c r="M74" s="21">
        <f si="3" t="shared"/>
        <v>0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2.3</v>
      </c>
      <c r="J75" s="522" t="n">
        <v>0.0</v>
      </c>
      <c r="K75" s="522" t="n">
        <v>0.0</v>
      </c>
      <c r="L75" s="520">
        <f si="2" t="shared"/>
        <v>0</v>
      </c>
      <c r="M75" s="21">
        <f si="3" t="shared"/>
        <v>0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4.6</v>
      </c>
      <c r="J76" s="522" t="n">
        <v>0.0</v>
      </c>
      <c r="K76" s="522" t="n">
        <v>0.0</v>
      </c>
      <c r="L76" s="520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6.8999999999999995</v>
      </c>
      <c r="J77" s="522" t="n">
        <v>0.0</v>
      </c>
      <c r="K77" s="522" t="n">
        <v>0.0</v>
      </c>
      <c r="L77" s="520">
        <f si="6" t="shared"/>
        <v>10.013986013986001</v>
      </c>
      <c r="M77" s="21">
        <f si="7" t="shared"/>
        <v>5.310678342529743E-5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1.15</v>
      </c>
      <c r="J78" s="522" t="n">
        <v>0.0</v>
      </c>
      <c r="K78" s="522" t="n">
        <v>0.0</v>
      </c>
      <c r="L78" s="520">
        <f si="6" t="shared"/>
        <v>9.9375</v>
      </c>
      <c r="M78" s="21">
        <f si="7" t="shared"/>
        <v>5.270115811544122E-5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4.6</v>
      </c>
      <c r="J79" s="522" t="n">
        <v>1.15</v>
      </c>
      <c r="K79" s="522" t="n">
        <v>0.0</v>
      </c>
      <c r="L79" s="520">
        <f si="6" t="shared"/>
        <v>0</v>
      </c>
      <c r="M79" s="21">
        <f si="7" t="shared"/>
        <v>0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0.0</v>
      </c>
      <c r="J80" s="522" t="n">
        <v>0.0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5.75</v>
      </c>
      <c r="J81" s="522" t="n">
        <v>0.0</v>
      </c>
      <c r="K81" s="522" t="n">
        <v>0.0</v>
      </c>
      <c r="L81" s="520">
        <f si="6" t="shared"/>
        <v>9.9619047619047603</v>
      </c>
      <c r="M81" s="21">
        <f si="7" t="shared"/>
        <v>5.2830582942199707E-5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0.0</v>
      </c>
      <c r="J82" s="522" t="n">
        <v>0.0</v>
      </c>
      <c r="K82" s="522" t="n">
        <v>0.0</v>
      </c>
      <c r="L82" s="520">
        <f si="6" t="shared"/>
        <v>0</v>
      </c>
      <c r="M82" s="21">
        <f si="7" t="shared"/>
        <v>0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2.3</v>
      </c>
      <c r="J83" s="522" t="n">
        <v>1.15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4.6</v>
      </c>
      <c r="J84" s="522" t="n">
        <v>0.0</v>
      </c>
      <c r="K84" s="522" t="n">
        <v>0.0</v>
      </c>
      <c r="L84" s="520">
        <f si="6" t="shared"/>
        <v>0.25</v>
      </c>
      <c r="M84" s="21">
        <f si="7" t="shared"/>
        <v>1.3258152985016659E-6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1.15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3.4499999999999997</v>
      </c>
      <c r="J86" s="522" t="n">
        <v>0.0</v>
      </c>
      <c r="K86" s="522" t="n">
        <v>0.0</v>
      </c>
      <c r="L86" s="520">
        <f si="6" t="shared"/>
        <v>14.99236711368923</v>
      </c>
      <c r="M86" s="21">
        <f si="7" t="shared"/>
        <v>7.9508438720329785E-5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0</v>
      </c>
      <c r="M87" s="21">
        <f si="7" t="shared"/>
        <v>0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2.3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0</v>
      </c>
      <c r="M89" s="21">
        <f si="7" t="shared"/>
        <v>0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10</v>
      </c>
      <c r="M92" s="21">
        <f si="7" t="shared"/>
        <v>5.3032611940066636E-5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0</v>
      </c>
      <c r="M93" s="21">
        <f si="7" t="shared"/>
        <v>0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si="6" t="shared"/>
        <v>0</v>
      </c>
      <c r="M101" s="21">
        <f si="7" t="shared"/>
        <v>0</v>
      </c>
    </row>
    <row r="102" spans="1:13" x14ac:dyDescent="0.25">
      <c r="B102" s="520"/>
      <c r="C102" s="520"/>
      <c r="D102" s="520"/>
      <c r="E102" s="520">
        <f>SUM(E11:E101)</f>
        <v>184043.16539742416</v>
      </c>
      <c r="F102" s="21">
        <f si="5" t="shared"/>
        <v>1</v>
      </c>
      <c r="I102" s="520"/>
      <c r="J102" s="520"/>
      <c r="K102" s="520"/>
      <c r="L102" s="520">
        <f>SUM(L11:L101)</f>
        <v>188563.21863424769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11325.2</v>
      </c>
      <c r="J11" s="293" t="n">
        <v>1014.3</v>
      </c>
      <c r="K11" s="383" t="n">
        <v>400.8564390642016</v>
      </c>
      <c r="L11">
        <f>SUM(I11:K11)</f>
        <v>10952.422670249978</v>
      </c>
      <c r="M11" s="21">
        <f>L11/$L$102</f>
        <v>5.8083558127495501E-2</v>
      </c>
      <c r="P11" t="s">
        <v>9</v>
      </c>
      <c r="Q11" s="8" t="n">
        <v>16.404392896874448</v>
      </c>
      <c r="R11" s="8" t="n">
        <v>14.20634848038026</v>
      </c>
    </row>
    <row r="12" spans="1:18" x14ac:dyDescent="0.25">
      <c r="A12">
        <v>1</v>
      </c>
      <c r="B12" s="8" t="n">
        <v>685.397493253</v>
      </c>
      <c r="C12" s="8" t="n">
        <v>0.0</v>
      </c>
      <c r="D12" s="8" t="n">
        <v>0.0</v>
      </c>
      <c r="E12" s="8">
        <f ref="E12:E75" si="0" t="shared">SUM(B12:D12)</f>
        <v>685.39749325299999</v>
      </c>
      <c r="F12" s="21">
        <f ref="F12:F75" si="1" t="shared">E12/$E$102</f>
        <v>3.7241127198228063E-3</v>
      </c>
      <c r="H12" s="114">
        <v>1</v>
      </c>
      <c r="I12" s="204" t="n">
        <v>15391.600000000002</v>
      </c>
      <c r="J12" s="294" t="n">
        <v>1284.55</v>
      </c>
      <c r="K12" s="384" t="n">
        <v>488.45335526374214</v>
      </c>
      <c r="L12">
        <f ref="L12:L75" si="2" t="shared">SUM(I12:K12)</f>
        <v>14211.840763315133</v>
      </c>
      <c r="M12" s="21">
        <f ref="M12:M75" si="3" t="shared">L12/$L$102</f>
        <v>7.5369103615491123E-2</v>
      </c>
      <c r="P12" t="s">
        <v>10</v>
      </c>
      <c r="Q12" s="8" t="n">
        <v>16.466197029932996</v>
      </c>
      <c r="R12" s="8" t="n">
        <v>14.440040703138651</v>
      </c>
    </row>
    <row r="13" spans="1:18" x14ac:dyDescent="0.25">
      <c r="A13">
        <v>2</v>
      </c>
      <c r="B13" s="8" t="n">
        <v>745.7226878492</v>
      </c>
      <c r="C13" s="8" t="n">
        <v>0.0</v>
      </c>
      <c r="D13" s="8" t="n">
        <v>0.0</v>
      </c>
      <c r="E13" s="8">
        <f si="0" t="shared"/>
        <v>745.72268784920004</v>
      </c>
      <c r="F13" s="21">
        <f si="1" t="shared"/>
        <v>4.0518901434828123E-3</v>
      </c>
      <c r="H13" s="115">
        <v>2</v>
      </c>
      <c r="I13" s="205" t="n">
        <v>14228.95</v>
      </c>
      <c r="J13" s="295" t="n">
        <v>1242.0</v>
      </c>
      <c r="K13" s="385" t="n">
        <v>517.1127207889754</v>
      </c>
      <c r="L13">
        <f si="2" t="shared"/>
        <v>13108.541144013714</v>
      </c>
      <c r="M13" s="21">
        <f si="3" t="shared"/>
        <v>6.9518017559087583E-2</v>
      </c>
      <c r="P13" s="6" t="s">
        <v>11</v>
      </c>
      <c r="Q13" s="11" t="n">
        <v>18.599176063687192</v>
      </c>
      <c r="R13" s="8" t="n">
        <v>13.640072533504904</v>
      </c>
    </row>
    <row ht="15.75" r="14" spans="1:18" thickBot="1" x14ac:dyDescent="0.3">
      <c r="A14">
        <v>3</v>
      </c>
      <c r="B14" s="8" t="n">
        <v>6549.2333025765</v>
      </c>
      <c r="C14" s="8" t="n">
        <v>282.0411067705</v>
      </c>
      <c r="D14" s="8" t="n">
        <v>984.8173479848</v>
      </c>
      <c r="E14" s="8">
        <f si="0" t="shared"/>
        <v>7816.0917573318002</v>
      </c>
      <c r="F14" s="21">
        <f si="1" t="shared"/>
        <v>4.2468796602436569E-2</v>
      </c>
      <c r="H14" s="116">
        <v>3</v>
      </c>
      <c r="I14" s="206" t="n">
        <v>12329.150000000001</v>
      </c>
      <c r="J14" s="296" t="n">
        <v>1148.85</v>
      </c>
      <c r="K14" s="386" t="n">
        <v>437.9077206423758</v>
      </c>
      <c r="L14">
        <f si="2" t="shared"/>
        <v>12162.725307907507</v>
      </c>
      <c r="M14" s="21">
        <f si="3" t="shared"/>
        <v>6.450210913878858E-2</v>
      </c>
      <c r="P14" s="1" t="s">
        <v>4</v>
      </c>
      <c r="Q14" s="12" t="n">
        <v>16.476710324072943</v>
      </c>
      <c r="R14" s="12" t="n">
        <v>14.2084747790524</v>
      </c>
    </row>
    <row r="15" spans="1:18" x14ac:dyDescent="0.25">
      <c r="A15">
        <v>4</v>
      </c>
      <c r="B15" s="8" t="n">
        <v>8784.3481885992</v>
      </c>
      <c r="C15" s="8" t="n">
        <v>53.2050820371</v>
      </c>
      <c r="D15" s="8" t="n">
        <v>0.0</v>
      </c>
      <c r="E15" s="8">
        <f si="0" t="shared"/>
        <v>8837.553270636301</v>
      </c>
      <c r="F15" s="21">
        <f si="1" t="shared"/>
        <v>4.8018915842663441E-2</v>
      </c>
      <c r="H15" s="117">
        <v>4</v>
      </c>
      <c r="I15" s="207" t="n">
        <v>10762.85</v>
      </c>
      <c r="J15" s="297" t="n">
        <v>992.4499999999999</v>
      </c>
      <c r="K15" s="387" t="n">
        <v>372.96854423363305</v>
      </c>
      <c r="L15">
        <f si="2" t="shared"/>
        <v>10335.30534583772</v>
      </c>
      <c r="M15" s="21">
        <f si="3" t="shared"/>
        <v>5.4810823768790748E-2</v>
      </c>
    </row>
    <row r="16" spans="1:18" x14ac:dyDescent="0.25">
      <c r="A16">
        <v>5</v>
      </c>
      <c r="B16" s="8" t="n">
        <v>15754.5264644916</v>
      </c>
      <c r="C16" s="8" t="n">
        <v>341.81014393600003</v>
      </c>
      <c r="D16" s="8" t="n">
        <v>1245.0347862898</v>
      </c>
      <c r="E16" s="8">
        <f si="0" t="shared"/>
        <v>17341.3713947174</v>
      </c>
      <c r="F16" s="21">
        <f si="1" t="shared"/>
        <v>9.4224479117550025E-2</v>
      </c>
      <c r="H16" s="118">
        <v>5</v>
      </c>
      <c r="I16" s="208" t="n">
        <v>9145.949999999999</v>
      </c>
      <c r="J16" s="298" t="n">
        <v>903.9</v>
      </c>
      <c r="K16" s="388" t="n">
        <v>348.5062101519426</v>
      </c>
      <c r="L16">
        <f si="2" t="shared"/>
        <v>8477.9168107355108</v>
      </c>
      <c r="M16" s="21">
        <f si="3" t="shared"/>
        <v>4.4960607228390327E-2</v>
      </c>
    </row>
    <row r="17" spans="1:13" x14ac:dyDescent="0.25">
      <c r="A17">
        <v>6</v>
      </c>
      <c r="B17" s="8" t="n">
        <v>9965.5440861781</v>
      </c>
      <c r="C17" s="8" t="n">
        <v>524.3175229492</v>
      </c>
      <c r="D17" s="8" t="n">
        <v>416.016933519</v>
      </c>
      <c r="E17" s="8">
        <f si="0" t="shared"/>
        <v>10905.878542646302</v>
      </c>
      <c r="F17" s="21">
        <f si="1" t="shared"/>
        <v>5.9257177625129769E-2</v>
      </c>
      <c r="H17" s="119">
        <v>6</v>
      </c>
      <c r="I17" s="209" t="n">
        <v>7387.599999999999</v>
      </c>
      <c r="J17" s="299" t="n">
        <v>771.65</v>
      </c>
      <c r="K17" s="389" t="n">
        <v>300.42210647791256</v>
      </c>
      <c r="L17">
        <f si="2" t="shared"/>
        <v>7451.2948540006901</v>
      </c>
      <c r="M17" s="21">
        <f si="3" t="shared"/>
        <v>3.9516162844323369E-2</v>
      </c>
    </row>
    <row r="18" spans="1:13" x14ac:dyDescent="0.25">
      <c r="A18">
        <v>7</v>
      </c>
      <c r="B18" s="8" t="n">
        <v>7448.6208727686</v>
      </c>
      <c r="C18" s="8" t="n">
        <v>0.0</v>
      </c>
      <c r="D18" s="8" t="n">
        <v>318.528901961</v>
      </c>
      <c r="E18" s="8">
        <f si="0" t="shared"/>
        <v>7767.1497747295998</v>
      </c>
      <c r="F18" s="21">
        <f si="1" t="shared"/>
        <v>4.2202869951498377E-2</v>
      </c>
      <c r="H18" s="120">
        <v>7</v>
      </c>
      <c r="I18" s="210" t="n">
        <v>6115.7</v>
      </c>
      <c r="J18" s="300" t="n">
        <v>601.4499999999999</v>
      </c>
      <c r="K18" s="390" t="n">
        <v>243.56699805154616</v>
      </c>
      <c r="L18">
        <f si="2" t="shared"/>
        <v>6662.2529312604111</v>
      </c>
      <c r="M18" s="21">
        <f si="3" t="shared"/>
        <v>3.5331667435010448E-2</v>
      </c>
    </row>
    <row r="19" spans="1:13" x14ac:dyDescent="0.2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si="0" t="shared"/>
        <v>3224.8236041552</v>
      </c>
      <c r="F19" s="21">
        <f si="1" t="shared"/>
        <v>1.7522104649697216E-2</v>
      </c>
      <c r="H19" s="121">
        <v>8</v>
      </c>
      <c r="I19" s="211" t="n">
        <v>5321.049999999999</v>
      </c>
      <c r="J19" s="301" t="n">
        <v>560.05</v>
      </c>
      <c r="K19" s="391" t="n">
        <v>234.42508324282252</v>
      </c>
      <c r="L19">
        <f si="2" t="shared"/>
        <v>5080.0000293024732</v>
      </c>
      <c r="M19" s="21">
        <f si="3" t="shared"/>
        <v>2.6940567020952495E-2</v>
      </c>
    </row>
    <row r="20" spans="1:13" x14ac:dyDescent="0.2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si="0" t="shared"/>
        <v>5702.3992561658006</v>
      </c>
      <c r="F20" s="21">
        <f si="1" t="shared"/>
        <v>3.0984031620256026E-2</v>
      </c>
      <c r="H20" s="122">
        <v>9</v>
      </c>
      <c r="I20" s="212" t="n">
        <v>4419.45</v>
      </c>
      <c r="J20" s="302" t="n">
        <v>492.2</v>
      </c>
      <c r="K20" s="392" t="n">
        <v>164.0233717840405</v>
      </c>
      <c r="L20">
        <f si="2" t="shared"/>
        <v>4257.6791642205126</v>
      </c>
      <c r="M20" s="21">
        <f si="3" t="shared"/>
        <v>2.2579584688141349E-2</v>
      </c>
    </row>
    <row r="21" spans="1:13" x14ac:dyDescent="0.25">
      <c r="A21">
        <v>10</v>
      </c>
      <c r="B21" s="8" t="n">
        <v>793.202713876</v>
      </c>
      <c r="C21" s="8" t="n">
        <v>0.0</v>
      </c>
      <c r="D21" s="8" t="n">
        <v>0.0</v>
      </c>
      <c r="E21" s="8">
        <f si="0" t="shared"/>
        <v>793.20271387599996</v>
      </c>
      <c r="F21" s="21">
        <f si="1" t="shared"/>
        <v>4.3098732417645178E-3</v>
      </c>
      <c r="H21" s="123">
        <v>10</v>
      </c>
      <c r="I21" s="213" t="n">
        <v>3527.0499999999997</v>
      </c>
      <c r="J21" s="303" t="n">
        <v>354.2</v>
      </c>
      <c r="K21" s="393" t="n">
        <v>145.38306345041204</v>
      </c>
      <c r="L21">
        <f si="2" t="shared"/>
        <v>3853.6949547017002</v>
      </c>
      <c r="M21" s="21">
        <f si="3" t="shared"/>
        <v>2.0437150906808775E-2</v>
      </c>
    </row>
    <row r="22" spans="1:13" x14ac:dyDescent="0.25">
      <c r="A22">
        <v>11</v>
      </c>
      <c r="B22" s="8" t="n">
        <v>3303.7878851748</v>
      </c>
      <c r="C22" s="8" t="n">
        <v>0.0</v>
      </c>
      <c r="D22" s="8" t="n">
        <v>0.0</v>
      </c>
      <c r="E22" s="8">
        <f si="0" t="shared"/>
        <v>3303.7878851748001</v>
      </c>
      <c r="F22" s="21">
        <f si="1" t="shared"/>
        <v>1.7951157697383521E-2</v>
      </c>
      <c r="H22" s="124">
        <v>11</v>
      </c>
      <c r="I22" s="214" t="n">
        <v>3106.1499999999996</v>
      </c>
      <c r="J22" s="304" t="n">
        <v>295.54999999999995</v>
      </c>
      <c r="K22" s="394" t="n">
        <v>109.94745515265873</v>
      </c>
      <c r="L22">
        <f si="2" t="shared"/>
        <v>3037.4301690316252</v>
      </c>
      <c r="M22" s="21">
        <f si="3" t="shared"/>
        <v>1.6108285544930503E-2</v>
      </c>
    </row>
    <row r="23" spans="1:13" x14ac:dyDescent="0.25">
      <c r="A23">
        <v>12</v>
      </c>
      <c r="B23" s="8" t="n">
        <v>2265.4087678975</v>
      </c>
      <c r="C23" s="8" t="n">
        <v>371.518941673</v>
      </c>
      <c r="D23" s="8" t="n">
        <v>0.0</v>
      </c>
      <c r="E23" s="8">
        <f si="0" t="shared"/>
        <v>2636.9277095705002</v>
      </c>
      <c r="F23" s="21">
        <f si="1" t="shared"/>
        <v>1.4327767640141913E-2</v>
      </c>
      <c r="H23" s="125">
        <v>12</v>
      </c>
      <c r="I23" s="215" t="n">
        <v>2607.0499999999997</v>
      </c>
      <c r="J23" s="305" t="n">
        <v>269.09999999999997</v>
      </c>
      <c r="K23" s="395" t="n">
        <v>89.02745762927421</v>
      </c>
      <c r="L23">
        <f si="2" t="shared"/>
        <v>2514.454507340804</v>
      </c>
      <c r="M23" s="21">
        <f si="3" t="shared"/>
        <v>1.3334809012875617E-2</v>
      </c>
    </row>
    <row r="24" spans="1:13" x14ac:dyDescent="0.25">
      <c r="A24">
        <v>13</v>
      </c>
      <c r="B24" s="8" t="n">
        <v>2224.621167084</v>
      </c>
      <c r="C24" s="8" t="n">
        <v>0.0</v>
      </c>
      <c r="D24" s="8" t="n">
        <v>0.0</v>
      </c>
      <c r="E24" s="8">
        <f si="0" t="shared"/>
        <v>2224.6211670839998</v>
      </c>
      <c r="F24" s="21">
        <f si="1" t="shared"/>
        <v>1.2087496768924486E-2</v>
      </c>
      <c r="H24" s="126">
        <v>13</v>
      </c>
      <c r="I24" s="216" t="n">
        <v>2196.5</v>
      </c>
      <c r="J24" s="306" t="n">
        <v>267.95</v>
      </c>
      <c r="K24" s="396" t="n">
        <v>91.05443872627038</v>
      </c>
      <c r="L24">
        <f si="2" t="shared"/>
        <v>2347.7196414209134</v>
      </c>
      <c r="M24" s="21">
        <f si="3" t="shared"/>
        <v>1.2450570468754758E-2</v>
      </c>
    </row>
    <row r="25" spans="1:13" x14ac:dyDescent="0.25">
      <c r="A25">
        <v>14</v>
      </c>
      <c r="B25" s="8" t="n">
        <v>6622.1749909665</v>
      </c>
      <c r="C25" s="8" t="n">
        <v>145.384465385</v>
      </c>
      <c r="D25" s="8" t="n">
        <v>0.0</v>
      </c>
      <c r="E25" s="8">
        <f si="0" t="shared"/>
        <v>6767.5594563515006</v>
      </c>
      <c r="F25" s="21">
        <f si="1" t="shared"/>
        <v>3.6771588022503209E-2</v>
      </c>
      <c r="H25" s="127">
        <v>14</v>
      </c>
      <c r="I25" s="217" t="n">
        <v>1718.1</v>
      </c>
      <c r="J25" s="307" t="n">
        <v>201.24999999999997</v>
      </c>
      <c r="K25" s="397" t="n">
        <v>79.21730215017901</v>
      </c>
      <c r="L25">
        <f si="2" t="shared"/>
        <v>1833.8951842587383</v>
      </c>
      <c r="M25" s="21">
        <f si="3" t="shared"/>
        <v>9.725625164555057E-3</v>
      </c>
    </row>
    <row r="26" spans="1:13" x14ac:dyDescent="0.25">
      <c r="A26">
        <v>15</v>
      </c>
      <c r="B26" s="8" t="n">
        <v>5365.6273869016995</v>
      </c>
      <c r="C26" s="8" t="n">
        <v>0.0</v>
      </c>
      <c r="D26" s="8" t="n">
        <v>0.0</v>
      </c>
      <c r="E26" s="8">
        <f si="0" t="shared"/>
        <v>5365.6273869016995</v>
      </c>
      <c r="F26" s="21">
        <f si="1" t="shared"/>
        <v>2.9154178995536854E-2</v>
      </c>
      <c r="H26" s="128">
        <v>15</v>
      </c>
      <c r="I26" s="218" t="n">
        <v>1560.55</v>
      </c>
      <c r="J26" s="308" t="n">
        <v>175.95</v>
      </c>
      <c r="K26" s="398" t="n">
        <v>60.9719259889362</v>
      </c>
      <c r="L26">
        <f si="2" t="shared"/>
        <v>1634.323043795167</v>
      </c>
      <c r="M26" s="21">
        <f si="3" t="shared"/>
        <v>8.6672419766297536E-3</v>
      </c>
    </row>
    <row r="27" spans="1:13" x14ac:dyDescent="0.2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si="0" t="shared"/>
        <v>9413.1043148675999</v>
      </c>
      <c r="F27" s="21">
        <f si="1" t="shared"/>
        <v>5.114617700983827E-2</v>
      </c>
      <c r="H27" s="129">
        <v>16</v>
      </c>
      <c r="I27" s="219" t="n">
        <v>1357.0</v>
      </c>
      <c r="J27" s="309" t="n">
        <v>151.79999999999998</v>
      </c>
      <c r="K27" s="399" t="n">
        <v>51.71008279319094</v>
      </c>
      <c r="L27">
        <f si="2" t="shared"/>
        <v>1487.7461111682592</v>
      </c>
      <c r="M27" s="21">
        <f si="3" t="shared"/>
        <v>7.8899062178929454E-3</v>
      </c>
    </row>
    <row r="28" spans="1:13" x14ac:dyDescent="0.25">
      <c r="A28">
        <v>17</v>
      </c>
      <c r="B28" s="8" t="n">
        <v>4317.151532284</v>
      </c>
      <c r="C28" s="8" t="n">
        <v>0.0</v>
      </c>
      <c r="D28" s="8" t="n">
        <v>0.0</v>
      </c>
      <c r="E28" s="8">
        <f si="0" t="shared"/>
        <v>4317.1515322839996</v>
      </c>
      <c r="F28" s="21">
        <f si="1" t="shared"/>
        <v>2.3457277117362712E-2</v>
      </c>
      <c r="H28" s="130">
        <v>17</v>
      </c>
      <c r="I28" s="220" t="n">
        <v>1269.6</v>
      </c>
      <c r="J28" s="310" t="n">
        <v>133.39999999999998</v>
      </c>
      <c r="K28" s="400" t="n">
        <v>44.509598086628834</v>
      </c>
      <c r="L28">
        <f si="2" t="shared"/>
        <v>1224.1617456569593</v>
      </c>
      <c r="M28" s="21">
        <f si="3" t="shared"/>
        <v>6.4920494809300013E-3</v>
      </c>
    </row>
    <row r="29" spans="1:13" x14ac:dyDescent="0.25">
      <c r="A29">
        <v>18</v>
      </c>
      <c r="B29" s="8" t="n">
        <v>13371.8236885691</v>
      </c>
      <c r="C29" s="8" t="n">
        <v>558.9171554939</v>
      </c>
      <c r="D29" s="8" t="n">
        <v>0.0</v>
      </c>
      <c r="E29" s="8">
        <f si="0" t="shared"/>
        <v>13930.740844063001</v>
      </c>
      <c r="F29" s="21">
        <f si="1" t="shared"/>
        <v>7.5692790949236574E-2</v>
      </c>
      <c r="H29" s="131">
        <v>18</v>
      </c>
      <c r="I29" s="221" t="n">
        <v>10657.05</v>
      </c>
      <c r="J29" s="311" t="n">
        <v>1270.75</v>
      </c>
      <c r="K29" s="401" t="n">
        <v>452.0721347377947</v>
      </c>
      <c r="L29">
        <f si="2" t="shared"/>
        <v>11254.43445599699</v>
      </c>
      <c r="M29" s="21">
        <f si="3" t="shared"/>
        <v>5.9685205510980284E-2</v>
      </c>
    </row>
    <row r="30" spans="1:13" x14ac:dyDescent="0.25">
      <c r="A30">
        <v>19</v>
      </c>
      <c r="B30" s="8" t="n">
        <v>14511.7462395698</v>
      </c>
      <c r="C30" s="8" t="n">
        <v>442.4962878333</v>
      </c>
      <c r="D30" s="8" t="n">
        <v>295.6132959603</v>
      </c>
      <c r="E30" s="8">
        <f si="0" t="shared"/>
        <v>15249.855823363401</v>
      </c>
      <c r="F30" s="21">
        <f si="1" t="shared"/>
        <v>8.2860212659528795E-2</v>
      </c>
      <c r="H30" s="132">
        <v>19</v>
      </c>
      <c r="I30" s="222" t="n">
        <v>5317.599999999999</v>
      </c>
      <c r="J30" s="312" t="n">
        <v>556.5999999999999</v>
      </c>
      <c r="K30" s="402" t="n">
        <v>200.15159341603598</v>
      </c>
      <c r="L30">
        <f si="2" t="shared"/>
        <v>5102.3522354800934</v>
      </c>
      <c r="M30" s="21">
        <f si="3" t="shared"/>
        <v>2.7059106608574704E-2</v>
      </c>
    </row>
    <row r="31" spans="1:13" x14ac:dyDescent="0.25">
      <c r="A31">
        <v>20</v>
      </c>
      <c r="B31" s="8" t="n">
        <v>8268.3347137767</v>
      </c>
      <c r="C31" s="8" t="n">
        <v>622.180084074</v>
      </c>
      <c r="D31" s="8" t="n">
        <v>0.0</v>
      </c>
      <c r="E31" s="8">
        <f si="0" t="shared"/>
        <v>8890.5147978506993</v>
      </c>
      <c r="F31" s="21">
        <f si="1" t="shared"/>
        <v>4.8306682721156499E-2</v>
      </c>
      <c r="H31" s="133">
        <v>20</v>
      </c>
      <c r="I31" s="223" t="n">
        <v>4183.7</v>
      </c>
      <c r="J31" s="313" t="n">
        <v>439.29999999999995</v>
      </c>
      <c r="K31" s="403" t="n">
        <v>165.57060744518776</v>
      </c>
      <c r="L31">
        <f si="2" t="shared"/>
        <v>4719.7275868050328</v>
      </c>
      <c r="M31" s="21">
        <f si="3" t="shared"/>
        <v>2.5029948157385826E-2</v>
      </c>
    </row>
    <row r="32" spans="1:13" x14ac:dyDescent="0.25">
      <c r="A32">
        <v>21</v>
      </c>
      <c r="B32" s="8" t="n">
        <v>8869.306367306</v>
      </c>
      <c r="C32" s="8" t="n">
        <v>1417.41069362</v>
      </c>
      <c r="D32" s="8" t="n">
        <v>86.2921514892</v>
      </c>
      <c r="E32" s="8">
        <f si="0" t="shared"/>
        <v>10373.009212415202</v>
      </c>
      <c r="F32" s="21">
        <f si="1" t="shared"/>
        <v>5.6361827889754273E-2</v>
      </c>
      <c r="H32" s="134">
        <v>21</v>
      </c>
      <c r="I32" s="224" t="n">
        <v>6947.15</v>
      </c>
      <c r="J32" s="314" t="n">
        <v>733.6999999999999</v>
      </c>
      <c r="K32" s="404" t="n">
        <v>273.3124430505161</v>
      </c>
      <c r="L32">
        <f si="2" t="shared"/>
        <v>6998.4653326799043</v>
      </c>
      <c r="M32" s="21">
        <f si="3" t="shared"/>
        <v>3.7114689616402241E-2</v>
      </c>
    </row>
    <row r="33" spans="1:13" x14ac:dyDescent="0.25">
      <c r="A33">
        <v>22</v>
      </c>
      <c r="B33" s="8" t="n">
        <v>6624.3245086104</v>
      </c>
      <c r="C33" s="8" t="n">
        <v>43.8943422849</v>
      </c>
      <c r="D33" s="8" t="n">
        <v>0.0</v>
      </c>
      <c r="E33" s="8">
        <f si="0" t="shared"/>
        <v>6668.2188508952995</v>
      </c>
      <c r="F33" s="21">
        <f si="1" t="shared"/>
        <v>3.6231820054256826E-2</v>
      </c>
      <c r="H33" s="135">
        <v>22</v>
      </c>
      <c r="I33" s="225" t="n">
        <v>5547.599999999999</v>
      </c>
      <c r="J33" s="315" t="n">
        <v>695.75</v>
      </c>
      <c r="K33" s="405" t="n">
        <v>244.25162102173869</v>
      </c>
      <c r="L33">
        <f si="2" t="shared"/>
        <v>5385.3565775639672</v>
      </c>
      <c r="M33" s="21">
        <f si="3" t="shared"/>
        <v>2.8559952553683498E-2</v>
      </c>
    </row>
    <row r="34" spans="1:13" x14ac:dyDescent="0.25">
      <c r="A34">
        <v>23</v>
      </c>
      <c r="B34" s="8" t="n">
        <v>2024.971281023</v>
      </c>
      <c r="C34" s="8" t="n">
        <v>92.3910074567</v>
      </c>
      <c r="D34" s="8" t="n">
        <v>0.0</v>
      </c>
      <c r="E34" s="8">
        <f si="0" t="shared"/>
        <v>2117.3622884797001</v>
      </c>
      <c r="F34" s="21">
        <f si="1" t="shared"/>
        <v>1.1504704800677884E-2</v>
      </c>
      <c r="H34" s="136">
        <v>23</v>
      </c>
      <c r="I34" s="226" t="n">
        <v>4649.45</v>
      </c>
      <c r="J34" s="316" t="n">
        <v>471.49999999999994</v>
      </c>
      <c r="K34" s="406" t="n">
        <v>174.5385528986759</v>
      </c>
      <c r="L34">
        <f si="2" t="shared"/>
        <v>4589.884319517203</v>
      </c>
      <c r="M34" s="21">
        <f si="3" t="shared"/>
        <v>2.4341355396675243E-2</v>
      </c>
    </row>
    <row r="35" spans="1:13" x14ac:dyDescent="0.25">
      <c r="A35">
        <v>24</v>
      </c>
      <c r="B35" s="8" t="n">
        <v>2928.7438684278</v>
      </c>
      <c r="C35" s="8" t="n">
        <v>0.0</v>
      </c>
      <c r="D35" s="8" t="n">
        <v>0.0</v>
      </c>
      <c r="E35" s="8">
        <f si="0" t="shared"/>
        <v>2928.7438684278</v>
      </c>
      <c r="F35" s="21">
        <f si="1" t="shared"/>
        <v>1.591335305553699E-2</v>
      </c>
      <c r="H35" s="137">
        <v>24</v>
      </c>
      <c r="I35" s="227" t="n">
        <v>3553.4999999999995</v>
      </c>
      <c r="J35" s="317" t="n">
        <v>384.09999999999997</v>
      </c>
      <c r="K35" s="407" t="n">
        <v>135.58751730241727</v>
      </c>
      <c r="L35">
        <f si="2" t="shared"/>
        <v>3288.0568068104853</v>
      </c>
      <c r="M35" s="21">
        <f si="3" t="shared"/>
        <v>1.7437424067247496E-2</v>
      </c>
    </row>
    <row r="36" spans="1:13" x14ac:dyDescent="0.25">
      <c r="A36">
        <v>25</v>
      </c>
      <c r="B36" s="8" t="n">
        <v>383.2277741149</v>
      </c>
      <c r="C36" s="8" t="n">
        <v>0.0</v>
      </c>
      <c r="D36" s="8" t="n">
        <v>0.0</v>
      </c>
      <c r="E36" s="8">
        <f si="0" t="shared"/>
        <v>383.2277741149</v>
      </c>
      <c r="F36" s="21">
        <f si="1" t="shared"/>
        <v>2.0822711524622773E-3</v>
      </c>
      <c r="H36" s="138">
        <v>25</v>
      </c>
      <c r="I36" s="228" t="n">
        <v>3338.45</v>
      </c>
      <c r="J36" s="318" t="n">
        <v>384.09999999999997</v>
      </c>
      <c r="K36" s="408" t="n">
        <v>150.09729065811212</v>
      </c>
      <c r="L36">
        <f si="2" t="shared"/>
        <v>2708.4603985442054</v>
      </c>
      <c r="M36" s="21">
        <f si="3" t="shared"/>
        <v>1.4363672927103294E-2</v>
      </c>
    </row>
    <row r="37" spans="1:13" x14ac:dyDescent="0.25">
      <c r="A37">
        <v>26</v>
      </c>
      <c r="B37" s="8" t="n">
        <v>4423.3362208229</v>
      </c>
      <c r="C37" s="8" t="n">
        <v>0.0</v>
      </c>
      <c r="D37" s="8" t="n">
        <v>0.0</v>
      </c>
      <c r="E37" s="8">
        <f si="0" t="shared"/>
        <v>4423.3362208229</v>
      </c>
      <c r="F37" s="21">
        <f si="1" t="shared"/>
        <v>2.4034232465362758E-2</v>
      </c>
      <c r="H37" s="139">
        <v>26</v>
      </c>
      <c r="I37" s="229" t="n">
        <v>3340.7499999999995</v>
      </c>
      <c r="J37" s="319" t="n">
        <v>327.75</v>
      </c>
      <c r="K37" s="409" t="n">
        <v>123.45070507118605</v>
      </c>
      <c r="L37">
        <f si="2" t="shared"/>
        <v>3870.7887733154994</v>
      </c>
      <c r="M37" s="21">
        <f si="3" t="shared"/>
        <v>2.0527803891720726E-2</v>
      </c>
    </row>
    <row r="38" spans="1:13" x14ac:dyDescent="0.2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si="0" t="shared"/>
        <v>1425.6068219294</v>
      </c>
      <c r="F38" s="21">
        <f si="1" t="shared"/>
        <v>7.7460459824788058E-3</v>
      </c>
      <c r="H38" s="140">
        <v>27</v>
      </c>
      <c r="I38" s="230" t="n">
        <v>2042.3999999999999</v>
      </c>
      <c r="J38" s="320" t="n">
        <v>184.0</v>
      </c>
      <c r="K38" s="410" t="n">
        <v>74.01489188802245</v>
      </c>
      <c r="L38">
        <f si="2" t="shared"/>
        <v>1899.2817553219131</v>
      </c>
      <c r="M38" s="21">
        <f si="3" t="shared"/>
        <v>1.0072387229483552E-2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117.557623914</v>
      </c>
      <c r="E39" s="8">
        <f si="0" t="shared"/>
        <v>117.557623914</v>
      </c>
      <c r="F39" s="21">
        <f si="1" t="shared"/>
        <v>6.3875028263149676E-4</v>
      </c>
      <c r="H39" s="141">
        <v>28</v>
      </c>
      <c r="I39" s="231" t="n">
        <v>2302.2999999999997</v>
      </c>
      <c r="J39" s="321" t="n">
        <v>256.45</v>
      </c>
      <c r="K39" s="411" t="n">
        <v>81.80968573597447</v>
      </c>
      <c r="L39">
        <f si="2" t="shared"/>
        <v>1813.1388534439657</v>
      </c>
      <c r="M39" s="21">
        <f si="3" t="shared"/>
        <v>9.6155489208151097E-3</v>
      </c>
    </row>
    <row r="40" spans="1:13" x14ac:dyDescent="0.2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si="0" t="shared"/>
        <v>368.01794152919996</v>
      </c>
      <c r="F40" s="21">
        <f si="1" t="shared"/>
        <v>1.9996284063822705E-3</v>
      </c>
      <c r="H40" s="142">
        <v>29</v>
      </c>
      <c r="I40" s="232" t="n">
        <v>2689.85</v>
      </c>
      <c r="J40" s="322" t="n">
        <v>232.29999999999998</v>
      </c>
      <c r="K40" s="412" t="n">
        <v>79.69147328249437</v>
      </c>
      <c r="L40">
        <f si="2" t="shared"/>
        <v>2529.7869360212603</v>
      </c>
      <c r="M40" s="21">
        <f si="3" t="shared"/>
        <v>1.3416120886906555E-2</v>
      </c>
    </row>
    <row r="41" spans="1:13" x14ac:dyDescent="0.25">
      <c r="A41">
        <v>30</v>
      </c>
      <c r="B41" s="8" t="n">
        <v>688.323660681</v>
      </c>
      <c r="C41" s="8" t="n">
        <v>0.0</v>
      </c>
      <c r="D41" s="8" t="n">
        <v>0.0</v>
      </c>
      <c r="E41" s="8">
        <f si="0" t="shared"/>
        <v>688.32366068099998</v>
      </c>
      <c r="F41" s="21">
        <f si="1" t="shared"/>
        <v>3.7400120737688287E-3</v>
      </c>
      <c r="H41" s="143">
        <v>30</v>
      </c>
      <c r="I41" s="233" t="n">
        <v>1513.3999999999999</v>
      </c>
      <c r="J41" s="323" t="n">
        <v>166.75</v>
      </c>
      <c r="K41" s="413" t="n">
        <v>69.53884953794763</v>
      </c>
      <c r="L41">
        <f si="2" t="shared"/>
        <v>1336.1767945684842</v>
      </c>
      <c r="M41" s="21">
        <f si="3" t="shared"/>
        <v>7.0860945429672495E-3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1559.3999999999999</v>
      </c>
      <c r="J42" s="324" t="n">
        <v>178.25</v>
      </c>
      <c r="K42" s="414" t="n">
        <v>47.57568339935363</v>
      </c>
      <c r="L42">
        <f si="2" t="shared"/>
        <v>1696.3092732005098</v>
      </c>
      <c r="M42" s="21">
        <f si="3" t="shared"/>
        <v>8.9959711415979037E-3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1810.1</v>
      </c>
      <c r="J43" s="325" t="n">
        <v>202.39999999999998</v>
      </c>
      <c r="K43" s="415" t="n">
        <v>54.4293132228035</v>
      </c>
      <c r="L43">
        <f si="2" t="shared"/>
        <v>3795.2620333150753</v>
      </c>
      <c r="M43" s="21">
        <f si="3" t="shared"/>
        <v>2.0127265862366645E-2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2172.35</v>
      </c>
      <c r="J44" s="326" t="n">
        <v>159.85</v>
      </c>
      <c r="K44" s="416" t="n">
        <v>43.90379425037439</v>
      </c>
      <c r="L44">
        <f si="2" t="shared"/>
        <v>1365.5963752643643</v>
      </c>
      <c r="M44" s="21">
        <f si="3" t="shared"/>
        <v>7.242114263615658E-3</v>
      </c>
    </row>
    <row r="45" spans="1:13" x14ac:dyDescent="0.25">
      <c r="A45">
        <v>34</v>
      </c>
      <c r="B45" s="8" t="n">
        <v>2743.3576988123</v>
      </c>
      <c r="C45" s="8" t="n">
        <v>0.0</v>
      </c>
      <c r="D45" s="8" t="n">
        <v>2026.8388074595</v>
      </c>
      <c r="E45" s="8">
        <f si="0" t="shared"/>
        <v>4770.1965062718</v>
      </c>
      <c r="F45" s="21">
        <f si="1" t="shared"/>
        <v>2.5918900579497216E-2</v>
      </c>
      <c r="H45" s="147">
        <v>34</v>
      </c>
      <c r="I45" s="237" t="n">
        <v>1508.8</v>
      </c>
      <c r="J45" s="327" t="n">
        <v>148.35</v>
      </c>
      <c r="K45" s="417" t="n">
        <v>36.42329660420992</v>
      </c>
      <c r="L45">
        <f si="2" t="shared"/>
        <v>1701.8797015627238</v>
      </c>
      <c r="M45" s="21">
        <f si="3" t="shared"/>
        <v>9.0255125781652269E-3</v>
      </c>
    </row>
    <row r="46" spans="1:13" x14ac:dyDescent="0.25">
      <c r="A46">
        <v>35</v>
      </c>
      <c r="B46" s="8" t="n">
        <v>58.1735784831</v>
      </c>
      <c r="C46" s="8" t="n">
        <v>0.0</v>
      </c>
      <c r="D46" s="8" t="n">
        <v>0.0</v>
      </c>
      <c r="E46" s="8">
        <f si="0" t="shared"/>
        <v>58.173578483100002</v>
      </c>
      <c r="F46" s="21">
        <f si="1" t="shared"/>
        <v>3.160866004313691E-4</v>
      </c>
      <c r="H46" s="148">
        <v>35</v>
      </c>
      <c r="I46" s="238" t="n">
        <v>1400.6999999999998</v>
      </c>
      <c r="J46" s="328" t="n">
        <v>140.29999999999998</v>
      </c>
      <c r="K46" s="418" t="n">
        <v>43.192298911432886</v>
      </c>
      <c r="L46">
        <f si="2" t="shared"/>
        <v>2314.3031613316653</v>
      </c>
      <c r="M46" s="21">
        <f si="3" t="shared"/>
        <v>1.2273354146657152E-2</v>
      </c>
    </row>
    <row r="47" spans="1:13" x14ac:dyDescent="0.25">
      <c r="A47">
        <v>36</v>
      </c>
      <c r="B47" s="8" t="n">
        <v>491.234749696</v>
      </c>
      <c r="C47" s="8" t="n">
        <v>327.039856179</v>
      </c>
      <c r="D47" s="8" t="n">
        <v>0.0</v>
      </c>
      <c r="E47" s="8">
        <f si="0" t="shared"/>
        <v>818.27460587500002</v>
      </c>
      <c r="F47" s="21">
        <f si="1" t="shared"/>
        <v>4.4461015659452048E-3</v>
      </c>
      <c r="H47" s="149">
        <v>36</v>
      </c>
      <c r="I47" s="239" t="n">
        <v>921.15</v>
      </c>
      <c r="J47" s="329" t="n">
        <v>104.64999999999999</v>
      </c>
      <c r="K47" s="419" t="n">
        <v>29.448124004329618</v>
      </c>
      <c r="L47">
        <f si="2" t="shared"/>
        <v>913.98846577589575</v>
      </c>
      <c r="M47" s="21">
        <f si="3" t="shared"/>
        <v>4.8471195623189913E-3</v>
      </c>
    </row>
    <row r="48" spans="1:13" x14ac:dyDescent="0.2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si="0" t="shared"/>
        <v>214.57446571990002</v>
      </c>
      <c r="F48" s="21">
        <f si="1" t="shared"/>
        <v>1.16589206263947E-3</v>
      </c>
      <c r="H48" s="150">
        <v>37</v>
      </c>
      <c r="I48" s="240" t="n">
        <v>1224.75</v>
      </c>
      <c r="J48" s="330" t="n">
        <v>96.6</v>
      </c>
      <c r="K48" s="420" t="n">
        <v>36.96187250048873</v>
      </c>
      <c r="L48">
        <f si="2" t="shared"/>
        <v>852.78458928888551</v>
      </c>
      <c r="M48" s="21">
        <f si="3" t="shared"/>
        <v>4.522539419222653E-3</v>
      </c>
    </row>
    <row r="49" spans="1:13" x14ac:dyDescent="0.25">
      <c r="A49">
        <v>38</v>
      </c>
      <c r="B49" s="8" t="n">
        <v>2333.59376461</v>
      </c>
      <c r="C49" s="8" t="n">
        <v>0.0</v>
      </c>
      <c r="D49" s="8" t="n">
        <v>0.0</v>
      </c>
      <c r="E49" s="8">
        <f si="0" t="shared"/>
        <v>2333.5937646100001</v>
      </c>
      <c r="F49" s="21">
        <f si="1" t="shared"/>
        <v>1.2679600242534518E-2</v>
      </c>
      <c r="H49" s="151">
        <v>38</v>
      </c>
      <c r="I49" s="241" t="n">
        <v>1132.75</v>
      </c>
      <c r="J49" s="331" t="n">
        <v>81.64999999999999</v>
      </c>
      <c r="K49" s="421" t="n">
        <v>29.743591189875918</v>
      </c>
      <c r="L49">
        <f si="2" t="shared"/>
        <v>970.57868031167709</v>
      </c>
      <c r="M49" s="21">
        <f si="3" t="shared"/>
        <v>5.1472322510271121E-3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810.7499999999999</v>
      </c>
      <c r="J50" s="332" t="n">
        <v>73.6</v>
      </c>
      <c r="K50" s="422" t="n">
        <v>18.618323437007987</v>
      </c>
      <c r="L50">
        <f si="2" t="shared"/>
        <v>792.91639208376648</v>
      </c>
      <c r="M50" s="21">
        <f si="3" t="shared"/>
        <v>4.2050427322296077E-3</v>
      </c>
    </row>
    <row r="51" spans="1:13" x14ac:dyDescent="0.25">
      <c r="A51">
        <v>40</v>
      </c>
      <c r="B51" s="8" t="n">
        <v>66.5041244869</v>
      </c>
      <c r="C51" s="8" t="n">
        <v>0.0</v>
      </c>
      <c r="D51" s="8" t="n">
        <v>0.0</v>
      </c>
      <c r="E51" s="8">
        <f si="0" t="shared"/>
        <v>66.504124486899997</v>
      </c>
      <c r="F51" s="21">
        <f si="1" t="shared"/>
        <v>3.6135068826538867E-4</v>
      </c>
      <c r="H51" s="153">
        <v>40</v>
      </c>
      <c r="I51" s="243" t="n">
        <v>565.8</v>
      </c>
      <c r="J51" s="333" t="n">
        <v>59.8</v>
      </c>
      <c r="K51" s="423" t="n">
        <v>20.714178727090996</v>
      </c>
      <c r="L51">
        <f si="2" t="shared"/>
        <v>909.85101459347629</v>
      </c>
      <c r="M51" s="21">
        <f si="3" t="shared"/>
        <v>4.8251775780211691E-3</v>
      </c>
    </row>
    <row r="52" spans="1:13" x14ac:dyDescent="0.25">
      <c r="A52">
        <v>41</v>
      </c>
      <c r="B52" s="8" t="n">
        <v>865.919580817</v>
      </c>
      <c r="C52" s="8" t="n">
        <v>0.0</v>
      </c>
      <c r="D52" s="8" t="n">
        <v>383.206555392</v>
      </c>
      <c r="E52" s="8">
        <f si="0" t="shared"/>
        <v>1249.1261362089999</v>
      </c>
      <c r="F52" s="21">
        <f si="1" t="shared"/>
        <v>6.7871367758298856E-3</v>
      </c>
      <c r="H52" s="154">
        <v>41</v>
      </c>
      <c r="I52" s="244" t="n">
        <v>644.0</v>
      </c>
      <c r="J52" s="334" t="n">
        <v>52.9</v>
      </c>
      <c r="K52" s="424" t="n">
        <v>14.95</v>
      </c>
      <c r="L52">
        <f si="2" t="shared"/>
        <v>655.99048662728205</v>
      </c>
      <c r="M52" s="21">
        <f si="3" t="shared"/>
        <v>3.4788888913680088E-3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721.05</v>
      </c>
      <c r="J53" s="335" t="n">
        <v>55.199999999999996</v>
      </c>
      <c r="K53" s="425" t="n">
        <v>18.957905139244566</v>
      </c>
      <c r="L53">
        <f si="2" t="shared"/>
        <v>896.48218792140597</v>
      </c>
      <c r="M53" s="21">
        <f si="3" t="shared"/>
        <v>4.7542791983217775E-3</v>
      </c>
    </row>
    <row r="54" spans="1:13" x14ac:dyDescent="0.25">
      <c r="A54">
        <v>43</v>
      </c>
      <c r="B54" s="8" t="n">
        <v>79.1127528623</v>
      </c>
      <c r="C54" s="8" t="n">
        <v>0.0</v>
      </c>
      <c r="D54" s="8" t="n">
        <v>0.0</v>
      </c>
      <c r="E54" s="8">
        <f si="0" t="shared"/>
        <v>79.112752862299999</v>
      </c>
      <c r="F54" s="21">
        <f si="1" t="shared"/>
        <v>4.2985977062208925E-4</v>
      </c>
      <c r="H54" s="156">
        <v>43</v>
      </c>
      <c r="I54" s="246" t="n">
        <v>487.59999999999997</v>
      </c>
      <c r="J54" s="336" t="n">
        <v>34.5</v>
      </c>
      <c r="K54" s="426" t="n">
        <v>5.874523727052498</v>
      </c>
      <c r="L54">
        <f si="2" t="shared"/>
        <v>564.33572631957804</v>
      </c>
      <c r="M54" s="21">
        <f si="3" t="shared"/>
        <v>2.9928197577821806E-3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386.4</v>
      </c>
      <c r="J55" s="337" t="n">
        <v>32.199999999999996</v>
      </c>
      <c r="K55" s="427" t="n">
        <v>12.494703797108084</v>
      </c>
      <c r="L55">
        <f si="2" t="shared"/>
        <v>336.59681805850005</v>
      </c>
      <c r="M55" s="21">
        <f si="3" t="shared"/>
        <v>1.7850608432357631E-3</v>
      </c>
    </row>
    <row r="56" spans="1:13" x14ac:dyDescent="0.25">
      <c r="A56">
        <v>45</v>
      </c>
      <c r="B56" s="8" t="n">
        <v>6450.1613751455</v>
      </c>
      <c r="C56" s="8" t="n">
        <v>0.0</v>
      </c>
      <c r="D56" s="8" t="n">
        <v>0.0</v>
      </c>
      <c r="E56" s="8">
        <f si="0" t="shared"/>
        <v>6450.1613751454997</v>
      </c>
      <c r="F56" s="21">
        <f si="1" t="shared"/>
        <v>3.5047003028974059E-2</v>
      </c>
      <c r="H56" s="158">
        <v>45</v>
      </c>
      <c r="I56" s="248" t="n">
        <v>405.95</v>
      </c>
      <c r="J56" s="338" t="n">
        <v>41.4</v>
      </c>
      <c r="K56" s="428" t="n">
        <v>10.926110344827633</v>
      </c>
      <c r="L56">
        <f si="2" t="shared"/>
        <v>382.79185723263885</v>
      </c>
      <c r="M56" s="21">
        <f si="3" t="shared"/>
        <v>2.0300452018435907E-3</v>
      </c>
    </row>
    <row r="57" spans="1:13" x14ac:dyDescent="0.2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si="0" t="shared"/>
        <v>590.52519338899992</v>
      </c>
      <c r="F57" s="21">
        <f si="1" t="shared"/>
        <v>3.208623325478104E-3</v>
      </c>
      <c r="H57" s="159">
        <v>46</v>
      </c>
      <c r="I57" s="249" t="n">
        <v>320.84999999999997</v>
      </c>
      <c r="J57" s="339" t="n">
        <v>29.9</v>
      </c>
      <c r="K57" s="429" t="n">
        <v>10.35</v>
      </c>
      <c r="L57">
        <f si="2" t="shared"/>
        <v>276.06199204878044</v>
      </c>
      <c r="M57" s="21">
        <f si="3" t="shared"/>
        <v>1.4640288495724721E-3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324.29999999999995</v>
      </c>
      <c r="J58" s="340" t="n">
        <v>23.0</v>
      </c>
      <c r="K58" s="430" t="n">
        <v>9.2</v>
      </c>
      <c r="L58">
        <f si="2" t="shared"/>
        <v>325.2505647535873</v>
      </c>
      <c r="M58" s="21">
        <f si="3" t="shared"/>
        <v>1.7248886983864495E-3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295.54999999999995</v>
      </c>
      <c r="J59" s="341" t="n">
        <v>23.0</v>
      </c>
      <c r="K59" s="431" t="n">
        <v>9.538413248829634</v>
      </c>
      <c r="L59">
        <f si="2" t="shared"/>
        <v>279.39877854751995</v>
      </c>
      <c r="M59" s="21">
        <f si="3" t="shared"/>
        <v>1.4817246999239227E-3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194.35</v>
      </c>
      <c r="J60" s="342" t="n">
        <v>21.849999999999998</v>
      </c>
      <c r="K60" s="432" t="n">
        <v>4.6</v>
      </c>
      <c r="L60">
        <f si="2" t="shared"/>
        <v>372.50678175094151</v>
      </c>
      <c r="M60" s="21">
        <f si="3" t="shared"/>
        <v>1.975500760164076E-3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250.7</v>
      </c>
      <c r="J61" s="343" t="n">
        <v>20.7</v>
      </c>
      <c r="K61" s="433" t="n">
        <v>4.6</v>
      </c>
      <c r="L61">
        <f si="2" t="shared"/>
        <v>262.52495443355332</v>
      </c>
      <c r="M61" s="21">
        <f si="3" t="shared"/>
        <v>1.3922384033058298E-3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221.95</v>
      </c>
      <c r="J62" s="344" t="n">
        <v>24.15</v>
      </c>
      <c r="K62" s="434" t="n">
        <v>9.521476510067128</v>
      </c>
      <c r="L62">
        <f si="2" t="shared"/>
        <v>335.21236404951821</v>
      </c>
      <c r="M62" s="21">
        <f si="3" t="shared"/>
        <v>1.7777187220150428E-3</v>
      </c>
    </row>
    <row r="63" spans="1:13" x14ac:dyDescent="0.25">
      <c r="A63">
        <v>52</v>
      </c>
      <c r="B63" s="8" t="n">
        <v>944.880646246</v>
      </c>
      <c r="C63" s="8" t="n">
        <v>0.0</v>
      </c>
      <c r="D63" s="8" t="n">
        <v>0.0</v>
      </c>
      <c r="E63" s="8">
        <f si="0" t="shared"/>
        <v>944.88064624599997</v>
      </c>
      <c r="F63" s="21">
        <f si="1" t="shared"/>
        <v>5.1340164912161649E-3</v>
      </c>
      <c r="H63" s="165">
        <v>52</v>
      </c>
      <c r="I63" s="255" t="n">
        <v>264.5</v>
      </c>
      <c r="J63" s="345" t="n">
        <v>17.25</v>
      </c>
      <c r="K63" s="435" t="n">
        <v>2.3</v>
      </c>
      <c r="L63">
        <f si="2" t="shared"/>
        <v>271.13823117218578</v>
      </c>
      <c r="M63" s="21">
        <f si="3" t="shared"/>
        <v>1.4379168595870595E-3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205.85</v>
      </c>
      <c r="J64" s="346" t="n">
        <v>21.849999999999998</v>
      </c>
      <c r="K64" s="436" t="n">
        <v>1.347999775255571</v>
      </c>
      <c r="L64">
        <f si="2" t="shared"/>
        <v>187.54684608867882</v>
      </c>
      <c r="M64" s="21">
        <f si="3" t="shared"/>
        <v>9.9460991092042983E-4</v>
      </c>
    </row>
    <row r="65" spans="1:13" x14ac:dyDescent="0.25">
      <c r="A65">
        <v>54</v>
      </c>
      <c r="B65" s="8" t="n">
        <v>83.3978248895</v>
      </c>
      <c r="C65" s="8" t="n">
        <v>0.0</v>
      </c>
      <c r="D65" s="8" t="n">
        <v>0.0</v>
      </c>
      <c r="E65" s="8">
        <f si="0" t="shared"/>
        <v>83.397824889500001</v>
      </c>
      <c r="F65" s="21">
        <f si="1" t="shared"/>
        <v>4.5314274349395213E-4</v>
      </c>
      <c r="H65" s="167">
        <v>54</v>
      </c>
      <c r="I65" s="257" t="n">
        <v>197.79999999999998</v>
      </c>
      <c r="J65" s="347" t="n">
        <v>9.2</v>
      </c>
      <c r="K65" s="437" t="n">
        <v>3.844927536231731</v>
      </c>
      <c r="L65">
        <f si="2" t="shared"/>
        <v>214.62415755584792</v>
      </c>
      <c r="M65" s="21">
        <f si="3" t="shared"/>
        <v>1.1382079660622992E-3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162.14999999999998</v>
      </c>
      <c r="J66" s="348" t="n">
        <v>11.5</v>
      </c>
      <c r="K66" s="438" t="n">
        <v>6.8999999999999995</v>
      </c>
      <c r="L66">
        <f si="2" t="shared"/>
        <v>139.62216921298079</v>
      </c>
      <c r="M66" s="21">
        <f si="3" t="shared"/>
        <v>7.404528318102323E-4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239.2</v>
      </c>
      <c r="J67" s="349" t="n">
        <v>18.4</v>
      </c>
      <c r="K67" s="439" t="n">
        <v>5.110088331008574</v>
      </c>
      <c r="L67">
        <f si="2" t="shared"/>
        <v>126.4099603420964</v>
      </c>
      <c r="M67" s="21">
        <f si="3" t="shared"/>
        <v>6.7038503721816053E-4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149.5</v>
      </c>
      <c r="J68" s="350" t="n">
        <v>10.35</v>
      </c>
      <c r="K68" s="440" t="n">
        <v>5.75</v>
      </c>
      <c r="L68">
        <f si="2" t="shared"/>
        <v>210.93800976664315</v>
      </c>
      <c r="M68" s="21">
        <f si="3" t="shared"/>
        <v>1.1186593615364361E-3</v>
      </c>
    </row>
    <row r="69" spans="1:13" x14ac:dyDescent="0.25">
      <c r="A69">
        <v>58</v>
      </c>
      <c r="B69" s="8" t="n">
        <v>275.309933567</v>
      </c>
      <c r="C69" s="8" t="n">
        <v>0.0</v>
      </c>
      <c r="D69" s="8" t="n">
        <v>0.0</v>
      </c>
      <c r="E69" s="8">
        <f si="0" t="shared"/>
        <v>275.30993356699997</v>
      </c>
      <c r="F69" s="21">
        <f si="1" t="shared"/>
        <v>1.4958987092647186E-3</v>
      </c>
      <c r="H69" s="171">
        <v>58</v>
      </c>
      <c r="I69" s="261" t="n">
        <v>178.25</v>
      </c>
      <c r="J69" s="351" t="n">
        <v>6.8999999999999995</v>
      </c>
      <c r="K69" s="441" t="n">
        <v>4.6</v>
      </c>
      <c r="L69">
        <f si="2" t="shared"/>
        <v>102.94902098564194</v>
      </c>
      <c r="M69" s="21">
        <f si="3" t="shared"/>
        <v>5.4596554795413208E-4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118.44999999999999</v>
      </c>
      <c r="J70" s="352" t="n">
        <v>3.4499999999999997</v>
      </c>
      <c r="K70" s="442" t="n">
        <v>2.3</v>
      </c>
      <c r="L70">
        <f si="2" t="shared"/>
        <v>107.15746875949426</v>
      </c>
      <c r="M70" s="21">
        <f si="3" t="shared"/>
        <v>5.6828404572020676E-4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142.6</v>
      </c>
      <c r="J71" s="353" t="n">
        <v>12.649999999999999</v>
      </c>
      <c r="K71" s="443" t="n">
        <v>0.461920162185477</v>
      </c>
      <c r="L71">
        <f si="2" t="shared"/>
        <v>64.196688788359182</v>
      </c>
      <c r="M71" s="21">
        <f si="3" t="shared"/>
        <v>3.404518084350276E-4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86.25</v>
      </c>
      <c r="J72" s="354" t="n">
        <v>6.8999999999999995</v>
      </c>
      <c r="K72" s="444" t="n">
        <v>1.15</v>
      </c>
      <c r="L72">
        <f si="2" t="shared"/>
        <v>106.99199877299048</v>
      </c>
      <c r="M72" s="21">
        <f si="3" t="shared"/>
        <v>5.6740651516200844E-4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93.14999999999999</v>
      </c>
      <c r="J73" s="355" t="n">
        <v>1.15</v>
      </c>
      <c r="K73" s="445" t="n">
        <v>2.5705306223657147</v>
      </c>
      <c r="L73">
        <f si="2" t="shared"/>
        <v>87.893738591589326</v>
      </c>
      <c r="M73" s="21">
        <f si="3" t="shared"/>
        <v>4.6612345306894118E-4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54.05</v>
      </c>
      <c r="J74" s="356" t="n">
        <v>5.75</v>
      </c>
      <c r="K74" s="446" t="n">
        <v>2.424523727052499</v>
      </c>
      <c r="L74">
        <f si="2" t="shared"/>
        <v>62.208459840813688</v>
      </c>
      <c r="M74" s="21">
        <f si="3" t="shared"/>
        <v>3.2990771101270888E-4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65.55</v>
      </c>
      <c r="J75" s="357" t="n">
        <v>9.2</v>
      </c>
      <c r="K75" s="447" t="n">
        <v>1.15</v>
      </c>
      <c r="L75">
        <f si="2" t="shared"/>
        <v>85.452939952378159</v>
      </c>
      <c r="M75" s="21">
        <f si="3" t="shared"/>
        <v>4.5317926036322832E-4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43.699999999999996</v>
      </c>
      <c r="J76" s="358" t="n">
        <v>4.6</v>
      </c>
      <c r="K76" s="448" t="n">
        <v>4.6</v>
      </c>
      <c r="L76">
        <f ref="L76:L101" si="6" t="shared">SUM(I76:K76)</f>
        <v>41.468228443864348</v>
      </c>
      <c r="M76" s="21">
        <f ref="M76:M102" si="7" t="shared">L76/$L$102</f>
        <v>2.1991684669054893E-4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46.0</v>
      </c>
      <c r="J77" s="359" t="n">
        <v>3.4499999999999997</v>
      </c>
      <c r="K77" s="449" t="n">
        <v>0.0</v>
      </c>
      <c r="L77">
        <f si="6" t="shared"/>
        <v>82.252736588955926</v>
      </c>
      <c r="M77" s="21">
        <f si="7" t="shared"/>
        <v>4.3620774605306159E-4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59.8</v>
      </c>
      <c r="J78" s="360" t="n">
        <v>1.15</v>
      </c>
      <c r="K78" s="450" t="n">
        <v>1.15</v>
      </c>
      <c r="L78">
        <f si="6" t="shared"/>
        <v>18.963578088578089</v>
      </c>
      <c r="M78" s="21">
        <f si="7" t="shared"/>
        <v>1.0056880777667114E-4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26.45</v>
      </c>
      <c r="J79" s="361" t="n">
        <v>3.4499999999999997</v>
      </c>
      <c r="K79" s="451" t="n">
        <v>1.15</v>
      </c>
      <c r="L79">
        <f si="6" t="shared"/>
        <v>11.25699300699301</v>
      </c>
      <c r="M79" s="21">
        <f si="7" t="shared"/>
        <v>5.9698774175190361E-5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36.8</v>
      </c>
      <c r="J80" s="362" t="n">
        <v>0.0</v>
      </c>
      <c r="K80" s="452" t="n">
        <v>0.0</v>
      </c>
      <c r="L80">
        <f si="6" t="shared"/>
        <v>40.077263706900482</v>
      </c>
      <c r="M80" s="21">
        <f si="7" t="shared"/>
        <v>2.1254019737877678E-4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26.45</v>
      </c>
      <c r="J81" s="363" t="n">
        <v>2.3</v>
      </c>
      <c r="K81" s="453" t="n">
        <v>1.15</v>
      </c>
      <c r="L81">
        <f si="6" t="shared"/>
        <v>57.989335101596403</v>
      </c>
      <c r="M81" s="21">
        <f si="7" t="shared"/>
        <v>3.0753259051054439E-4</v>
      </c>
    </row>
    <row r="82" spans="1:13" x14ac:dyDescent="0.25">
      <c r="A82">
        <v>71</v>
      </c>
      <c r="B82" s="8" t="n">
        <v>520.538957349</v>
      </c>
      <c r="C82" s="8" t="n">
        <v>0.0</v>
      </c>
      <c r="D82" s="8" t="n">
        <v>0.0</v>
      </c>
      <c r="E82" s="8">
        <f si="4" t="shared"/>
        <v>520.53895734900004</v>
      </c>
      <c r="F82" s="21">
        <f si="5" t="shared"/>
        <v>2.8283525564502454E-3</v>
      </c>
      <c r="H82" s="184">
        <v>71</v>
      </c>
      <c r="I82" s="274" t="n">
        <v>32.199999999999996</v>
      </c>
      <c r="J82" s="364" t="n">
        <v>0.0</v>
      </c>
      <c r="K82" s="454" t="n">
        <v>0.0</v>
      </c>
      <c r="L82">
        <f si="6" t="shared"/>
        <v>49.6219444588952</v>
      </c>
      <c r="M82" s="21">
        <f si="7" t="shared"/>
        <v>2.6315813242001266E-4</v>
      </c>
    </row>
    <row r="83" spans="1:13" x14ac:dyDescent="0.25">
      <c r="A83">
        <v>72</v>
      </c>
      <c r="B83" s="8" t="n">
        <v>175.909856239</v>
      </c>
      <c r="C83" s="8" t="n">
        <v>0.0</v>
      </c>
      <c r="D83" s="8" t="n">
        <v>0.0</v>
      </c>
      <c r="E83" s="8">
        <f si="4" t="shared"/>
        <v>175.90985623899999</v>
      </c>
      <c r="F83" s="21">
        <f si="5" t="shared"/>
        <v>9.5580760013086561E-4</v>
      </c>
      <c r="H83" s="185">
        <v>72</v>
      </c>
      <c r="I83" s="275" t="n">
        <v>33.349999999999994</v>
      </c>
      <c r="J83" s="365" t="n">
        <v>1.15</v>
      </c>
      <c r="K83" s="455" t="n">
        <v>0.0</v>
      </c>
      <c r="L83">
        <f si="6" t="shared"/>
        <v>24.692236228010689</v>
      </c>
      <c r="M83" s="21">
        <f si="7" t="shared"/>
        <v>1.3094937818125446E-4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33.349999999999994</v>
      </c>
      <c r="J84" s="366" t="n">
        <v>4.6</v>
      </c>
      <c r="K84" s="456" t="n">
        <v>0.0</v>
      </c>
      <c r="L84">
        <f si="6" t="shared"/>
        <v>74.569486396681043</v>
      </c>
      <c r="M84" s="21">
        <f si="7" t="shared"/>
        <v>3.9546146346452603E-4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25.299999999999997</v>
      </c>
      <c r="J85" s="367" t="n">
        <v>4.6</v>
      </c>
      <c r="K85" s="457" t="n">
        <v>1.15</v>
      </c>
      <c r="L85">
        <f si="6" t="shared"/>
        <v>22.0202163784253</v>
      </c>
      <c r="M85" s="21">
        <f si="7" t="shared"/>
        <v>1.1677895900333274E-4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11.5</v>
      </c>
      <c r="J86" s="368" t="n">
        <v>2.3</v>
      </c>
      <c r="K86" s="458" t="n">
        <v>0.0</v>
      </c>
      <c r="L86">
        <f si="6" t="shared"/>
        <v>19.50216566289907</v>
      </c>
      <c r="M86" s="21">
        <f si="7" t="shared"/>
        <v>1.0342507835914179E-4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17.25</v>
      </c>
      <c r="J87" s="369" t="n">
        <v>3.4499999999999997</v>
      </c>
      <c r="K87" s="459" t="n">
        <v>0.0</v>
      </c>
      <c r="L87">
        <f si="6" t="shared"/>
        <v>0.75</v>
      </c>
      <c r="M87" s="21">
        <f si="7" t="shared"/>
        <v>3.9774458955049938E-6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10.35</v>
      </c>
      <c r="J88" s="370" t="n">
        <v>1.15</v>
      </c>
      <c r="K88" s="460" t="n">
        <v>1.15</v>
      </c>
      <c r="L88">
        <f si="6" t="shared"/>
        <v>69.041816023887137</v>
      </c>
      <c r="M88" s="21">
        <f si="7" t="shared"/>
        <v>3.6614678368322777E-4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17.25</v>
      </c>
      <c r="J89" s="371" t="n">
        <v>0.0</v>
      </c>
      <c r="K89" s="461" t="n">
        <v>0.0</v>
      </c>
      <c r="L89">
        <f si="6" t="shared"/>
        <v>9.2512690355329994</v>
      </c>
      <c r="M89" s="21">
        <f si="7" t="shared"/>
        <v>4.9061896071457564E-5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10.35</v>
      </c>
      <c r="J90" s="372" t="n">
        <v>0.0</v>
      </c>
      <c r="K90" s="462" t="n">
        <v>0.0</v>
      </c>
      <c r="L90">
        <f si="6" t="shared"/>
        <v>8.9984939759036102</v>
      </c>
      <c r="M90" s="21">
        <f si="7" t="shared"/>
        <v>4.7721363906912307E-5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31.049999999999997</v>
      </c>
      <c r="J91" s="373" t="n">
        <v>2.3</v>
      </c>
      <c r="K91" s="463" t="n">
        <v>0.0</v>
      </c>
      <c r="L91">
        <f si="6" t="shared"/>
        <v>11.99404761904762</v>
      </c>
      <c r="M91" s="21">
        <f si="7" t="shared"/>
        <v>6.36075672971632E-5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14.95</v>
      </c>
      <c r="J92" s="374" t="n">
        <v>0.0</v>
      </c>
      <c r="K92" s="464" t="n">
        <v>0.0</v>
      </c>
      <c r="L92">
        <f si="6" t="shared"/>
        <v>37.492932773824272</v>
      </c>
      <c r="M92" s="21">
        <f si="7" t="shared"/>
        <v>1.9883481542892271E-4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12.649999999999999</v>
      </c>
      <c r="J93" s="375" t="n">
        <v>1.15</v>
      </c>
      <c r="K93" s="465" t="n">
        <v>0.0</v>
      </c>
      <c r="L93">
        <f si="6" t="shared"/>
        <v>8.4963062524890489</v>
      </c>
      <c r="M93" s="21">
        <f si="7" t="shared"/>
        <v>4.5058131241221315E-5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11.5</v>
      </c>
      <c r="J94" s="376" t="n">
        <v>1.15</v>
      </c>
      <c r="K94" s="466" t="n">
        <v>0.0</v>
      </c>
      <c r="L94">
        <f si="6" t="shared"/>
        <v>3</v>
      </c>
      <c r="M94" s="21">
        <f si="7" t="shared"/>
        <v>1.5909783582019975E-5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1.15</v>
      </c>
      <c r="J95" s="377" t="n">
        <v>0.0</v>
      </c>
      <c r="K95" s="467" t="n">
        <v>0.0</v>
      </c>
      <c r="L95">
        <f si="6" t="shared"/>
        <v>1.75</v>
      </c>
      <c r="M95" s="21">
        <f si="7" t="shared"/>
        <v>9.2807070895116533E-6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6.8999999999999995</v>
      </c>
      <c r="J96" s="378" t="n">
        <v>0.0</v>
      </c>
      <c r="K96" s="468" t="n">
        <v>0.0</v>
      </c>
      <c r="L96">
        <f si="6" t="shared"/>
        <v>0.25</v>
      </c>
      <c r="M96" s="21">
        <f si="7" t="shared"/>
        <v>1.3258152985016647E-6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10.35</v>
      </c>
      <c r="J97" s="379" t="n">
        <v>0.0</v>
      </c>
      <c r="K97" s="469" t="n">
        <v>0.0</v>
      </c>
      <c r="L97">
        <f si="6" t="shared"/>
        <v>5.4922178988326804</v>
      </c>
      <c r="M97" s="21">
        <f si="7" t="shared"/>
        <v>2.9126666051908145E-5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4.6</v>
      </c>
      <c r="J98" s="380" t="n">
        <v>1.15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10.35</v>
      </c>
      <c r="J99" s="381" t="n">
        <v>1.15</v>
      </c>
      <c r="K99" s="471" t="n">
        <v>0.0</v>
      </c>
      <c r="L99">
        <f si="6" t="shared"/>
        <v>10.1875</v>
      </c>
      <c r="M99" s="21">
        <f si="7" t="shared"/>
        <v>5.4026973413942835E-5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1.15</v>
      </c>
      <c r="J100" s="382" t="n">
        <v>0.0</v>
      </c>
      <c r="K100" s="472" t="n">
        <v>0.0</v>
      </c>
      <c r="L100">
        <f si="6" t="shared"/>
        <v>0.25</v>
      </c>
      <c r="M100" s="21">
        <f si="7" t="shared"/>
        <v>1.3258152985016647E-6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32.199999999999996</v>
      </c>
      <c r="J101" s="475" t="n">
        <v>2.3</v>
      </c>
      <c r="K101" s="475" t="n">
        <v>0.0</v>
      </c>
      <c r="L101" s="1">
        <f si="6" t="shared"/>
        <v>56.782774018612294</v>
      </c>
      <c r="M101" s="21">
        <f si="7" t="shared"/>
        <v>3.0113388194095612E-4</v>
      </c>
    </row>
    <row r="102" spans="1:13" x14ac:dyDescent="0.25">
      <c r="E102" s="8">
        <f>SUM(E11:E101)</f>
        <v>184043.16539742419</v>
      </c>
      <c r="F102" s="21">
        <f si="5" t="shared"/>
        <v>1</v>
      </c>
      <c r="L102" s="22">
        <f>SUM(L11:L101)</f>
        <v>188563.21863424787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7603.9101153389</v>
      </c>
      <c r="C7" s="13" t="n">
        <v>225.7914145706</v>
      </c>
      <c r="D7" s="13" t="n">
        <v>0.0</v>
      </c>
      <c r="E7" s="13" t="n">
        <v>1292.8679586580001</v>
      </c>
      <c r="F7" s="13" t="n">
        <v>224.2014339675</v>
      </c>
      <c r="G7" s="13" t="n">
        <v>0.0</v>
      </c>
      <c r="H7" s="13" t="n">
        <v>704.453421433</v>
      </c>
      <c r="I7" s="13"/>
      <c r="J7" s="13">
        <f>SUM(B7:I7)</f>
        <v>10051.224343968001</v>
      </c>
      <c r="K7" s="13"/>
      <c r="L7" t="str">
        <f>$A$7</f>
        <v>Bellevue</v>
      </c>
      <c r="M7" s="522" t="n">
        <v>6366.276538943562</v>
      </c>
      <c r="N7" s="522" t="n">
        <v>1601.7871425713492</v>
      </c>
      <c r="O7" s="522" t="n">
        <v>596.5968969016794</v>
      </c>
      <c r="P7" s="522" t="n">
        <v>820.8429343934885</v>
      </c>
      <c r="Q7" s="522" t="n">
        <v>562.0092344316286</v>
      </c>
      <c r="R7" s="522" t="n">
        <v>72.44999999999999</v>
      </c>
      <c r="S7" s="522" t="n">
        <v>859.3578764733275</v>
      </c>
      <c r="T7" s="473"/>
      <c r="U7" s="13">
        <f>SUM(M7:T7)</f>
        <v>8768.4389737273705</v>
      </c>
    </row>
    <row r="8" spans="1:21" x14ac:dyDescent="0.25">
      <c r="A8" t="s">
        <v>253</v>
      </c>
      <c r="B8" s="13" t="n">
        <v>1844.964152923</v>
      </c>
      <c r="C8" s="13" t="n">
        <v>4453.4228392198</v>
      </c>
      <c r="D8" s="13" t="n">
        <v>317.954791765</v>
      </c>
      <c r="E8" s="13" t="n">
        <v>506.9344112474</v>
      </c>
      <c r="F8" s="13" t="n">
        <v>0.0</v>
      </c>
      <c r="G8" s="13" t="n">
        <v>1345.57431748</v>
      </c>
      <c r="H8" s="13" t="n">
        <v>0.0</v>
      </c>
      <c r="I8" s="13"/>
      <c r="J8" s="13">
        <f ref="J8:J14" si="0" t="shared">SUM(B8:I8)</f>
        <v>8468.8505126351993</v>
      </c>
      <c r="K8" s="13"/>
      <c r="L8" t="str">
        <f>$A$8</f>
        <v>Bellevue Downtown</v>
      </c>
      <c r="M8" s="522" t="n">
        <v>1017.3345125228182</v>
      </c>
      <c r="N8" s="522" t="n">
        <v>3174.939027660146</v>
      </c>
      <c r="O8" s="522" t="n">
        <v>221.08966679506935</v>
      </c>
      <c r="P8" s="522" t="n">
        <v>96.6</v>
      </c>
      <c r="Q8" s="522" t="n">
        <v>235.74999999999997</v>
      </c>
      <c r="R8" s="522" t="n">
        <v>32.199999999999996</v>
      </c>
      <c r="S8" s="522" t="n">
        <v>323.15</v>
      </c>
      <c r="T8" s="473"/>
      <c r="U8" s="13">
        <f ref="U8:U14" si="1" t="shared">SUM(M8:T8)</f>
        <v>4039.1947460124134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5493.2858028158</v>
      </c>
      <c r="E9" s="13" t="n">
        <v>397.3849235138</v>
      </c>
      <c r="F9" s="13" t="n">
        <v>0.0</v>
      </c>
      <c r="G9" s="13" t="n">
        <v>0.0</v>
      </c>
      <c r="H9" s="13" t="n">
        <v>1981.0829941171</v>
      </c>
      <c r="I9" s="13"/>
      <c r="J9" s="13">
        <f si="0" t="shared"/>
        <v>7871.7537204466989</v>
      </c>
      <c r="K9" s="14"/>
      <c r="L9" t="str">
        <f>$A$9</f>
        <v>Kirkland</v>
      </c>
      <c r="M9" s="522" t="n">
        <v>519.5658133593936</v>
      </c>
      <c r="N9" s="522" t="n">
        <v>164.45</v>
      </c>
      <c r="O9" s="522" t="n">
        <v>4961.020788914958</v>
      </c>
      <c r="P9" s="522" t="n">
        <v>642.1983603012745</v>
      </c>
      <c r="Q9" s="522" t="n">
        <v>483.9855114670492</v>
      </c>
      <c r="R9" s="522" t="n">
        <v>29.9</v>
      </c>
      <c r="S9" s="522" t="n">
        <v>834.6252427184465</v>
      </c>
      <c r="T9" s="473"/>
      <c r="U9" s="13">
        <f si="1" t="shared"/>
        <v>6159.1156862510261</v>
      </c>
    </row>
    <row r="10" spans="1:21" x14ac:dyDescent="0.25">
      <c r="A10" t="s">
        <v>255</v>
      </c>
      <c r="B10" s="13" t="n">
        <v>1485.5079150783</v>
      </c>
      <c r="C10" s="13" t="n">
        <v>407.745583464</v>
      </c>
      <c r="D10" s="13" t="n">
        <v>826.2829174094</v>
      </c>
      <c r="E10" s="13" t="n">
        <v>6837.2373192181</v>
      </c>
      <c r="F10" s="13" t="n">
        <v>0.0</v>
      </c>
      <c r="G10" s="13" t="n">
        <v>0.0</v>
      </c>
      <c r="H10" s="13" t="n">
        <v>702.428165475</v>
      </c>
      <c r="I10" s="13"/>
      <c r="J10" s="13">
        <f si="0" t="shared"/>
        <v>10259.201900644799</v>
      </c>
      <c r="K10" s="14"/>
      <c r="L10" t="str">
        <f>$A$10</f>
        <v>Redmond</v>
      </c>
      <c r="M10" s="522" t="n">
        <v>2935.4034433264974</v>
      </c>
      <c r="N10" s="522" t="n">
        <v>274.84999999999997</v>
      </c>
      <c r="O10" s="522" t="n">
        <v>1311.3313267665153</v>
      </c>
      <c r="P10" s="522" t="n">
        <v>6164.954251831174</v>
      </c>
      <c r="Q10" s="522" t="n">
        <v>501.9761103448276</v>
      </c>
      <c r="R10" s="522" t="n">
        <v>59.8</v>
      </c>
      <c r="S10" s="522" t="n">
        <v>945.990053425124</v>
      </c>
      <c r="T10" s="473"/>
      <c r="U10" s="13">
        <f si="1" t="shared"/>
        <v>10029.754520180541</v>
      </c>
    </row>
    <row r="11" spans="1:21" x14ac:dyDescent="0.2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32735.6069894941</v>
      </c>
      <c r="G11" s="13" t="n">
        <v>4162.9400519857</v>
      </c>
      <c r="H11" s="13" t="n">
        <v>1320.4057760048</v>
      </c>
      <c r="I11" s="13"/>
      <c r="J11" s="13">
        <f si="0" t="shared"/>
        <v>38275.091693574999</v>
      </c>
      <c r="K11" s="14"/>
      <c r="L11" t="str">
        <f>$A$11</f>
        <v>Seattle</v>
      </c>
      <c r="M11" s="522" t="n">
        <v>636.7864842706008</v>
      </c>
      <c r="N11" s="522" t="n">
        <v>51.74999999999999</v>
      </c>
      <c r="O11" s="522" t="n">
        <v>497.1676578577028</v>
      </c>
      <c r="P11" s="522" t="n">
        <v>219.64999999999998</v>
      </c>
      <c r="Q11" s="522" t="n">
        <v>35551.07479346555</v>
      </c>
      <c r="R11" s="522" t="n">
        <v>1874.6893675533593</v>
      </c>
      <c r="S11" s="522" t="n">
        <v>3082.6093410502185</v>
      </c>
      <c r="T11" s="473"/>
      <c r="U11" s="13">
        <f si="1" t="shared"/>
        <v>32552.666857878117</v>
      </c>
    </row>
    <row r="12" spans="1:21" x14ac:dyDescent="0.2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27890.4622987429</v>
      </c>
      <c r="H12" s="13" t="n">
        <v>198.4972902366</v>
      </c>
      <c r="I12" s="13"/>
      <c r="J12" s="13">
        <f si="0" t="shared"/>
        <v>31509.267008215</v>
      </c>
      <c r="K12" s="14"/>
      <c r="L12" t="str">
        <f>$A$12</f>
        <v>Seattle Downtown</v>
      </c>
      <c r="M12" s="522" t="n">
        <v>527.052053014553</v>
      </c>
      <c r="N12" s="522" t="n">
        <v>40.25</v>
      </c>
      <c r="O12" s="522" t="n">
        <v>246.1</v>
      </c>
      <c r="P12" s="522" t="n">
        <v>184.0</v>
      </c>
      <c r="Q12" s="522" t="n">
        <v>6821.5698137603795</v>
      </c>
      <c r="R12" s="522" t="n">
        <v>26054.550448330137</v>
      </c>
      <c r="S12" s="522" t="n">
        <v>1849.0629451064535</v>
      </c>
      <c r="T12" s="473"/>
      <c r="U12" s="13">
        <f si="1" t="shared"/>
        <v>27229.573572233014</v>
      </c>
    </row>
    <row r="13" spans="1:21" x14ac:dyDescent="0.2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74965.1873656852</v>
      </c>
      <c r="I13" s="13"/>
      <c r="J13" s="13">
        <f si="0" t="shared"/>
        <v>77607.776217939492</v>
      </c>
      <c r="K13" s="14"/>
      <c r="L13" t="str">
        <f>$A$13</f>
        <v>Rest</v>
      </c>
      <c r="M13" s="522" t="n">
        <v>1431.0941159076815</v>
      </c>
      <c r="N13" s="522" t="n">
        <v>164.45</v>
      </c>
      <c r="O13" s="522" t="n">
        <v>1176.434804889458</v>
      </c>
      <c r="P13" s="522" t="n">
        <v>883.6941173671732</v>
      </c>
      <c r="Q13" s="522" t="n">
        <v>3962.115759197941</v>
      </c>
      <c r="R13" s="522" t="n">
        <v>376.56008833100856</v>
      </c>
      <c r="S13" s="522" t="n">
        <v>91928.25490845923</v>
      </c>
      <c r="T13" s="473"/>
      <c r="U13" s="13">
        <f si="1" t="shared"/>
        <v>98250.934495494439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11444.262594196098</v>
      </c>
      <c r="C15" s="16">
        <f si="2" t="shared"/>
        <v>5086.9598372544006</v>
      </c>
      <c r="D15" s="16">
        <f si="2" t="shared"/>
        <v>8136.8930917872003</v>
      </c>
      <c r="E15" s="16">
        <f si="2" t="shared"/>
        <v>9530.7460837802992</v>
      </c>
      <c r="F15" s="16">
        <f si="2" t="shared"/>
        <v>36573.272109245896</v>
      </c>
      <c r="G15" s="16">
        <f si="2" t="shared"/>
        <v>33398.976668208597</v>
      </c>
      <c r="H15" s="16">
        <f si="2" t="shared"/>
        <v>79872.055012951692</v>
      </c>
      <c r="I15" s="16">
        <f si="2" t="shared"/>
        <v>0</v>
      </c>
      <c r="J15" s="16">
        <f si="2" t="shared"/>
        <v>184043.16539742419</v>
      </c>
      <c r="K15" s="13"/>
      <c r="L15" s="16" t="s">
        <v>4</v>
      </c>
      <c r="M15" s="16">
        <f ref="M15:U15" si="3" t="shared">SUM(M7:M14)</f>
        <v>10972.721758270338</v>
      </c>
      <c r="N15" s="16">
        <f si="3" t="shared"/>
        <v>4282.9006315940278</v>
      </c>
      <c r="O15" s="16">
        <f si="3" t="shared"/>
        <v>7437.3076576860549</v>
      </c>
      <c r="P15" s="16">
        <f si="3" t="shared"/>
        <v>7434.1784848230609</v>
      </c>
      <c r="Q15" s="16">
        <f si="3" t="shared"/>
        <v>37553.854860016792</v>
      </c>
      <c r="R15" s="16">
        <f si="3" t="shared"/>
        <v>21913.143462603646</v>
      </c>
      <c r="S15" s="16">
        <f si="3" t="shared"/>
        <v>97435.571996782994</v>
      </c>
      <c r="T15" s="16">
        <f si="3" t="shared"/>
        <v>0</v>
      </c>
      <c r="U15" s="16">
        <f si="3" t="shared"/>
        <v>187029.67885177693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6633.4627032845447</v>
      </c>
      <c r="C20" s="13">
        <f si="4" t="shared"/>
        <v>196.97483328407006</v>
      </c>
      <c r="D20" s="13">
        <f si="4" t="shared"/>
        <v>0</v>
      </c>
      <c r="E20" s="13">
        <f si="4" t="shared"/>
        <v>1127.865960268158</v>
      </c>
      <c r="F20" s="13">
        <f si="4" t="shared"/>
        <v>195.58777361744751</v>
      </c>
      <c r="G20" s="13">
        <f si="4" t="shared"/>
        <v>0</v>
      </c>
      <c r="H20" s="13">
        <f ref="H20" si="5" t="shared">($U7/$J7)*H7</f>
        <v>614.54770327315009</v>
      </c>
      <c r="I20" s="13"/>
      <c r="J20" s="13">
        <f>SUM(B20:I20)</f>
        <v>8768.4389737273705</v>
      </c>
      <c r="K20" s="13"/>
      <c r="L20" t="str">
        <f>$A$7</f>
        <v>Bellevue</v>
      </c>
      <c r="M20" s="13">
        <f ref="M20:M26" si="6" t="shared">M7</f>
        <v>5093.168016518568</v>
      </c>
      <c r="N20" s="13">
        <f ref="N20:U20" si="7" t="shared">N7</f>
        <v>1282.1693655014869</v>
      </c>
      <c r="O20" s="13">
        <f si="7" t="shared"/>
        <v>546.0714528737019</v>
      </c>
      <c r="P20" s="13">
        <f si="7" t="shared"/>
        <v>610.67850585610563</v>
      </c>
      <c r="Q20" s="13">
        <f si="7" t="shared"/>
        <v>410.73765581343048</v>
      </c>
      <c r="R20" s="13">
        <f si="7" t="shared"/>
        <v>60.243633067657861</v>
      </c>
      <c r="S20" s="13">
        <f ref="S20" si="8" t="shared">S7</f>
        <v>765.3703440964199</v>
      </c>
      <c r="T20" s="13"/>
      <c r="U20" s="13">
        <f si="7" t="shared"/>
        <v>8768.4389737273705</v>
      </c>
    </row>
    <row r="21" spans="1:32" x14ac:dyDescent="0.25">
      <c r="A21" t="str">
        <f>$A$8</f>
        <v>Bellevue Downtown</v>
      </c>
      <c r="B21" s="13">
        <f ref="B21:G26" si="9" t="shared">($U8/$J8)*B8</f>
        <v>879.95053188735278</v>
      </c>
      <c r="C21" s="13">
        <f si="9" t="shared"/>
        <v>2124.0476623256645</v>
      </c>
      <c r="D21" s="13">
        <f si="9" t="shared"/>
        <v>151.6476554227236</v>
      </c>
      <c r="E21" s="13">
        <f si="9" t="shared"/>
        <v>241.78096040642629</v>
      </c>
      <c r="F21" s="13">
        <f si="9" t="shared"/>
        <v>0</v>
      </c>
      <c r="G21" s="13">
        <f si="9" t="shared"/>
        <v>641.76793597024641</v>
      </c>
      <c r="H21" s="13">
        <f ref="H21" si="10" t="shared">($U8/$J8)*H8</f>
        <v>0</v>
      </c>
      <c r="I21" s="13"/>
      <c r="J21" s="13">
        <f ref="J21:J27" si="11" t="shared">SUM(B21:I21)</f>
        <v>4039.1947460124138</v>
      </c>
      <c r="K21" s="13"/>
      <c r="L21" t="str">
        <f>$A$8</f>
        <v>Bellevue Downtown</v>
      </c>
      <c r="M21" s="13">
        <f si="6" t="shared"/>
        <v>830.21116726407001</v>
      </c>
      <c r="N21" s="13">
        <f ref="N21:R26" si="12" t="shared">N8</f>
        <v>2457.7234855155707</v>
      </c>
      <c r="O21" s="13">
        <f si="12" t="shared"/>
        <v>184.47500947770217</v>
      </c>
      <c r="P21" s="13">
        <f si="12" t="shared"/>
        <v>87.458752545708975</v>
      </c>
      <c r="Q21" s="13">
        <f si="12" t="shared"/>
        <v>172.19592142934974</v>
      </c>
      <c r="R21" s="13">
        <f si="12" t="shared"/>
        <v>20.539367051168281</v>
      </c>
      <c r="S21" s="13">
        <f ref="S21" si="13" t="shared">S8</f>
        <v>286.59104272884332</v>
      </c>
      <c r="T21" s="13"/>
      <c r="U21" s="13">
        <f ref="U21:U26" si="14" t="shared">U8</f>
        <v>4039.1947460124134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4298.1251648283123</v>
      </c>
      <c r="E22" s="13">
        <f si="9" t="shared"/>
        <v>310.92686621230052</v>
      </c>
      <c r="F22" s="13">
        <f si="9" t="shared"/>
        <v>0</v>
      </c>
      <c r="G22" s="13">
        <f si="9" t="shared"/>
        <v>0</v>
      </c>
      <c r="H22" s="13">
        <f ref="H22" si="15" t="shared">($U9/$J9)*H9</f>
        <v>1550.0636552104131</v>
      </c>
      <c r="I22" s="13"/>
      <c r="J22" s="13">
        <f si="11" t="shared"/>
        <v>6159.1156862510261</v>
      </c>
      <c r="K22" s="14"/>
      <c r="L22" t="str">
        <f>$A$9</f>
        <v>Kirkland</v>
      </c>
      <c r="M22" s="13">
        <f si="6" t="shared"/>
        <v>540.84235249220296</v>
      </c>
      <c r="N22" s="13">
        <f si="12" t="shared"/>
        <v>118.6534914683179</v>
      </c>
      <c r="O22" s="13">
        <f si="12" t="shared"/>
        <v>4018.5364792519554</v>
      </c>
      <c r="P22" s="13">
        <f si="12" t="shared"/>
        <v>516.79220966849732</v>
      </c>
      <c r="Q22" s="13">
        <f si="12" t="shared"/>
        <v>420.15526747968346</v>
      </c>
      <c r="R22" s="13">
        <f si="12" t="shared"/>
        <v>27.24718541966768</v>
      </c>
      <c r="S22" s="13">
        <f ref="S22" si="16" t="shared">S9</f>
        <v>516.88870047070236</v>
      </c>
      <c r="T22" s="13"/>
      <c r="U22" s="13">
        <f si="14" t="shared"/>
        <v>6159.1156862510261</v>
      </c>
    </row>
    <row r="23" spans="1:32" x14ac:dyDescent="0.25">
      <c r="A23" t="str">
        <f>$A$10</f>
        <v>Redmond</v>
      </c>
      <c r="B23" s="13">
        <f si="9" t="shared"/>
        <v>1452.2844827806846</v>
      </c>
      <c r="C23" s="13">
        <f si="9" t="shared"/>
        <v>398.62634037591869</v>
      </c>
      <c r="D23" s="13">
        <f si="9" t="shared"/>
        <v>807.80307338663681</v>
      </c>
      <c r="E23" s="13">
        <f si="9" t="shared"/>
        <v>6684.3222866746364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686.71833696266481</v>
      </c>
      <c r="I23" s="13"/>
      <c r="J23" s="13">
        <f>SUM(B23:I23)</f>
        <v>10029.754520180542</v>
      </c>
      <c r="K23" s="14"/>
      <c r="L23" t="str">
        <f>$A$10</f>
        <v>Redmond</v>
      </c>
      <c r="M23" s="13">
        <f si="6" t="shared"/>
        <v>2305.7212499022853</v>
      </c>
      <c r="N23" s="13">
        <f si="12" t="shared"/>
        <v>176.54246162113634</v>
      </c>
      <c r="O23" s="13">
        <f si="12" t="shared"/>
        <v>1060.1367840950943</v>
      </c>
      <c r="P23" s="13">
        <f si="12" t="shared"/>
        <v>5296.0784736443211</v>
      </c>
      <c r="Q23" s="13">
        <f si="12" t="shared"/>
        <v>441.02840663066439</v>
      </c>
      <c r="R23" s="13">
        <f si="12" t="shared"/>
        <v>31.73489792438194</v>
      </c>
      <c r="S23" s="13">
        <f ref="S23" si="18" t="shared">S10</f>
        <v>718.51224636265704</v>
      </c>
      <c r="T23" s="13"/>
      <c r="U23" s="13">
        <f si="14" t="shared"/>
        <v>10029.754520180541</v>
      </c>
    </row>
    <row r="24" spans="1:32" x14ac:dyDescent="0.25">
      <c r="A24" t="str">
        <f>$A$11</f>
        <v>Seattle</v>
      </c>
      <c r="B24" s="13">
        <f si="9" t="shared"/>
        <v>47.745676111685349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27841.378336875641</v>
      </c>
      <c r="G24" s="13">
        <f si="9" t="shared"/>
        <v>3540.5480343854101</v>
      </c>
      <c r="H24" s="13">
        <f ref="H24" si="19" t="shared">($U11/$J11)*H11</f>
        <v>1122.9948105053797</v>
      </c>
      <c r="I24" s="13"/>
      <c r="J24" s="13">
        <f si="11" t="shared"/>
        <v>32552.666857878117</v>
      </c>
      <c r="K24" s="14"/>
      <c r="L24" t="str">
        <f>$A$11</f>
        <v>Seattle</v>
      </c>
      <c r="M24" s="13">
        <f si="6" t="shared"/>
        <v>464.77649824838625</v>
      </c>
      <c r="N24" s="13">
        <f si="12" t="shared"/>
        <v>53.88751721556212</v>
      </c>
      <c r="O24" s="13">
        <f si="12" t="shared"/>
        <v>414.26495740023046</v>
      </c>
      <c r="P24" s="13">
        <f si="12" t="shared"/>
        <v>146.44137836578901</v>
      </c>
      <c r="Q24" s="13">
        <f si="12" t="shared"/>
        <v>27498.005491350745</v>
      </c>
      <c r="R24" s="13">
        <f si="12" t="shared"/>
        <v>1473.6677470177294</v>
      </c>
      <c r="S24" s="13">
        <f ref="S24" si="20" t="shared">S11</f>
        <v>2501.6232682796731</v>
      </c>
      <c r="T24" s="13"/>
      <c r="U24" s="13">
        <f si="14" t="shared"/>
        <v>32552.666857878117</v>
      </c>
    </row>
    <row r="25" spans="1:32" x14ac:dyDescent="0.25">
      <c r="A25" t="str">
        <f>$A$12</f>
        <v>Seattle Downtown</v>
      </c>
      <c r="B25" s="13">
        <f si="9" t="shared"/>
        <v>139.36267840574746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2816.387212172348</v>
      </c>
      <c r="G25" s="13">
        <f si="9" t="shared"/>
        <v>24102.286953524199</v>
      </c>
      <c r="H25" s="13">
        <f ref="H25" si="21" t="shared">($U12/$J12)*H12</f>
        <v>171.53672813071836</v>
      </c>
      <c r="I25" s="13"/>
      <c r="J25" s="13">
        <f si="11" t="shared"/>
        <v>27229.573572233014</v>
      </c>
      <c r="K25" s="14"/>
      <c r="L25" t="str">
        <f>$A$12</f>
        <v>Seattle Downtown</v>
      </c>
      <c r="M25" s="13">
        <f si="6" t="shared"/>
        <v>470.14505125426632</v>
      </c>
      <c r="N25" s="13">
        <f si="12" t="shared"/>
        <v>30.238177211064979</v>
      </c>
      <c r="O25" s="13">
        <f si="12" t="shared"/>
        <v>196.06656106825562</v>
      </c>
      <c r="P25" s="13">
        <f si="12" t="shared"/>
        <v>141.38739474273243</v>
      </c>
      <c r="Q25" s="13">
        <f si="12" t="shared"/>
        <v>5083.6537395367741</v>
      </c>
      <c r="R25" s="13">
        <f si="12" t="shared"/>
        <v>19958.543799612493</v>
      </c>
      <c r="S25" s="13">
        <f ref="S25:S26" si="22" t="shared">S12</f>
        <v>1349.5388488074268</v>
      </c>
      <c r="T25" s="13"/>
      <c r="U25" s="13">
        <f si="14" t="shared"/>
        <v>27229.573572233014</v>
      </c>
    </row>
    <row r="26" spans="1:32" x14ac:dyDescent="0.25">
      <c r="A26" t="str">
        <f>$A$13</f>
        <v>Rest</v>
      </c>
      <c r="B26" s="13">
        <f si="9" t="shared"/>
        <v>370.2715727020904</v>
      </c>
      <c r="C26" s="13">
        <f si="9" t="shared"/>
        <v>0</v>
      </c>
      <c r="D26" s="13">
        <f si="9" t="shared"/>
        <v>1898.192031111432</v>
      </c>
      <c r="E26" s="13">
        <f si="9" t="shared"/>
        <v>628.33971963116539</v>
      </c>
      <c r="F26" s="13">
        <f si="9" t="shared"/>
        <v>448.69679103152714</v>
      </c>
      <c r="G26" s="13">
        <f si="9" t="shared"/>
        <v>0</v>
      </c>
      <c r="H26" s="13">
        <f ref="H26" si="23" t="shared">($U13/$J13)*H13</f>
        <v>94905.434381018233</v>
      </c>
      <c r="I26" s="13"/>
      <c r="J26" s="13">
        <f si="11" t="shared"/>
        <v>98250.934495494454</v>
      </c>
      <c r="K26" s="14"/>
      <c r="L26" t="str">
        <f>$A$13</f>
        <v>Rest</v>
      </c>
      <c r="M26" s="13">
        <f si="6" t="shared"/>
        <v>1267.85742259056</v>
      </c>
      <c r="N26" s="13">
        <f si="12" t="shared"/>
        <v>163.68613306088855</v>
      </c>
      <c r="O26" s="13">
        <f si="12" t="shared"/>
        <v>1017.7564135191155</v>
      </c>
      <c r="P26" s="13">
        <f si="12" t="shared"/>
        <v>635.34176999990507</v>
      </c>
      <c r="Q26" s="13">
        <f si="12" t="shared"/>
        <v>3528.078377776149</v>
      </c>
      <c r="R26" s="13">
        <f si="12" t="shared"/>
        <v>341.16683251054911</v>
      </c>
      <c r="S26" s="13">
        <f si="22" t="shared"/>
        <v>91297.047546037269</v>
      </c>
      <c r="T26" s="13"/>
      <c r="U26" s="13">
        <f si="14" t="shared"/>
        <v>98250.934495494439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9523.0776451721031</v>
      </c>
      <c r="C28" s="16">
        <f si="24" t="shared"/>
        <v>2719.648835985653</v>
      </c>
      <c r="D28" s="16">
        <f si="24" t="shared"/>
        <v>7155.7679247491051</v>
      </c>
      <c r="E28" s="16">
        <f si="24" t="shared"/>
        <v>8993.2357931926872</v>
      </c>
      <c r="F28" s="16">
        <f si="24" t="shared"/>
        <v>31302.050113696965</v>
      </c>
      <c r="G28" s="16">
        <f si="24" t="shared"/>
        <v>28284.602923879855</v>
      </c>
      <c r="H28" s="16">
        <f si="24" t="shared"/>
        <v>99051.295615100564</v>
      </c>
      <c r="I28" s="16">
        <f si="24" t="shared"/>
        <v>0</v>
      </c>
      <c r="J28" s="16">
        <f si="24" t="shared"/>
        <v>187029.67885177693</v>
      </c>
      <c r="K28" s="13"/>
      <c r="L28" s="16" t="s">
        <v>4</v>
      </c>
      <c r="M28" s="16">
        <f ref="M28:U28" si="25" t="shared">M15</f>
        <v>10972.721758270338</v>
      </c>
      <c r="N28" s="16">
        <f si="25" t="shared"/>
        <v>4282.9006315940278</v>
      </c>
      <c r="O28" s="16">
        <f si="25" t="shared"/>
        <v>7437.3076576860549</v>
      </c>
      <c r="P28" s="16">
        <f si="25" t="shared"/>
        <v>7434.1784848230609</v>
      </c>
      <c r="Q28" s="16">
        <f si="25" t="shared"/>
        <v>37553.854860016792</v>
      </c>
      <c r="R28" s="16">
        <f si="25" t="shared"/>
        <v>21913.143462603646</v>
      </c>
      <c r="S28" s="16">
        <f si="25" t="shared"/>
        <v>97435.571996782994</v>
      </c>
      <c r="T28" s="16"/>
      <c r="U28" s="16">
        <f si="25" t="shared"/>
        <v>187029.67885177693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3.5467433532523129E-2</v>
      </c>
      <c r="C33" s="17">
        <f si="26" t="shared"/>
        <v>1.053174204721673E-3</v>
      </c>
      <c r="D33" s="17">
        <f si="26" t="shared"/>
        <v>0</v>
      </c>
      <c r="E33" s="17">
        <f si="26" t="shared"/>
        <v>6.030411682212234E-3</v>
      </c>
      <c r="F33" s="17">
        <f si="26" t="shared"/>
        <v>1.0457579503863287E-3</v>
      </c>
      <c r="G33" s="17">
        <f si="26" t="shared"/>
        <v>0</v>
      </c>
      <c r="H33" s="17">
        <f ref="H33" si="27" t="shared">H20/$J$28</f>
        <v>3.2858298589080394E-3</v>
      </c>
      <c r="I33" s="13"/>
      <c r="J33" s="17">
        <f ref="J33:J39" si="28" t="shared">J20/$J$28</f>
        <v>4.68826072287514E-2</v>
      </c>
      <c r="K33" s="13"/>
      <c r="L33" t="str">
        <f>$A$7</f>
        <v>Bellevue</v>
      </c>
      <c r="M33" s="17">
        <f ref="M33:R33" si="29" t="shared">M20/$U$28</f>
        <v>2.7231870619608772E-2</v>
      </c>
      <c r="N33" s="17">
        <f si="29" t="shared"/>
        <v>6.8554326424183198E-3</v>
      </c>
      <c r="O33" s="17">
        <f si="29" t="shared"/>
        <v>2.9197048095584311E-3</v>
      </c>
      <c r="P33" s="17">
        <f si="29" t="shared"/>
        <v>3.2651422469696643E-3</v>
      </c>
      <c r="Q33" s="17">
        <f si="29" t="shared"/>
        <v>2.1961095069780051E-3</v>
      </c>
      <c r="R33" s="17">
        <f si="29" t="shared"/>
        <v>3.2210734380505243E-4</v>
      </c>
      <c r="S33" s="17">
        <f ref="S33" si="30" t="shared">S20/$U$28</f>
        <v>4.0922400594131606E-3</v>
      </c>
      <c r="T33" s="17"/>
      <c r="U33" s="17">
        <f ref="U33:U39" si="31" t="shared">U20/$U$28</f>
        <v>4.68826072287514E-2</v>
      </c>
      <c r="W33" t="str">
        <f>$A$7</f>
        <v>Bellevue</v>
      </c>
      <c r="X33" s="17">
        <f ref="X33:AD33" si="32" t="shared">M33-B33</f>
        <v>-8.235562912914357E-3</v>
      </c>
      <c r="Y33" s="17">
        <f si="32" t="shared"/>
        <v>5.8022584376966465E-3</v>
      </c>
      <c r="Z33" s="17">
        <f si="32" t="shared"/>
        <v>2.9197048095584311E-3</v>
      </c>
      <c r="AA33" s="17">
        <f si="32" t="shared"/>
        <v>-2.7652694352425697E-3</v>
      </c>
      <c r="AB33" s="17">
        <f si="32" t="shared"/>
        <v>1.1503515565916764E-3</v>
      </c>
      <c r="AC33" s="17">
        <f si="32" t="shared"/>
        <v>3.2210734380505243E-4</v>
      </c>
      <c r="AD33" s="17">
        <f si="32" t="shared"/>
        <v>8.0641020050512121E-4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4.7048711054287979E-3</v>
      </c>
      <c r="C34" s="17">
        <f si="34" t="shared"/>
        <v>1.1356741215435629E-2</v>
      </c>
      <c r="D34" s="17">
        <f si="34" t="shared"/>
        <v>8.1082134318856435E-4</v>
      </c>
      <c r="E34" s="17">
        <f si="34" t="shared"/>
        <v>1.2927411408220422E-3</v>
      </c>
      <c r="F34" s="17">
        <f si="34" t="shared"/>
        <v>0</v>
      </c>
      <c r="G34" s="17">
        <f si="34" t="shared"/>
        <v>3.4313695019433494E-3</v>
      </c>
      <c r="H34" s="17">
        <f ref="H34" si="35" t="shared">H21/$J$28</f>
        <v>0</v>
      </c>
      <c r="I34" s="13"/>
      <c r="J34" s="17">
        <f si="28" t="shared"/>
        <v>2.1596544306818385E-2</v>
      </c>
      <c r="K34" s="13"/>
      <c r="L34" t="str">
        <f>$A$8</f>
        <v>Bellevue Downtown</v>
      </c>
      <c r="M34" s="17">
        <f ref="M34:R39" si="36" t="shared">M21/$U$28</f>
        <v>4.438927406393193E-3</v>
      </c>
      <c r="N34" s="17">
        <f si="36" t="shared"/>
        <v>1.3140820754246942E-2</v>
      </c>
      <c r="O34" s="17">
        <f si="36" t="shared"/>
        <v>9.8634083430095953E-4</v>
      </c>
      <c r="P34" s="17">
        <f si="36" t="shared"/>
        <v>4.6761964776200572E-4</v>
      </c>
      <c r="Q34" s="17">
        <f si="36" t="shared"/>
        <v>9.2068768169043848E-4</v>
      </c>
      <c r="R34" s="17">
        <f si="36" t="shared"/>
        <v>1.0981875805628665E-4</v>
      </c>
      <c r="S34" s="17">
        <f ref="S34" si="37" t="shared">S21/$U$28</f>
        <v>1.5323292243685552E-3</v>
      </c>
      <c r="T34" s="17"/>
      <c r="U34" s="17">
        <f si="31" t="shared"/>
        <v>2.1596544306818382E-2</v>
      </c>
      <c r="W34" t="str">
        <f>$A$8</f>
        <v>Bellevue Downtown</v>
      </c>
      <c r="X34" s="17">
        <f ref="X34:X38" si="38" t="shared">M34-B34</f>
        <v>-2.6594369903560483E-4</v>
      </c>
      <c r="Y34" s="17">
        <f ref="Y34:AD38" si="39" t="shared">N34-C34</f>
        <v>1.7840795388113125E-3</v>
      </c>
      <c r="Z34" s="17">
        <f si="39" t="shared"/>
        <v>1.7551949111239517E-4</v>
      </c>
      <c r="AA34" s="17">
        <f si="39" t="shared"/>
        <v>-8.2512149306003643E-4</v>
      </c>
      <c r="AB34" s="17">
        <f si="39" t="shared"/>
        <v>9.2068768169043848E-4</v>
      </c>
      <c r="AC34" s="17">
        <f si="39" t="shared"/>
        <v>-3.3215507438870626E-3</v>
      </c>
      <c r="AD34" s="17">
        <f si="39" t="shared"/>
        <v>1.5323292243685552E-3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2.2980979228620843E-2</v>
      </c>
      <c r="E35" s="17">
        <f si="34" t="shared"/>
        <v>1.6624466668667783E-3</v>
      </c>
      <c r="F35" s="17">
        <f si="34" t="shared"/>
        <v>0</v>
      </c>
      <c r="G35" s="17">
        <f si="34" t="shared"/>
        <v>0</v>
      </c>
      <c r="H35" s="17">
        <f ref="H35" si="40" t="shared">H22/$J$28</f>
        <v>8.2877950960866253E-3</v>
      </c>
      <c r="I35" s="13"/>
      <c r="J35" s="17">
        <f si="28" t="shared"/>
        <v>3.2931220991574243E-2</v>
      </c>
      <c r="K35" s="14"/>
      <c r="L35" t="str">
        <f>$A$9</f>
        <v>Kirkland</v>
      </c>
      <c r="M35" s="17">
        <f si="36" t="shared"/>
        <v>2.8917461432462089E-3</v>
      </c>
      <c r="N35" s="17">
        <f si="36" t="shared"/>
        <v>6.3440996208068178E-4</v>
      </c>
      <c r="O35" s="17">
        <f si="36" t="shared"/>
        <v>2.1486089822336109E-2</v>
      </c>
      <c r="P35" s="17">
        <f si="36" t="shared"/>
        <v>2.7631561623867235E-3</v>
      </c>
      <c r="Q35" s="17">
        <f si="36" t="shared"/>
        <v>2.2464630750537785E-3</v>
      </c>
      <c r="R35" s="17">
        <f si="36" t="shared"/>
        <v>1.4568375236991864E-4</v>
      </c>
      <c r="S35" s="17">
        <f ref="S35" si="41" t="shared">S22/$U$28</f>
        <v>2.7636720741008292E-3</v>
      </c>
      <c r="T35" s="17"/>
      <c r="U35" s="17">
        <f si="31" t="shared"/>
        <v>3.2931220991574243E-2</v>
      </c>
      <c r="W35" t="str">
        <f>$A$9</f>
        <v>Kirkland</v>
      </c>
      <c r="X35" s="17">
        <f si="38" t="shared"/>
        <v>2.8917461432462089E-3</v>
      </c>
      <c r="Y35" s="17">
        <f si="39" t="shared"/>
        <v>6.3440996208068178E-4</v>
      </c>
      <c r="Z35" s="17">
        <f si="39" t="shared"/>
        <v>-1.4948894062847343E-3</v>
      </c>
      <c r="AA35" s="17">
        <f si="39" t="shared"/>
        <v>1.1007094955199452E-3</v>
      </c>
      <c r="AB35" s="17">
        <f si="39" t="shared"/>
        <v>2.2464630750537785E-3</v>
      </c>
      <c r="AC35" s="17">
        <f si="39" t="shared"/>
        <v>1.4568375236991864E-4</v>
      </c>
      <c r="AD35" s="17">
        <f si="39" t="shared"/>
        <v>-5.5241230219857957E-3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7.7649947949257614E-3</v>
      </c>
      <c r="C36" s="17">
        <f si="34" t="shared"/>
        <v>2.131353391735407E-3</v>
      </c>
      <c r="D36" s="17">
        <f si="34" t="shared"/>
        <v>4.3191170425247302E-3</v>
      </c>
      <c r="E36" s="17">
        <f si="34" t="shared"/>
        <v>3.573936675564756E-2</v>
      </c>
      <c r="F36" s="17">
        <f si="34" t="shared"/>
        <v>0</v>
      </c>
      <c r="G36" s="17">
        <f si="34" t="shared"/>
        <v>0</v>
      </c>
      <c r="H36" s="17">
        <f ref="H36" si="42" t="shared">H23/$J$28</f>
        <v>3.6717078336369097E-3</v>
      </c>
      <c r="I36" s="13"/>
      <c r="J36" s="17">
        <f si="28" t="shared"/>
        <v>5.3626539818470376E-2</v>
      </c>
      <c r="K36" s="14"/>
      <c r="L36" t="str">
        <f>$A$10</f>
        <v>Redmond</v>
      </c>
      <c r="M36" s="17">
        <f si="36" t="shared"/>
        <v>1.2328103561197871E-2</v>
      </c>
      <c r="N36" s="17">
        <f si="36" t="shared"/>
        <v>9.4392752372230815E-4</v>
      </c>
      <c r="O36" s="17">
        <f si="36" t="shared"/>
        <v>5.6682810482461682E-3</v>
      </c>
      <c r="P36" s="17">
        <f si="36" t="shared"/>
        <v>2.8316781091419836E-2</v>
      </c>
      <c r="Q36" s="17">
        <f si="36" t="shared"/>
        <v>2.3580664274154275E-3</v>
      </c>
      <c r="R36" s="17">
        <f si="36" t="shared"/>
        <v>1.6967840675988219E-4</v>
      </c>
      <c r="S36" s="17">
        <f ref="S36" si="43" t="shared">S23/$U$28</f>
        <v>3.8417017597088743E-3</v>
      </c>
      <c r="T36" s="17"/>
      <c r="U36" s="17">
        <f si="31" t="shared"/>
        <v>5.3626539818470369E-2</v>
      </c>
      <c r="W36" t="str">
        <f>$A$10</f>
        <v>Redmond</v>
      </c>
      <c r="X36" s="17">
        <f si="38" t="shared"/>
        <v>4.5631087662721097E-3</v>
      </c>
      <c r="Y36" s="17">
        <f si="39" t="shared"/>
        <v>-1.1874258680130989E-3</v>
      </c>
      <c r="Z36" s="17">
        <f si="39" t="shared"/>
        <v>1.349164005721438E-3</v>
      </c>
      <c r="AA36" s="17">
        <f si="39" t="shared"/>
        <v>-7.4225856642277238E-3</v>
      </c>
      <c r="AB36" s="17">
        <f si="39" t="shared"/>
        <v>2.3580664274154275E-3</v>
      </c>
      <c r="AC36" s="17">
        <f si="39" t="shared"/>
        <v>1.6967840675988219E-4</v>
      </c>
      <c r="AD36" s="17">
        <f si="39" t="shared"/>
        <v>1.6999392607196457E-4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2.5528395495735367E-4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0.14886075037823401</v>
      </c>
      <c r="G37" s="17">
        <f si="34" t="shared"/>
        <v>1.8930407495333045E-2</v>
      </c>
      <c r="H37" s="17">
        <f ref="H37" si="44" t="shared">H24/$J$28</f>
        <v>6.0043668865804208E-3</v>
      </c>
      <c r="I37" s="13"/>
      <c r="J37" s="17">
        <f si="28" t="shared"/>
        <v>0.17405080871510484</v>
      </c>
      <c r="K37" s="14"/>
      <c r="L37" t="str">
        <f>$A$11</f>
        <v>Seattle</v>
      </c>
      <c r="M37" s="17">
        <f si="36" t="shared"/>
        <v>2.4850414174999824E-3</v>
      </c>
      <c r="N37" s="17">
        <f si="36" t="shared"/>
        <v>2.8812281316201459E-4</v>
      </c>
      <c r="O37" s="17">
        <f si="36" t="shared"/>
        <v>2.2149690890959609E-3</v>
      </c>
      <c r="P37" s="17">
        <f si="36" t="shared"/>
        <v>7.8298470737280901E-4</v>
      </c>
      <c r="Q37" s="17">
        <f si="36" t="shared"/>
        <v>0.1470248233337513</v>
      </c>
      <c r="R37" s="17">
        <f si="36" t="shared"/>
        <v>7.8793256560400083E-3</v>
      </c>
      <c r="S37" s="17">
        <f ref="S37" si="45" t="shared">S24/$U$28</f>
        <v>1.3375541698182763E-2</v>
      </c>
      <c r="T37" s="17"/>
      <c r="U37" s="17">
        <f si="31" t="shared"/>
        <v>0.17405080871510484</v>
      </c>
      <c r="W37" t="str">
        <f>$A$11</f>
        <v>Seattle</v>
      </c>
      <c r="X37" s="17">
        <f si="38" t="shared"/>
        <v>2.2297574625426289E-3</v>
      </c>
      <c r="Y37" s="17">
        <f si="39" t="shared"/>
        <v>2.8812281316201459E-4</v>
      </c>
      <c r="Z37" s="17">
        <f si="39" t="shared"/>
        <v>2.2149690890959609E-3</v>
      </c>
      <c r="AA37" s="17">
        <f si="39" t="shared"/>
        <v>7.8298470737280901E-4</v>
      </c>
      <c r="AB37" s="17">
        <f si="39" t="shared"/>
        <v>-1.8359270444827103E-3</v>
      </c>
      <c r="AC37" s="17">
        <f si="39" t="shared"/>
        <v>-1.1051081839293037E-2</v>
      </c>
      <c r="AD37" s="17">
        <f si="39" t="shared"/>
        <v>7.3711748116023421E-3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7.4513670376450737E-4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1.5058504240946517E-2</v>
      </c>
      <c r="G38" s="17">
        <f si="34" t="shared"/>
        <v>0.12886878222480147</v>
      </c>
      <c r="H38" s="17">
        <f ref="H38:H39" si="46" t="shared">H25/$J$28</f>
        <v>9.1716314321783703E-4</v>
      </c>
      <c r="I38" s="13"/>
      <c r="J38" s="17">
        <f si="28" t="shared"/>
        <v>0.14558958631273033</v>
      </c>
      <c r="K38" s="14"/>
      <c r="L38" t="str">
        <f>$A$12</f>
        <v>Seattle Downtown</v>
      </c>
      <c r="M38" s="17">
        <f si="36" t="shared"/>
        <v>2.5137457014341633E-3</v>
      </c>
      <c r="N38" s="17">
        <f si="36" t="shared"/>
        <v>1.6167582277157769E-4</v>
      </c>
      <c r="O38" s="17">
        <f si="36" t="shared"/>
        <v>1.0483179047943536E-3</v>
      </c>
      <c r="P38" s="17">
        <f si="36" t="shared"/>
        <v>7.5596234571296823E-4</v>
      </c>
      <c r="Q38" s="17">
        <f si="36" t="shared"/>
        <v>2.7181000206740587E-2</v>
      </c>
      <c r="R38" s="17">
        <f si="36" t="shared"/>
        <v>0.10671324424093065</v>
      </c>
      <c r="S38" s="17">
        <f ref="S38" si="47" t="shared">S25/$U$28</f>
        <v>7.2156400903460411E-3</v>
      </c>
      <c r="T38" s="17"/>
      <c r="U38" s="17">
        <f si="31" t="shared"/>
        <v>0.14558958631273033</v>
      </c>
      <c r="W38" t="str">
        <f>$A$12</f>
        <v>Seattle Downtown</v>
      </c>
      <c r="X38" s="17">
        <f si="38" t="shared"/>
        <v>1.7686089976696559E-3</v>
      </c>
      <c r="Y38" s="17">
        <f si="39" t="shared"/>
        <v>1.6167582277157769E-4</v>
      </c>
      <c r="Z38" s="17">
        <f si="39" t="shared"/>
        <v>1.0483179047943536E-3</v>
      </c>
      <c r="AA38" s="17">
        <f si="39" t="shared"/>
        <v>7.5596234571296823E-4</v>
      </c>
      <c r="AB38" s="17">
        <f si="39" t="shared"/>
        <v>1.212249596579407E-2</v>
      </c>
      <c r="AC38" s="17">
        <f si="39" t="shared"/>
        <v>-2.2155537983870821E-2</v>
      </c>
      <c r="AD38" s="17">
        <f si="39" t="shared"/>
        <v>6.2984769471282039E-3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1.9797476794874607E-3</v>
      </c>
      <c r="C39" s="17">
        <f si="34" t="shared"/>
        <v>0</v>
      </c>
      <c r="D39" s="17">
        <f si="34" t="shared"/>
        <v>1.0149148748823816E-2</v>
      </c>
      <c r="E39" s="17">
        <f si="34" t="shared"/>
        <v>3.3595722533915672E-3</v>
      </c>
      <c r="F39" s="17">
        <f si="34" t="shared"/>
        <v>2.3990673233584723E-3</v>
      </c>
      <c r="G39" s="17">
        <f si="34" t="shared"/>
        <v>0</v>
      </c>
      <c r="H39" s="17">
        <f si="46" t="shared"/>
        <v>0.50743515662148908</v>
      </c>
      <c r="I39" s="13"/>
      <c r="J39" s="17">
        <f si="28" t="shared"/>
        <v>0.5253226926265504</v>
      </c>
      <c r="K39" s="14"/>
      <c r="L39" t="str">
        <f>$A$13</f>
        <v>Rest</v>
      </c>
      <c r="M39" s="17">
        <f si="36" t="shared"/>
        <v>6.7789103332383457E-3</v>
      </c>
      <c r="N39" s="17">
        <f si="36" t="shared"/>
        <v>8.7518801329179209E-4</v>
      </c>
      <c r="O39" s="17">
        <f si="36" t="shared"/>
        <v>5.4416840138280867E-3</v>
      </c>
      <c r="P39" s="17">
        <f si="36" t="shared"/>
        <v>3.3970104311809271E-3</v>
      </c>
      <c r="Q39" s="17">
        <f si="36" t="shared"/>
        <v>1.8863735421222584E-2</v>
      </c>
      <c r="R39" s="17">
        <f si="36" t="shared"/>
        <v>1.8241320554313071E-3</v>
      </c>
      <c r="S39" s="17">
        <f ref="S39" si="48" t="shared">S26/$U$28</f>
        <v>0.48814203235835729</v>
      </c>
      <c r="T39" s="17"/>
      <c r="U39" s="17">
        <f si="31" t="shared"/>
        <v>0.5253226926265504</v>
      </c>
      <c r="W39" t="str">
        <f>$A$13</f>
        <v>Rest</v>
      </c>
      <c r="X39" s="17">
        <f ref="X39" si="49" t="shared">M39-B39</f>
        <v>4.7991626537508851E-3</v>
      </c>
      <c r="Y39" s="17">
        <f ref="Y39" si="50" t="shared">N39-C39</f>
        <v>8.7518801329179209E-4</v>
      </c>
      <c r="Z39" s="17">
        <f ref="Z39" si="51" t="shared">O39-D39</f>
        <v>-4.707464734995729E-3</v>
      </c>
      <c r="AA39" s="17">
        <f ref="AA39" si="52" t="shared">P39-E39</f>
        <v>3.7438177789359938E-5</v>
      </c>
      <c r="AB39" s="17">
        <f ref="AB39" si="53" t="shared">Q39-F39</f>
        <v>1.6464668097864111E-2</v>
      </c>
      <c r="AC39" s="17">
        <f ref="AC39" si="54" t="shared">R39-G39</f>
        <v>1.8241320554313071E-3</v>
      </c>
      <c r="AD39" s="17">
        <f ref="AD39" si="55" t="shared">S39-H39</f>
        <v>-1.9293124263131789E-2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5.0917467771086994E-2</v>
      </c>
      <c r="C41" s="19">
        <f si="56" t="shared"/>
        <v>1.4541268811892707E-2</v>
      </c>
      <c r="D41" s="19">
        <f si="56" t="shared"/>
        <v>3.826006636315795E-2</v>
      </c>
      <c r="E41" s="19">
        <f si="56" t="shared"/>
        <v>4.8084538498940184E-2</v>
      </c>
      <c r="F41" s="19">
        <f si="56" t="shared"/>
        <v>0.16736407989292534</v>
      </c>
      <c r="G41" s="19">
        <f si="56" t="shared"/>
        <v>0.15123055922207787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5.8668345182618528E-2</v>
      </c>
      <c r="N41" s="19">
        <f>N28/$U$28</f>
        <v>2.2899577531693638E-2</v>
      </c>
      <c r="O41" s="19">
        <f>O28/$U$28</f>
        <v>3.9765387522160064E-2</v>
      </c>
      <c r="P41" s="19">
        <f>P28/$U$28</f>
        <v>3.9748656632804941E-2</v>
      </c>
      <c r="Q41" s="19">
        <f ref="Q41:S41" si="57" t="shared">Q28/$U$28</f>
        <v>0.20079088565285211</v>
      </c>
      <c r="R41" s="19">
        <f si="57" t="shared"/>
        <v>0.11716399021339309</v>
      </c>
      <c r="S41" s="19">
        <f si="57" t="shared"/>
        <v>0.52096315726447751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7.7508774115315343E-3</v>
      </c>
      <c r="Y41" s="19">
        <f si="58" t="shared"/>
        <v>8.3583087198009307E-3</v>
      </c>
      <c r="Z41" s="19">
        <f si="58" t="shared"/>
        <v>1.505321159002114E-3</v>
      </c>
      <c r="AA41" s="19">
        <f si="58" t="shared"/>
        <v>-8.3358818661352432E-3</v>
      </c>
      <c r="AB41" s="19">
        <f si="58" t="shared"/>
        <v>3.3426805759926764E-2</v>
      </c>
      <c r="AC41" s="19">
        <f si="58" t="shared"/>
        <v>-3.406656900868478E-2</v>
      </c>
      <c r="AD41" s="19">
        <f si="58" t="shared"/>
        <v>0.52096315726447751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H20" sqref="H2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35846.945698310898</v>
      </c>
      <c r="F4" s="486" t="s">
        <v>51</v>
      </c>
      <c r="G4" s="487">
        <f>TLFD!L11</f>
        <v>64197.700225414053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39676.86566908774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60234.68908180132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24453.963657944678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188563.21863424778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0.34045717234991102</v>
      </c>
      <c r="H12" s="500"/>
      <c r="I12" s="544">
        <f>D12/G12</f>
        <v>0.57209740255073516</v>
      </c>
      <c r="J12" s="545">
        <f>LN(I12)</f>
        <v>-0.55844601791943749</v>
      </c>
      <c r="K12" s="545">
        <f>K8*J12</f>
        <v>-0.55844601791943749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0.24873363424351635</v>
      </c>
      <c r="F13" s="489" t="s">
        <v>54</v>
      </c>
      <c r="G13" s="501">
        <f ref="G13:G16" si="2" t="shared">G5/G$8</f>
        <v>0.21041678200268815</v>
      </c>
      <c r="H13" s="501"/>
      <c r="I13" s="544">
        <f ref="I13:I15" si="3" t="shared">D13/G13</f>
        <v>1.1820997920229512</v>
      </c>
      <c r="J13" s="545">
        <f ref="J13:J15" si="4" t="shared">LN(I13)</f>
        <v>0.16729234183555361</v>
      </c>
      <c r="K13" s="545">
        <f>K8*(J13-J12)</f>
        <v>0.72573835975499112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0.47124865167494367</v>
      </c>
      <c r="F14" s="489" t="s">
        <v>57</v>
      </c>
      <c r="G14" s="501">
        <f si="2" t="shared"/>
        <v>0.31944028914057365</v>
      </c>
      <c r="H14" s="501"/>
      <c r="I14" s="544">
        <f si="3" t="shared"/>
        <v>1.4752323601471726</v>
      </c>
      <c r="J14" s="545">
        <f si="4" t="shared"/>
        <v>0.38881550968804074</v>
      </c>
      <c r="K14" s="545">
        <f>K8*(J14-J13-J12)</f>
        <v>0.77996918577192464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8.5243050100387852E-2</v>
      </c>
      <c r="F15" s="492" t="s">
        <v>60</v>
      </c>
      <c r="G15" s="501">
        <f si="2" t="shared"/>
        <v>0.1296857565068272</v>
      </c>
      <c r="H15" s="501"/>
      <c r="I15" s="546">
        <f si="3" t="shared"/>
        <v>0.65730464467699889</v>
      </c>
      <c r="J15" s="547">
        <f si="4" t="shared"/>
        <v>-0.4196076774406019</v>
      </c>
      <c r="K15" s="547">
        <f>K8*(J15-J14-J13-J12)</f>
        <v>-0.41726951104475885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-0.55844601791943749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0.72573835975499112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0.77996918577192464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-0.41726951104475885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2017-07-14T02:43:02Z</dcterms:modified>
</cp:coreProperties>
</file>