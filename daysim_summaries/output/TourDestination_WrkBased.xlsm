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output\"/>
    </mc:Choice>
  </mc:AlternateContent>
  <bookViews>
    <workbookView xWindow="10050" yWindow="-15" windowWidth="14190" windowHeight="10695"/>
  </bookViews>
  <sheets>
    <sheet name="TLFD" sheetId="3" r:id="rId1"/>
    <sheet name="TDFD" sheetId="4" r:id="rId2"/>
    <sheet name="County_Flow" sheetId="1" r:id="rId3"/>
    <sheet name="Documentation" sheetId="5" r:id="rId4"/>
    <sheet name="OtherTourDestination" sheetId="7" r:id="rId5"/>
    <sheet name="Calibration" sheetId="6" r:id="rId6"/>
  </sheets>
  <definedNames>
    <definedName name="AVGD">TLFD!$R$11:$R$15</definedName>
    <definedName name="AVGT">TDFD!$R$11:$R$15</definedName>
    <definedName name="flow">County_Flow!$K$7:$N$10</definedName>
    <definedName name="out1">TLFD!$B$11:$D$101</definedName>
    <definedName name="out10">County_Flow!$M$7:$S$13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County_Flow!$B$7:$H$13</definedName>
    <definedName name="TDFD">TDFD!$H$11:$K$102</definedName>
    <definedName name="TLFD">TLFD!$H$11:$K$102</definedName>
  </definedNames>
  <calcPr calcId="171027"/>
</workbook>
</file>

<file path=xl/calcChain.xml><?xml version="1.0" encoding="utf-8"?>
<calcChain xmlns="http://schemas.openxmlformats.org/spreadsheetml/2006/main">
  <c r="J4" i="6" l="1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3" i="6"/>
  <c r="K51" i="6" l="1"/>
  <c r="K50" i="6"/>
  <c r="K49" i="6"/>
  <c r="K48" i="6"/>
  <c r="K47" i="6"/>
  <c r="K46" i="6"/>
  <c r="K45" i="6"/>
  <c r="K44" i="6"/>
  <c r="K43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55" i="6"/>
  <c r="K54" i="6"/>
  <c r="K53" i="6"/>
  <c r="K52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K4" i="6"/>
  <c r="K3" i="6"/>
  <c r="H15" i="1" l="1"/>
  <c r="J13" i="1"/>
  <c r="U13" i="1" l="1"/>
  <c r="U26" i="1" s="1"/>
  <c r="S15" i="1"/>
  <c r="S28" i="1" s="1"/>
  <c r="N26" i="1"/>
  <c r="O26" i="1"/>
  <c r="P26" i="1"/>
  <c r="Q26" i="1"/>
  <c r="R26" i="1"/>
  <c r="S26" i="1"/>
  <c r="M26" i="1"/>
  <c r="W39" i="1"/>
  <c r="L39" i="1"/>
  <c r="L26" i="1"/>
  <c r="A39" i="1"/>
  <c r="A26" i="1"/>
  <c r="L13" i="1"/>
  <c r="AD32" i="1"/>
  <c r="S32" i="1"/>
  <c r="H32" i="1"/>
  <c r="S19" i="1"/>
  <c r="H19" i="1"/>
  <c r="S6" i="1"/>
  <c r="H6" i="1"/>
  <c r="S21" i="1"/>
  <c r="S22" i="1"/>
  <c r="S23" i="1"/>
  <c r="S24" i="1"/>
  <c r="S25" i="1"/>
  <c r="S20" i="1"/>
  <c r="C26" i="1" l="1"/>
  <c r="D26" i="1"/>
  <c r="B26" i="1"/>
  <c r="F26" i="1"/>
  <c r="H26" i="1"/>
  <c r="G26" i="1"/>
  <c r="E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J26" i="1" l="1"/>
  <c r="Q15" i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I28" i="1"/>
  <c r="J27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J24" i="1" l="1"/>
  <c r="J23" i="1"/>
  <c r="U22" i="1"/>
  <c r="H22" i="1"/>
  <c r="U20" i="1"/>
  <c r="H20" i="1"/>
  <c r="H21" i="1"/>
  <c r="E21" i="1"/>
  <c r="J25" i="1"/>
  <c r="D21" i="1"/>
  <c r="B21" i="1"/>
  <c r="E20" i="1"/>
  <c r="D20" i="1"/>
  <c r="F21" i="1"/>
  <c r="G21" i="1"/>
  <c r="G20" i="1"/>
  <c r="C21" i="1"/>
  <c r="J15" i="1"/>
  <c r="U21" i="1"/>
  <c r="B22" i="1"/>
  <c r="C22" i="1"/>
  <c r="D22" i="1"/>
  <c r="U15" i="1"/>
  <c r="U28" i="1" s="1"/>
  <c r="E22" i="1"/>
  <c r="E28" i="1" s="1"/>
  <c r="B20" i="1"/>
  <c r="F22" i="1"/>
  <c r="C20" i="1"/>
  <c r="G22" i="1"/>
  <c r="F20" i="1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1" i="4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E6" i="6" s="1"/>
  <c r="L13" i="3"/>
  <c r="L12" i="3"/>
  <c r="E5" i="6" s="1"/>
  <c r="L11" i="3"/>
  <c r="E4" i="6" s="1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B7" i="6" s="1"/>
  <c r="E20" i="3"/>
  <c r="E19" i="3"/>
  <c r="E18" i="3"/>
  <c r="E17" i="3"/>
  <c r="E16" i="3"/>
  <c r="E15" i="3"/>
  <c r="E14" i="3"/>
  <c r="E13" i="3"/>
  <c r="E12" i="3"/>
  <c r="B5" i="6" s="1"/>
  <c r="E11" i="3"/>
  <c r="B4" i="6" s="1"/>
  <c r="E7" i="6" l="1"/>
  <c r="E8" i="6" s="1"/>
  <c r="B6" i="6"/>
  <c r="B8" i="6" s="1"/>
  <c r="H28" i="1"/>
  <c r="S34" i="1"/>
  <c r="O39" i="1"/>
  <c r="R39" i="1"/>
  <c r="S35" i="1"/>
  <c r="S36" i="1"/>
  <c r="S33" i="1"/>
  <c r="N39" i="1"/>
  <c r="P39" i="1"/>
  <c r="M39" i="1"/>
  <c r="S37" i="1"/>
  <c r="S38" i="1"/>
  <c r="S39" i="1"/>
  <c r="Q39" i="1"/>
  <c r="S41" i="1"/>
  <c r="AD41" i="1" s="1"/>
  <c r="U39" i="1"/>
  <c r="J21" i="1"/>
  <c r="F28" i="1"/>
  <c r="G28" i="1"/>
  <c r="N36" i="1"/>
  <c r="Q41" i="1"/>
  <c r="R41" i="1"/>
  <c r="D28" i="1"/>
  <c r="M33" i="1"/>
  <c r="R38" i="1"/>
  <c r="M36" i="1"/>
  <c r="P38" i="1"/>
  <c r="P41" i="1"/>
  <c r="O41" i="1"/>
  <c r="N41" i="1"/>
  <c r="U35" i="1"/>
  <c r="Q37" i="1"/>
  <c r="R34" i="1"/>
  <c r="M41" i="1"/>
  <c r="U37" i="1"/>
  <c r="U34" i="1"/>
  <c r="P37" i="1"/>
  <c r="O34" i="1"/>
  <c r="N34" i="1"/>
  <c r="M34" i="1"/>
  <c r="U33" i="1"/>
  <c r="U36" i="1"/>
  <c r="R36" i="1"/>
  <c r="Q36" i="1"/>
  <c r="R37" i="1"/>
  <c r="Q34" i="1"/>
  <c r="P34" i="1"/>
  <c r="P36" i="1"/>
  <c r="R33" i="1"/>
  <c r="O33" i="1"/>
  <c r="Q33" i="1"/>
  <c r="O36" i="1"/>
  <c r="N33" i="1"/>
  <c r="U38" i="1"/>
  <c r="J22" i="1"/>
  <c r="C28" i="1"/>
  <c r="J20" i="1"/>
  <c r="B28" i="1"/>
  <c r="O35" i="1"/>
  <c r="P35" i="1"/>
  <c r="U41" i="1"/>
  <c r="T41" i="1"/>
  <c r="O37" i="1"/>
  <c r="M37" i="1"/>
  <c r="M38" i="1"/>
  <c r="Q38" i="1"/>
  <c r="N37" i="1"/>
  <c r="O38" i="1"/>
  <c r="R35" i="1"/>
  <c r="Q35" i="1"/>
  <c r="N35" i="1"/>
  <c r="N38" i="1"/>
  <c r="M35" i="1"/>
  <c r="P33" i="1"/>
  <c r="L102" i="3"/>
  <c r="M102" i="3" s="1"/>
  <c r="E102" i="4"/>
  <c r="F102" i="4" s="1"/>
  <c r="L102" i="4"/>
  <c r="M102" i="4" s="1"/>
  <c r="E102" i="3"/>
  <c r="F102" i="3" s="1"/>
  <c r="E14" i="6" l="1"/>
  <c r="E12" i="6"/>
  <c r="B16" i="6"/>
  <c r="B15" i="6"/>
  <c r="B13" i="6"/>
  <c r="B12" i="6"/>
  <c r="B33" i="6" s="1"/>
  <c r="B43" i="6" s="1"/>
  <c r="E13" i="6"/>
  <c r="B14" i="6"/>
  <c r="B35" i="6" s="1"/>
  <c r="B45" i="6" s="1"/>
  <c r="E15" i="6"/>
  <c r="E16" i="6"/>
  <c r="F32" i="4"/>
  <c r="F52" i="4"/>
  <c r="F68" i="4"/>
  <c r="F92" i="4"/>
  <c r="F76" i="4"/>
  <c r="F84" i="4"/>
  <c r="F48" i="4"/>
  <c r="F44" i="4"/>
  <c r="F64" i="4"/>
  <c r="F96" i="4"/>
  <c r="J28" i="1"/>
  <c r="F87" i="4"/>
  <c r="F31" i="4"/>
  <c r="F63" i="4"/>
  <c r="M19" i="4"/>
  <c r="F12" i="4"/>
  <c r="F20" i="4"/>
  <c r="F28" i="4"/>
  <c r="M83" i="4"/>
  <c r="M99" i="4"/>
  <c r="M90" i="4"/>
  <c r="M51" i="4"/>
  <c r="M35" i="4"/>
  <c r="F94" i="4"/>
  <c r="F47" i="4"/>
  <c r="F62" i="4"/>
  <c r="F78" i="4"/>
  <c r="M67" i="4"/>
  <c r="F63" i="3"/>
  <c r="F23" i="4"/>
  <c r="F79" i="4"/>
  <c r="F18" i="4"/>
  <c r="M15" i="4"/>
  <c r="M31" i="4"/>
  <c r="M47" i="4"/>
  <c r="M63" i="4"/>
  <c r="M79" i="4"/>
  <c r="M95" i="4"/>
  <c r="M86" i="4"/>
  <c r="M27" i="4"/>
  <c r="M43" i="4"/>
  <c r="M59" i="4"/>
  <c r="M75" i="4"/>
  <c r="M91" i="4"/>
  <c r="M38" i="4"/>
  <c r="M23" i="4"/>
  <c r="M39" i="4"/>
  <c r="M55" i="4"/>
  <c r="M71" i="4"/>
  <c r="M87" i="4"/>
  <c r="M26" i="4"/>
  <c r="F16" i="4"/>
  <c r="F36" i="4"/>
  <c r="F60" i="4"/>
  <c r="F80" i="4"/>
  <c r="F100" i="4"/>
  <c r="F15" i="4"/>
  <c r="F55" i="4"/>
  <c r="F95" i="4"/>
  <c r="F30" i="4"/>
  <c r="M52" i="3"/>
  <c r="F72" i="3"/>
  <c r="M62" i="4"/>
  <c r="F42" i="4"/>
  <c r="M84" i="3"/>
  <c r="F83" i="3"/>
  <c r="F31" i="3"/>
  <c r="M37" i="3"/>
  <c r="F95" i="3"/>
  <c r="F35" i="3"/>
  <c r="M58" i="4"/>
  <c r="M18" i="3"/>
  <c r="M20" i="3"/>
  <c r="F55" i="3"/>
  <c r="F36" i="3"/>
  <c r="F99" i="3"/>
  <c r="F71" i="3"/>
  <c r="F39" i="3"/>
  <c r="F15" i="3"/>
  <c r="F37" i="3"/>
  <c r="M22" i="4"/>
  <c r="M46" i="4"/>
  <c r="M78" i="4"/>
  <c r="F79" i="3"/>
  <c r="F51" i="3"/>
  <c r="F19" i="3"/>
  <c r="F20" i="3"/>
  <c r="M14" i="4"/>
  <c r="M42" i="4"/>
  <c r="M70" i="4"/>
  <c r="M25" i="4"/>
  <c r="M41" i="4"/>
  <c r="M30" i="4"/>
  <c r="M54" i="4"/>
  <c r="M74" i="4"/>
  <c r="M94" i="4"/>
  <c r="F39" i="4"/>
  <c r="F71" i="4"/>
  <c r="M101" i="3"/>
  <c r="M11" i="4"/>
  <c r="M89" i="4"/>
  <c r="F50" i="4"/>
  <c r="M82" i="3"/>
  <c r="M75" i="3"/>
  <c r="M57" i="4"/>
  <c r="M68" i="3"/>
  <c r="F19" i="4"/>
  <c r="F35" i="4"/>
  <c r="F51" i="4"/>
  <c r="F67" i="4"/>
  <c r="F83" i="4"/>
  <c r="F99" i="4"/>
  <c r="M53" i="3"/>
  <c r="M37" i="4"/>
  <c r="M73" i="4"/>
  <c r="F26" i="4"/>
  <c r="F46" i="4"/>
  <c r="F74" i="4"/>
  <c r="M98" i="3"/>
  <c r="M34" i="3"/>
  <c r="M99" i="3"/>
  <c r="M69" i="3"/>
  <c r="M50" i="3"/>
  <c r="M35" i="3"/>
  <c r="F24" i="4"/>
  <c r="F40" i="4"/>
  <c r="F56" i="4"/>
  <c r="F72" i="4"/>
  <c r="F88" i="4"/>
  <c r="M100" i="3"/>
  <c r="M36" i="3"/>
  <c r="F87" i="3"/>
  <c r="F67" i="3"/>
  <c r="F47" i="3"/>
  <c r="F23" i="3"/>
  <c r="F52" i="3"/>
  <c r="F22" i="3"/>
  <c r="M18" i="4"/>
  <c r="M34" i="4"/>
  <c r="M50" i="4"/>
  <c r="M66" i="4"/>
  <c r="M82" i="4"/>
  <c r="M98" i="4"/>
  <c r="F27" i="4"/>
  <c r="F43" i="4"/>
  <c r="F59" i="4"/>
  <c r="F75" i="4"/>
  <c r="F91" i="4"/>
  <c r="M85" i="3"/>
  <c r="M21" i="3"/>
  <c r="M21" i="4"/>
  <c r="M53" i="4"/>
  <c r="F14" i="4"/>
  <c r="F34" i="4"/>
  <c r="F58" i="4"/>
  <c r="F90" i="4"/>
  <c r="M66" i="3"/>
  <c r="M55" i="3"/>
  <c r="M88" i="3"/>
  <c r="M72" i="3"/>
  <c r="M56" i="3"/>
  <c r="M40" i="3"/>
  <c r="M24" i="3"/>
  <c r="M89" i="3"/>
  <c r="M73" i="3"/>
  <c r="M57" i="3"/>
  <c r="M41" i="3"/>
  <c r="M25" i="3"/>
  <c r="M86" i="3"/>
  <c r="M70" i="3"/>
  <c r="M54" i="3"/>
  <c r="M38" i="3"/>
  <c r="M22" i="3"/>
  <c r="M83" i="3"/>
  <c r="M59" i="3"/>
  <c r="M39" i="3"/>
  <c r="M92" i="3"/>
  <c r="M76" i="3"/>
  <c r="M60" i="3"/>
  <c r="M44" i="3"/>
  <c r="M28" i="3"/>
  <c r="M12" i="3"/>
  <c r="M93" i="3"/>
  <c r="M77" i="3"/>
  <c r="M61" i="3"/>
  <c r="M45" i="3"/>
  <c r="M29" i="3"/>
  <c r="M13" i="3"/>
  <c r="M90" i="3"/>
  <c r="M74" i="3"/>
  <c r="M58" i="3"/>
  <c r="M42" i="3"/>
  <c r="M26" i="3"/>
  <c r="M87" i="3"/>
  <c r="M67" i="3"/>
  <c r="M43" i="3"/>
  <c r="M23" i="3"/>
  <c r="M96" i="3"/>
  <c r="M80" i="3"/>
  <c r="M64" i="3"/>
  <c r="M48" i="3"/>
  <c r="M32" i="3"/>
  <c r="M16" i="3"/>
  <c r="M97" i="3"/>
  <c r="M81" i="3"/>
  <c r="M65" i="3"/>
  <c r="M49" i="3"/>
  <c r="M33" i="3"/>
  <c r="M17" i="3"/>
  <c r="M94" i="3"/>
  <c r="M78" i="3"/>
  <c r="M62" i="3"/>
  <c r="M46" i="3"/>
  <c r="M30" i="3"/>
  <c r="M14" i="3"/>
  <c r="M91" i="3"/>
  <c r="M71" i="3"/>
  <c r="M51" i="3"/>
  <c r="M27" i="3"/>
  <c r="F91" i="3"/>
  <c r="F75" i="3"/>
  <c r="F59" i="3"/>
  <c r="F43" i="3"/>
  <c r="F27" i="3"/>
  <c r="F84" i="3"/>
  <c r="F44" i="3"/>
  <c r="F12" i="3"/>
  <c r="F96" i="3"/>
  <c r="F76" i="3"/>
  <c r="F48" i="3"/>
  <c r="F16" i="3"/>
  <c r="M13" i="4"/>
  <c r="M29" i="4"/>
  <c r="M45" i="4"/>
  <c r="M61" i="4"/>
  <c r="M77" i="4"/>
  <c r="M93" i="4"/>
  <c r="F66" i="4"/>
  <c r="F82" i="4"/>
  <c r="F98" i="4"/>
  <c r="F97" i="3"/>
  <c r="F81" i="3"/>
  <c r="F65" i="3"/>
  <c r="F49" i="3"/>
  <c r="F17" i="3"/>
  <c r="F11" i="4"/>
  <c r="M20" i="4"/>
  <c r="M36" i="4"/>
  <c r="M52" i="4"/>
  <c r="M68" i="4"/>
  <c r="M84" i="4"/>
  <c r="M100" i="4"/>
  <c r="F25" i="4"/>
  <c r="F41" i="4"/>
  <c r="F57" i="4"/>
  <c r="F73" i="4"/>
  <c r="F89" i="4"/>
  <c r="M19" i="3"/>
  <c r="F90" i="3"/>
  <c r="F74" i="3"/>
  <c r="F58" i="3"/>
  <c r="F42" i="3"/>
  <c r="F26" i="3"/>
  <c r="M11" i="3"/>
  <c r="F100" i="3"/>
  <c r="F80" i="3"/>
  <c r="F56" i="3"/>
  <c r="F24" i="3"/>
  <c r="F13" i="3"/>
  <c r="F101" i="3"/>
  <c r="F85" i="3"/>
  <c r="F69" i="3"/>
  <c r="F53" i="3"/>
  <c r="F29" i="3"/>
  <c r="M16" i="4"/>
  <c r="M32" i="4"/>
  <c r="M48" i="4"/>
  <c r="M64" i="4"/>
  <c r="M80" i="4"/>
  <c r="M96" i="4"/>
  <c r="F21" i="4"/>
  <c r="F37" i="4"/>
  <c r="F53" i="4"/>
  <c r="F69" i="4"/>
  <c r="F85" i="4"/>
  <c r="F101" i="4"/>
  <c r="F94" i="3"/>
  <c r="F78" i="3"/>
  <c r="F62" i="3"/>
  <c r="F46" i="3"/>
  <c r="F30" i="3"/>
  <c r="F60" i="3"/>
  <c r="F28" i="3"/>
  <c r="F21" i="3"/>
  <c r="F11" i="3"/>
  <c r="F88" i="3"/>
  <c r="F64" i="3"/>
  <c r="F32" i="3"/>
  <c r="F25" i="3"/>
  <c r="M69" i="4"/>
  <c r="M85" i="4"/>
  <c r="M101" i="4"/>
  <c r="F89" i="3"/>
  <c r="F73" i="3"/>
  <c r="F57" i="3"/>
  <c r="F41" i="3"/>
  <c r="M12" i="4"/>
  <c r="M28" i="4"/>
  <c r="M44" i="4"/>
  <c r="M60" i="4"/>
  <c r="M76" i="4"/>
  <c r="M92" i="4"/>
  <c r="F17" i="4"/>
  <c r="F33" i="4"/>
  <c r="F49" i="4"/>
  <c r="F65" i="4"/>
  <c r="F81" i="4"/>
  <c r="F97" i="4"/>
  <c r="F98" i="3"/>
  <c r="F82" i="3"/>
  <c r="F66" i="3"/>
  <c r="F50" i="3"/>
  <c r="F34" i="3"/>
  <c r="F92" i="3"/>
  <c r="F68" i="3"/>
  <c r="F40" i="3"/>
  <c r="F33" i="3"/>
  <c r="M17" i="4"/>
  <c r="M33" i="4"/>
  <c r="M49" i="4"/>
  <c r="M65" i="4"/>
  <c r="M81" i="4"/>
  <c r="M97" i="4"/>
  <c r="F22" i="4"/>
  <c r="F38" i="4"/>
  <c r="F54" i="4"/>
  <c r="F70" i="4"/>
  <c r="F86" i="4"/>
  <c r="F93" i="3"/>
  <c r="F77" i="3"/>
  <c r="F61" i="3"/>
  <c r="F45" i="3"/>
  <c r="F18" i="3"/>
  <c r="M24" i="4"/>
  <c r="M40" i="4"/>
  <c r="M56" i="4"/>
  <c r="M72" i="4"/>
  <c r="M88" i="4"/>
  <c r="F13" i="4"/>
  <c r="F29" i="4"/>
  <c r="F45" i="4"/>
  <c r="F61" i="4"/>
  <c r="F77" i="4"/>
  <c r="F93" i="4"/>
  <c r="M95" i="3"/>
  <c r="M79" i="3"/>
  <c r="M63" i="3"/>
  <c r="M47" i="3"/>
  <c r="M31" i="3"/>
  <c r="M15" i="3"/>
  <c r="F86" i="3"/>
  <c r="F70" i="3"/>
  <c r="F54" i="3"/>
  <c r="F38" i="3"/>
  <c r="F14" i="3"/>
  <c r="B34" i="6" l="1"/>
  <c r="B44" i="6" s="1"/>
  <c r="B36" i="6"/>
  <c r="B46" i="6" s="1"/>
  <c r="H35" i="1"/>
  <c r="AD35" i="1" s="1"/>
  <c r="H37" i="1"/>
  <c r="AD37" i="1" s="1"/>
  <c r="H38" i="1"/>
  <c r="AD38" i="1" s="1"/>
  <c r="H34" i="1"/>
  <c r="AD34" i="1" s="1"/>
  <c r="H36" i="1"/>
  <c r="AD36" i="1" s="1"/>
  <c r="H33" i="1"/>
  <c r="AD33" i="1" s="1"/>
  <c r="H39" i="1"/>
  <c r="AD39" i="1" s="1"/>
  <c r="B39" i="1"/>
  <c r="X39" i="1" s="1"/>
  <c r="C39" i="1"/>
  <c r="Y39" i="1" s="1"/>
  <c r="G39" i="1"/>
  <c r="AC39" i="1" s="1"/>
  <c r="E39" i="1"/>
  <c r="AA39" i="1" s="1"/>
  <c r="F39" i="1"/>
  <c r="AB39" i="1" s="1"/>
  <c r="D39" i="1"/>
  <c r="Z39" i="1" s="1"/>
  <c r="J39" i="1"/>
  <c r="AF39" i="1" s="1"/>
  <c r="J33" i="1"/>
  <c r="AF33" i="1" s="1"/>
  <c r="F41" i="1"/>
  <c r="AB41" i="1" s="1"/>
  <c r="G41" i="1"/>
  <c r="AC41" i="1" s="1"/>
  <c r="C41" i="1"/>
  <c r="Y41" i="1" s="1"/>
  <c r="B41" i="1"/>
  <c r="X41" i="1" s="1"/>
  <c r="C38" i="1"/>
  <c r="Y38" i="1" s="1"/>
  <c r="B38" i="1"/>
  <c r="X38" i="1" s="1"/>
  <c r="B37" i="1"/>
  <c r="X37" i="1" s="1"/>
  <c r="G36" i="1"/>
  <c r="AC36" i="1" s="1"/>
  <c r="E36" i="1"/>
  <c r="AA36" i="1" s="1"/>
  <c r="J41" i="1"/>
  <c r="AF41" i="1" s="1"/>
  <c r="F36" i="1"/>
  <c r="AB36" i="1" s="1"/>
  <c r="D36" i="1"/>
  <c r="Z36" i="1" s="1"/>
  <c r="J37" i="1"/>
  <c r="AF37" i="1" s="1"/>
  <c r="D37" i="1"/>
  <c r="Z37" i="1" s="1"/>
  <c r="C37" i="1"/>
  <c r="Y37" i="1" s="1"/>
  <c r="E37" i="1"/>
  <c r="AA37" i="1" s="1"/>
  <c r="F34" i="1"/>
  <c r="AB34" i="1" s="1"/>
  <c r="G34" i="1"/>
  <c r="AC34" i="1" s="1"/>
  <c r="E33" i="1"/>
  <c r="AA33" i="1" s="1"/>
  <c r="G37" i="1"/>
  <c r="AC37" i="1" s="1"/>
  <c r="G33" i="1"/>
  <c r="AC33" i="1" s="1"/>
  <c r="C34" i="1"/>
  <c r="Y34" i="1" s="1"/>
  <c r="C36" i="1"/>
  <c r="Y36" i="1" s="1"/>
  <c r="D38" i="1"/>
  <c r="Z38" i="1" s="1"/>
  <c r="D34" i="1"/>
  <c r="Z34" i="1" s="1"/>
  <c r="E34" i="1"/>
  <c r="AA34" i="1" s="1"/>
  <c r="F37" i="1"/>
  <c r="AB37" i="1" s="1"/>
  <c r="J36" i="1"/>
  <c r="AF36" i="1" s="1"/>
  <c r="B34" i="1"/>
  <c r="X34" i="1" s="1"/>
  <c r="G38" i="1"/>
  <c r="AC38" i="1" s="1"/>
  <c r="D33" i="1"/>
  <c r="Z33" i="1" s="1"/>
  <c r="E38" i="1"/>
  <c r="AA38" i="1" s="1"/>
  <c r="F38" i="1"/>
  <c r="AB38" i="1" s="1"/>
  <c r="B36" i="1"/>
  <c r="X36" i="1" s="1"/>
  <c r="I41" i="1"/>
  <c r="AE41" i="1" s="1"/>
  <c r="J38" i="1"/>
  <c r="AF38" i="1" s="1"/>
  <c r="D35" i="1"/>
  <c r="Z35" i="1" s="1"/>
  <c r="F33" i="1"/>
  <c r="AB33" i="1" s="1"/>
  <c r="C35" i="1"/>
  <c r="Y35" i="1" s="1"/>
  <c r="E41" i="1"/>
  <c r="AA41" i="1" s="1"/>
  <c r="G35" i="1"/>
  <c r="AC35" i="1" s="1"/>
  <c r="C33" i="1"/>
  <c r="Y33" i="1" s="1"/>
  <c r="D41" i="1"/>
  <c r="Z41" i="1" s="1"/>
  <c r="J34" i="1"/>
  <c r="AF34" i="1" s="1"/>
  <c r="F35" i="1"/>
  <c r="AB35" i="1" s="1"/>
  <c r="B33" i="1"/>
  <c r="X33" i="1" s="1"/>
  <c r="B35" i="1"/>
  <c r="X35" i="1" s="1"/>
  <c r="E35" i="1"/>
  <c r="AA35" i="1" s="1"/>
  <c r="J35" i="1"/>
  <c r="AF35" i="1" s="1"/>
</calcChain>
</file>

<file path=xl/sharedStrings.xml><?xml version="1.0" encoding="utf-8"?>
<sst xmlns="http://schemas.openxmlformats.org/spreadsheetml/2006/main" count="687" uniqueCount="268">
  <si>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</si>
  <si>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</si>
  <si>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</si>
  <si>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</si>
  <si>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</si>
  <si>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</si>
  <si>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</si>
  <si>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</si>
  <si>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</si>
  <si>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</si>
  <si>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</si>
  <si>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</si>
  <si>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</si>
  <si>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</si>
  <si>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</si>
  <si>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</si>
  <si>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</si>
  <si>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</si>
  <si>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</si>
  <si>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</si>
  <si>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</si>
  <si>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</si>
  <si>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</si>
  <si>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</si>
  <si>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</si>
  <si>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</si>
  <si>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</si>
  <si>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</si>
  <si>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</si>
  <si>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</si>
  <si>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</si>
  <si>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</si>
  <si>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</si>
  <si>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</si>
  <si>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</si>
  <si>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</si>
  <si>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</si>
  <si>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</si>
  <si>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</si>
  <si>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</si>
  <si>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</si>
  <si>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</si>
  <si>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</si>
  <si>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</si>
  <si>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</si>
  <si>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</si>
  <si>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</si>
  <si>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</si>
  <si>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</si>
  <si>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</si>
  <si>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</si>
  <si>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</si>
  <si>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</si>
  <si>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</si>
  <si>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</si>
  <si>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Current</t>
  </si>
  <si>
    <t>Next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</si>
  <si>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</si>
  <si>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</si>
  <si>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</si>
  <si>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</si>
  <si>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</si>
  <si>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</si>
  <si>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</si>
  <si>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</si>
  <si>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</si>
  <si>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</si>
  <si>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</si>
  <si>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</si>
  <si>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</si>
  <si>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</si>
  <si>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</si>
  <si>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</si>
  <si>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</si>
  <si>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</si>
  <si>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</si>
  <si>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</si>
  <si>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</si>
  <si>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</si>
  <si>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</si>
  <si>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</si>
  <si>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</si>
  <si>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</si>
  <si>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</si>
  <si>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</si>
  <si>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</si>
  <si>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</si>
  <si>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</si>
  <si>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</si>
  <si>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</si>
  <si>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</si>
  <si>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</si>
  <si>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</si>
  <si>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</si>
  <si>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</si>
  <si>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</si>
  <si>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</si>
  <si>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</si>
  <si>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</si>
  <si>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</si>
  <si>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</si>
  <si>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</si>
  <si>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</si>
  <si>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</si>
  <si>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</si>
  <si>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</si>
  <si>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</si>
  <si>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</si>
  <si>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</si>
  <si>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</si>
  <si>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</si>
  <si>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</si>
  <si>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</si>
  <si>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</si>
  <si>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</si>
  <si>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</si>
  <si>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</si>
  <si>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</si>
  <si>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</si>
  <si>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</si>
  <si>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</si>
  <si>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</si>
  <si>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</si>
  <si>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</si>
  <si>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</si>
  <si>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</si>
  <si>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</si>
  <si>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</si>
  <si>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</si>
  <si>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</si>
  <si>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</si>
  <si>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</si>
  <si>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</si>
  <si>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</si>
  <si>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</si>
  <si>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</si>
  <si>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</si>
  <si>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</si>
  <si>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</si>
  <si>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</si>
  <si>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</si>
  <si>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</si>
  <si>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</si>
  <si>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</si>
  <si>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</si>
  <si>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</si>
  <si>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</si>
  <si>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</si>
  <si>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</si>
  <si>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</si>
  <si>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</si>
  <si>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</si>
  <si>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</si>
  <si>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</si>
  <si>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</si>
  <si>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</si>
  <si>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</si>
  <si>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</si>
  <si>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</si>
  <si>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</si>
  <si>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</si>
  <si>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</si>
  <si>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</si>
  <si>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</si>
  <si>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</si>
  <si>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</si>
  <si>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</si>
  <si>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</si>
  <si>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</si>
  <si>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</si>
  <si>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</si>
  <si>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</si>
  <si>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</si>
  <si>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</si>
  <si>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</si>
  <si>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</si>
  <si>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</si>
  <si>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</si>
  <si>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</si>
  <si>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</si>
  <si>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</si>
  <si>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</si>
  <si>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</si>
  <si>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</si>
  <si>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</si>
  <si>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</si>
  <si>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</si>
  <si>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</si>
  <si>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</si>
  <si>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</si>
  <si>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</si>
  <si>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</si>
  <si>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</si>
  <si>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</si>
  <si>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</si>
  <si>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</si>
  <si>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</si>
  <si>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</si>
  <si>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</si>
  <si>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</si>
  <si>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</si>
  <si>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</si>
  <si>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</si>
  <si>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</si>
  <si>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</si>
  <si>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</si>
  <si>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</si>
  <si>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</si>
  <si>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</si>
  <si>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</si>
  <si>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</si>
  <si>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</si>
  <si>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</si>
  <si>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</si>
  <si>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</si>
  <si>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</si>
  <si>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</si>
  <si>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</si>
  <si>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</si>
  <si>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</si>
  <si>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</si>
  <si>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</si>
  <si>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</si>
  <si>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</si>
  <si>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</si>
  <si>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</si>
  <si>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</si>
  <si>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</si>
  <si>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</si>
  <si>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</si>
  <si>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</si>
  <si>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</si>
  <si>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</si>
  <si>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</si>
  <si>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</si>
  <si>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</si>
  <si>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</si>
  <si>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</si>
  <si>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</si>
  <si>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</si>
  <si>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</si>
  <si>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</si>
  <si>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Open "IndividualPersonDayPatternCoefficients_nashville-v1.8.F12" in Notepad+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</si>
  <si>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</si>
  <si>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</si>
  <si>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</si>
  <si>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</si>
  <si>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</si>
  <si>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</si>
  <si>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svn</t>
  </si>
  <si>
    <t>v1799,</t>
  </si>
  <si>
    <t>alo</t>
  </si>
  <si>
    <t>v0601)</t>
  </si>
  <si>
    <t>Created</t>
  </si>
  <si>
    <t>by</t>
  </si>
  <si>
    <t>ALOGIT</t>
  </si>
  <si>
    <t>version</t>
  </si>
  <si>
    <t>on</t>
  </si>
  <si>
    <t>May</t>
  </si>
  <si>
    <t>END</t>
  </si>
  <si>
    <t>T</t>
  </si>
  <si>
    <t>F</t>
  </si>
  <si>
    <t>Beta00924</t>
  </si>
  <si>
    <t>011:39:57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</si>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</sst>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79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0" fillId="0" borderId="3" xfId="0" applyBorder="1" applyAlignment="1">
      <alignment horizontal="center" vertical="top"/>
    </xf>
    <xf numFmtId="10" fontId="0" fillId="0" borderId="0" xfId="0" applyNumberFormat="1"/>
    <xf numFmtId="0" fontId="0" fillId="0" borderId="0" xfId="0" applyFill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1" fontId="0" fillId="0" borderId="1" xfId="0" applyNumberFormat="1" applyBorder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1" fillId="0" borderId="0" xfId="0" applyFont="1" applyAlignment="1">
      <alignment horizontal="right"/>
    </xf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1" fontId="0" fillId="0" borderId="0" xfId="0" applyNumberFormat="1" applyFont="1"/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1" fontId="0" fillId="0" borderId="0" xfId="0" applyNumberFormat="1" applyFont="1" applyFill="1"/>
    <xf numFmtId="21" fontId="0" fillId="0" borderId="0" xfId="0" applyNumberFormat="1"/>
    <xf numFmtId="11" fontId="0" fillId="0" borderId="0" xfId="0" applyNumberFormat="1"/>
    <xf numFmtId="166" fontId="0" fillId="3" borderId="0" xfId="0" applyNumberFormat="1" applyFont="1" applyFill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0.32512378763311939</c:v>
                </c:pt>
                <c:pt idx="1">
                  <c:v>0.23758372358250573</c:v>
                </c:pt>
                <c:pt idx="2">
                  <c:v>0.16082417388446238</c:v>
                </c:pt>
                <c:pt idx="3">
                  <c:v>0.10146990418333834</c:v>
                </c:pt>
                <c:pt idx="4">
                  <c:v>6.0494123056386177E-2</c:v>
                </c:pt>
                <c:pt idx="5">
                  <c:v>3.4733764845178768E-2</c:v>
                </c:pt>
                <c:pt idx="6">
                  <c:v>1.9625052964096949E-2</c:v>
                </c:pt>
                <c:pt idx="7">
                  <c:v>1.1221928986818288E-2</c:v>
                </c:pt>
                <c:pt idx="8">
                  <c:v>6.8383419046842957E-3</c:v>
                </c:pt>
                <c:pt idx="9">
                  <c:v>4.7900775602311863E-3</c:v>
                </c:pt>
                <c:pt idx="10">
                  <c:v>3.9687094524458906E-3</c:v>
                </c:pt>
                <c:pt idx="11">
                  <c:v>3.6279399511660471E-3</c:v>
                </c:pt>
                <c:pt idx="12">
                  <c:v>3.3458248588832703E-3</c:v>
                </c:pt>
                <c:pt idx="13">
                  <c:v>2.9801566683292646E-3</c:v>
                </c:pt>
                <c:pt idx="14">
                  <c:v>2.5495696233459658E-3</c:v>
                </c:pt>
                <c:pt idx="15">
                  <c:v>2.1124188079651544E-3</c:v>
                </c:pt>
                <c:pt idx="16">
                  <c:v>1.7116678081604262E-3</c:v>
                </c:pt>
                <c:pt idx="17">
                  <c:v>1.3709154244075745E-3</c:v>
                </c:pt>
                <c:pt idx="18">
                  <c:v>1.0997741915229351E-3</c:v>
                </c:pt>
                <c:pt idx="19">
                  <c:v>9.0077463801725916E-4</c:v>
                </c:pt>
                <c:pt idx="20">
                  <c:v>7.8223759759779999E-4</c:v>
                </c:pt>
                <c:pt idx="21">
                  <c:v>7.5885163619305099E-4</c:v>
                </c:pt>
                <c:pt idx="22">
                  <c:v>8.2468188322546755E-4</c:v>
                </c:pt>
                <c:pt idx="23">
                  <c:v>9.256379444244206E-4</c:v>
                </c:pt>
                <c:pt idx="24">
                  <c:v>9.7559983103564856E-4</c:v>
                </c:pt>
                <c:pt idx="25">
                  <c:v>9.1442311253072631E-4</c:v>
                </c:pt>
                <c:pt idx="26">
                  <c:v>7.5283090862770109E-4</c:v>
                </c:pt>
                <c:pt idx="27">
                  <c:v>5.6055622765880601E-4</c:v>
                </c:pt>
                <c:pt idx="28">
                  <c:v>4.1452916115645506E-4</c:v>
                </c:pt>
                <c:pt idx="29">
                  <c:v>3.5710528812893448E-4</c:v>
                </c:pt>
                <c:pt idx="30">
                  <c:v>3.8941288139906924E-4</c:v>
                </c:pt>
                <c:pt idx="31">
                  <c:v>4.8470931873727366E-4</c:v>
                </c:pt>
                <c:pt idx="32">
                  <c:v>5.9902056680673991E-4</c:v>
                </c:pt>
                <c:pt idx="33">
                  <c:v>6.7842095745924817E-4</c:v>
                </c:pt>
                <c:pt idx="34">
                  <c:v>6.7643993081482781E-4</c:v>
                </c:pt>
                <c:pt idx="35">
                  <c:v>5.8019525122269535E-4</c:v>
                </c:pt>
                <c:pt idx="36">
                  <c:v>4.2236301658221768E-4</c:v>
                </c:pt>
                <c:pt idx="37">
                  <c:v>2.6308197145358904E-4</c:v>
                </c:pt>
                <c:pt idx="38">
                  <c:v>1.5616668136295741E-4</c:v>
                </c:pt>
                <c:pt idx="39">
                  <c:v>1.2690573406626377E-4</c:v>
                </c:pt>
                <c:pt idx="40">
                  <c:v>1.6964331992471034E-4</c:v>
                </c:pt>
                <c:pt idx="41">
                  <c:v>2.5407514003643008E-4</c:v>
                </c:pt>
                <c:pt idx="42">
                  <c:v>3.3450637419449688E-4</c:v>
                </c:pt>
                <c:pt idx="43">
                  <c:v>3.6735177857309415E-4</c:v>
                </c:pt>
                <c:pt idx="44">
                  <c:v>3.3390114115364449E-4</c:v>
                </c:pt>
                <c:pt idx="45">
                  <c:v>2.5042345414681726E-4</c:v>
                </c:pt>
                <c:pt idx="46">
                  <c:v>1.5410674101342604E-4</c:v>
                </c:pt>
                <c:pt idx="47">
                  <c:v>7.705337050671302E-5</c:v>
                </c:pt>
                <c:pt idx="48">
                  <c:v>3.0821348202685213E-5</c:v>
                </c:pt>
                <c:pt idx="49">
                  <c:v>9.6316713133391275E-6</c:v>
                </c:pt>
                <c:pt idx="50">
                  <c:v>2.2662756031386186E-6</c:v>
                </c:pt>
                <c:pt idx="51">
                  <c:v>3.7771260052310306E-7</c:v>
                </c:pt>
                <c:pt idx="52">
                  <c:v>3.9759221107695058E-8</c:v>
                </c:pt>
                <c:pt idx="53">
                  <c:v>1.9879610553847532E-9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0.30676164710842529</c:v>
                </c:pt>
                <c:pt idx="1">
                  <c:v>0.11525367156208277</c:v>
                </c:pt>
                <c:pt idx="2">
                  <c:v>7.106141522029373E-2</c:v>
                </c:pt>
                <c:pt idx="3">
                  <c:v>3.6425760663340592E-2</c:v>
                </c:pt>
                <c:pt idx="4">
                  <c:v>0.10618192677956574</c:v>
                </c:pt>
                <c:pt idx="5">
                  <c:v>7.1721945049539743E-2</c:v>
                </c:pt>
                <c:pt idx="6">
                  <c:v>5.6282060290914204E-2</c:v>
                </c:pt>
                <c:pt idx="7">
                  <c:v>3.4217553228866562E-2</c:v>
                </c:pt>
                <c:pt idx="8">
                  <c:v>2.5806338275595531E-2</c:v>
                </c:pt>
                <c:pt idx="9">
                  <c:v>3.0503829667627012E-2</c:v>
                </c:pt>
                <c:pt idx="10">
                  <c:v>1.329843299838381E-2</c:v>
                </c:pt>
                <c:pt idx="11">
                  <c:v>1.4603682102452392E-2</c:v>
                </c:pt>
                <c:pt idx="12">
                  <c:v>1.011699810273347E-2</c:v>
                </c:pt>
                <c:pt idx="13">
                  <c:v>1.3203569671843159E-2</c:v>
                </c:pt>
                <c:pt idx="14">
                  <c:v>9.3440376642540939E-3</c:v>
                </c:pt>
                <c:pt idx="15">
                  <c:v>1.0770501018902397E-2</c:v>
                </c:pt>
                <c:pt idx="16">
                  <c:v>9.4634951865645422E-3</c:v>
                </c:pt>
                <c:pt idx="17">
                  <c:v>6.9742112290070973E-3</c:v>
                </c:pt>
                <c:pt idx="18">
                  <c:v>6.8793479024664463E-3</c:v>
                </c:pt>
                <c:pt idx="19">
                  <c:v>5.8059869299416766E-3</c:v>
                </c:pt>
                <c:pt idx="20">
                  <c:v>5.1964022205045323E-3</c:v>
                </c:pt>
                <c:pt idx="21">
                  <c:v>4.2934438900990796E-3</c:v>
                </c:pt>
                <c:pt idx="22">
                  <c:v>3.2956222331529759E-3</c:v>
                </c:pt>
                <c:pt idx="23">
                  <c:v>4.0826364977865227E-3</c:v>
                </c:pt>
                <c:pt idx="24">
                  <c:v>2.961843861991427E-3</c:v>
                </c:pt>
                <c:pt idx="25">
                  <c:v>2.7071182629470874E-3</c:v>
                </c:pt>
                <c:pt idx="26">
                  <c:v>2.1818565104349658E-3</c:v>
                </c:pt>
                <c:pt idx="27">
                  <c:v>2.0114538683156488E-3</c:v>
                </c:pt>
                <c:pt idx="28">
                  <c:v>1.6407842034994026E-3</c:v>
                </c:pt>
                <c:pt idx="29">
                  <c:v>1.642540931768674E-3</c:v>
                </c:pt>
                <c:pt idx="30">
                  <c:v>1.5722718009978218E-3</c:v>
                </c:pt>
                <c:pt idx="31">
                  <c:v>1.5265968659967676E-3</c:v>
                </c:pt>
                <c:pt idx="32">
                  <c:v>1.085658070409669E-3</c:v>
                </c:pt>
                <c:pt idx="33">
                  <c:v>1.1576839294497928E-3</c:v>
                </c:pt>
                <c:pt idx="34">
                  <c:v>9.8376783079193305E-4</c:v>
                </c:pt>
                <c:pt idx="35">
                  <c:v>8.8012086290492587E-4</c:v>
                </c:pt>
                <c:pt idx="36">
                  <c:v>8.6255358021221275E-4</c:v>
                </c:pt>
                <c:pt idx="37">
                  <c:v>9.0471505867472421E-4</c:v>
                </c:pt>
                <c:pt idx="38">
                  <c:v>7.9931136251844563E-4</c:v>
                </c:pt>
                <c:pt idx="39">
                  <c:v>7.2201531867050806E-4</c:v>
                </c:pt>
                <c:pt idx="40">
                  <c:v>5.4458576347410587E-4</c:v>
                </c:pt>
                <c:pt idx="41">
                  <c:v>5.5512613308973365E-4</c:v>
                </c:pt>
                <c:pt idx="42">
                  <c:v>4.4445225212564119E-4</c:v>
                </c:pt>
                <c:pt idx="43">
                  <c:v>3.63642751739161E-4</c:v>
                </c:pt>
                <c:pt idx="44">
                  <c:v>2.9161689269903733E-4</c:v>
                </c:pt>
                <c:pt idx="45">
                  <c:v>4.058042302016724E-4</c:v>
                </c:pt>
                <c:pt idx="46">
                  <c:v>2.1080739231255709E-4</c:v>
                </c:pt>
                <c:pt idx="47">
                  <c:v>2.5648232731361115E-4</c:v>
                </c:pt>
                <c:pt idx="48">
                  <c:v>1.352680767338908E-4</c:v>
                </c:pt>
                <c:pt idx="49">
                  <c:v>1.7742955519640222E-4</c:v>
                </c:pt>
                <c:pt idx="50">
                  <c:v>1.5459208769587519E-4</c:v>
                </c:pt>
                <c:pt idx="51">
                  <c:v>1.8796992481203009E-4</c:v>
                </c:pt>
                <c:pt idx="52">
                  <c:v>1.2999789192607688E-4</c:v>
                </c:pt>
                <c:pt idx="53">
                  <c:v>1.4580844634951866E-4</c:v>
                </c:pt>
                <c:pt idx="54">
                  <c:v>1.1594406577190641E-4</c:v>
                </c:pt>
                <c:pt idx="55">
                  <c:v>1.2121425057972033E-4</c:v>
                </c:pt>
                <c:pt idx="56">
                  <c:v>6.3242217693767122E-5</c:v>
                </c:pt>
                <c:pt idx="57">
                  <c:v>4.5674935001054035E-5</c:v>
                </c:pt>
                <c:pt idx="58">
                  <c:v>5.0945119808867967E-5</c:v>
                </c:pt>
                <c:pt idx="59">
                  <c:v>7.3782587309394984E-5</c:v>
                </c:pt>
                <c:pt idx="60">
                  <c:v>7.2025859040123678E-5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12576"/>
        <c:axId val="296430976"/>
      </c:lineChart>
      <c:catAx>
        <c:axId val="209112576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430976"/>
        <c:crosses val="autoZero"/>
        <c:auto val="1"/>
        <c:lblAlgn val="ctr"/>
        <c:lblOffset val="100"/>
        <c:tickLblSkip val="10"/>
        <c:noMultiLvlLbl val="0"/>
      </c:catAx>
      <c:valAx>
        <c:axId val="2964309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091125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2.8026922598724548E-2</c:v>
                </c:pt>
                <c:pt idx="1">
                  <c:v>3.8461992328695238E-2</c:v>
                </c:pt>
                <c:pt idx="2">
                  <c:v>4.9157208658827868E-2</c:v>
                </c:pt>
                <c:pt idx="3">
                  <c:v>5.9497850861134668E-2</c:v>
                </c:pt>
                <c:pt idx="4">
                  <c:v>6.7814948728594643E-2</c:v>
                </c:pt>
                <c:pt idx="5">
                  <c:v>7.2212897470787754E-2</c:v>
                </c:pt>
                <c:pt idx="6">
                  <c:v>7.1909216722616312E-2</c:v>
                </c:pt>
                <c:pt idx="7">
                  <c:v>6.7944065963699007E-2</c:v>
                </c:pt>
                <c:pt idx="8">
                  <c:v>6.2502154298954005E-2</c:v>
                </c:pt>
                <c:pt idx="9">
                  <c:v>5.7372320586335658E-2</c:v>
                </c:pt>
                <c:pt idx="10">
                  <c:v>5.2911965818926911E-2</c:v>
                </c:pt>
                <c:pt idx="11">
                  <c:v>4.8323620993224271E-2</c:v>
                </c:pt>
                <c:pt idx="12">
                  <c:v>4.2749501456161729E-2</c:v>
                </c:pt>
                <c:pt idx="13">
                  <c:v>3.6084238694970641E-2</c:v>
                </c:pt>
                <c:pt idx="14">
                  <c:v>2.8963695538303396E-2</c:v>
                </c:pt>
                <c:pt idx="15">
                  <c:v>2.225186509922035E-2</c:v>
                </c:pt>
                <c:pt idx="16">
                  <c:v>1.6593503791899975E-2</c:v>
                </c:pt>
                <c:pt idx="17">
                  <c:v>1.2260432723354748E-2</c:v>
                </c:pt>
                <c:pt idx="18">
                  <c:v>9.2022899243951878E-3</c:v>
                </c:pt>
                <c:pt idx="19">
                  <c:v>7.1834624588613142E-3</c:v>
                </c:pt>
                <c:pt idx="20">
                  <c:v>5.9396174070993025E-3</c:v>
                </c:pt>
                <c:pt idx="21">
                  <c:v>5.2737204609775313E-3</c:v>
                </c:pt>
                <c:pt idx="22">
                  <c:v>5.0400839053774031E-3</c:v>
                </c:pt>
                <c:pt idx="23">
                  <c:v>5.0778859569465722E-3</c:v>
                </c:pt>
                <c:pt idx="24">
                  <c:v>5.2015368313099997E-3</c:v>
                </c:pt>
                <c:pt idx="25">
                  <c:v>5.2614036900931931E-3</c:v>
                </c:pt>
                <c:pt idx="26">
                  <c:v>5.1944277794437497E-3</c:v>
                </c:pt>
                <c:pt idx="27">
                  <c:v>5.011289540867209E-3</c:v>
                </c:pt>
                <c:pt idx="28">
                  <c:v>4.7456458278834386E-3</c:v>
                </c:pt>
                <c:pt idx="29">
                  <c:v>4.4112535309446454E-3</c:v>
                </c:pt>
                <c:pt idx="30">
                  <c:v>3.9892255523852269E-3</c:v>
                </c:pt>
                <c:pt idx="31">
                  <c:v>3.4561787747941571E-3</c:v>
                </c:pt>
                <c:pt idx="32">
                  <c:v>2.8444983643021054E-3</c:v>
                </c:pt>
                <c:pt idx="33">
                  <c:v>2.2811257254248159E-3</c:v>
                </c:pt>
                <c:pt idx="34">
                  <c:v>1.9465613752877103E-3</c:v>
                </c:pt>
                <c:pt idx="35">
                  <c:v>1.96674132743544E-3</c:v>
                </c:pt>
                <c:pt idx="36">
                  <c:v>2.3173123380566128E-3</c:v>
                </c:pt>
                <c:pt idx="37">
                  <c:v>2.8091544679816173E-3</c:v>
                </c:pt>
                <c:pt idx="38">
                  <c:v>3.1691088970189534E-3</c:v>
                </c:pt>
                <c:pt idx="39">
                  <c:v>3.1822472229519863E-3</c:v>
                </c:pt>
                <c:pt idx="40">
                  <c:v>2.8203467370015081E-3</c:v>
                </c:pt>
                <c:pt idx="41">
                  <c:v>2.2626647805113896E-3</c:v>
                </c:pt>
                <c:pt idx="42">
                  <c:v>1.7744553182968731E-3</c:v>
                </c:pt>
                <c:pt idx="43">
                  <c:v>1.5273154466146209E-3</c:v>
                </c:pt>
                <c:pt idx="44">
                  <c:v>1.5038642273443295E-3</c:v>
                </c:pt>
                <c:pt idx="45">
                  <c:v>1.5529349276351535E-3</c:v>
                </c:pt>
                <c:pt idx="46">
                  <c:v>1.5273023272010802E-3</c:v>
                </c:pt>
                <c:pt idx="47">
                  <c:v>1.3816296647558028E-3</c:v>
                </c:pt>
                <c:pt idx="48">
                  <c:v>1.1728900116713627E-3</c:v>
                </c:pt>
                <c:pt idx="49">
                  <c:v>1.0008823807389118E-3</c:v>
                </c:pt>
                <c:pt idx="50">
                  <c:v>9.530927737584938E-4</c:v>
                </c:pt>
                <c:pt idx="51">
                  <c:v>1.0740737365520334E-3</c:v>
                </c:pt>
                <c:pt idx="52">
                  <c:v>1.3423392813952427E-3</c:v>
                </c:pt>
                <c:pt idx="53">
                  <c:v>1.6565881051660088E-3</c:v>
                </c:pt>
                <c:pt idx="54">
                  <c:v>1.8657433103703956E-3</c:v>
                </c:pt>
                <c:pt idx="55">
                  <c:v>1.8529370430517681E-3</c:v>
                </c:pt>
                <c:pt idx="56">
                  <c:v>1.6148527455878356E-3</c:v>
                </c:pt>
                <c:pt idx="57">
                  <c:v>1.260329886896946E-3</c:v>
                </c:pt>
                <c:pt idx="58">
                  <c:v>9.2725169713476152E-4</c:v>
                </c:pt>
                <c:pt idx="59">
                  <c:v>6.9737843567380434E-4</c:v>
                </c:pt>
                <c:pt idx="60">
                  <c:v>5.7691495173902059E-4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5.108741479867894E-2</c:v>
                </c:pt>
                <c:pt idx="1">
                  <c:v>6.6226899023259081E-2</c:v>
                </c:pt>
                <c:pt idx="2">
                  <c:v>6.3670859391469325E-2</c:v>
                </c:pt>
                <c:pt idx="3">
                  <c:v>5.8087976951725108E-2</c:v>
                </c:pt>
                <c:pt idx="4">
                  <c:v>5.1658351486192113E-2</c:v>
                </c:pt>
                <c:pt idx="5">
                  <c:v>4.454887218045113E-2</c:v>
                </c:pt>
                <c:pt idx="6">
                  <c:v>3.7746820321832616E-2</c:v>
                </c:pt>
                <c:pt idx="7">
                  <c:v>3.1510434965919473E-2</c:v>
                </c:pt>
                <c:pt idx="8">
                  <c:v>2.7807251774295553E-2</c:v>
                </c:pt>
                <c:pt idx="9">
                  <c:v>2.2394771976670648E-2</c:v>
                </c:pt>
                <c:pt idx="10">
                  <c:v>1.8984962406015039E-2</c:v>
                </c:pt>
                <c:pt idx="11">
                  <c:v>1.6717026210385778E-2</c:v>
                </c:pt>
                <c:pt idx="12">
                  <c:v>1.4173283676480922E-2</c:v>
                </c:pt>
                <c:pt idx="13">
                  <c:v>1.187548310027405E-2</c:v>
                </c:pt>
                <c:pt idx="14">
                  <c:v>9.184175391750404E-3</c:v>
                </c:pt>
                <c:pt idx="15">
                  <c:v>8.0879769517251069E-3</c:v>
                </c:pt>
                <c:pt idx="16">
                  <c:v>7.4590682313259785E-3</c:v>
                </c:pt>
                <c:pt idx="17">
                  <c:v>6.5525964443819834E-3</c:v>
                </c:pt>
                <c:pt idx="18">
                  <c:v>6.3098165975686876E-2</c:v>
                </c:pt>
                <c:pt idx="19">
                  <c:v>3.1452462933033519E-2</c:v>
                </c:pt>
                <c:pt idx="20">
                  <c:v>3.5074836624270959E-2</c:v>
                </c:pt>
                <c:pt idx="21">
                  <c:v>3.6575082566228656E-2</c:v>
                </c:pt>
                <c:pt idx="22">
                  <c:v>2.8727777387393717E-2</c:v>
                </c:pt>
                <c:pt idx="23">
                  <c:v>2.6261330897336801E-2</c:v>
                </c:pt>
                <c:pt idx="24">
                  <c:v>2.1500597287611552E-2</c:v>
                </c:pt>
                <c:pt idx="25">
                  <c:v>2.1165062188180733E-2</c:v>
                </c:pt>
                <c:pt idx="26">
                  <c:v>1.4059096338978287E-2</c:v>
                </c:pt>
                <c:pt idx="27">
                  <c:v>1.4060853067247558E-2</c:v>
                </c:pt>
                <c:pt idx="28">
                  <c:v>2.5033377837116153E-2</c:v>
                </c:pt>
                <c:pt idx="29">
                  <c:v>1.7372285854823977E-2</c:v>
                </c:pt>
                <c:pt idx="30">
                  <c:v>1.0429695734663761E-2</c:v>
                </c:pt>
                <c:pt idx="31">
                  <c:v>1.1578596022767198E-2</c:v>
                </c:pt>
                <c:pt idx="32">
                  <c:v>8.061626027686038E-3</c:v>
                </c:pt>
                <c:pt idx="33">
                  <c:v>1.0487667767549716E-2</c:v>
                </c:pt>
                <c:pt idx="34">
                  <c:v>6.8617806197737337E-3</c:v>
                </c:pt>
                <c:pt idx="35">
                  <c:v>7.1393436863186003E-3</c:v>
                </c:pt>
                <c:pt idx="36">
                  <c:v>8.21270465884337E-3</c:v>
                </c:pt>
                <c:pt idx="37">
                  <c:v>5.1841051226196328E-3</c:v>
                </c:pt>
                <c:pt idx="38">
                  <c:v>4.556953130489776E-3</c:v>
                </c:pt>
                <c:pt idx="39">
                  <c:v>3.9052069425901201E-3</c:v>
                </c:pt>
                <c:pt idx="40">
                  <c:v>3.6662918979692223E-3</c:v>
                </c:pt>
                <c:pt idx="41">
                  <c:v>3.8718291054739653E-3</c:v>
                </c:pt>
                <c:pt idx="42">
                  <c:v>2.9881947860304968E-3</c:v>
                </c:pt>
                <c:pt idx="43">
                  <c:v>2.7756306654486682E-3</c:v>
                </c:pt>
                <c:pt idx="44">
                  <c:v>2.1221277492797412E-3</c:v>
                </c:pt>
                <c:pt idx="45">
                  <c:v>2.3821235331318953E-3</c:v>
                </c:pt>
                <c:pt idx="46">
                  <c:v>2.2205045323589346E-3</c:v>
                </c:pt>
                <c:pt idx="47">
                  <c:v>1.904293443890099E-3</c:v>
                </c:pt>
                <c:pt idx="48">
                  <c:v>2.0167240531234628E-3</c:v>
                </c:pt>
                <c:pt idx="49">
                  <c:v>1.8533483240812311E-3</c:v>
                </c:pt>
                <c:pt idx="50">
                  <c:v>1.6091630946525192E-3</c:v>
                </c:pt>
                <c:pt idx="51">
                  <c:v>1.2455203429133583E-3</c:v>
                </c:pt>
                <c:pt idx="52">
                  <c:v>1.4264633546483029E-3</c:v>
                </c:pt>
                <c:pt idx="53">
                  <c:v>1.0821446138711264E-3</c:v>
                </c:pt>
                <c:pt idx="54">
                  <c:v>1.0013351134846463E-3</c:v>
                </c:pt>
                <c:pt idx="55">
                  <c:v>8.2214883001897269E-4</c:v>
                </c:pt>
                <c:pt idx="56">
                  <c:v>1.0786311573325838E-3</c:v>
                </c:pt>
                <c:pt idx="57">
                  <c:v>8.1336518867261608E-4</c:v>
                </c:pt>
                <c:pt idx="58">
                  <c:v>8.028248190569883E-4</c:v>
                </c:pt>
                <c:pt idx="59">
                  <c:v>4.5674935001054035E-4</c:v>
                </c:pt>
                <c:pt idx="60">
                  <c:v>6.0080106809078777E-4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897152"/>
        <c:axId val="296432704"/>
      </c:lineChart>
      <c:catAx>
        <c:axId val="29489715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432704"/>
        <c:crosses val="autoZero"/>
        <c:auto val="1"/>
        <c:lblAlgn val="ctr"/>
        <c:lblOffset val="100"/>
        <c:tickLblSkip val="10"/>
        <c:noMultiLvlLbl val="0"/>
      </c:catAx>
      <c:valAx>
        <c:axId val="2964327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948971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2"/>
  <sheetViews>
    <sheetView tabSelected="1" workbookViewId="0">
      <selection activeCell="Q7" sqref="Q7"/>
    </sheetView>
  </sheetViews>
  <sheetFormatPr defaultRowHeight="15" x14ac:dyDescent="0.25"/>
  <cols>
    <col min="1" max="1" width="13.5703125" customWidth="1" collapsed="1"/>
  </cols>
  <sheetData>
    <row r="1" spans="1:18" x14ac:dyDescent="0.25">
      <c r="A1" t="s">
        <v>1</v>
      </c>
    </row>
    <row r="2" spans="1:18" x14ac:dyDescent="0.25">
      <c r="A2" t="s">
        <v>264</v>
      </c>
    </row>
    <row r="3" spans="1:18" x14ac:dyDescent="0.25">
      <c r="A3" t="s">
        <v>265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r="9" spans="1:18" ht="15.75" thickBot="1" x14ac:dyDescent="0.3">
      <c r="A9" s="4" t="s">
        <v>45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46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46</v>
      </c>
      <c r="R10" s="5" t="s">
        <v>19</v>
      </c>
    </row>
    <row r="11" spans="1:18" x14ac:dyDescent="0.25">
      <c r="A11">
        <v>0</v>
      </c>
      <c r="B11" s="8">
        <v>66368.161399999997</v>
      </c>
      <c r="C11" s="8">
        <v>1407.7788</v>
      </c>
      <c r="D11" s="8">
        <v>718.0181</v>
      </c>
      <c r="E11" s="8">
        <f>SUM(B11:D11)</f>
        <v>68493.958299999998</v>
      </c>
      <c r="F11" s="21">
        <f>E11/$E$102</f>
        <v>0.32512378763311939</v>
      </c>
      <c r="H11" s="23">
        <v>0</v>
      </c>
      <c r="I11" s="113">
        <v>146349</v>
      </c>
      <c r="J11" s="203">
        <v>16780</v>
      </c>
      <c r="K11" s="293">
        <v>11492</v>
      </c>
      <c r="L11">
        <f>SUM(I11:K11)</f>
        <v>174621</v>
      </c>
      <c r="M11" s="21">
        <f>L11/$L$102</f>
        <v>0.30676164710842529</v>
      </c>
      <c r="P11" t="s">
        <v>9</v>
      </c>
      <c r="Q11" s="8">
        <v>2.5235162970802123</v>
      </c>
      <c r="R11" s="8">
        <v>5.391832200521832</v>
      </c>
    </row>
    <row r="12" spans="1:18" x14ac:dyDescent="0.25">
      <c r="A12">
        <v>1</v>
      </c>
      <c r="B12" s="8">
        <v>48180.753412897204</v>
      </c>
      <c r="C12" s="8">
        <v>1138.015915996647</v>
      </c>
      <c r="D12" s="8">
        <v>733.08868582000741</v>
      </c>
      <c r="E12" s="8">
        <f t="shared" ref="E12:E75" si="0">SUM(B12:D12)</f>
        <v>50051.858014713864</v>
      </c>
      <c r="F12" s="21">
        <f t="shared" ref="F12:F75" si="1">E12/$E$102</f>
        <v>0.23758372358250573</v>
      </c>
      <c r="H12" s="24">
        <v>1</v>
      </c>
      <c r="I12" s="114">
        <v>53145</v>
      </c>
      <c r="J12" s="204">
        <v>7626</v>
      </c>
      <c r="K12" s="294">
        <v>4836</v>
      </c>
      <c r="L12">
        <f t="shared" ref="L12:L75" si="2">SUM(I12:K12)</f>
        <v>65607</v>
      </c>
      <c r="M12" s="21">
        <f t="shared" ref="M12:M75" si="3">L12/$L$102</f>
        <v>0.11525367156208277</v>
      </c>
      <c r="P12" t="s">
        <v>10</v>
      </c>
      <c r="Q12" s="8">
        <v>3.062595448772691</v>
      </c>
      <c r="R12" s="8">
        <v>4.8690141062437933</v>
      </c>
    </row>
    <row r="13" spans="1:18" x14ac:dyDescent="0.25">
      <c r="A13">
        <v>2</v>
      </c>
      <c r="B13" s="8">
        <v>32316.830402999974</v>
      </c>
      <c r="C13" s="8">
        <v>873.1213064216613</v>
      </c>
      <c r="D13" s="8">
        <v>690.94128787746422</v>
      </c>
      <c r="E13" s="8">
        <f t="shared" si="0"/>
        <v>33880.892997299103</v>
      </c>
      <c r="F13" s="21">
        <f t="shared" si="1"/>
        <v>0.16082417388446238</v>
      </c>
      <c r="H13" s="25">
        <v>2</v>
      </c>
      <c r="I13" s="115">
        <v>33549</v>
      </c>
      <c r="J13" s="205">
        <v>4257</v>
      </c>
      <c r="K13" s="295">
        <v>2645</v>
      </c>
      <c r="L13">
        <f t="shared" si="2"/>
        <v>40451</v>
      </c>
      <c r="M13" s="21">
        <f t="shared" si="3"/>
        <v>7.106141522029373E-2</v>
      </c>
      <c r="P13" s="6" t="s">
        <v>11</v>
      </c>
      <c r="Q13" s="11">
        <v>2.0013360383574619</v>
      </c>
      <c r="R13" s="11">
        <v>4.9854072507842142</v>
      </c>
    </row>
    <row r="14" spans="1:18" ht="15.75" thickBot="1" x14ac:dyDescent="0.3">
      <c r="A14">
        <v>3</v>
      </c>
      <c r="B14" s="8">
        <v>20174.313808079052</v>
      </c>
      <c r="C14" s="8">
        <v>626.23985974674224</v>
      </c>
      <c r="D14" s="8">
        <v>576.15160629358297</v>
      </c>
      <c r="E14" s="8">
        <f t="shared" si="0"/>
        <v>21376.70527411938</v>
      </c>
      <c r="F14" s="21">
        <f t="shared" si="1"/>
        <v>0.10146990418333834</v>
      </c>
      <c r="H14" s="26">
        <v>3</v>
      </c>
      <c r="I14" s="116">
        <v>16889</v>
      </c>
      <c r="J14" s="206">
        <v>2328</v>
      </c>
      <c r="K14" s="296">
        <v>1518</v>
      </c>
      <c r="L14">
        <f t="shared" si="2"/>
        <v>20735</v>
      </c>
      <c r="M14" s="21">
        <f t="shared" si="3"/>
        <v>3.6425760663340592E-2</v>
      </c>
      <c r="P14" s="1" t="s">
        <v>4</v>
      </c>
      <c r="Q14" s="9">
        <v>2.5258028228621998</v>
      </c>
      <c r="R14" s="9">
        <v>5.3098133727408294</v>
      </c>
    </row>
    <row r="15" spans="1:18" x14ac:dyDescent="0.25">
      <c r="A15">
        <v>4</v>
      </c>
      <c r="B15" s="8">
        <v>11908.494814851472</v>
      </c>
      <c r="C15" s="8">
        <v>415.88493232250215</v>
      </c>
      <c r="D15" s="8">
        <v>419.94133798398968</v>
      </c>
      <c r="E15" s="8">
        <f t="shared" si="0"/>
        <v>12744.321085157964</v>
      </c>
      <c r="F15" s="21">
        <f t="shared" si="1"/>
        <v>6.0494123056386177E-2</v>
      </c>
      <c r="H15" s="27">
        <v>4</v>
      </c>
      <c r="I15" s="117">
        <v>48539</v>
      </c>
      <c r="J15" s="207">
        <v>7264</v>
      </c>
      <c r="K15" s="297">
        <v>4640</v>
      </c>
      <c r="L15">
        <f t="shared" si="2"/>
        <v>60443</v>
      </c>
      <c r="M15" s="21">
        <f t="shared" si="3"/>
        <v>0.10618192677956574</v>
      </c>
    </row>
    <row r="16" spans="1:18" x14ac:dyDescent="0.25">
      <c r="A16">
        <v>5</v>
      </c>
      <c r="B16" s="8">
        <v>6792.1744491908066</v>
      </c>
      <c r="C16" s="8">
        <v>255.2423829634667</v>
      </c>
      <c r="D16" s="8">
        <v>269.95929165086744</v>
      </c>
      <c r="E16" s="8">
        <f t="shared" si="0"/>
        <v>7317.3761238051402</v>
      </c>
      <c r="F16" s="21">
        <f t="shared" si="1"/>
        <v>3.4733764845178768E-2</v>
      </c>
      <c r="H16" s="28">
        <v>5</v>
      </c>
      <c r="I16" s="118">
        <v>33252</v>
      </c>
      <c r="J16" s="208">
        <v>4639</v>
      </c>
      <c r="K16" s="298">
        <v>2936</v>
      </c>
      <c r="L16">
        <f t="shared" si="2"/>
        <v>40827</v>
      </c>
      <c r="M16" s="21">
        <f t="shared" si="3"/>
        <v>7.1721945049539743E-2</v>
      </c>
    </row>
    <row r="17" spans="1:13" x14ac:dyDescent="0.25">
      <c r="A17">
        <v>6</v>
      </c>
      <c r="B17" s="8">
        <v>3831.0194912650109</v>
      </c>
      <c r="C17" s="8">
        <v>145.67330375099183</v>
      </c>
      <c r="D17" s="8">
        <v>157.72495750780107</v>
      </c>
      <c r="E17" s="8">
        <f t="shared" si="0"/>
        <v>4134.4177525238038</v>
      </c>
      <c r="F17" s="21">
        <f t="shared" si="1"/>
        <v>1.9625052964096949E-2</v>
      </c>
      <c r="H17" s="29">
        <v>6</v>
      </c>
      <c r="I17" s="119">
        <v>25920</v>
      </c>
      <c r="J17" s="209">
        <v>3624</v>
      </c>
      <c r="K17" s="299">
        <v>2494</v>
      </c>
      <c r="L17">
        <f t="shared" si="2"/>
        <v>32038</v>
      </c>
      <c r="M17" s="21">
        <f t="shared" si="3"/>
        <v>5.6282060290914204E-2</v>
      </c>
    </row>
    <row r="18" spans="1:13" x14ac:dyDescent="0.25">
      <c r="A18">
        <v>7</v>
      </c>
      <c r="B18" s="8">
        <v>2196.3014319711688</v>
      </c>
      <c r="C18" s="8">
        <v>79.234832040977494</v>
      </c>
      <c r="D18" s="8">
        <v>88.592001299667373</v>
      </c>
      <c r="E18" s="8">
        <f t="shared" si="0"/>
        <v>2364.1282653118137</v>
      </c>
      <c r="F18" s="21">
        <f t="shared" si="1"/>
        <v>1.1221928986818288E-2</v>
      </c>
      <c r="H18" s="30">
        <v>7</v>
      </c>
      <c r="I18" s="120">
        <v>15622</v>
      </c>
      <c r="J18" s="210">
        <v>2178</v>
      </c>
      <c r="K18" s="300">
        <v>1678</v>
      </c>
      <c r="L18">
        <f t="shared" si="2"/>
        <v>19478</v>
      </c>
      <c r="M18" s="21">
        <f t="shared" si="3"/>
        <v>3.4217553228866562E-2</v>
      </c>
    </row>
    <row r="19" spans="1:13" x14ac:dyDescent="0.25">
      <c r="A19">
        <v>8</v>
      </c>
      <c r="B19" s="8">
        <v>1344.379212642956</v>
      </c>
      <c r="C19" s="8">
        <v>44.728601120758057</v>
      </c>
      <c r="D19" s="8">
        <v>51.528408736038209</v>
      </c>
      <c r="E19" s="8">
        <f t="shared" si="0"/>
        <v>1440.6362224997522</v>
      </c>
      <c r="F19" s="21">
        <f t="shared" si="1"/>
        <v>6.8383419046842957E-3</v>
      </c>
      <c r="H19" s="31">
        <v>8</v>
      </c>
      <c r="I19" s="121">
        <v>12084</v>
      </c>
      <c r="J19" s="211">
        <v>1567</v>
      </c>
      <c r="K19" s="301">
        <v>1039</v>
      </c>
      <c r="L19">
        <f t="shared" si="2"/>
        <v>14690</v>
      </c>
      <c r="M19" s="21">
        <f t="shared" si="3"/>
        <v>2.5806338275595531E-2</v>
      </c>
    </row>
    <row r="20" spans="1:13" x14ac:dyDescent="0.25">
      <c r="A20">
        <v>9</v>
      </c>
      <c r="B20" s="8">
        <v>945.448026407528</v>
      </c>
      <c r="C20" s="8">
        <v>31.199391332244872</v>
      </c>
      <c r="D20" s="8">
        <v>32.480136576461796</v>
      </c>
      <c r="E20" s="8">
        <f t="shared" si="0"/>
        <v>1009.1275543162346</v>
      </c>
      <c r="F20" s="21">
        <f t="shared" si="1"/>
        <v>4.7900775602311863E-3</v>
      </c>
      <c r="H20" s="32">
        <v>9</v>
      </c>
      <c r="I20" s="122">
        <v>14850</v>
      </c>
      <c r="J20" s="212">
        <v>1395</v>
      </c>
      <c r="K20" s="302">
        <v>1119</v>
      </c>
      <c r="L20">
        <f t="shared" si="2"/>
        <v>17364</v>
      </c>
      <c r="M20" s="21">
        <f t="shared" si="3"/>
        <v>3.0503829667627012E-2</v>
      </c>
    </row>
    <row r="21" spans="1:13" x14ac:dyDescent="0.25">
      <c r="A21">
        <v>10</v>
      </c>
      <c r="B21" s="8">
        <v>785.91358351974486</v>
      </c>
      <c r="C21" s="8">
        <v>28.684372286891939</v>
      </c>
      <c r="D21" s="8">
        <v>21.491650923061375</v>
      </c>
      <c r="E21" s="8">
        <f t="shared" si="0"/>
        <v>836.08960672969818</v>
      </c>
      <c r="F21" s="21">
        <f t="shared" si="1"/>
        <v>3.9687094524458906E-3</v>
      </c>
      <c r="H21" s="33">
        <v>10</v>
      </c>
      <c r="I21" s="123">
        <v>6359</v>
      </c>
      <c r="J21" s="213">
        <v>742</v>
      </c>
      <c r="K21" s="303">
        <v>469</v>
      </c>
      <c r="L21">
        <f t="shared" si="2"/>
        <v>7570</v>
      </c>
      <c r="M21" s="21">
        <f t="shared" si="3"/>
        <v>1.329843299838381E-2</v>
      </c>
    </row>
    <row r="22" spans="1:13" x14ac:dyDescent="0.25">
      <c r="A22">
        <v>11</v>
      </c>
      <c r="B22" s="8">
        <v>721.60492786808027</v>
      </c>
      <c r="C22" s="8">
        <v>28.951826381874088</v>
      </c>
      <c r="D22" s="8">
        <v>13.742805431842806</v>
      </c>
      <c r="E22" s="8">
        <f t="shared" si="0"/>
        <v>764.29955968179718</v>
      </c>
      <c r="F22" s="21">
        <f t="shared" si="1"/>
        <v>3.6279399511660471E-3</v>
      </c>
      <c r="H22" s="34">
        <v>11</v>
      </c>
      <c r="I22" s="124">
        <v>7048</v>
      </c>
      <c r="J22" s="214">
        <v>746</v>
      </c>
      <c r="K22" s="304">
        <v>519</v>
      </c>
      <c r="L22">
        <f t="shared" si="2"/>
        <v>8313</v>
      </c>
      <c r="M22" s="21">
        <f t="shared" si="3"/>
        <v>1.4603682102452392E-2</v>
      </c>
    </row>
    <row r="23" spans="1:13" x14ac:dyDescent="0.25">
      <c r="A23">
        <v>12</v>
      </c>
      <c r="B23" s="8">
        <v>669.91063736267097</v>
      </c>
      <c r="C23" s="8">
        <v>27.094265335464481</v>
      </c>
      <c r="D23" s="8">
        <v>7.8613577246665969</v>
      </c>
      <c r="E23" s="8">
        <f t="shared" si="0"/>
        <v>704.86626042280204</v>
      </c>
      <c r="F23" s="21">
        <f t="shared" si="1"/>
        <v>3.3458248588832703E-3</v>
      </c>
      <c r="H23" s="35">
        <v>12</v>
      </c>
      <c r="I23" s="125">
        <v>4861</v>
      </c>
      <c r="J23" s="215">
        <v>508</v>
      </c>
      <c r="K23" s="305">
        <v>390</v>
      </c>
      <c r="L23">
        <f t="shared" si="2"/>
        <v>5759</v>
      </c>
      <c r="M23" s="21">
        <f t="shared" si="3"/>
        <v>1.011699810273347E-2</v>
      </c>
    </row>
    <row r="24" spans="1:13" x14ac:dyDescent="0.25">
      <c r="A24">
        <v>13</v>
      </c>
      <c r="B24" s="8">
        <v>601.47455437459939</v>
      </c>
      <c r="C24" s="8">
        <v>22.544284066200259</v>
      </c>
      <c r="D24" s="8">
        <v>3.8119581121444703</v>
      </c>
      <c r="E24" s="8">
        <f t="shared" si="0"/>
        <v>627.83079655294409</v>
      </c>
      <c r="F24" s="21">
        <f t="shared" si="1"/>
        <v>2.9801566683292646E-3</v>
      </c>
      <c r="H24" s="36">
        <v>13</v>
      </c>
      <c r="I24" s="126">
        <v>6352</v>
      </c>
      <c r="J24" s="216">
        <v>723</v>
      </c>
      <c r="K24" s="306">
        <v>441</v>
      </c>
      <c r="L24">
        <f t="shared" si="2"/>
        <v>7516</v>
      </c>
      <c r="M24" s="21">
        <f t="shared" si="3"/>
        <v>1.3203569671843159E-2</v>
      </c>
    </row>
    <row r="25" spans="1:13" x14ac:dyDescent="0.25">
      <c r="A25">
        <v>14</v>
      </c>
      <c r="B25" s="8">
        <v>517.39175471820829</v>
      </c>
      <c r="C25" s="8">
        <v>18.219611211681368</v>
      </c>
      <c r="D25" s="8">
        <v>1.5074857410430909</v>
      </c>
      <c r="E25" s="8">
        <f t="shared" si="0"/>
        <v>537.11885167093271</v>
      </c>
      <c r="F25" s="21">
        <f t="shared" si="1"/>
        <v>2.5495696233459658E-3</v>
      </c>
      <c r="H25" s="37">
        <v>14</v>
      </c>
      <c r="I25" s="127">
        <v>4512</v>
      </c>
      <c r="J25" s="217">
        <v>468</v>
      </c>
      <c r="K25" s="307">
        <v>339</v>
      </c>
      <c r="L25">
        <f t="shared" si="2"/>
        <v>5319</v>
      </c>
      <c r="M25" s="21">
        <f t="shared" si="3"/>
        <v>9.3440376642540939E-3</v>
      </c>
    </row>
    <row r="26" spans="1:13" x14ac:dyDescent="0.25">
      <c r="A26">
        <v>15</v>
      </c>
      <c r="B26" s="8">
        <v>426.50094271287912</v>
      </c>
      <c r="C26" s="8">
        <v>18.053701510620119</v>
      </c>
      <c r="D26" s="8">
        <v>0.46947043209075934</v>
      </c>
      <c r="E26" s="8">
        <f t="shared" si="0"/>
        <v>445.02411465558998</v>
      </c>
      <c r="F26" s="21">
        <f t="shared" si="1"/>
        <v>2.1124188079651544E-3</v>
      </c>
      <c r="H26" s="38">
        <v>15</v>
      </c>
      <c r="I26" s="128">
        <v>5187</v>
      </c>
      <c r="J26" s="218">
        <v>605</v>
      </c>
      <c r="K26" s="308">
        <v>339</v>
      </c>
      <c r="L26">
        <f t="shared" si="2"/>
        <v>6131</v>
      </c>
      <c r="M26" s="21">
        <f t="shared" si="3"/>
        <v>1.0770501018902397E-2</v>
      </c>
    </row>
    <row r="27" spans="1:13" x14ac:dyDescent="0.25">
      <c r="A27">
        <v>16</v>
      </c>
      <c r="B27" s="8">
        <v>336.33718324308393</v>
      </c>
      <c r="C27" s="8">
        <v>24.150167017364502</v>
      </c>
      <c r="D27" s="8">
        <v>0.11039107704162598</v>
      </c>
      <c r="E27" s="8">
        <f t="shared" si="0"/>
        <v>360.59774133749005</v>
      </c>
      <c r="F27" s="21">
        <f t="shared" si="1"/>
        <v>1.7116678081604262E-3</v>
      </c>
      <c r="H27" s="39">
        <v>16</v>
      </c>
      <c r="I27" s="129">
        <v>4577</v>
      </c>
      <c r="J27" s="219">
        <v>436</v>
      </c>
      <c r="K27" s="309">
        <v>374</v>
      </c>
      <c r="L27">
        <f t="shared" si="2"/>
        <v>5387</v>
      </c>
      <c r="M27" s="21">
        <f t="shared" si="3"/>
        <v>9.4634951865645422E-3</v>
      </c>
    </row>
    <row r="28" spans="1:13" x14ac:dyDescent="0.25">
      <c r="A28">
        <v>17</v>
      </c>
      <c r="B28" s="8">
        <v>253.89347658958431</v>
      </c>
      <c r="C28" s="8">
        <v>34.899425343418123</v>
      </c>
      <c r="D28" s="8">
        <v>1.8398512840270997E-2</v>
      </c>
      <c r="E28" s="8">
        <f t="shared" si="0"/>
        <v>288.81130044584273</v>
      </c>
      <c r="F28" s="21">
        <f t="shared" si="1"/>
        <v>1.3709154244075745E-3</v>
      </c>
      <c r="H28" s="40">
        <v>17</v>
      </c>
      <c r="I28" s="130">
        <v>3402</v>
      </c>
      <c r="J28" s="220">
        <v>299</v>
      </c>
      <c r="K28" s="310">
        <v>269</v>
      </c>
      <c r="L28">
        <f t="shared" si="2"/>
        <v>3970</v>
      </c>
      <c r="M28" s="21">
        <f t="shared" si="3"/>
        <v>6.9742112290070973E-3</v>
      </c>
    </row>
    <row r="29" spans="1:13" x14ac:dyDescent="0.25">
      <c r="A29">
        <v>18</v>
      </c>
      <c r="B29" s="8">
        <v>186.44539213285444</v>
      </c>
      <c r="C29" s="8">
        <v>45.242539714336395</v>
      </c>
      <c r="D29" s="8">
        <v>1.936685562133789E-3</v>
      </c>
      <c r="E29" s="8">
        <f t="shared" si="0"/>
        <v>231.68986853275297</v>
      </c>
      <c r="F29" s="21">
        <f t="shared" si="1"/>
        <v>1.0997741915229351E-3</v>
      </c>
      <c r="H29" s="41">
        <v>18</v>
      </c>
      <c r="I29" s="131">
        <v>3331</v>
      </c>
      <c r="J29" s="221">
        <v>339</v>
      </c>
      <c r="K29" s="311">
        <v>246</v>
      </c>
      <c r="L29">
        <f t="shared" si="2"/>
        <v>3916</v>
      </c>
      <c r="M29" s="21">
        <f t="shared" si="3"/>
        <v>6.8793479024664463E-3</v>
      </c>
    </row>
    <row r="30" spans="1:13" x14ac:dyDescent="0.25">
      <c r="A30">
        <v>19</v>
      </c>
      <c r="B30" s="8">
        <v>140.30392360401152</v>
      </c>
      <c r="C30" s="8">
        <v>49.462532612800601</v>
      </c>
      <c r="D30" s="8">
        <v>9.6834278106689453E-5</v>
      </c>
      <c r="E30" s="8">
        <f t="shared" si="0"/>
        <v>189.76655305109023</v>
      </c>
      <c r="F30" s="21">
        <f t="shared" si="1"/>
        <v>9.0077463801725916E-4</v>
      </c>
      <c r="H30" s="42">
        <v>19</v>
      </c>
      <c r="I30" s="132">
        <v>2809</v>
      </c>
      <c r="J30" s="222">
        <v>263</v>
      </c>
      <c r="K30" s="312">
        <v>233</v>
      </c>
      <c r="L30">
        <f t="shared" si="2"/>
        <v>3305</v>
      </c>
      <c r="M30" s="21">
        <f t="shared" si="3"/>
        <v>5.8059869299416766E-3</v>
      </c>
    </row>
    <row r="31" spans="1:13" x14ac:dyDescent="0.25">
      <c r="A31">
        <v>20</v>
      </c>
      <c r="B31" s="8">
        <v>119.88310839414595</v>
      </c>
      <c r="C31" s="8">
        <v>44.91119896984101</v>
      </c>
      <c r="D31" s="8">
        <v>0</v>
      </c>
      <c r="E31" s="8">
        <f t="shared" si="0"/>
        <v>164.79430736398695</v>
      </c>
      <c r="F31" s="21">
        <f t="shared" si="1"/>
        <v>7.8223759759779999E-4</v>
      </c>
      <c r="H31" s="43">
        <v>20</v>
      </c>
      <c r="I31" s="133">
        <v>2499</v>
      </c>
      <c r="J31" s="223">
        <v>236</v>
      </c>
      <c r="K31" s="313">
        <v>223</v>
      </c>
      <c r="L31">
        <f t="shared" si="2"/>
        <v>2958</v>
      </c>
      <c r="M31" s="21">
        <f t="shared" si="3"/>
        <v>5.1964022205045323E-3</v>
      </c>
    </row>
    <row r="32" spans="1:13" x14ac:dyDescent="0.25">
      <c r="A32">
        <v>21</v>
      </c>
      <c r="B32" s="8">
        <v>126.19122486572265</v>
      </c>
      <c r="C32" s="8">
        <v>33.676352661228179</v>
      </c>
      <c r="D32" s="8">
        <v>0</v>
      </c>
      <c r="E32" s="8">
        <f t="shared" si="0"/>
        <v>159.86757752695081</v>
      </c>
      <c r="F32" s="21">
        <f t="shared" si="1"/>
        <v>7.5885163619305099E-4</v>
      </c>
      <c r="H32" s="44">
        <v>21</v>
      </c>
      <c r="I32" s="134">
        <v>2115</v>
      </c>
      <c r="J32" s="224">
        <v>191</v>
      </c>
      <c r="K32" s="314">
        <v>138</v>
      </c>
      <c r="L32">
        <f t="shared" si="2"/>
        <v>2444</v>
      </c>
      <c r="M32" s="21">
        <f t="shared" si="3"/>
        <v>4.2934438900990796E-3</v>
      </c>
    </row>
    <row r="33" spans="1:13" x14ac:dyDescent="0.25">
      <c r="A33">
        <v>22</v>
      </c>
      <c r="B33" s="8">
        <v>153.01272992029189</v>
      </c>
      <c r="C33" s="8">
        <v>20.723332062816624</v>
      </c>
      <c r="D33" s="8">
        <v>0</v>
      </c>
      <c r="E33" s="8">
        <f t="shared" si="0"/>
        <v>173.73606198310853</v>
      </c>
      <c r="F33" s="21">
        <f t="shared" si="1"/>
        <v>8.2468188322546755E-4</v>
      </c>
      <c r="H33" s="45">
        <v>22</v>
      </c>
      <c r="I33" s="135">
        <v>1630</v>
      </c>
      <c r="J33" s="225">
        <v>137</v>
      </c>
      <c r="K33" s="315">
        <v>109</v>
      </c>
      <c r="L33">
        <f t="shared" si="2"/>
        <v>1876</v>
      </c>
      <c r="M33" s="21">
        <f t="shared" si="3"/>
        <v>3.2956222331529759E-3</v>
      </c>
    </row>
    <row r="34" spans="1:13" x14ac:dyDescent="0.25">
      <c r="A34">
        <v>23</v>
      </c>
      <c r="B34" s="8">
        <v>184.64287230243684</v>
      </c>
      <c r="C34" s="8">
        <v>10.361643447875977</v>
      </c>
      <c r="D34" s="8">
        <v>0</v>
      </c>
      <c r="E34" s="8">
        <f t="shared" si="0"/>
        <v>195.00451575031281</v>
      </c>
      <c r="F34" s="21">
        <f t="shared" si="1"/>
        <v>9.256379444244206E-4</v>
      </c>
      <c r="H34" s="46">
        <v>23</v>
      </c>
      <c r="I34" s="136">
        <v>1992</v>
      </c>
      <c r="J34" s="226">
        <v>195</v>
      </c>
      <c r="K34" s="316">
        <v>137</v>
      </c>
      <c r="L34">
        <f t="shared" si="2"/>
        <v>2324</v>
      </c>
      <c r="M34" s="21">
        <f t="shared" si="3"/>
        <v>4.0826364977865227E-3</v>
      </c>
    </row>
    <row r="35" spans="1:13" x14ac:dyDescent="0.25">
      <c r="A35">
        <v>24</v>
      </c>
      <c r="B35" s="8">
        <v>201.38534899444579</v>
      </c>
      <c r="C35" s="8">
        <v>4.1446573791503907</v>
      </c>
      <c r="D35" s="8">
        <v>0</v>
      </c>
      <c r="E35" s="8">
        <f t="shared" si="0"/>
        <v>205.53000637359619</v>
      </c>
      <c r="F35" s="21">
        <f t="shared" si="1"/>
        <v>9.7559983103564856E-4</v>
      </c>
      <c r="H35" s="47">
        <v>24</v>
      </c>
      <c r="I35" s="137">
        <v>1475</v>
      </c>
      <c r="J35" s="227">
        <v>121</v>
      </c>
      <c r="K35" s="317">
        <v>90</v>
      </c>
      <c r="L35">
        <f t="shared" si="2"/>
        <v>1686</v>
      </c>
      <c r="M35" s="21">
        <f t="shared" si="3"/>
        <v>2.961843861991427E-3</v>
      </c>
    </row>
    <row r="36" spans="1:13" x14ac:dyDescent="0.25">
      <c r="A36">
        <v>25</v>
      </c>
      <c r="B36" s="8">
        <v>191.34667720146177</v>
      </c>
      <c r="C36" s="8">
        <v>1.2952054309844971</v>
      </c>
      <c r="D36" s="8">
        <v>0</v>
      </c>
      <c r="E36" s="8">
        <f t="shared" si="0"/>
        <v>192.64188263244628</v>
      </c>
      <c r="F36" s="21">
        <f t="shared" si="1"/>
        <v>9.1442311253072631E-4</v>
      </c>
      <c r="H36" s="48">
        <v>25</v>
      </c>
      <c r="I36" s="138">
        <v>1352</v>
      </c>
      <c r="J36" s="228">
        <v>112</v>
      </c>
      <c r="K36" s="318">
        <v>77</v>
      </c>
      <c r="L36">
        <f t="shared" si="2"/>
        <v>1541</v>
      </c>
      <c r="M36" s="21">
        <f t="shared" si="3"/>
        <v>2.7071182629470874E-3</v>
      </c>
    </row>
    <row r="37" spans="1:13" x14ac:dyDescent="0.25">
      <c r="A37">
        <v>26</v>
      </c>
      <c r="B37" s="8">
        <v>158.2944342250824</v>
      </c>
      <c r="C37" s="8">
        <v>0.30475421905517586</v>
      </c>
      <c r="D37" s="8">
        <v>0</v>
      </c>
      <c r="E37" s="8">
        <f t="shared" si="0"/>
        <v>158.59918844413758</v>
      </c>
      <c r="F37" s="21">
        <f t="shared" si="1"/>
        <v>7.5283090862770109E-4</v>
      </c>
      <c r="H37" s="49">
        <v>26</v>
      </c>
      <c r="I37" s="139">
        <v>1080</v>
      </c>
      <c r="J37" s="229">
        <v>99</v>
      </c>
      <c r="K37" s="319">
        <v>63</v>
      </c>
      <c r="L37">
        <f t="shared" si="2"/>
        <v>1242</v>
      </c>
      <c r="M37" s="21">
        <f t="shared" si="3"/>
        <v>2.1818565104349658E-3</v>
      </c>
    </row>
    <row r="38" spans="1:13" x14ac:dyDescent="0.25">
      <c r="A38">
        <v>27</v>
      </c>
      <c r="B38" s="8">
        <v>118.04181217803956</v>
      </c>
      <c r="C38" s="8">
        <v>5.0792369842529307E-2</v>
      </c>
      <c r="D38" s="8">
        <v>0</v>
      </c>
      <c r="E38" s="8">
        <f t="shared" si="0"/>
        <v>118.09260454788209</v>
      </c>
      <c r="F38" s="21">
        <f t="shared" si="1"/>
        <v>5.6055622765880601E-4</v>
      </c>
      <c r="H38" s="50">
        <v>27</v>
      </c>
      <c r="I38" s="140">
        <v>982</v>
      </c>
      <c r="J38" s="230">
        <v>87</v>
      </c>
      <c r="K38" s="320">
        <v>76</v>
      </c>
      <c r="L38">
        <f t="shared" si="2"/>
        <v>1145</v>
      </c>
      <c r="M38" s="21">
        <f t="shared" si="3"/>
        <v>2.0114538683156488E-3</v>
      </c>
    </row>
    <row r="39" spans="1:13" x14ac:dyDescent="0.25">
      <c r="A39">
        <v>28</v>
      </c>
      <c r="B39" s="8">
        <v>87.323677512264283</v>
      </c>
      <c r="C39" s="8">
        <v>5.346565246582031E-3</v>
      </c>
      <c r="D39" s="8">
        <v>0</v>
      </c>
      <c r="E39" s="8">
        <f t="shared" si="0"/>
        <v>87.329024077510866</v>
      </c>
      <c r="F39" s="21">
        <f t="shared" si="1"/>
        <v>4.1452916115645506E-4</v>
      </c>
      <c r="H39" s="51">
        <v>28</v>
      </c>
      <c r="I39" s="141">
        <v>797</v>
      </c>
      <c r="J39" s="231">
        <v>74</v>
      </c>
      <c r="K39" s="321">
        <v>63</v>
      </c>
      <c r="L39">
        <f t="shared" si="2"/>
        <v>934</v>
      </c>
      <c r="M39" s="21">
        <f t="shared" si="3"/>
        <v>1.6407842034994026E-3</v>
      </c>
    </row>
    <row r="40" spans="1:13" x14ac:dyDescent="0.25">
      <c r="A40">
        <v>29</v>
      </c>
      <c r="B40" s="8">
        <v>75.231246464920062</v>
      </c>
      <c r="C40" s="8">
        <v>2.6732826232910158E-4</v>
      </c>
      <c r="D40" s="8">
        <v>0</v>
      </c>
      <c r="E40" s="8">
        <f t="shared" si="0"/>
        <v>75.231513793182387</v>
      </c>
      <c r="F40" s="21">
        <f t="shared" si="1"/>
        <v>3.5710528812893448E-4</v>
      </c>
      <c r="H40" s="52">
        <v>29</v>
      </c>
      <c r="I40" s="142">
        <v>809</v>
      </c>
      <c r="J40" s="232">
        <v>72</v>
      </c>
      <c r="K40" s="322">
        <v>54</v>
      </c>
      <c r="L40">
        <f t="shared" si="2"/>
        <v>935</v>
      </c>
      <c r="M40" s="21">
        <f t="shared" si="3"/>
        <v>1.642540931768674E-3</v>
      </c>
    </row>
    <row r="41" spans="1:13" x14ac:dyDescent="0.25">
      <c r="A41">
        <v>30</v>
      </c>
      <c r="B41" s="8">
        <v>82.037767381477366</v>
      </c>
      <c r="C41" s="8">
        <v>0</v>
      </c>
      <c r="D41" s="8">
        <v>0</v>
      </c>
      <c r="E41" s="8">
        <f t="shared" si="0"/>
        <v>82.037767381477366</v>
      </c>
      <c r="F41" s="21">
        <f t="shared" si="1"/>
        <v>3.8941288139906924E-4</v>
      </c>
      <c r="H41" s="53">
        <v>30</v>
      </c>
      <c r="I41" s="143">
        <v>780</v>
      </c>
      <c r="J41" s="233">
        <v>74</v>
      </c>
      <c r="K41" s="323">
        <v>41</v>
      </c>
      <c r="L41">
        <f t="shared" si="2"/>
        <v>895</v>
      </c>
      <c r="M41" s="21">
        <f t="shared" si="3"/>
        <v>1.5722718009978218E-3</v>
      </c>
    </row>
    <row r="42" spans="1:13" x14ac:dyDescent="0.25">
      <c r="A42">
        <v>31</v>
      </c>
      <c r="B42" s="8">
        <v>102.11390592765807</v>
      </c>
      <c r="C42" s="8">
        <v>0</v>
      </c>
      <c r="D42" s="8">
        <v>0</v>
      </c>
      <c r="E42" s="8">
        <f t="shared" si="0"/>
        <v>102.11390592765807</v>
      </c>
      <c r="F42" s="21">
        <f t="shared" si="1"/>
        <v>4.8470931873727366E-4</v>
      </c>
      <c r="H42" s="54">
        <v>31</v>
      </c>
      <c r="I42" s="144">
        <v>766</v>
      </c>
      <c r="J42" s="234">
        <v>64</v>
      </c>
      <c r="K42" s="324">
        <v>39</v>
      </c>
      <c r="L42">
        <f t="shared" si="2"/>
        <v>869</v>
      </c>
      <c r="M42" s="21">
        <f t="shared" si="3"/>
        <v>1.5265968659967676E-3</v>
      </c>
    </row>
    <row r="43" spans="1:13" x14ac:dyDescent="0.25">
      <c r="A43">
        <v>32</v>
      </c>
      <c r="B43" s="8">
        <v>126.19590225124357</v>
      </c>
      <c r="C43" s="8">
        <v>0</v>
      </c>
      <c r="D43" s="8">
        <v>0</v>
      </c>
      <c r="E43" s="8">
        <f t="shared" si="0"/>
        <v>126.19590225124357</v>
      </c>
      <c r="F43" s="21">
        <f t="shared" si="1"/>
        <v>5.9902056680673991E-4</v>
      </c>
      <c r="H43" s="55">
        <v>32</v>
      </c>
      <c r="I43" s="145">
        <v>548</v>
      </c>
      <c r="J43" s="235">
        <v>48</v>
      </c>
      <c r="K43" s="325">
        <v>22</v>
      </c>
      <c r="L43">
        <f t="shared" si="2"/>
        <v>618</v>
      </c>
      <c r="M43" s="21">
        <f t="shared" si="3"/>
        <v>1.085658070409669E-3</v>
      </c>
    </row>
    <row r="44" spans="1:13" x14ac:dyDescent="0.25">
      <c r="A44">
        <v>33</v>
      </c>
      <c r="B44" s="8">
        <v>142.92321428813932</v>
      </c>
      <c r="C44" s="8">
        <v>0</v>
      </c>
      <c r="D44" s="8">
        <v>0</v>
      </c>
      <c r="E44" s="8">
        <f t="shared" si="0"/>
        <v>142.92321428813932</v>
      </c>
      <c r="F44" s="21">
        <f t="shared" si="1"/>
        <v>6.7842095745924817E-4</v>
      </c>
      <c r="H44" s="56">
        <v>33</v>
      </c>
      <c r="I44" s="146">
        <v>581</v>
      </c>
      <c r="J44" s="236">
        <v>52</v>
      </c>
      <c r="K44" s="326">
        <v>26</v>
      </c>
      <c r="L44">
        <f t="shared" si="2"/>
        <v>659</v>
      </c>
      <c r="M44" s="21">
        <f t="shared" si="3"/>
        <v>1.1576839294497928E-3</v>
      </c>
    </row>
    <row r="45" spans="1:13" x14ac:dyDescent="0.25">
      <c r="A45">
        <v>34</v>
      </c>
      <c r="B45" s="8">
        <v>142.50587061309812</v>
      </c>
      <c r="C45" s="8">
        <v>0</v>
      </c>
      <c r="D45" s="8">
        <v>0</v>
      </c>
      <c r="E45" s="8">
        <f t="shared" si="0"/>
        <v>142.50587061309812</v>
      </c>
      <c r="F45" s="21">
        <f t="shared" si="1"/>
        <v>6.7643993081482781E-4</v>
      </c>
      <c r="H45" s="57">
        <v>34</v>
      </c>
      <c r="I45" s="147">
        <v>505</v>
      </c>
      <c r="J45" s="237">
        <v>34</v>
      </c>
      <c r="K45" s="327">
        <v>21</v>
      </c>
      <c r="L45">
        <f t="shared" si="2"/>
        <v>560</v>
      </c>
      <c r="M45" s="21">
        <f t="shared" si="3"/>
        <v>9.8376783079193305E-4</v>
      </c>
    </row>
    <row r="46" spans="1:13" x14ac:dyDescent="0.25">
      <c r="A46">
        <v>35</v>
      </c>
      <c r="B46" s="8">
        <v>122.22996549224852</v>
      </c>
      <c r="C46" s="8">
        <v>0</v>
      </c>
      <c r="D46" s="8">
        <v>0</v>
      </c>
      <c r="E46" s="8">
        <f t="shared" si="0"/>
        <v>122.22996549224852</v>
      </c>
      <c r="F46" s="21">
        <f t="shared" si="1"/>
        <v>5.8019525122269535E-4</v>
      </c>
      <c r="H46" s="58">
        <v>35</v>
      </c>
      <c r="I46" s="148">
        <v>438</v>
      </c>
      <c r="J46" s="238">
        <v>38</v>
      </c>
      <c r="K46" s="328">
        <v>25</v>
      </c>
      <c r="L46">
        <f t="shared" si="2"/>
        <v>501</v>
      </c>
      <c r="M46" s="21">
        <f t="shared" si="3"/>
        <v>8.8012086290492587E-4</v>
      </c>
    </row>
    <row r="47" spans="1:13" x14ac:dyDescent="0.25">
      <c r="A47">
        <v>36</v>
      </c>
      <c r="B47" s="8">
        <v>88.979385531425464</v>
      </c>
      <c r="C47" s="8">
        <v>0</v>
      </c>
      <c r="D47" s="8">
        <v>0</v>
      </c>
      <c r="E47" s="8">
        <f t="shared" si="0"/>
        <v>88.979385531425464</v>
      </c>
      <c r="F47" s="21">
        <f t="shared" si="1"/>
        <v>4.2236301658221768E-4</v>
      </c>
      <c r="H47" s="59">
        <v>36</v>
      </c>
      <c r="I47" s="149">
        <v>432</v>
      </c>
      <c r="J47" s="239">
        <v>39</v>
      </c>
      <c r="K47" s="329">
        <v>20</v>
      </c>
      <c r="L47">
        <f t="shared" si="2"/>
        <v>491</v>
      </c>
      <c r="M47" s="21">
        <f t="shared" si="3"/>
        <v>8.6255358021221275E-4</v>
      </c>
    </row>
    <row r="48" spans="1:13" x14ac:dyDescent="0.25">
      <c r="A48">
        <v>37</v>
      </c>
      <c r="B48" s="8">
        <v>55.423584085941314</v>
      </c>
      <c r="C48" s="8">
        <v>0</v>
      </c>
      <c r="D48" s="8">
        <v>0</v>
      </c>
      <c r="E48" s="8">
        <f t="shared" si="0"/>
        <v>55.423584085941314</v>
      </c>
      <c r="F48" s="21">
        <f t="shared" si="1"/>
        <v>2.6308197145358904E-4</v>
      </c>
      <c r="H48" s="60">
        <v>37</v>
      </c>
      <c r="I48" s="150">
        <v>466</v>
      </c>
      <c r="J48" s="240">
        <v>33</v>
      </c>
      <c r="K48" s="330">
        <v>16</v>
      </c>
      <c r="L48">
        <f t="shared" si="2"/>
        <v>515</v>
      </c>
      <c r="M48" s="21">
        <f t="shared" si="3"/>
        <v>9.0471505867472421E-4</v>
      </c>
    </row>
    <row r="49" spans="1:13" x14ac:dyDescent="0.25">
      <c r="A49">
        <v>38</v>
      </c>
      <c r="B49" s="8">
        <v>32.899697186088559</v>
      </c>
      <c r="C49" s="8">
        <v>0</v>
      </c>
      <c r="D49" s="8">
        <v>0</v>
      </c>
      <c r="E49" s="8">
        <f t="shared" si="0"/>
        <v>32.899697186088559</v>
      </c>
      <c r="F49" s="21">
        <f t="shared" si="1"/>
        <v>1.5616668136295741E-4</v>
      </c>
      <c r="H49" s="61">
        <v>38</v>
      </c>
      <c r="I49" s="151">
        <v>428</v>
      </c>
      <c r="J49" s="241">
        <v>22</v>
      </c>
      <c r="K49" s="331">
        <v>5</v>
      </c>
      <c r="L49">
        <f t="shared" si="2"/>
        <v>455</v>
      </c>
      <c r="M49" s="21">
        <f t="shared" si="3"/>
        <v>7.9931136251844563E-4</v>
      </c>
    </row>
    <row r="50" spans="1:13" x14ac:dyDescent="0.25">
      <c r="A50">
        <v>39</v>
      </c>
      <c r="B50" s="8">
        <v>26.735281722831726</v>
      </c>
      <c r="C50" s="8">
        <v>0</v>
      </c>
      <c r="D50" s="8">
        <v>0</v>
      </c>
      <c r="E50" s="8">
        <f t="shared" si="0"/>
        <v>26.735281722831726</v>
      </c>
      <c r="F50" s="21">
        <f t="shared" si="1"/>
        <v>1.2690573406626377E-4</v>
      </c>
      <c r="H50" s="62">
        <v>39</v>
      </c>
      <c r="I50" s="152">
        <v>368</v>
      </c>
      <c r="J50" s="242">
        <v>30</v>
      </c>
      <c r="K50" s="332">
        <v>13</v>
      </c>
      <c r="L50">
        <f t="shared" si="2"/>
        <v>411</v>
      </c>
      <c r="M50" s="21">
        <f t="shared" si="3"/>
        <v>7.2201531867050806E-4</v>
      </c>
    </row>
    <row r="51" spans="1:13" x14ac:dyDescent="0.25">
      <c r="A51">
        <v>40</v>
      </c>
      <c r="B51" s="8">
        <v>35.738826018810265</v>
      </c>
      <c r="C51" s="8">
        <v>0</v>
      </c>
      <c r="D51" s="8">
        <v>0</v>
      </c>
      <c r="E51" s="8">
        <f t="shared" si="0"/>
        <v>35.738826018810265</v>
      </c>
      <c r="F51" s="21">
        <f t="shared" si="1"/>
        <v>1.6964331992471034E-4</v>
      </c>
      <c r="H51" s="63">
        <v>40</v>
      </c>
      <c r="I51" s="153">
        <v>278</v>
      </c>
      <c r="J51" s="243">
        <v>20</v>
      </c>
      <c r="K51" s="333">
        <v>12</v>
      </c>
      <c r="L51">
        <f t="shared" si="2"/>
        <v>310</v>
      </c>
      <c r="M51" s="21">
        <f t="shared" si="3"/>
        <v>5.4458576347410587E-4</v>
      </c>
    </row>
    <row r="52" spans="1:13" x14ac:dyDescent="0.25">
      <c r="A52">
        <v>41</v>
      </c>
      <c r="B52" s="8">
        <v>53.526111311054223</v>
      </c>
      <c r="C52" s="8">
        <v>0</v>
      </c>
      <c r="D52" s="8">
        <v>0</v>
      </c>
      <c r="E52" s="8">
        <f t="shared" si="0"/>
        <v>53.526111311054223</v>
      </c>
      <c r="F52" s="21">
        <f t="shared" si="1"/>
        <v>2.5407514003643008E-4</v>
      </c>
      <c r="H52" s="64">
        <v>41</v>
      </c>
      <c r="I52" s="154">
        <v>277</v>
      </c>
      <c r="J52" s="244">
        <v>24</v>
      </c>
      <c r="K52" s="334">
        <v>15</v>
      </c>
      <c r="L52">
        <f t="shared" si="2"/>
        <v>316</v>
      </c>
      <c r="M52" s="21">
        <f t="shared" si="3"/>
        <v>5.5512613308973365E-4</v>
      </c>
    </row>
    <row r="53" spans="1:13" x14ac:dyDescent="0.25">
      <c r="A53">
        <v>42</v>
      </c>
      <c r="B53" s="8">
        <v>70.470591561317434</v>
      </c>
      <c r="C53" s="8">
        <v>0</v>
      </c>
      <c r="D53" s="8">
        <v>0</v>
      </c>
      <c r="E53" s="8">
        <f t="shared" si="0"/>
        <v>70.470591561317434</v>
      </c>
      <c r="F53" s="21">
        <f t="shared" si="1"/>
        <v>3.3450637419449688E-4</v>
      </c>
      <c r="H53" s="65">
        <v>42</v>
      </c>
      <c r="I53" s="155">
        <v>223</v>
      </c>
      <c r="J53" s="245">
        <v>18</v>
      </c>
      <c r="K53" s="335">
        <v>12</v>
      </c>
      <c r="L53">
        <f t="shared" si="2"/>
        <v>253</v>
      </c>
      <c r="M53" s="21">
        <f t="shared" si="3"/>
        <v>4.4445225212564119E-4</v>
      </c>
    </row>
    <row r="54" spans="1:13" x14ac:dyDescent="0.25">
      <c r="A54">
        <v>43</v>
      </c>
      <c r="B54" s="8">
        <v>77.390146030807472</v>
      </c>
      <c r="C54" s="8">
        <v>0</v>
      </c>
      <c r="D54" s="8">
        <v>0</v>
      </c>
      <c r="E54" s="8">
        <f t="shared" si="0"/>
        <v>77.390146030807472</v>
      </c>
      <c r="F54" s="21">
        <f t="shared" si="1"/>
        <v>3.6735177857309415E-4</v>
      </c>
      <c r="H54" s="66">
        <v>43</v>
      </c>
      <c r="I54" s="156">
        <v>192</v>
      </c>
      <c r="J54" s="246">
        <v>11</v>
      </c>
      <c r="K54" s="336">
        <v>4</v>
      </c>
      <c r="L54">
        <f t="shared" si="2"/>
        <v>207</v>
      </c>
      <c r="M54" s="21">
        <f t="shared" si="3"/>
        <v>3.63642751739161E-4</v>
      </c>
    </row>
    <row r="55" spans="1:13" x14ac:dyDescent="0.25">
      <c r="A55">
        <v>44</v>
      </c>
      <c r="B55" s="8">
        <v>70.343086874675734</v>
      </c>
      <c r="C55" s="8">
        <v>0</v>
      </c>
      <c r="D55" s="8">
        <v>0</v>
      </c>
      <c r="E55" s="8">
        <f t="shared" si="0"/>
        <v>70.343086874675734</v>
      </c>
      <c r="F55" s="21">
        <f t="shared" si="1"/>
        <v>3.3390114115364449E-4</v>
      </c>
      <c r="H55" s="67">
        <v>44</v>
      </c>
      <c r="I55" s="157">
        <v>158</v>
      </c>
      <c r="J55" s="247">
        <v>3</v>
      </c>
      <c r="K55" s="337">
        <v>5</v>
      </c>
      <c r="L55">
        <f t="shared" si="2"/>
        <v>166</v>
      </c>
      <c r="M55" s="21">
        <f t="shared" si="3"/>
        <v>2.9161689269903733E-4</v>
      </c>
    </row>
    <row r="56" spans="1:13" x14ac:dyDescent="0.25">
      <c r="A56">
        <v>45</v>
      </c>
      <c r="B56" s="8">
        <v>52.756809185028061</v>
      </c>
      <c r="C56" s="8">
        <v>0</v>
      </c>
      <c r="D56" s="8">
        <v>0</v>
      </c>
      <c r="E56" s="8">
        <f t="shared" si="0"/>
        <v>52.756809185028061</v>
      </c>
      <c r="F56" s="21">
        <f t="shared" si="1"/>
        <v>2.5042345414681726E-4</v>
      </c>
      <c r="H56" s="68">
        <v>45</v>
      </c>
      <c r="I56" s="158">
        <v>205</v>
      </c>
      <c r="J56" s="248">
        <v>14</v>
      </c>
      <c r="K56" s="338">
        <v>12</v>
      </c>
      <c r="L56">
        <f t="shared" si="2"/>
        <v>231</v>
      </c>
      <c r="M56" s="21">
        <f t="shared" si="3"/>
        <v>4.058042302016724E-4</v>
      </c>
    </row>
    <row r="57" spans="1:13" x14ac:dyDescent="0.25">
      <c r="A57">
        <v>46</v>
      </c>
      <c r="B57" s="8">
        <v>32.465728729248042</v>
      </c>
      <c r="C57" s="8">
        <v>0</v>
      </c>
      <c r="D57" s="8">
        <v>0</v>
      </c>
      <c r="E57" s="8">
        <f t="shared" si="0"/>
        <v>32.465728729248042</v>
      </c>
      <c r="F57" s="21">
        <f t="shared" si="1"/>
        <v>1.5410674101342604E-4</v>
      </c>
      <c r="H57" s="69">
        <v>46</v>
      </c>
      <c r="I57" s="159">
        <v>109</v>
      </c>
      <c r="J57" s="249">
        <v>5</v>
      </c>
      <c r="K57" s="339">
        <v>6</v>
      </c>
      <c r="L57">
        <f t="shared" si="2"/>
        <v>120</v>
      </c>
      <c r="M57" s="21">
        <f t="shared" si="3"/>
        <v>2.1080739231255709E-4</v>
      </c>
    </row>
    <row r="58" spans="1:13" x14ac:dyDescent="0.25">
      <c r="A58">
        <v>47</v>
      </c>
      <c r="B58" s="8">
        <v>16.232864364624021</v>
      </c>
      <c r="C58" s="8">
        <v>0</v>
      </c>
      <c r="D58" s="8">
        <v>0</v>
      </c>
      <c r="E58" s="8">
        <f t="shared" si="0"/>
        <v>16.232864364624021</v>
      </c>
      <c r="F58" s="21">
        <f t="shared" si="1"/>
        <v>7.705337050671302E-5</v>
      </c>
      <c r="H58" s="70">
        <v>47</v>
      </c>
      <c r="I58" s="160">
        <v>135</v>
      </c>
      <c r="J58" s="250">
        <v>6</v>
      </c>
      <c r="K58" s="340">
        <v>5</v>
      </c>
      <c r="L58">
        <f t="shared" si="2"/>
        <v>146</v>
      </c>
      <c r="M58" s="21">
        <f t="shared" si="3"/>
        <v>2.5648232731361115E-4</v>
      </c>
    </row>
    <row r="59" spans="1:13" x14ac:dyDescent="0.25">
      <c r="A59">
        <v>48</v>
      </c>
      <c r="B59" s="8">
        <v>6.4931457458496089</v>
      </c>
      <c r="C59" s="8">
        <v>0</v>
      </c>
      <c r="D59" s="8">
        <v>0</v>
      </c>
      <c r="E59" s="8">
        <f t="shared" si="0"/>
        <v>6.4931457458496089</v>
      </c>
      <c r="F59" s="21">
        <f t="shared" si="1"/>
        <v>3.0821348202685213E-5</v>
      </c>
      <c r="H59" s="71">
        <v>48</v>
      </c>
      <c r="I59" s="161">
        <v>72</v>
      </c>
      <c r="J59" s="251">
        <v>4</v>
      </c>
      <c r="K59" s="341">
        <v>1</v>
      </c>
      <c r="L59">
        <f t="shared" si="2"/>
        <v>77</v>
      </c>
      <c r="M59" s="21">
        <f t="shared" si="3"/>
        <v>1.352680767338908E-4</v>
      </c>
    </row>
    <row r="60" spans="1:13" x14ac:dyDescent="0.25">
      <c r="A60">
        <v>49</v>
      </c>
      <c r="B60" s="8">
        <v>2.0291080455780026</v>
      </c>
      <c r="C60" s="8">
        <v>0</v>
      </c>
      <c r="D60" s="8">
        <v>0</v>
      </c>
      <c r="E60" s="8">
        <f t="shared" si="0"/>
        <v>2.0291080455780026</v>
      </c>
      <c r="F60" s="21">
        <f t="shared" si="1"/>
        <v>9.6316713133391275E-6</v>
      </c>
      <c r="H60" s="72">
        <v>49</v>
      </c>
      <c r="I60" s="162">
        <v>93</v>
      </c>
      <c r="J60" s="252">
        <v>6</v>
      </c>
      <c r="K60" s="342">
        <v>2</v>
      </c>
      <c r="L60">
        <f t="shared" si="2"/>
        <v>101</v>
      </c>
      <c r="M60" s="21">
        <f t="shared" si="3"/>
        <v>1.7742955519640222E-4</v>
      </c>
    </row>
    <row r="61" spans="1:13" x14ac:dyDescent="0.25">
      <c r="A61">
        <v>50</v>
      </c>
      <c r="B61" s="8">
        <v>0.4774371871948242</v>
      </c>
      <c r="C61" s="8">
        <v>0</v>
      </c>
      <c r="D61" s="8">
        <v>0</v>
      </c>
      <c r="E61" s="8">
        <f t="shared" si="0"/>
        <v>0.4774371871948242</v>
      </c>
      <c r="F61" s="21">
        <f t="shared" si="1"/>
        <v>2.2662756031386186E-6</v>
      </c>
      <c r="H61" s="73">
        <v>50</v>
      </c>
      <c r="I61" s="163">
        <v>83</v>
      </c>
      <c r="J61" s="253">
        <v>3</v>
      </c>
      <c r="K61" s="343">
        <v>2</v>
      </c>
      <c r="L61">
        <f t="shared" si="2"/>
        <v>88</v>
      </c>
      <c r="M61" s="21">
        <f t="shared" si="3"/>
        <v>1.5459208769587519E-4</v>
      </c>
    </row>
    <row r="62" spans="1:13" x14ac:dyDescent="0.25">
      <c r="A62">
        <v>51</v>
      </c>
      <c r="B62" s="8">
        <v>7.95728645324707E-2</v>
      </c>
      <c r="C62" s="8">
        <v>0</v>
      </c>
      <c r="D62" s="8">
        <v>0</v>
      </c>
      <c r="E62" s="8">
        <f t="shared" si="0"/>
        <v>7.95728645324707E-2</v>
      </c>
      <c r="F62" s="21">
        <f t="shared" si="1"/>
        <v>3.7771260052310306E-7</v>
      </c>
      <c r="H62" s="74">
        <v>51</v>
      </c>
      <c r="I62" s="164">
        <v>100</v>
      </c>
      <c r="J62" s="254">
        <v>3</v>
      </c>
      <c r="K62" s="344">
        <v>4</v>
      </c>
      <c r="L62">
        <f t="shared" si="2"/>
        <v>107</v>
      </c>
      <c r="M62" s="21">
        <f t="shared" si="3"/>
        <v>1.8796992481203009E-4</v>
      </c>
    </row>
    <row r="63" spans="1:13" x14ac:dyDescent="0.25">
      <c r="A63">
        <v>52</v>
      </c>
      <c r="B63" s="8">
        <v>8.3760910034179677E-3</v>
      </c>
      <c r="C63" s="8">
        <v>0</v>
      </c>
      <c r="D63" s="8">
        <v>0</v>
      </c>
      <c r="E63" s="8">
        <f t="shared" si="0"/>
        <v>8.3760910034179677E-3</v>
      </c>
      <c r="F63" s="21">
        <f t="shared" si="1"/>
        <v>3.9759221107695058E-8</v>
      </c>
      <c r="H63" s="75">
        <v>52</v>
      </c>
      <c r="I63" s="165">
        <v>68</v>
      </c>
      <c r="J63" s="255">
        <v>1</v>
      </c>
      <c r="K63" s="345">
        <v>5</v>
      </c>
      <c r="L63">
        <f t="shared" si="2"/>
        <v>74</v>
      </c>
      <c r="M63" s="21">
        <f t="shared" si="3"/>
        <v>1.2999789192607688E-4</v>
      </c>
    </row>
    <row r="64" spans="1:13" x14ac:dyDescent="0.25">
      <c r="A64">
        <v>53</v>
      </c>
      <c r="B64" s="8">
        <v>4.1880455017089842E-4</v>
      </c>
      <c r="C64" s="8">
        <v>0</v>
      </c>
      <c r="D64" s="8">
        <v>0</v>
      </c>
      <c r="E64" s="8">
        <f t="shared" si="0"/>
        <v>4.1880455017089842E-4</v>
      </c>
      <c r="F64" s="21">
        <f t="shared" si="1"/>
        <v>1.9879610553847532E-9</v>
      </c>
      <c r="H64" s="76">
        <v>53</v>
      </c>
      <c r="I64" s="166">
        <v>77</v>
      </c>
      <c r="J64" s="256">
        <v>3</v>
      </c>
      <c r="K64" s="346">
        <v>3</v>
      </c>
      <c r="L64">
        <f t="shared" si="2"/>
        <v>83</v>
      </c>
      <c r="M64" s="21">
        <f t="shared" si="3"/>
        <v>1.4580844634951866E-4</v>
      </c>
    </row>
    <row r="65" spans="1:13" x14ac:dyDescent="0.25">
      <c r="A65">
        <v>54</v>
      </c>
      <c r="B65" s="8">
        <v>0</v>
      </c>
      <c r="C65" s="8">
        <v>0</v>
      </c>
      <c r="D65" s="8">
        <v>0</v>
      </c>
      <c r="E65" s="8">
        <f t="shared" si="0"/>
        <v>0</v>
      </c>
      <c r="F65" s="21">
        <f t="shared" si="1"/>
        <v>0</v>
      </c>
      <c r="H65" s="77">
        <v>54</v>
      </c>
      <c r="I65" s="167">
        <v>63</v>
      </c>
      <c r="J65" s="257">
        <v>3</v>
      </c>
      <c r="K65" s="347">
        <v>0</v>
      </c>
      <c r="L65">
        <f t="shared" si="2"/>
        <v>66</v>
      </c>
      <c r="M65" s="21">
        <f t="shared" si="3"/>
        <v>1.1594406577190641E-4</v>
      </c>
    </row>
    <row r="66" spans="1:13" x14ac:dyDescent="0.25">
      <c r="A66">
        <v>55</v>
      </c>
      <c r="B66" s="8">
        <v>0</v>
      </c>
      <c r="C66" s="8">
        <v>0</v>
      </c>
      <c r="D66" s="8">
        <v>0</v>
      </c>
      <c r="E66" s="8">
        <f t="shared" si="0"/>
        <v>0</v>
      </c>
      <c r="F66" s="21">
        <f t="shared" si="1"/>
        <v>0</v>
      </c>
      <c r="H66" s="78">
        <v>55</v>
      </c>
      <c r="I66" s="168">
        <v>64</v>
      </c>
      <c r="J66" s="258">
        <v>5</v>
      </c>
      <c r="K66" s="348">
        <v>0</v>
      </c>
      <c r="L66">
        <f t="shared" si="2"/>
        <v>69</v>
      </c>
      <c r="M66" s="21">
        <f t="shared" si="3"/>
        <v>1.2121425057972033E-4</v>
      </c>
    </row>
    <row r="67" spans="1:13" x14ac:dyDescent="0.25">
      <c r="A67">
        <v>56</v>
      </c>
      <c r="B67" s="8">
        <v>0</v>
      </c>
      <c r="C67" s="8">
        <v>0</v>
      </c>
      <c r="D67" s="8">
        <v>0</v>
      </c>
      <c r="E67" s="8">
        <f t="shared" si="0"/>
        <v>0</v>
      </c>
      <c r="F67" s="21">
        <f t="shared" si="1"/>
        <v>0</v>
      </c>
      <c r="H67" s="79">
        <v>56</v>
      </c>
      <c r="I67" s="169">
        <v>29</v>
      </c>
      <c r="J67" s="259">
        <v>6</v>
      </c>
      <c r="K67" s="349">
        <v>1</v>
      </c>
      <c r="L67">
        <f t="shared" si="2"/>
        <v>36</v>
      </c>
      <c r="M67" s="21">
        <f t="shared" si="3"/>
        <v>6.3242217693767122E-5</v>
      </c>
    </row>
    <row r="68" spans="1:13" x14ac:dyDescent="0.25">
      <c r="A68">
        <v>57</v>
      </c>
      <c r="B68" s="8">
        <v>0</v>
      </c>
      <c r="C68" s="8">
        <v>0</v>
      </c>
      <c r="D68" s="8">
        <v>0</v>
      </c>
      <c r="E68" s="8">
        <f t="shared" si="0"/>
        <v>0</v>
      </c>
      <c r="F68" s="21">
        <f t="shared" si="1"/>
        <v>0</v>
      </c>
      <c r="H68" s="80">
        <v>57</v>
      </c>
      <c r="I68" s="170">
        <v>20</v>
      </c>
      <c r="J68" s="260">
        <v>5</v>
      </c>
      <c r="K68" s="350">
        <v>1</v>
      </c>
      <c r="L68">
        <f t="shared" si="2"/>
        <v>26</v>
      </c>
      <c r="M68" s="21">
        <f t="shared" si="3"/>
        <v>4.5674935001054035E-5</v>
      </c>
    </row>
    <row r="69" spans="1:13" x14ac:dyDescent="0.25">
      <c r="A69">
        <v>58</v>
      </c>
      <c r="B69" s="8">
        <v>0</v>
      </c>
      <c r="C69" s="8">
        <v>0</v>
      </c>
      <c r="D69" s="8">
        <v>0</v>
      </c>
      <c r="E69" s="8">
        <f t="shared" si="0"/>
        <v>0</v>
      </c>
      <c r="F69" s="21">
        <f t="shared" si="1"/>
        <v>0</v>
      </c>
      <c r="H69" s="81">
        <v>58</v>
      </c>
      <c r="I69" s="171">
        <v>27</v>
      </c>
      <c r="J69" s="261">
        <v>1</v>
      </c>
      <c r="K69" s="351">
        <v>1</v>
      </c>
      <c r="L69">
        <f t="shared" si="2"/>
        <v>29</v>
      </c>
      <c r="M69" s="21">
        <f t="shared" si="3"/>
        <v>5.0945119808867967E-5</v>
      </c>
    </row>
    <row r="70" spans="1:13" x14ac:dyDescent="0.25">
      <c r="A70">
        <v>59</v>
      </c>
      <c r="B70" s="8">
        <v>0</v>
      </c>
      <c r="C70" s="8">
        <v>0</v>
      </c>
      <c r="D70" s="8">
        <v>0</v>
      </c>
      <c r="E70" s="8">
        <f t="shared" si="0"/>
        <v>0</v>
      </c>
      <c r="F70" s="21">
        <f t="shared" si="1"/>
        <v>0</v>
      </c>
      <c r="H70" s="82">
        <v>59</v>
      </c>
      <c r="I70" s="172">
        <v>39</v>
      </c>
      <c r="J70" s="262">
        <v>2</v>
      </c>
      <c r="K70" s="352">
        <v>1</v>
      </c>
      <c r="L70">
        <f t="shared" si="2"/>
        <v>42</v>
      </c>
      <c r="M70" s="21">
        <f t="shared" si="3"/>
        <v>7.3782587309394984E-5</v>
      </c>
    </row>
    <row r="71" spans="1:13" x14ac:dyDescent="0.25">
      <c r="A71">
        <v>60</v>
      </c>
      <c r="B71" s="8">
        <v>0</v>
      </c>
      <c r="C71" s="8">
        <v>0</v>
      </c>
      <c r="D71" s="8">
        <v>0</v>
      </c>
      <c r="E71" s="8">
        <f t="shared" si="0"/>
        <v>0</v>
      </c>
      <c r="F71" s="21">
        <f t="shared" si="1"/>
        <v>0</v>
      </c>
      <c r="H71" s="83">
        <v>60</v>
      </c>
      <c r="I71" s="173">
        <v>37</v>
      </c>
      <c r="J71" s="263">
        <v>3</v>
      </c>
      <c r="K71" s="353">
        <v>1</v>
      </c>
      <c r="L71">
        <f t="shared" si="2"/>
        <v>41</v>
      </c>
      <c r="M71" s="21">
        <f t="shared" si="3"/>
        <v>7.2025859040123678E-5</v>
      </c>
    </row>
    <row r="72" spans="1:13" x14ac:dyDescent="0.25">
      <c r="A72">
        <v>61</v>
      </c>
      <c r="B72" s="8">
        <v>0</v>
      </c>
      <c r="C72" s="8">
        <v>0</v>
      </c>
      <c r="D72" s="8">
        <v>0</v>
      </c>
      <c r="E72" s="8">
        <f t="shared" si="0"/>
        <v>0</v>
      </c>
      <c r="F72" s="21">
        <f t="shared" si="1"/>
        <v>0</v>
      </c>
      <c r="H72" s="84">
        <v>61</v>
      </c>
      <c r="I72" s="174">
        <v>4</v>
      </c>
      <c r="J72" s="264">
        <v>0</v>
      </c>
      <c r="K72" s="354">
        <v>0</v>
      </c>
      <c r="L72">
        <f t="shared" si="2"/>
        <v>4</v>
      </c>
      <c r="M72" s="21">
        <f t="shared" si="3"/>
        <v>7.0269130770852364E-6</v>
      </c>
    </row>
    <row r="73" spans="1:13" x14ac:dyDescent="0.25">
      <c r="A73">
        <v>62</v>
      </c>
      <c r="B73" s="8">
        <v>0</v>
      </c>
      <c r="C73" s="8">
        <v>0</v>
      </c>
      <c r="D73" s="8">
        <v>0</v>
      </c>
      <c r="E73" s="8">
        <f t="shared" si="0"/>
        <v>0</v>
      </c>
      <c r="F73" s="21">
        <f t="shared" si="1"/>
        <v>0</v>
      </c>
      <c r="H73" s="85">
        <v>62</v>
      </c>
      <c r="I73" s="175">
        <v>31</v>
      </c>
      <c r="J73" s="265">
        <v>1</v>
      </c>
      <c r="K73" s="355">
        <v>1</v>
      </c>
      <c r="L73">
        <f t="shared" si="2"/>
        <v>33</v>
      </c>
      <c r="M73" s="21">
        <f t="shared" si="3"/>
        <v>5.7972032885953204E-5</v>
      </c>
    </row>
    <row r="74" spans="1:13" x14ac:dyDescent="0.25">
      <c r="A74">
        <v>63</v>
      </c>
      <c r="B74" s="8">
        <v>0</v>
      </c>
      <c r="C74" s="8">
        <v>0</v>
      </c>
      <c r="D74" s="8">
        <v>0</v>
      </c>
      <c r="E74" s="8">
        <f t="shared" si="0"/>
        <v>0</v>
      </c>
      <c r="F74" s="21">
        <f t="shared" si="1"/>
        <v>0</v>
      </c>
      <c r="H74" s="86">
        <v>63</v>
      </c>
      <c r="I74" s="176">
        <v>18</v>
      </c>
      <c r="J74" s="266">
        <v>1</v>
      </c>
      <c r="K74" s="356">
        <v>0</v>
      </c>
      <c r="L74">
        <f t="shared" si="2"/>
        <v>19</v>
      </c>
      <c r="M74" s="21">
        <f t="shared" si="3"/>
        <v>3.3377837116154874E-5</v>
      </c>
    </row>
    <row r="75" spans="1:13" x14ac:dyDescent="0.25">
      <c r="A75">
        <v>64</v>
      </c>
      <c r="B75" s="8">
        <v>0</v>
      </c>
      <c r="C75" s="8">
        <v>0</v>
      </c>
      <c r="D75" s="8">
        <v>0</v>
      </c>
      <c r="E75" s="8">
        <f t="shared" si="0"/>
        <v>0</v>
      </c>
      <c r="F75" s="21">
        <f t="shared" si="1"/>
        <v>0</v>
      </c>
      <c r="H75" s="87">
        <v>64</v>
      </c>
      <c r="I75" s="177">
        <v>4</v>
      </c>
      <c r="J75" s="267">
        <v>0</v>
      </c>
      <c r="K75" s="357">
        <v>0</v>
      </c>
      <c r="L75">
        <f t="shared" si="2"/>
        <v>4</v>
      </c>
      <c r="M75" s="21">
        <f t="shared" si="3"/>
        <v>7.0269130770852364E-6</v>
      </c>
    </row>
    <row r="76" spans="1:13" x14ac:dyDescent="0.25">
      <c r="A76">
        <v>65</v>
      </c>
      <c r="B76" s="8">
        <v>0</v>
      </c>
      <c r="C76" s="8">
        <v>0</v>
      </c>
      <c r="D76" s="8">
        <v>0</v>
      </c>
      <c r="E76" s="8">
        <f t="shared" ref="E76:E101" si="4">SUM(B76:D76)</f>
        <v>0</v>
      </c>
      <c r="F76" s="21">
        <f t="shared" ref="F76:F102" si="5">E76/$E$102</f>
        <v>0</v>
      </c>
      <c r="H76" s="88">
        <v>65</v>
      </c>
      <c r="I76" s="178">
        <v>10</v>
      </c>
      <c r="J76" s="268">
        <v>1</v>
      </c>
      <c r="K76" s="358">
        <v>0</v>
      </c>
      <c r="L76">
        <f t="shared" ref="L76:L101" si="6">SUM(I76:K76)</f>
        <v>11</v>
      </c>
      <c r="M76" s="21">
        <f t="shared" ref="M76:M102" si="7">L76/$L$102</f>
        <v>1.9324010961984399E-5</v>
      </c>
    </row>
    <row r="77" spans="1:13" x14ac:dyDescent="0.25">
      <c r="A77">
        <v>66</v>
      </c>
      <c r="B77" s="8">
        <v>0</v>
      </c>
      <c r="C77" s="8">
        <v>0</v>
      </c>
      <c r="D77" s="8">
        <v>0</v>
      </c>
      <c r="E77" s="8">
        <f t="shared" si="4"/>
        <v>0</v>
      </c>
      <c r="F77" s="21">
        <f t="shared" si="5"/>
        <v>0</v>
      </c>
      <c r="H77" s="89">
        <v>66</v>
      </c>
      <c r="I77" s="179">
        <v>11</v>
      </c>
      <c r="J77" s="269">
        <v>0</v>
      </c>
      <c r="K77" s="359">
        <v>0</v>
      </c>
      <c r="L77">
        <f t="shared" si="6"/>
        <v>11</v>
      </c>
      <c r="M77" s="21">
        <f t="shared" si="7"/>
        <v>1.9324010961984399E-5</v>
      </c>
    </row>
    <row r="78" spans="1:13" x14ac:dyDescent="0.25">
      <c r="A78">
        <v>67</v>
      </c>
      <c r="B78" s="8">
        <v>0</v>
      </c>
      <c r="C78" s="8">
        <v>0</v>
      </c>
      <c r="D78" s="8">
        <v>0</v>
      </c>
      <c r="E78" s="8">
        <f t="shared" si="4"/>
        <v>0</v>
      </c>
      <c r="F78" s="21">
        <f t="shared" si="5"/>
        <v>0</v>
      </c>
      <c r="H78" s="90">
        <v>67</v>
      </c>
      <c r="I78" s="180">
        <v>3</v>
      </c>
      <c r="J78" s="270">
        <v>1</v>
      </c>
      <c r="K78" s="360">
        <v>0</v>
      </c>
      <c r="L78">
        <f t="shared" si="6"/>
        <v>4</v>
      </c>
      <c r="M78" s="21">
        <f t="shared" si="7"/>
        <v>7.0269130770852364E-6</v>
      </c>
    </row>
    <row r="79" spans="1:13" x14ac:dyDescent="0.25">
      <c r="A79">
        <v>68</v>
      </c>
      <c r="B79" s="8">
        <v>0</v>
      </c>
      <c r="C79" s="8">
        <v>0</v>
      </c>
      <c r="D79" s="8">
        <v>0</v>
      </c>
      <c r="E79" s="8">
        <f t="shared" si="4"/>
        <v>0</v>
      </c>
      <c r="F79" s="21">
        <f t="shared" si="5"/>
        <v>0</v>
      </c>
      <c r="H79" s="91">
        <v>68</v>
      </c>
      <c r="I79" s="181">
        <v>5</v>
      </c>
      <c r="J79" s="271">
        <v>1</v>
      </c>
      <c r="K79" s="361">
        <v>0</v>
      </c>
      <c r="L79">
        <f t="shared" si="6"/>
        <v>6</v>
      </c>
      <c r="M79" s="21">
        <f t="shared" si="7"/>
        <v>1.0540369615627854E-5</v>
      </c>
    </row>
    <row r="80" spans="1:13" x14ac:dyDescent="0.25">
      <c r="A80">
        <v>69</v>
      </c>
      <c r="B80" s="8">
        <v>0</v>
      </c>
      <c r="C80" s="8">
        <v>0</v>
      </c>
      <c r="D80" s="8">
        <v>0</v>
      </c>
      <c r="E80" s="8">
        <f t="shared" si="4"/>
        <v>0</v>
      </c>
      <c r="F80" s="21">
        <f t="shared" si="5"/>
        <v>0</v>
      </c>
      <c r="H80" s="92">
        <v>69</v>
      </c>
      <c r="I80" s="182">
        <v>8</v>
      </c>
      <c r="J80" s="272">
        <v>0</v>
      </c>
      <c r="K80" s="362">
        <v>0</v>
      </c>
      <c r="L80">
        <f t="shared" si="6"/>
        <v>8</v>
      </c>
      <c r="M80" s="21">
        <f t="shared" si="7"/>
        <v>1.4053826154170473E-5</v>
      </c>
    </row>
    <row r="81" spans="1:13" x14ac:dyDescent="0.25">
      <c r="A81">
        <v>70</v>
      </c>
      <c r="B81" s="8">
        <v>0</v>
      </c>
      <c r="C81" s="8">
        <v>0</v>
      </c>
      <c r="D81" s="8">
        <v>0</v>
      </c>
      <c r="E81" s="8">
        <f t="shared" si="4"/>
        <v>0</v>
      </c>
      <c r="F81" s="21">
        <f t="shared" si="5"/>
        <v>0</v>
      </c>
      <c r="H81" s="93">
        <v>70</v>
      </c>
      <c r="I81" s="183">
        <v>13</v>
      </c>
      <c r="J81" s="273">
        <v>0</v>
      </c>
      <c r="K81" s="363">
        <v>1</v>
      </c>
      <c r="L81">
        <f t="shared" si="6"/>
        <v>14</v>
      </c>
      <c r="M81" s="21">
        <f t="shared" si="7"/>
        <v>2.4594195769798327E-5</v>
      </c>
    </row>
    <row r="82" spans="1:13" x14ac:dyDescent="0.25">
      <c r="A82">
        <v>71</v>
      </c>
      <c r="B82" s="8">
        <v>0</v>
      </c>
      <c r="C82" s="8">
        <v>0</v>
      </c>
      <c r="D82" s="8">
        <v>0</v>
      </c>
      <c r="E82" s="8">
        <f t="shared" si="4"/>
        <v>0</v>
      </c>
      <c r="F82" s="21">
        <f t="shared" si="5"/>
        <v>0</v>
      </c>
      <c r="H82" s="94">
        <v>71</v>
      </c>
      <c r="I82" s="184">
        <v>5</v>
      </c>
      <c r="J82" s="274">
        <v>0</v>
      </c>
      <c r="K82" s="364">
        <v>0</v>
      </c>
      <c r="L82">
        <f t="shared" si="6"/>
        <v>5</v>
      </c>
      <c r="M82" s="21">
        <f t="shared" si="7"/>
        <v>8.7836413463565449E-6</v>
      </c>
    </row>
    <row r="83" spans="1:13" x14ac:dyDescent="0.25">
      <c r="A83">
        <v>72</v>
      </c>
      <c r="B83" s="8">
        <v>0</v>
      </c>
      <c r="C83" s="8">
        <v>0</v>
      </c>
      <c r="D83" s="8">
        <v>0</v>
      </c>
      <c r="E83" s="8">
        <f t="shared" si="4"/>
        <v>0</v>
      </c>
      <c r="F83" s="21">
        <f t="shared" si="5"/>
        <v>0</v>
      </c>
      <c r="H83" s="95">
        <v>72</v>
      </c>
      <c r="I83" s="185">
        <v>11</v>
      </c>
      <c r="J83" s="275">
        <v>0</v>
      </c>
      <c r="K83" s="365">
        <v>0</v>
      </c>
      <c r="L83">
        <f t="shared" si="6"/>
        <v>11</v>
      </c>
      <c r="M83" s="21">
        <f t="shared" si="7"/>
        <v>1.9324010961984399E-5</v>
      </c>
    </row>
    <row r="84" spans="1:13" x14ac:dyDescent="0.25">
      <c r="A84">
        <v>73</v>
      </c>
      <c r="B84" s="8">
        <v>0</v>
      </c>
      <c r="C84" s="8">
        <v>0</v>
      </c>
      <c r="D84" s="8">
        <v>0</v>
      </c>
      <c r="E84" s="8">
        <f t="shared" si="4"/>
        <v>0</v>
      </c>
      <c r="F84" s="21">
        <f t="shared" si="5"/>
        <v>0</v>
      </c>
      <c r="H84" s="96">
        <v>73</v>
      </c>
      <c r="I84" s="186">
        <v>6</v>
      </c>
      <c r="J84" s="276">
        <v>0</v>
      </c>
      <c r="K84" s="366">
        <v>0</v>
      </c>
      <c r="L84">
        <f t="shared" si="6"/>
        <v>6</v>
      </c>
      <c r="M84" s="21">
        <f t="shared" si="7"/>
        <v>1.0540369615627854E-5</v>
      </c>
    </row>
    <row r="85" spans="1:13" x14ac:dyDescent="0.25">
      <c r="A85">
        <v>74</v>
      </c>
      <c r="B85" s="8">
        <v>0</v>
      </c>
      <c r="C85" s="8">
        <v>0</v>
      </c>
      <c r="D85" s="8">
        <v>0</v>
      </c>
      <c r="E85" s="8">
        <f t="shared" si="4"/>
        <v>0</v>
      </c>
      <c r="F85" s="21">
        <f t="shared" si="5"/>
        <v>0</v>
      </c>
      <c r="H85" s="97">
        <v>74</v>
      </c>
      <c r="I85" s="187">
        <v>0</v>
      </c>
      <c r="J85" s="277">
        <v>0</v>
      </c>
      <c r="K85" s="367">
        <v>0</v>
      </c>
      <c r="L85">
        <f t="shared" si="6"/>
        <v>0</v>
      </c>
      <c r="M85" s="21">
        <f t="shared" si="7"/>
        <v>0</v>
      </c>
    </row>
    <row r="86" spans="1:13" x14ac:dyDescent="0.25">
      <c r="A86">
        <v>75</v>
      </c>
      <c r="B86" s="8">
        <v>0</v>
      </c>
      <c r="C86" s="8">
        <v>0</v>
      </c>
      <c r="D86" s="8">
        <v>0</v>
      </c>
      <c r="E86" s="8">
        <f t="shared" si="4"/>
        <v>0</v>
      </c>
      <c r="F86" s="21">
        <f t="shared" si="5"/>
        <v>0</v>
      </c>
      <c r="H86" s="98">
        <v>75</v>
      </c>
      <c r="I86" s="188">
        <v>3</v>
      </c>
      <c r="J86" s="278">
        <v>0</v>
      </c>
      <c r="K86" s="368">
        <v>0</v>
      </c>
      <c r="L86">
        <f t="shared" si="6"/>
        <v>3</v>
      </c>
      <c r="M86" s="21">
        <f t="shared" si="7"/>
        <v>5.2701848078139271E-6</v>
      </c>
    </row>
    <row r="87" spans="1:13" x14ac:dyDescent="0.25">
      <c r="A87">
        <v>76</v>
      </c>
      <c r="B87" s="8">
        <v>0</v>
      </c>
      <c r="C87" s="8">
        <v>0</v>
      </c>
      <c r="D87" s="8">
        <v>0</v>
      </c>
      <c r="E87" s="8">
        <f t="shared" si="4"/>
        <v>0</v>
      </c>
      <c r="F87" s="21">
        <f t="shared" si="5"/>
        <v>0</v>
      </c>
      <c r="H87" s="99">
        <v>76</v>
      </c>
      <c r="I87" s="189">
        <v>4</v>
      </c>
      <c r="J87" s="279">
        <v>0</v>
      </c>
      <c r="K87" s="369">
        <v>0</v>
      </c>
      <c r="L87">
        <f t="shared" si="6"/>
        <v>4</v>
      </c>
      <c r="M87" s="21">
        <f t="shared" si="7"/>
        <v>7.0269130770852364E-6</v>
      </c>
    </row>
    <row r="88" spans="1:13" x14ac:dyDescent="0.25">
      <c r="A88">
        <v>77</v>
      </c>
      <c r="B88" s="8">
        <v>0</v>
      </c>
      <c r="C88" s="8">
        <v>0</v>
      </c>
      <c r="D88" s="8">
        <v>0</v>
      </c>
      <c r="E88" s="8">
        <f t="shared" si="4"/>
        <v>0</v>
      </c>
      <c r="F88" s="21">
        <f t="shared" si="5"/>
        <v>0</v>
      </c>
      <c r="H88" s="100">
        <v>77</v>
      </c>
      <c r="I88" s="190">
        <v>4</v>
      </c>
      <c r="J88" s="280">
        <v>0</v>
      </c>
      <c r="K88" s="370">
        <v>0</v>
      </c>
      <c r="L88">
        <f t="shared" si="6"/>
        <v>4</v>
      </c>
      <c r="M88" s="21">
        <f t="shared" si="7"/>
        <v>7.0269130770852364E-6</v>
      </c>
    </row>
    <row r="89" spans="1:13" x14ac:dyDescent="0.25">
      <c r="A89">
        <v>78</v>
      </c>
      <c r="B89" s="8">
        <v>0</v>
      </c>
      <c r="C89" s="8">
        <v>0</v>
      </c>
      <c r="D89" s="8">
        <v>0</v>
      </c>
      <c r="E89" s="8">
        <f t="shared" si="4"/>
        <v>0</v>
      </c>
      <c r="F89" s="21">
        <f t="shared" si="5"/>
        <v>0</v>
      </c>
      <c r="H89" s="101">
        <v>78</v>
      </c>
      <c r="I89" s="191">
        <v>2</v>
      </c>
      <c r="J89" s="281">
        <v>0</v>
      </c>
      <c r="K89" s="371">
        <v>0</v>
      </c>
      <c r="L89">
        <f t="shared" si="6"/>
        <v>2</v>
      </c>
      <c r="M89" s="21">
        <f t="shared" si="7"/>
        <v>3.5134565385426182E-6</v>
      </c>
    </row>
    <row r="90" spans="1:13" x14ac:dyDescent="0.25">
      <c r="A90">
        <v>79</v>
      </c>
      <c r="B90" s="8">
        <v>0</v>
      </c>
      <c r="C90" s="8">
        <v>0</v>
      </c>
      <c r="D90" s="8">
        <v>0</v>
      </c>
      <c r="E90" s="8">
        <f t="shared" si="4"/>
        <v>0</v>
      </c>
      <c r="F90" s="21">
        <f t="shared" si="5"/>
        <v>0</v>
      </c>
      <c r="H90" s="102">
        <v>79</v>
      </c>
      <c r="I90" s="192">
        <v>0</v>
      </c>
      <c r="J90" s="282">
        <v>0</v>
      </c>
      <c r="K90" s="372">
        <v>0</v>
      </c>
      <c r="L90">
        <f t="shared" si="6"/>
        <v>0</v>
      </c>
      <c r="M90" s="21">
        <f t="shared" si="7"/>
        <v>0</v>
      </c>
    </row>
    <row r="91" spans="1:13" x14ac:dyDescent="0.25">
      <c r="A91">
        <v>80</v>
      </c>
      <c r="B91" s="8">
        <v>0</v>
      </c>
      <c r="C91" s="8">
        <v>0</v>
      </c>
      <c r="D91" s="8">
        <v>0</v>
      </c>
      <c r="E91" s="8">
        <f t="shared" si="4"/>
        <v>0</v>
      </c>
      <c r="F91" s="21">
        <f t="shared" si="5"/>
        <v>0</v>
      </c>
      <c r="H91" s="103">
        <v>80</v>
      </c>
      <c r="I91" s="193">
        <v>1</v>
      </c>
      <c r="J91" s="283">
        <v>0</v>
      </c>
      <c r="K91" s="373">
        <v>0</v>
      </c>
      <c r="L91">
        <f t="shared" si="6"/>
        <v>1</v>
      </c>
      <c r="M91" s="21">
        <f t="shared" si="7"/>
        <v>1.7567282692713091E-6</v>
      </c>
    </row>
    <row r="92" spans="1:13" x14ac:dyDescent="0.25">
      <c r="A92">
        <v>81</v>
      </c>
      <c r="B92" s="8">
        <v>0</v>
      </c>
      <c r="C92" s="8">
        <v>0</v>
      </c>
      <c r="D92" s="8">
        <v>0</v>
      </c>
      <c r="E92" s="8">
        <f t="shared" si="4"/>
        <v>0</v>
      </c>
      <c r="F92" s="21">
        <f t="shared" si="5"/>
        <v>0</v>
      </c>
      <c r="H92" s="104">
        <v>81</v>
      </c>
      <c r="I92" s="194">
        <v>0</v>
      </c>
      <c r="J92" s="284">
        <v>0</v>
      </c>
      <c r="K92" s="374">
        <v>0</v>
      </c>
      <c r="L92">
        <f t="shared" si="6"/>
        <v>0</v>
      </c>
      <c r="M92" s="21">
        <f t="shared" si="7"/>
        <v>0</v>
      </c>
    </row>
    <row r="93" spans="1:13" x14ac:dyDescent="0.25">
      <c r="A93">
        <v>82</v>
      </c>
      <c r="B93" s="8">
        <v>0</v>
      </c>
      <c r="C93" s="8">
        <v>0</v>
      </c>
      <c r="D93" s="8">
        <v>0</v>
      </c>
      <c r="E93" s="8">
        <f t="shared" si="4"/>
        <v>0</v>
      </c>
      <c r="F93" s="21">
        <f t="shared" si="5"/>
        <v>0</v>
      </c>
      <c r="H93" s="105">
        <v>82</v>
      </c>
      <c r="I93" s="195">
        <v>0</v>
      </c>
      <c r="J93" s="285">
        <v>0</v>
      </c>
      <c r="K93" s="375">
        <v>0</v>
      </c>
      <c r="L93">
        <f t="shared" si="6"/>
        <v>0</v>
      </c>
      <c r="M93" s="21">
        <f t="shared" si="7"/>
        <v>0</v>
      </c>
    </row>
    <row r="94" spans="1:13" x14ac:dyDescent="0.25">
      <c r="A94">
        <v>83</v>
      </c>
      <c r="B94" s="8">
        <v>0</v>
      </c>
      <c r="C94" s="8">
        <v>0</v>
      </c>
      <c r="D94" s="8">
        <v>0</v>
      </c>
      <c r="E94" s="8">
        <f t="shared" si="4"/>
        <v>0</v>
      </c>
      <c r="F94" s="21">
        <f t="shared" si="5"/>
        <v>0</v>
      </c>
      <c r="H94" s="106">
        <v>83</v>
      </c>
      <c r="I94" s="196">
        <v>1</v>
      </c>
      <c r="J94" s="286">
        <v>1</v>
      </c>
      <c r="K94" s="376">
        <v>0</v>
      </c>
      <c r="L94">
        <f t="shared" si="6"/>
        <v>2</v>
      </c>
      <c r="M94" s="21">
        <f t="shared" si="7"/>
        <v>3.5134565385426182E-6</v>
      </c>
    </row>
    <row r="95" spans="1:13" x14ac:dyDescent="0.25">
      <c r="A95">
        <v>84</v>
      </c>
      <c r="B95" s="8">
        <v>0</v>
      </c>
      <c r="C95" s="8">
        <v>0</v>
      </c>
      <c r="D95" s="8">
        <v>0</v>
      </c>
      <c r="E95" s="8">
        <f t="shared" si="4"/>
        <v>0</v>
      </c>
      <c r="F95" s="21">
        <f t="shared" si="5"/>
        <v>0</v>
      </c>
      <c r="H95" s="107">
        <v>84</v>
      </c>
      <c r="I95" s="197">
        <v>0</v>
      </c>
      <c r="J95" s="287">
        <v>0</v>
      </c>
      <c r="K95" s="377">
        <v>0</v>
      </c>
      <c r="L95">
        <f t="shared" si="6"/>
        <v>0</v>
      </c>
      <c r="M95" s="21">
        <f t="shared" si="7"/>
        <v>0</v>
      </c>
    </row>
    <row r="96" spans="1:13" x14ac:dyDescent="0.25">
      <c r="A96">
        <v>85</v>
      </c>
      <c r="B96" s="8">
        <v>0</v>
      </c>
      <c r="C96" s="8">
        <v>0</v>
      </c>
      <c r="D96" s="8">
        <v>0</v>
      </c>
      <c r="E96" s="8">
        <f t="shared" si="4"/>
        <v>0</v>
      </c>
      <c r="F96" s="21">
        <f t="shared" si="5"/>
        <v>0</v>
      </c>
      <c r="H96" s="108">
        <v>85</v>
      </c>
      <c r="I96" s="198">
        <v>0</v>
      </c>
      <c r="J96" s="288">
        <v>0</v>
      </c>
      <c r="K96" s="378">
        <v>0</v>
      </c>
      <c r="L96">
        <f t="shared" si="6"/>
        <v>0</v>
      </c>
      <c r="M96" s="21">
        <f t="shared" si="7"/>
        <v>0</v>
      </c>
    </row>
    <row r="97" spans="1:13" x14ac:dyDescent="0.25">
      <c r="A97">
        <v>86</v>
      </c>
      <c r="B97" s="8">
        <v>0</v>
      </c>
      <c r="C97" s="8">
        <v>0</v>
      </c>
      <c r="D97" s="8">
        <v>0</v>
      </c>
      <c r="E97" s="8">
        <f t="shared" si="4"/>
        <v>0</v>
      </c>
      <c r="F97" s="21">
        <f t="shared" si="5"/>
        <v>0</v>
      </c>
      <c r="H97" s="109">
        <v>86</v>
      </c>
      <c r="I97" s="199">
        <v>0</v>
      </c>
      <c r="J97" s="289">
        <v>0</v>
      </c>
      <c r="K97" s="379">
        <v>0</v>
      </c>
      <c r="L97">
        <f t="shared" si="6"/>
        <v>0</v>
      </c>
      <c r="M97" s="21">
        <f t="shared" si="7"/>
        <v>0</v>
      </c>
    </row>
    <row r="98" spans="1:13" x14ac:dyDescent="0.25">
      <c r="A98">
        <v>87</v>
      </c>
      <c r="B98" s="8">
        <v>0</v>
      </c>
      <c r="C98" s="8">
        <v>0</v>
      </c>
      <c r="D98" s="8">
        <v>0</v>
      </c>
      <c r="E98" s="8">
        <f t="shared" si="4"/>
        <v>0</v>
      </c>
      <c r="F98" s="21">
        <f t="shared" si="5"/>
        <v>0</v>
      </c>
      <c r="H98" s="110">
        <v>87</v>
      </c>
      <c r="I98" s="200">
        <v>0</v>
      </c>
      <c r="J98" s="290">
        <v>0</v>
      </c>
      <c r="K98" s="380">
        <v>0</v>
      </c>
      <c r="L98">
        <f t="shared" si="6"/>
        <v>0</v>
      </c>
      <c r="M98" s="21">
        <f t="shared" si="7"/>
        <v>0</v>
      </c>
    </row>
    <row r="99" spans="1:13" x14ac:dyDescent="0.25">
      <c r="A99">
        <v>88</v>
      </c>
      <c r="B99" s="8">
        <v>0</v>
      </c>
      <c r="C99" s="8">
        <v>0</v>
      </c>
      <c r="D99" s="8">
        <v>0</v>
      </c>
      <c r="E99" s="8">
        <f t="shared" si="4"/>
        <v>0</v>
      </c>
      <c r="F99" s="21">
        <f t="shared" si="5"/>
        <v>0</v>
      </c>
      <c r="H99" s="111">
        <v>88</v>
      </c>
      <c r="I99" s="201">
        <v>0</v>
      </c>
      <c r="J99" s="291">
        <v>0</v>
      </c>
      <c r="K99" s="381">
        <v>0</v>
      </c>
      <c r="L99">
        <f t="shared" si="6"/>
        <v>0</v>
      </c>
      <c r="M99" s="21">
        <f t="shared" si="7"/>
        <v>0</v>
      </c>
    </row>
    <row r="100" spans="1:13" x14ac:dyDescent="0.25">
      <c r="A100">
        <v>89</v>
      </c>
      <c r="B100" s="8">
        <v>0</v>
      </c>
      <c r="C100" s="8">
        <v>0</v>
      </c>
      <c r="D100" s="8">
        <v>0</v>
      </c>
      <c r="E100" s="8">
        <f t="shared" si="4"/>
        <v>0</v>
      </c>
      <c r="F100" s="21">
        <f t="shared" si="5"/>
        <v>0</v>
      </c>
      <c r="H100" s="112">
        <v>89</v>
      </c>
      <c r="I100" s="202">
        <v>0</v>
      </c>
      <c r="J100" s="292">
        <v>0</v>
      </c>
      <c r="K100" s="382">
        <v>0</v>
      </c>
      <c r="L100">
        <f t="shared" si="6"/>
        <v>0</v>
      </c>
      <c r="M100" s="21">
        <f t="shared" si="7"/>
        <v>0</v>
      </c>
    </row>
    <row r="101" spans="1:13" ht="15.75" thickBot="1" x14ac:dyDescent="0.3">
      <c r="A101" s="1">
        <v>90</v>
      </c>
      <c r="B101" s="9">
        <v>0</v>
      </c>
      <c r="C101" s="9">
        <v>0</v>
      </c>
      <c r="D101" s="9">
        <v>0</v>
      </c>
      <c r="E101" s="9">
        <f t="shared" si="4"/>
        <v>0</v>
      </c>
      <c r="F101" s="21">
        <f t="shared" si="5"/>
        <v>0</v>
      </c>
      <c r="H101" s="744">
        <v>90</v>
      </c>
      <c r="I101" s="744">
        <v>1</v>
      </c>
      <c r="J101" s="744">
        <v>0</v>
      </c>
      <c r="K101" s="744">
        <v>0</v>
      </c>
      <c r="L101" s="1">
        <f t="shared" si="6"/>
        <v>1</v>
      </c>
      <c r="M101" s="21">
        <f t="shared" si="7"/>
        <v>1.7567282692713091E-6</v>
      </c>
    </row>
    <row r="102" spans="1:13" x14ac:dyDescent="0.25">
      <c r="E102" s="8">
        <f>SUM(E11:E101)</f>
        <v>210670.39972261546</v>
      </c>
      <c r="F102" s="21">
        <f t="shared" si="5"/>
        <v>1</v>
      </c>
      <c r="L102" s="8">
        <f>SUM(L11:L101)</f>
        <v>569240</v>
      </c>
      <c r="M102" s="21">
        <f t="shared" si="7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02"/>
  <sheetViews>
    <sheetView workbookViewId="0">
      <selection activeCell="A6" sqref="A6"/>
    </sheetView>
  </sheetViews>
  <sheetFormatPr defaultRowHeight="15" x14ac:dyDescent="0.25"/>
  <cols>
    <col min="13" max="13" width="10.140625" bestFit="1" customWidth="1" collapsed="1"/>
  </cols>
  <sheetData>
    <row r="1" spans="1:18" x14ac:dyDescent="0.25">
      <c r="A1" t="s">
        <v>0</v>
      </c>
    </row>
    <row r="2" spans="1:18" x14ac:dyDescent="0.25">
      <c r="A2" t="s">
        <v>264</v>
      </c>
    </row>
    <row r="3" spans="1:18" x14ac:dyDescent="0.25">
      <c r="A3" t="s">
        <v>266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r="9" spans="1:18" ht="15.75" thickBot="1" x14ac:dyDescent="0.3">
      <c r="A9" s="4" t="s">
        <v>47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46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46</v>
      </c>
      <c r="R10" s="5" t="s">
        <v>19</v>
      </c>
    </row>
    <row r="11" spans="1:18" x14ac:dyDescent="0.25">
      <c r="A11">
        <v>0</v>
      </c>
      <c r="B11" s="8">
        <v>3850.8172</v>
      </c>
      <c r="C11" s="8">
        <v>133.59299999999999</v>
      </c>
      <c r="D11" s="8">
        <v>109.0124</v>
      </c>
      <c r="E11" s="8">
        <f>SUM(B11:D11)</f>
        <v>4093.4225999999999</v>
      </c>
      <c r="F11" s="21">
        <f>E11/$E$102</f>
        <v>2.8026922598724548E-2</v>
      </c>
      <c r="H11" s="383">
        <v>0</v>
      </c>
      <c r="I11" s="473">
        <v>24425</v>
      </c>
      <c r="J11" s="563">
        <v>2548</v>
      </c>
      <c r="K11" s="653">
        <v>2108</v>
      </c>
      <c r="L11">
        <f>SUM(I11:K11)</f>
        <v>29081</v>
      </c>
      <c r="M11" s="21">
        <f>L11/$L$102</f>
        <v>5.108741479867894E-2</v>
      </c>
      <c r="P11" t="s">
        <v>9</v>
      </c>
      <c r="Q11" s="8">
        <v>12.866789799631098</v>
      </c>
      <c r="R11" s="8">
        <v>15.468416262083206</v>
      </c>
    </row>
    <row r="12" spans="1:18" x14ac:dyDescent="0.25">
      <c r="A12">
        <v>1</v>
      </c>
      <c r="B12" s="8">
        <v>5335.9349657204639</v>
      </c>
      <c r="C12" s="8">
        <v>150.31726157588957</v>
      </c>
      <c r="D12" s="8">
        <v>131.24602227859498</v>
      </c>
      <c r="E12" s="8">
        <f t="shared" ref="E12:E75" si="0">SUM(B12:D12)</f>
        <v>5617.4982495749482</v>
      </c>
      <c r="F12" s="21">
        <f t="shared" ref="F12:F75" si="1">E12/$E$102</f>
        <v>3.8461992328695238E-2</v>
      </c>
      <c r="H12" s="384">
        <v>1</v>
      </c>
      <c r="I12" s="474">
        <v>31637</v>
      </c>
      <c r="J12" s="564">
        <v>3632</v>
      </c>
      <c r="K12" s="654">
        <v>2430</v>
      </c>
      <c r="L12">
        <f t="shared" ref="L12:L75" si="2">SUM(I12:K12)</f>
        <v>37699</v>
      </c>
      <c r="M12" s="21">
        <f t="shared" ref="M12:M75" si="3">L12/$L$102</f>
        <v>6.6226899023259081E-2</v>
      </c>
      <c r="P12" t="s">
        <v>10</v>
      </c>
      <c r="Q12" s="8">
        <v>11.981909831684124</v>
      </c>
      <c r="R12" s="8">
        <v>14.874120062872793</v>
      </c>
    </row>
    <row r="13" spans="1:18" x14ac:dyDescent="0.25">
      <c r="A13">
        <v>2</v>
      </c>
      <c r="B13" s="8">
        <v>6853.4900614881526</v>
      </c>
      <c r="C13" s="8">
        <v>171.15453998832703</v>
      </c>
      <c r="D13" s="8">
        <v>154.92454915580751</v>
      </c>
      <c r="E13" s="8">
        <f t="shared" si="0"/>
        <v>7179.5691506322873</v>
      </c>
      <c r="F13" s="21">
        <f t="shared" si="1"/>
        <v>4.9157208658827868E-2</v>
      </c>
      <c r="H13" s="385">
        <v>2</v>
      </c>
      <c r="I13" s="475">
        <v>30379</v>
      </c>
      <c r="J13" s="565">
        <v>3650</v>
      </c>
      <c r="K13" s="655">
        <v>2215</v>
      </c>
      <c r="L13">
        <f t="shared" si="2"/>
        <v>36244</v>
      </c>
      <c r="M13" s="21">
        <f t="shared" si="3"/>
        <v>6.3670859391469325E-2</v>
      </c>
      <c r="P13" s="6" t="s">
        <v>11</v>
      </c>
      <c r="Q13" s="11">
        <v>13.817520097121909</v>
      </c>
      <c r="R13" s="8">
        <v>15.04601886503035</v>
      </c>
    </row>
    <row r="14" spans="1:18" ht="15.75" thickBot="1" x14ac:dyDescent="0.3">
      <c r="A14">
        <v>3</v>
      </c>
      <c r="B14" s="8">
        <v>8313.2903247198101</v>
      </c>
      <c r="C14" s="8">
        <v>199.8767337705612</v>
      </c>
      <c r="D14" s="8">
        <v>176.68629620800019</v>
      </c>
      <c r="E14" s="8">
        <f t="shared" si="0"/>
        <v>8689.8533546983708</v>
      </c>
      <c r="F14" s="21">
        <f t="shared" si="1"/>
        <v>5.9497850861134668E-2</v>
      </c>
      <c r="H14" s="386">
        <v>3</v>
      </c>
      <c r="I14" s="476">
        <v>27466</v>
      </c>
      <c r="J14" s="566">
        <v>3416</v>
      </c>
      <c r="K14" s="656">
        <v>2184</v>
      </c>
      <c r="L14">
        <f t="shared" si="2"/>
        <v>33066</v>
      </c>
      <c r="M14" s="21">
        <f t="shared" si="3"/>
        <v>5.8087976951725108E-2</v>
      </c>
      <c r="P14" s="1" t="s">
        <v>4</v>
      </c>
      <c r="Q14" s="12">
        <v>12.865905355868307</v>
      </c>
      <c r="R14" s="12">
        <v>15.377922327838201</v>
      </c>
    </row>
    <row r="15" spans="1:18" x14ac:dyDescent="0.25">
      <c r="A15">
        <v>4</v>
      </c>
      <c r="B15" s="8">
        <v>9476.3384402335178</v>
      </c>
      <c r="C15" s="8">
        <v>239.19315736780163</v>
      </c>
      <c r="D15" s="8">
        <v>189.06077302532196</v>
      </c>
      <c r="E15" s="8">
        <f t="shared" si="0"/>
        <v>9904.5923706266403</v>
      </c>
      <c r="F15" s="21">
        <f t="shared" si="1"/>
        <v>6.7814948728594643E-2</v>
      </c>
      <c r="H15" s="387">
        <v>4</v>
      </c>
      <c r="I15" s="477">
        <v>24269</v>
      </c>
      <c r="J15" s="567">
        <v>3124</v>
      </c>
      <c r="K15" s="657">
        <v>2013</v>
      </c>
      <c r="L15">
        <f t="shared" si="2"/>
        <v>29406</v>
      </c>
      <c r="M15" s="21">
        <f t="shared" si="3"/>
        <v>5.1658351486192113E-2</v>
      </c>
    </row>
    <row r="16" spans="1:18" x14ac:dyDescent="0.25">
      <c r="A16">
        <v>5</v>
      </c>
      <c r="B16" s="8">
        <v>10070.868056053067</v>
      </c>
      <c r="C16" s="8">
        <v>288.47501854667661</v>
      </c>
      <c r="D16" s="8">
        <v>187.58391951332092</v>
      </c>
      <c r="E16" s="8">
        <f t="shared" si="0"/>
        <v>10546.926994113064</v>
      </c>
      <c r="F16" s="21">
        <f t="shared" si="1"/>
        <v>7.2212897470787754E-2</v>
      </c>
      <c r="H16" s="388">
        <v>5</v>
      </c>
      <c r="I16" s="478">
        <v>20862</v>
      </c>
      <c r="J16" s="568">
        <v>2745</v>
      </c>
      <c r="K16" s="658">
        <v>1752</v>
      </c>
      <c r="L16">
        <f t="shared" si="2"/>
        <v>25359</v>
      </c>
      <c r="M16" s="21">
        <f t="shared" si="3"/>
        <v>4.454887218045113E-2</v>
      </c>
    </row>
    <row r="17" spans="1:13" x14ac:dyDescent="0.25">
      <c r="A17">
        <v>6</v>
      </c>
      <c r="B17" s="8">
        <v>9982.595315599061</v>
      </c>
      <c r="C17" s="8">
        <v>340.89112785434719</v>
      </c>
      <c r="D17" s="8">
        <v>179.0869962024689</v>
      </c>
      <c r="E17" s="8">
        <f t="shared" si="0"/>
        <v>10502.573439655876</v>
      </c>
      <c r="F17" s="21">
        <f t="shared" si="1"/>
        <v>7.1909216722616312E-2</v>
      </c>
      <c r="H17" s="389">
        <v>6</v>
      </c>
      <c r="I17" s="479">
        <v>17650</v>
      </c>
      <c r="J17" s="569">
        <v>2329</v>
      </c>
      <c r="K17" s="659">
        <v>1508</v>
      </c>
      <c r="L17">
        <f t="shared" si="2"/>
        <v>21487</v>
      </c>
      <c r="M17" s="21">
        <f t="shared" si="3"/>
        <v>3.7746820321832616E-2</v>
      </c>
    </row>
    <row r="18" spans="1:13" x14ac:dyDescent="0.25">
      <c r="A18">
        <v>7</v>
      </c>
      <c r="B18" s="8">
        <v>9356.6896986797328</v>
      </c>
      <c r="C18" s="8">
        <v>383.89626187019348</v>
      </c>
      <c r="D18" s="8">
        <v>182.86439943904881</v>
      </c>
      <c r="E18" s="8">
        <f t="shared" si="0"/>
        <v>9923.4503599889758</v>
      </c>
      <c r="F18" s="21">
        <f t="shared" si="1"/>
        <v>6.7944065963699007E-2</v>
      </c>
      <c r="H18" s="390">
        <v>7</v>
      </c>
      <c r="I18" s="480">
        <v>14719</v>
      </c>
      <c r="J18" s="570">
        <v>1960</v>
      </c>
      <c r="K18" s="660">
        <v>1258</v>
      </c>
      <c r="L18">
        <f t="shared" si="2"/>
        <v>17937</v>
      </c>
      <c r="M18" s="21">
        <f t="shared" si="3"/>
        <v>3.1510434965919473E-2</v>
      </c>
    </row>
    <row r="19" spans="1:13" x14ac:dyDescent="0.25">
      <c r="A19">
        <v>8</v>
      </c>
      <c r="B19" s="8">
        <v>8503.819489149857</v>
      </c>
      <c r="C19" s="8">
        <v>404.83679708995817</v>
      </c>
      <c r="D19" s="8">
        <v>219.9852923995972</v>
      </c>
      <c r="E19" s="8">
        <f t="shared" si="0"/>
        <v>9128.6415786394118</v>
      </c>
      <c r="F19" s="21">
        <f t="shared" si="1"/>
        <v>6.2502154298954005E-2</v>
      </c>
      <c r="H19" s="391">
        <v>8</v>
      </c>
      <c r="I19" s="481">
        <v>12924</v>
      </c>
      <c r="J19" s="571">
        <v>1697</v>
      </c>
      <c r="K19" s="661">
        <v>1208</v>
      </c>
      <c r="L19">
        <f t="shared" si="2"/>
        <v>15829</v>
      </c>
      <c r="M19" s="21">
        <f t="shared" si="3"/>
        <v>2.7807251774295553E-2</v>
      </c>
    </row>
    <row r="20" spans="1:13" x14ac:dyDescent="0.25">
      <c r="A20">
        <v>9</v>
      </c>
      <c r="B20" s="8">
        <v>7686.3008246943482</v>
      </c>
      <c r="C20" s="8">
        <v>397.71875390882485</v>
      </c>
      <c r="D20" s="8">
        <v>295.39321191272739</v>
      </c>
      <c r="E20" s="8">
        <f t="shared" si="0"/>
        <v>8379.4127905159003</v>
      </c>
      <c r="F20" s="21">
        <f t="shared" si="1"/>
        <v>5.7372320586335658E-2</v>
      </c>
      <c r="H20" s="392">
        <v>9</v>
      </c>
      <c r="I20" s="482">
        <v>10436</v>
      </c>
      <c r="J20" s="572">
        <v>1425</v>
      </c>
      <c r="K20" s="662">
        <v>887</v>
      </c>
      <c r="L20">
        <f t="shared" si="2"/>
        <v>12748</v>
      </c>
      <c r="M20" s="21">
        <f t="shared" si="3"/>
        <v>2.2394771976670648E-2</v>
      </c>
    </row>
    <row r="21" spans="1:13" x14ac:dyDescent="0.25">
      <c r="A21">
        <v>10</v>
      </c>
      <c r="B21" s="8">
        <v>6975.9115402564057</v>
      </c>
      <c r="C21" s="8">
        <v>365.70646645488733</v>
      </c>
      <c r="D21" s="8">
        <v>386.34555870275494</v>
      </c>
      <c r="E21" s="8">
        <f t="shared" si="0"/>
        <v>7727.9635654140475</v>
      </c>
      <c r="F21" s="21">
        <f t="shared" si="1"/>
        <v>5.2911965818926911E-2</v>
      </c>
      <c r="H21" s="393">
        <v>10</v>
      </c>
      <c r="I21" s="483">
        <v>8854</v>
      </c>
      <c r="J21" s="573">
        <v>1214</v>
      </c>
      <c r="K21" s="663">
        <v>739</v>
      </c>
      <c r="L21">
        <f t="shared" si="2"/>
        <v>10807</v>
      </c>
      <c r="M21" s="21">
        <f t="shared" si="3"/>
        <v>1.8984962406015039E-2</v>
      </c>
    </row>
    <row r="22" spans="1:13" x14ac:dyDescent="0.25">
      <c r="A22">
        <v>11</v>
      </c>
      <c r="B22" s="8">
        <v>6289.5069344845779</v>
      </c>
      <c r="C22" s="8">
        <v>318.18394330739977</v>
      </c>
      <c r="D22" s="8">
        <v>450.13010097293852</v>
      </c>
      <c r="E22" s="8">
        <f t="shared" si="0"/>
        <v>7057.8209787649166</v>
      </c>
      <c r="F22" s="21">
        <f t="shared" si="1"/>
        <v>4.8323620993224271E-2</v>
      </c>
      <c r="H22" s="394">
        <v>11</v>
      </c>
      <c r="I22" s="484">
        <v>7744</v>
      </c>
      <c r="J22" s="574">
        <v>1089</v>
      </c>
      <c r="K22" s="664">
        <v>683</v>
      </c>
      <c r="L22">
        <f t="shared" si="2"/>
        <v>9516</v>
      </c>
      <c r="M22" s="21">
        <f t="shared" si="3"/>
        <v>1.6717026210385778E-2</v>
      </c>
    </row>
    <row r="23" spans="1:13" x14ac:dyDescent="0.25">
      <c r="A23">
        <v>12</v>
      </c>
      <c r="B23" s="8">
        <v>5528.4066275696759</v>
      </c>
      <c r="C23" s="8">
        <v>265.36656123867033</v>
      </c>
      <c r="D23" s="8">
        <v>449.92962169389716</v>
      </c>
      <c r="E23" s="8">
        <f t="shared" si="0"/>
        <v>6243.7028105022437</v>
      </c>
      <c r="F23" s="21">
        <f t="shared" si="1"/>
        <v>4.2749501456161729E-2</v>
      </c>
      <c r="H23" s="395">
        <v>12</v>
      </c>
      <c r="I23" s="485">
        <v>6634</v>
      </c>
      <c r="J23" s="575">
        <v>874</v>
      </c>
      <c r="K23" s="665">
        <v>560</v>
      </c>
      <c r="L23">
        <f t="shared" si="2"/>
        <v>8068</v>
      </c>
      <c r="M23" s="21">
        <f t="shared" si="3"/>
        <v>1.4173283676480922E-2</v>
      </c>
    </row>
    <row r="24" spans="1:13" x14ac:dyDescent="0.25">
      <c r="A24">
        <v>13</v>
      </c>
      <c r="B24" s="8">
        <v>4676.1237718463899</v>
      </c>
      <c r="C24" s="8">
        <v>214.10729732141493</v>
      </c>
      <c r="D24" s="8">
        <v>379.98857972469324</v>
      </c>
      <c r="E24" s="8">
        <f t="shared" si="0"/>
        <v>5270.2196488924983</v>
      </c>
      <c r="F24" s="21">
        <f t="shared" si="1"/>
        <v>3.6084238694970641E-2</v>
      </c>
      <c r="H24" s="396">
        <v>13</v>
      </c>
      <c r="I24" s="486">
        <v>5547</v>
      </c>
      <c r="J24" s="576">
        <v>728</v>
      </c>
      <c r="K24" s="666">
        <v>485</v>
      </c>
      <c r="L24">
        <f t="shared" si="2"/>
        <v>6760</v>
      </c>
      <c r="M24" s="21">
        <f t="shared" si="3"/>
        <v>1.187548310027405E-2</v>
      </c>
    </row>
    <row r="25" spans="1:13" x14ac:dyDescent="0.25">
      <c r="A25">
        <v>14</v>
      </c>
      <c r="B25" s="8">
        <v>3794.3773743777278</v>
      </c>
      <c r="C25" s="8">
        <v>167.02978746232986</v>
      </c>
      <c r="D25" s="8">
        <v>268.83415268106455</v>
      </c>
      <c r="E25" s="8">
        <f t="shared" si="0"/>
        <v>4230.2413145211221</v>
      </c>
      <c r="F25" s="21">
        <f t="shared" si="1"/>
        <v>2.8963695538303396E-2</v>
      </c>
      <c r="H25" s="397">
        <v>14</v>
      </c>
      <c r="I25" s="487">
        <v>4210</v>
      </c>
      <c r="J25" s="577">
        <v>604</v>
      </c>
      <c r="K25" s="667">
        <v>414</v>
      </c>
      <c r="L25">
        <f t="shared" si="2"/>
        <v>5228</v>
      </c>
      <c r="M25" s="21">
        <f t="shared" si="3"/>
        <v>9.184175391750404E-3</v>
      </c>
    </row>
    <row r="26" spans="1:13" x14ac:dyDescent="0.25">
      <c r="A26">
        <v>15</v>
      </c>
      <c r="B26" s="8">
        <v>2966.8267278501512</v>
      </c>
      <c r="C26" s="8">
        <v>124.68538766345978</v>
      </c>
      <c r="D26" s="8">
        <v>158.4446775823593</v>
      </c>
      <c r="E26" s="8">
        <f t="shared" si="0"/>
        <v>3249.9567930959706</v>
      </c>
      <c r="F26" s="21">
        <f t="shared" si="1"/>
        <v>2.225186509922035E-2</v>
      </c>
      <c r="H26" s="398">
        <v>15</v>
      </c>
      <c r="I26" s="488">
        <v>3721</v>
      </c>
      <c r="J26" s="578">
        <v>485</v>
      </c>
      <c r="K26" s="668">
        <v>398</v>
      </c>
      <c r="L26">
        <f t="shared" si="2"/>
        <v>4604</v>
      </c>
      <c r="M26" s="21">
        <f t="shared" si="3"/>
        <v>8.0879769517251069E-3</v>
      </c>
    </row>
    <row r="27" spans="1:13" x14ac:dyDescent="0.25">
      <c r="A27">
        <v>16</v>
      </c>
      <c r="B27" s="8">
        <v>2256.7085290977475</v>
      </c>
      <c r="C27" s="8">
        <v>88.088056227397914</v>
      </c>
      <c r="D27" s="8">
        <v>78.738256778430951</v>
      </c>
      <c r="E27" s="8">
        <f t="shared" si="0"/>
        <v>2423.5348421035765</v>
      </c>
      <c r="F27" s="21">
        <f t="shared" si="1"/>
        <v>1.6593503791899975E-2</v>
      </c>
      <c r="H27" s="399">
        <v>16</v>
      </c>
      <c r="I27" s="489">
        <v>3449</v>
      </c>
      <c r="J27" s="579">
        <v>480</v>
      </c>
      <c r="K27" s="669">
        <v>317</v>
      </c>
      <c r="L27">
        <f t="shared" si="2"/>
        <v>4246</v>
      </c>
      <c r="M27" s="21">
        <f t="shared" si="3"/>
        <v>7.4590682313259785E-3</v>
      </c>
    </row>
    <row r="28" spans="1:13" x14ac:dyDescent="0.25">
      <c r="A28">
        <v>17</v>
      </c>
      <c r="B28" s="8">
        <v>1694.415990316963</v>
      </c>
      <c r="C28" s="8">
        <v>59.032000252342229</v>
      </c>
      <c r="D28" s="8">
        <v>37.227821902656558</v>
      </c>
      <c r="E28" s="8">
        <f t="shared" si="0"/>
        <v>1790.6758124719618</v>
      </c>
      <c r="F28" s="21">
        <f t="shared" si="1"/>
        <v>1.2260432723354748E-2</v>
      </c>
      <c r="H28" s="400">
        <v>17</v>
      </c>
      <c r="I28" s="490">
        <v>2998</v>
      </c>
      <c r="J28" s="580">
        <v>464</v>
      </c>
      <c r="K28" s="670">
        <v>268</v>
      </c>
      <c r="L28">
        <f t="shared" si="2"/>
        <v>3730</v>
      </c>
      <c r="M28" s="21">
        <f t="shared" si="3"/>
        <v>6.5525964443819834E-3</v>
      </c>
    </row>
    <row r="29" spans="1:13" x14ac:dyDescent="0.25">
      <c r="A29">
        <v>18</v>
      </c>
      <c r="B29" s="8">
        <v>1280.0881522272109</v>
      </c>
      <c r="C29" s="8">
        <v>38.416747217941285</v>
      </c>
      <c r="D29" s="8">
        <v>25.519276437282564</v>
      </c>
      <c r="E29" s="8">
        <f t="shared" si="0"/>
        <v>1344.0241758824347</v>
      </c>
      <c r="F29" s="21">
        <f t="shared" si="1"/>
        <v>9.2022899243951878E-3</v>
      </c>
      <c r="H29" s="401">
        <v>18</v>
      </c>
      <c r="I29" s="491">
        <v>28323</v>
      </c>
      <c r="J29" s="581">
        <v>4647</v>
      </c>
      <c r="K29" s="671">
        <v>2948</v>
      </c>
      <c r="L29">
        <f t="shared" si="2"/>
        <v>35918</v>
      </c>
      <c r="M29" s="21">
        <f t="shared" si="3"/>
        <v>6.3098165975686876E-2</v>
      </c>
    </row>
    <row r="30" spans="1:13" x14ac:dyDescent="0.25">
      <c r="A30">
        <v>19</v>
      </c>
      <c r="B30" s="8">
        <v>993.66913712282178</v>
      </c>
      <c r="C30" s="8">
        <v>25.048311141490935</v>
      </c>
      <c r="D30" s="8">
        <v>30.450453483581544</v>
      </c>
      <c r="E30" s="8">
        <f t="shared" si="0"/>
        <v>1049.1679017478941</v>
      </c>
      <c r="F30" s="21">
        <f t="shared" si="1"/>
        <v>7.1834624588613142E-3</v>
      </c>
      <c r="H30" s="402">
        <v>19</v>
      </c>
      <c r="I30" s="492">
        <v>14860</v>
      </c>
      <c r="J30" s="582">
        <v>1778</v>
      </c>
      <c r="K30" s="672">
        <v>1266</v>
      </c>
      <c r="L30">
        <f t="shared" si="2"/>
        <v>17904</v>
      </c>
      <c r="M30" s="21">
        <f t="shared" si="3"/>
        <v>3.1452462933033519E-2</v>
      </c>
    </row>
    <row r="31" spans="1:13" x14ac:dyDescent="0.25">
      <c r="A31">
        <v>20</v>
      </c>
      <c r="B31" s="8">
        <v>810.69776395282747</v>
      </c>
      <c r="C31" s="8">
        <v>16.408442335033417</v>
      </c>
      <c r="D31" s="8">
        <v>40.394106810379029</v>
      </c>
      <c r="E31" s="8">
        <f t="shared" si="0"/>
        <v>867.50031309823999</v>
      </c>
      <c r="F31" s="21">
        <f t="shared" si="1"/>
        <v>5.9396174070993025E-3</v>
      </c>
      <c r="H31" s="403">
        <v>20</v>
      </c>
      <c r="I31" s="493">
        <v>16246</v>
      </c>
      <c r="J31" s="583">
        <v>2175</v>
      </c>
      <c r="K31" s="673">
        <v>1545</v>
      </c>
      <c r="L31">
        <f t="shared" si="2"/>
        <v>19966</v>
      </c>
      <c r="M31" s="21">
        <f t="shared" si="3"/>
        <v>3.5074836624270959E-2</v>
      </c>
    </row>
    <row r="32" spans="1:13" x14ac:dyDescent="0.25">
      <c r="A32">
        <v>21</v>
      </c>
      <c r="B32" s="8">
        <v>712.91415632028588</v>
      </c>
      <c r="C32" s="8">
        <v>10.383581676578522</v>
      </c>
      <c r="D32" s="8">
        <v>46.946174619865417</v>
      </c>
      <c r="E32" s="8">
        <f t="shared" si="0"/>
        <v>770.24391261672986</v>
      </c>
      <c r="F32" s="21">
        <f t="shared" si="1"/>
        <v>5.2737204609775313E-3</v>
      </c>
      <c r="H32" s="404">
        <v>21</v>
      </c>
      <c r="I32" s="494">
        <v>16970</v>
      </c>
      <c r="J32" s="584">
        <v>2341</v>
      </c>
      <c r="K32" s="674">
        <v>1509</v>
      </c>
      <c r="L32">
        <f t="shared" si="2"/>
        <v>20820</v>
      </c>
      <c r="M32" s="21">
        <f t="shared" si="3"/>
        <v>3.6575082566228656E-2</v>
      </c>
    </row>
    <row r="33" spans="1:13" x14ac:dyDescent="0.25">
      <c r="A33">
        <v>22</v>
      </c>
      <c r="B33" s="8">
        <v>684.1835560886384</v>
      </c>
      <c r="C33" s="8">
        <v>6.1834485857963566</v>
      </c>
      <c r="D33" s="8">
        <v>45.753534121608737</v>
      </c>
      <c r="E33" s="8">
        <f t="shared" si="0"/>
        <v>736.12053879604343</v>
      </c>
      <c r="F33" s="21">
        <f t="shared" si="1"/>
        <v>5.0400839053774031E-3</v>
      </c>
      <c r="H33" s="405">
        <v>22</v>
      </c>
      <c r="I33" s="495">
        <v>13378</v>
      </c>
      <c r="J33" s="585">
        <v>1798</v>
      </c>
      <c r="K33" s="675">
        <v>1177</v>
      </c>
      <c r="L33">
        <f t="shared" si="2"/>
        <v>16353</v>
      </c>
      <c r="M33" s="21">
        <f t="shared" si="3"/>
        <v>2.8727777387393717E-2</v>
      </c>
    </row>
    <row r="34" spans="1:13" x14ac:dyDescent="0.25">
      <c r="A34">
        <v>23</v>
      </c>
      <c r="B34" s="8">
        <v>700.43637314720161</v>
      </c>
      <c r="C34" s="8">
        <v>4.0451589718818663</v>
      </c>
      <c r="D34" s="8">
        <v>37.160118446350097</v>
      </c>
      <c r="E34" s="8">
        <f t="shared" si="0"/>
        <v>741.64165056543357</v>
      </c>
      <c r="F34" s="21">
        <f t="shared" si="1"/>
        <v>5.0778859569465722E-3</v>
      </c>
      <c r="H34" s="406">
        <v>23</v>
      </c>
      <c r="I34" s="496">
        <v>12216</v>
      </c>
      <c r="J34" s="586">
        <v>1620</v>
      </c>
      <c r="K34" s="676">
        <v>1113</v>
      </c>
      <c r="L34">
        <f t="shared" si="2"/>
        <v>14949</v>
      </c>
      <c r="M34" s="21">
        <f t="shared" si="3"/>
        <v>2.6261330897336801E-2</v>
      </c>
    </row>
    <row r="35" spans="1:13" x14ac:dyDescent="0.25">
      <c r="A35">
        <v>24</v>
      </c>
      <c r="B35" s="8">
        <v>730.10308002986903</v>
      </c>
      <c r="C35" s="8">
        <v>4.5409920242309569</v>
      </c>
      <c r="D35" s="8">
        <v>25.057188225746156</v>
      </c>
      <c r="E35" s="8">
        <f t="shared" si="0"/>
        <v>759.70126027984611</v>
      </c>
      <c r="F35" s="21">
        <f t="shared" si="1"/>
        <v>5.2015368313099997E-3</v>
      </c>
      <c r="H35" s="407">
        <v>24</v>
      </c>
      <c r="I35" s="497">
        <v>10012</v>
      </c>
      <c r="J35" s="587">
        <v>1236</v>
      </c>
      <c r="K35" s="677">
        <v>991</v>
      </c>
      <c r="L35">
        <f t="shared" si="2"/>
        <v>12239</v>
      </c>
      <c r="M35" s="21">
        <f t="shared" si="3"/>
        <v>2.1500597287611552E-2</v>
      </c>
    </row>
    <row r="36" spans="1:13" x14ac:dyDescent="0.25">
      <c r="A36">
        <v>25</v>
      </c>
      <c r="B36" s="8">
        <v>746.47010027141573</v>
      </c>
      <c r="C36" s="8">
        <v>8.0388278172492971</v>
      </c>
      <c r="D36" s="8">
        <v>13.936080345153808</v>
      </c>
      <c r="E36" s="8">
        <f t="shared" si="0"/>
        <v>768.44500843381877</v>
      </c>
      <c r="F36" s="21">
        <f t="shared" si="1"/>
        <v>5.2614036900931931E-3</v>
      </c>
      <c r="H36" s="408">
        <v>25</v>
      </c>
      <c r="I36" s="498">
        <v>9813</v>
      </c>
      <c r="J36" s="588">
        <v>1289</v>
      </c>
      <c r="K36" s="678">
        <v>946</v>
      </c>
      <c r="L36">
        <f t="shared" si="2"/>
        <v>12048</v>
      </c>
      <c r="M36" s="21">
        <f t="shared" si="3"/>
        <v>2.1165062188180733E-2</v>
      </c>
    </row>
    <row r="37" spans="1:13" x14ac:dyDescent="0.25">
      <c r="A37">
        <v>26</v>
      </c>
      <c r="B37" s="8">
        <v>738.18293398914341</v>
      </c>
      <c r="C37" s="8">
        <v>14.154934834480285</v>
      </c>
      <c r="D37" s="8">
        <v>6.3250914619445799</v>
      </c>
      <c r="E37" s="8">
        <f t="shared" si="0"/>
        <v>758.66296028556826</v>
      </c>
      <c r="F37" s="21">
        <f t="shared" si="1"/>
        <v>5.1944277794437497E-3</v>
      </c>
      <c r="H37" s="409">
        <v>26</v>
      </c>
      <c r="I37" s="499">
        <v>6737</v>
      </c>
      <c r="J37" s="589">
        <v>747</v>
      </c>
      <c r="K37" s="679">
        <v>519</v>
      </c>
      <c r="L37">
        <f t="shared" si="2"/>
        <v>8003</v>
      </c>
      <c r="M37" s="21">
        <f t="shared" si="3"/>
        <v>1.4059096338978287E-2</v>
      </c>
    </row>
    <row r="38" spans="1:13" x14ac:dyDescent="0.25">
      <c r="A38">
        <v>27</v>
      </c>
      <c r="B38" s="8">
        <v>708.36566113958361</v>
      </c>
      <c r="C38" s="8">
        <v>21.244363149642943</v>
      </c>
      <c r="D38" s="8">
        <v>2.3050045360565186</v>
      </c>
      <c r="E38" s="8">
        <f t="shared" si="0"/>
        <v>731.91502882528312</v>
      </c>
      <c r="F38" s="21">
        <f t="shared" si="1"/>
        <v>5.011289540867209E-3</v>
      </c>
      <c r="H38" s="410">
        <v>27</v>
      </c>
      <c r="I38" s="500">
        <v>6588</v>
      </c>
      <c r="J38" s="590">
        <v>845</v>
      </c>
      <c r="K38" s="680">
        <v>571</v>
      </c>
      <c r="L38">
        <f t="shared" si="2"/>
        <v>8004</v>
      </c>
      <c r="M38" s="21">
        <f t="shared" si="3"/>
        <v>1.4060853067247558E-2</v>
      </c>
    </row>
    <row r="39" spans="1:13" x14ac:dyDescent="0.25">
      <c r="A39">
        <v>28</v>
      </c>
      <c r="B39" s="8">
        <v>665.80134959058762</v>
      </c>
      <c r="C39" s="8">
        <v>26.657292024230955</v>
      </c>
      <c r="D39" s="8">
        <v>0.65826463937759405</v>
      </c>
      <c r="E39" s="8">
        <f t="shared" si="0"/>
        <v>693.11690625419624</v>
      </c>
      <c r="F39" s="21">
        <f t="shared" si="1"/>
        <v>4.7456458278834386E-3</v>
      </c>
      <c r="H39" s="411">
        <v>28</v>
      </c>
      <c r="I39" s="501">
        <v>12522</v>
      </c>
      <c r="J39" s="591">
        <v>1076</v>
      </c>
      <c r="K39" s="681">
        <v>652</v>
      </c>
      <c r="L39">
        <f t="shared" si="2"/>
        <v>14250</v>
      </c>
      <c r="M39" s="21">
        <f t="shared" si="3"/>
        <v>2.5033377837116153E-2</v>
      </c>
    </row>
    <row r="40" spans="1:13" x14ac:dyDescent="0.25">
      <c r="A40">
        <v>29</v>
      </c>
      <c r="B40" s="8">
        <v>615.92843178253167</v>
      </c>
      <c r="C40" s="8">
        <v>28.207490917873383</v>
      </c>
      <c r="D40" s="8">
        <v>0.14190817070007325</v>
      </c>
      <c r="E40" s="8">
        <f t="shared" si="0"/>
        <v>644.27783087110515</v>
      </c>
      <c r="F40" s="21">
        <f t="shared" si="1"/>
        <v>4.4112535309446454E-3</v>
      </c>
      <c r="H40" s="412">
        <v>29</v>
      </c>
      <c r="I40" s="502">
        <v>8280</v>
      </c>
      <c r="J40" s="592">
        <v>949</v>
      </c>
      <c r="K40" s="682">
        <v>660</v>
      </c>
      <c r="L40">
        <f t="shared" si="2"/>
        <v>9889</v>
      </c>
      <c r="M40" s="21">
        <f t="shared" si="3"/>
        <v>1.7372285854823977E-2</v>
      </c>
    </row>
    <row r="41" spans="1:13" x14ac:dyDescent="0.25">
      <c r="A41">
        <v>30</v>
      </c>
      <c r="B41" s="8">
        <v>556.70028119907374</v>
      </c>
      <c r="C41" s="8">
        <v>25.917283737373353</v>
      </c>
      <c r="D41" s="8">
        <v>2.1716101646423343E-2</v>
      </c>
      <c r="E41" s="8">
        <f t="shared" si="0"/>
        <v>582.6392810380936</v>
      </c>
      <c r="F41" s="21">
        <f t="shared" si="1"/>
        <v>3.9892255523852269E-3</v>
      </c>
      <c r="H41" s="413">
        <v>30</v>
      </c>
      <c r="I41" s="503">
        <v>5000</v>
      </c>
      <c r="J41" s="593">
        <v>582</v>
      </c>
      <c r="K41" s="683">
        <v>355</v>
      </c>
      <c r="L41">
        <f t="shared" si="2"/>
        <v>5937</v>
      </c>
      <c r="M41" s="21">
        <f t="shared" si="3"/>
        <v>1.0429695734663761E-2</v>
      </c>
    </row>
    <row r="42" spans="1:13" x14ac:dyDescent="0.25">
      <c r="A42">
        <v>31</v>
      </c>
      <c r="B42" s="8">
        <v>482.48702108621598</v>
      </c>
      <c r="C42" s="8">
        <v>22.296953255653385</v>
      </c>
      <c r="D42" s="8">
        <v>2.1025650024414063E-3</v>
      </c>
      <c r="E42" s="8">
        <f t="shared" si="0"/>
        <v>504.78607690687176</v>
      </c>
      <c r="F42" s="21">
        <f t="shared" si="1"/>
        <v>3.4561787747941571E-3</v>
      </c>
      <c r="H42" s="414">
        <v>31</v>
      </c>
      <c r="I42" s="504">
        <v>5612</v>
      </c>
      <c r="J42" s="594">
        <v>577</v>
      </c>
      <c r="K42" s="684">
        <v>402</v>
      </c>
      <c r="L42">
        <f t="shared" si="2"/>
        <v>6591</v>
      </c>
      <c r="M42" s="21">
        <f t="shared" si="3"/>
        <v>1.1578596022767198E-2</v>
      </c>
    </row>
    <row r="43" spans="1:13" x14ac:dyDescent="0.25">
      <c r="A43">
        <v>32</v>
      </c>
      <c r="B43" s="8">
        <v>394.92340314140324</v>
      </c>
      <c r="C43" s="8">
        <v>20.524676651000981</v>
      </c>
      <c r="D43" s="8">
        <v>9.6834278106689453E-5</v>
      </c>
      <c r="E43" s="8">
        <f t="shared" si="0"/>
        <v>415.44817662668231</v>
      </c>
      <c r="F43" s="21">
        <f t="shared" si="1"/>
        <v>2.8444983643021054E-3</v>
      </c>
      <c r="H43" s="415">
        <v>32</v>
      </c>
      <c r="I43" s="505">
        <v>3841</v>
      </c>
      <c r="J43" s="595">
        <v>439</v>
      </c>
      <c r="K43" s="685">
        <v>309</v>
      </c>
      <c r="L43">
        <f t="shared" si="2"/>
        <v>4589</v>
      </c>
      <c r="M43" s="21">
        <f t="shared" si="3"/>
        <v>8.061626027686038E-3</v>
      </c>
    </row>
    <row r="44" spans="1:13" x14ac:dyDescent="0.25">
      <c r="A44">
        <v>33</v>
      </c>
      <c r="B44" s="8">
        <v>311.16419510393143</v>
      </c>
      <c r="C44" s="8">
        <v>22.001587368392947</v>
      </c>
      <c r="D44" s="8">
        <v>0</v>
      </c>
      <c r="E44" s="8">
        <f t="shared" si="0"/>
        <v>333.16578247232439</v>
      </c>
      <c r="F44" s="21">
        <f t="shared" si="1"/>
        <v>2.2811257254248159E-3</v>
      </c>
      <c r="H44" s="416">
        <v>33</v>
      </c>
      <c r="I44" s="506">
        <v>5018</v>
      </c>
      <c r="J44" s="596">
        <v>559</v>
      </c>
      <c r="K44" s="686">
        <v>393</v>
      </c>
      <c r="L44">
        <f t="shared" si="2"/>
        <v>5970</v>
      </c>
      <c r="M44" s="21">
        <f t="shared" si="3"/>
        <v>1.0487667767549716E-2</v>
      </c>
    </row>
    <row r="45" spans="1:13" x14ac:dyDescent="0.25">
      <c r="A45">
        <v>34</v>
      </c>
      <c r="B45" s="8">
        <v>258.70326528806686</v>
      </c>
      <c r="C45" s="8">
        <v>25.598312875652319</v>
      </c>
      <c r="D45" s="8">
        <v>0</v>
      </c>
      <c r="E45" s="8">
        <f t="shared" si="0"/>
        <v>284.30157816371917</v>
      </c>
      <c r="F45" s="21">
        <f t="shared" si="1"/>
        <v>1.9465613752877103E-3</v>
      </c>
      <c r="H45" s="417">
        <v>34</v>
      </c>
      <c r="I45" s="507">
        <v>3313</v>
      </c>
      <c r="J45" s="597">
        <v>298</v>
      </c>
      <c r="K45" s="687">
        <v>295</v>
      </c>
      <c r="L45">
        <f t="shared" si="2"/>
        <v>3906</v>
      </c>
      <c r="M45" s="21">
        <f t="shared" si="3"/>
        <v>6.8617806197737337E-3</v>
      </c>
    </row>
    <row r="46" spans="1:13" x14ac:dyDescent="0.25">
      <c r="A46">
        <v>35</v>
      </c>
      <c r="B46" s="8">
        <v>257.88008842248917</v>
      </c>
      <c r="C46" s="8">
        <v>29.368836953449254</v>
      </c>
      <c r="D46" s="8">
        <v>0</v>
      </c>
      <c r="E46" s="8">
        <f t="shared" si="0"/>
        <v>287.24892537593843</v>
      </c>
      <c r="F46" s="21">
        <f t="shared" si="1"/>
        <v>1.96674132743544E-3</v>
      </c>
      <c r="H46" s="418">
        <v>35</v>
      </c>
      <c r="I46" s="508">
        <v>3471</v>
      </c>
      <c r="J46" s="598">
        <v>341</v>
      </c>
      <c r="K46" s="688">
        <v>252</v>
      </c>
      <c r="L46">
        <f t="shared" si="2"/>
        <v>4064</v>
      </c>
      <c r="M46" s="21">
        <f t="shared" si="3"/>
        <v>7.1393436863186003E-3</v>
      </c>
    </row>
    <row r="47" spans="1:13" x14ac:dyDescent="0.25">
      <c r="A47">
        <v>36</v>
      </c>
      <c r="B47" s="8">
        <v>305.54941030883782</v>
      </c>
      <c r="C47" s="8">
        <v>32.901543856620791</v>
      </c>
      <c r="D47" s="8">
        <v>0</v>
      </c>
      <c r="E47" s="8">
        <f t="shared" si="0"/>
        <v>338.4509541654586</v>
      </c>
      <c r="F47" s="21">
        <f t="shared" si="1"/>
        <v>2.3173123380566128E-3</v>
      </c>
      <c r="H47" s="419">
        <v>36</v>
      </c>
      <c r="I47" s="509">
        <v>3959</v>
      </c>
      <c r="J47" s="599">
        <v>447</v>
      </c>
      <c r="K47" s="689">
        <v>269</v>
      </c>
      <c r="L47">
        <f t="shared" si="2"/>
        <v>4675</v>
      </c>
      <c r="M47" s="21">
        <f t="shared" si="3"/>
        <v>8.21270465884337E-3</v>
      </c>
    </row>
    <row r="48" spans="1:13" x14ac:dyDescent="0.25">
      <c r="A48">
        <v>37</v>
      </c>
      <c r="B48" s="8">
        <v>372.73530317144389</v>
      </c>
      <c r="C48" s="8">
        <v>37.550783202171331</v>
      </c>
      <c r="D48" s="8">
        <v>0</v>
      </c>
      <c r="E48" s="8">
        <f t="shared" si="0"/>
        <v>410.28608637361521</v>
      </c>
      <c r="F48" s="21">
        <f t="shared" si="1"/>
        <v>2.8091544679816173E-3</v>
      </c>
      <c r="H48" s="420">
        <v>37</v>
      </c>
      <c r="I48" s="510">
        <v>2511</v>
      </c>
      <c r="J48" s="600">
        <v>240</v>
      </c>
      <c r="K48" s="690">
        <v>200</v>
      </c>
      <c r="L48">
        <f t="shared" si="2"/>
        <v>2951</v>
      </c>
      <c r="M48" s="21">
        <f t="shared" si="3"/>
        <v>5.1841051226196328E-3</v>
      </c>
    </row>
    <row r="49" spans="1:13" x14ac:dyDescent="0.25">
      <c r="A49">
        <v>38</v>
      </c>
      <c r="B49" s="8">
        <v>418.83885970201493</v>
      </c>
      <c r="C49" s="8">
        <v>44.019734038448334</v>
      </c>
      <c r="D49" s="8">
        <v>0</v>
      </c>
      <c r="E49" s="8">
        <f t="shared" si="0"/>
        <v>462.85859374046328</v>
      </c>
      <c r="F49" s="21">
        <f t="shared" si="1"/>
        <v>3.1691088970189534E-3</v>
      </c>
      <c r="H49" s="421">
        <v>38</v>
      </c>
      <c r="I49" s="511">
        <v>2200</v>
      </c>
      <c r="J49" s="601">
        <v>236</v>
      </c>
      <c r="K49" s="691">
        <v>158</v>
      </c>
      <c r="L49">
        <f t="shared" si="2"/>
        <v>2594</v>
      </c>
      <c r="M49" s="21">
        <f t="shared" si="3"/>
        <v>4.556953130489776E-3</v>
      </c>
    </row>
    <row r="50" spans="1:13" x14ac:dyDescent="0.25">
      <c r="A50">
        <v>39</v>
      </c>
      <c r="B50" s="8">
        <v>414.70583294801708</v>
      </c>
      <c r="C50" s="8">
        <v>50.071655744647991</v>
      </c>
      <c r="D50" s="8">
        <v>0</v>
      </c>
      <c r="E50" s="8">
        <f t="shared" si="0"/>
        <v>464.77748869266509</v>
      </c>
      <c r="F50" s="21">
        <f t="shared" si="1"/>
        <v>3.1822472229519863E-3</v>
      </c>
      <c r="H50" s="422">
        <v>39</v>
      </c>
      <c r="I50" s="512">
        <v>1845</v>
      </c>
      <c r="J50" s="602">
        <v>207</v>
      </c>
      <c r="K50" s="692">
        <v>171</v>
      </c>
      <c r="L50">
        <f t="shared" si="2"/>
        <v>2223</v>
      </c>
      <c r="M50" s="21">
        <f t="shared" si="3"/>
        <v>3.9052069425901201E-3</v>
      </c>
    </row>
    <row r="51" spans="1:13" x14ac:dyDescent="0.25">
      <c r="A51">
        <v>40</v>
      </c>
      <c r="B51" s="8">
        <v>360.46181591529842</v>
      </c>
      <c r="C51" s="8">
        <v>51.45893751068116</v>
      </c>
      <c r="D51" s="8">
        <v>0</v>
      </c>
      <c r="E51" s="8">
        <f t="shared" si="0"/>
        <v>411.92075342597957</v>
      </c>
      <c r="F51" s="21">
        <f t="shared" si="1"/>
        <v>2.8203467370015081E-3</v>
      </c>
      <c r="H51" s="423">
        <v>40</v>
      </c>
      <c r="I51" s="513">
        <v>1808</v>
      </c>
      <c r="J51" s="603">
        <v>161</v>
      </c>
      <c r="K51" s="693">
        <v>118</v>
      </c>
      <c r="L51">
        <f t="shared" si="2"/>
        <v>2087</v>
      </c>
      <c r="M51" s="21">
        <f t="shared" si="3"/>
        <v>3.6662918979692223E-3</v>
      </c>
    </row>
    <row r="52" spans="1:13" x14ac:dyDescent="0.25">
      <c r="A52">
        <v>41</v>
      </c>
      <c r="B52" s="8">
        <v>284.92266029376981</v>
      </c>
      <c r="C52" s="8">
        <v>45.546841526985176</v>
      </c>
      <c r="D52" s="8">
        <v>0</v>
      </c>
      <c r="E52" s="8">
        <f t="shared" si="0"/>
        <v>330.469501820755</v>
      </c>
      <c r="F52" s="21">
        <f t="shared" si="1"/>
        <v>2.2626647805113896E-3</v>
      </c>
      <c r="H52" s="424">
        <v>41</v>
      </c>
      <c r="I52" s="514">
        <v>1914</v>
      </c>
      <c r="J52" s="604">
        <v>157</v>
      </c>
      <c r="K52" s="694">
        <v>133</v>
      </c>
      <c r="L52">
        <f t="shared" si="2"/>
        <v>2204</v>
      </c>
      <c r="M52" s="21">
        <f t="shared" si="3"/>
        <v>3.8718291054739653E-3</v>
      </c>
    </row>
    <row r="53" spans="1:13" x14ac:dyDescent="0.25">
      <c r="A53">
        <v>42</v>
      </c>
      <c r="B53" s="8">
        <v>225.33750030174255</v>
      </c>
      <c r="C53" s="8">
        <v>33.827432167053217</v>
      </c>
      <c r="D53" s="8">
        <v>0</v>
      </c>
      <c r="E53" s="8">
        <f t="shared" si="0"/>
        <v>259.16493246879577</v>
      </c>
      <c r="F53" s="21">
        <f t="shared" si="1"/>
        <v>1.7744553182968731E-3</v>
      </c>
      <c r="H53" s="425">
        <v>42</v>
      </c>
      <c r="I53" s="515">
        <v>1464</v>
      </c>
      <c r="J53" s="605">
        <v>138</v>
      </c>
      <c r="K53" s="695">
        <v>99</v>
      </c>
      <c r="L53">
        <f t="shared" si="2"/>
        <v>1701</v>
      </c>
      <c r="M53" s="21">
        <f t="shared" si="3"/>
        <v>2.9881947860304968E-3</v>
      </c>
    </row>
    <row r="54" spans="1:13" x14ac:dyDescent="0.25">
      <c r="A54">
        <v>43</v>
      </c>
      <c r="B54" s="8">
        <v>202.32072031602857</v>
      </c>
      <c r="C54" s="8">
        <v>20.748635389328001</v>
      </c>
      <c r="D54" s="8">
        <v>0</v>
      </c>
      <c r="E54" s="8">
        <f t="shared" si="0"/>
        <v>223.06935570535657</v>
      </c>
      <c r="F54" s="21">
        <f t="shared" si="1"/>
        <v>1.5273154466146209E-3</v>
      </c>
      <c r="H54" s="426">
        <v>43</v>
      </c>
      <c r="I54" s="516">
        <v>1334</v>
      </c>
      <c r="J54" s="606">
        <v>148</v>
      </c>
      <c r="K54" s="696">
        <v>98</v>
      </c>
      <c r="L54">
        <f t="shared" si="2"/>
        <v>1580</v>
      </c>
      <c r="M54" s="21">
        <f t="shared" si="3"/>
        <v>2.7756306654486682E-3</v>
      </c>
    </row>
    <row r="55" spans="1:13" x14ac:dyDescent="0.25">
      <c r="A55">
        <v>44</v>
      </c>
      <c r="B55" s="8">
        <v>209.27991765012737</v>
      </c>
      <c r="C55" s="8">
        <v>10.364311710357665</v>
      </c>
      <c r="D55" s="8">
        <v>0</v>
      </c>
      <c r="E55" s="8">
        <f t="shared" si="0"/>
        <v>219.64422936048504</v>
      </c>
      <c r="F55" s="21">
        <f t="shared" si="1"/>
        <v>1.5038642273443295E-3</v>
      </c>
      <c r="H55" s="427">
        <v>44</v>
      </c>
      <c r="I55" s="517">
        <v>1014</v>
      </c>
      <c r="J55" s="607">
        <v>108</v>
      </c>
      <c r="K55" s="697">
        <v>86</v>
      </c>
      <c r="L55">
        <f t="shared" si="2"/>
        <v>1208</v>
      </c>
      <c r="M55" s="21">
        <f t="shared" si="3"/>
        <v>2.1221277492797412E-3</v>
      </c>
    </row>
    <row r="56" spans="1:13" x14ac:dyDescent="0.25">
      <c r="A56">
        <v>45</v>
      </c>
      <c r="B56" s="8">
        <v>222.66637289218897</v>
      </c>
      <c r="C56" s="8">
        <v>4.1447907922744749</v>
      </c>
      <c r="D56" s="8">
        <v>0</v>
      </c>
      <c r="E56" s="8">
        <f t="shared" si="0"/>
        <v>226.81116368446345</v>
      </c>
      <c r="F56" s="21">
        <f t="shared" si="1"/>
        <v>1.5529349276351535E-3</v>
      </c>
      <c r="H56" s="428">
        <v>45</v>
      </c>
      <c r="I56" s="518">
        <v>1156</v>
      </c>
      <c r="J56" s="608">
        <v>116</v>
      </c>
      <c r="K56" s="698">
        <v>84</v>
      </c>
      <c r="L56">
        <f t="shared" si="2"/>
        <v>1356</v>
      </c>
      <c r="M56" s="21">
        <f t="shared" si="3"/>
        <v>2.3821235331318953E-3</v>
      </c>
    </row>
    <row r="57" spans="1:13" x14ac:dyDescent="0.25">
      <c r="A57">
        <v>46</v>
      </c>
      <c r="B57" s="8">
        <v>221.77223414163583</v>
      </c>
      <c r="C57" s="8">
        <v>1.2952054309844971</v>
      </c>
      <c r="D57" s="8">
        <v>0</v>
      </c>
      <c r="E57" s="8">
        <f t="shared" si="0"/>
        <v>223.06743957262034</v>
      </c>
      <c r="F57" s="21">
        <f t="shared" si="1"/>
        <v>1.5273023272010802E-3</v>
      </c>
      <c r="H57" s="429">
        <v>46</v>
      </c>
      <c r="I57" s="519">
        <v>1085</v>
      </c>
      <c r="J57" s="609">
        <v>110</v>
      </c>
      <c r="K57" s="699">
        <v>69</v>
      </c>
      <c r="L57">
        <f t="shared" si="2"/>
        <v>1264</v>
      </c>
      <c r="M57" s="21">
        <f t="shared" si="3"/>
        <v>2.2205045323589346E-3</v>
      </c>
    </row>
    <row r="58" spans="1:13" x14ac:dyDescent="0.25">
      <c r="A58">
        <v>47</v>
      </c>
      <c r="B58" s="8">
        <v>201.48672233781809</v>
      </c>
      <c r="C58" s="8">
        <v>0.30475421905517586</v>
      </c>
      <c r="D58" s="8">
        <v>0</v>
      </c>
      <c r="E58" s="8">
        <f t="shared" si="0"/>
        <v>201.79147655687328</v>
      </c>
      <c r="F58" s="21">
        <f t="shared" si="1"/>
        <v>1.3816296647558028E-3</v>
      </c>
      <c r="H58" s="430">
        <v>47</v>
      </c>
      <c r="I58" s="520">
        <v>910</v>
      </c>
      <c r="J58" s="610">
        <v>90</v>
      </c>
      <c r="K58" s="700">
        <v>84</v>
      </c>
      <c r="L58">
        <f t="shared" si="2"/>
        <v>1084</v>
      </c>
      <c r="M58" s="21">
        <f t="shared" si="3"/>
        <v>1.904293443890099E-3</v>
      </c>
    </row>
    <row r="59" spans="1:13" x14ac:dyDescent="0.25">
      <c r="A59">
        <v>48</v>
      </c>
      <c r="B59" s="8">
        <v>171.25358342018123</v>
      </c>
      <c r="C59" s="8">
        <v>5.0792369842529307E-2</v>
      </c>
      <c r="D59" s="8">
        <v>0</v>
      </c>
      <c r="E59" s="8">
        <f t="shared" si="0"/>
        <v>171.30437579002376</v>
      </c>
      <c r="F59" s="21">
        <f t="shared" si="1"/>
        <v>1.1728900116713627E-3</v>
      </c>
      <c r="H59" s="431">
        <v>48</v>
      </c>
      <c r="I59" s="521">
        <v>1001</v>
      </c>
      <c r="J59" s="611">
        <v>89</v>
      </c>
      <c r="K59" s="701">
        <v>58</v>
      </c>
      <c r="L59">
        <f t="shared" si="2"/>
        <v>1148</v>
      </c>
      <c r="M59" s="21">
        <f t="shared" si="3"/>
        <v>2.0167240531234628E-3</v>
      </c>
    </row>
    <row r="60" spans="1:13" x14ac:dyDescent="0.25">
      <c r="A60">
        <v>49</v>
      </c>
      <c r="B60" s="8">
        <v>146.17675897369384</v>
      </c>
      <c r="C60" s="8">
        <v>5.346565246582031E-3</v>
      </c>
      <c r="D60" s="8">
        <v>0</v>
      </c>
      <c r="E60" s="8">
        <f t="shared" si="0"/>
        <v>146.18210553894042</v>
      </c>
      <c r="F60" s="21">
        <f t="shared" si="1"/>
        <v>1.0008823807389118E-3</v>
      </c>
      <c r="H60" s="432">
        <v>49</v>
      </c>
      <c r="I60" s="522">
        <v>924</v>
      </c>
      <c r="J60" s="612">
        <v>75</v>
      </c>
      <c r="K60" s="702">
        <v>56</v>
      </c>
      <c r="L60">
        <f t="shared" si="2"/>
        <v>1055</v>
      </c>
      <c r="M60" s="21">
        <f t="shared" si="3"/>
        <v>1.8533483240812311E-3</v>
      </c>
    </row>
    <row r="61" spans="1:13" x14ac:dyDescent="0.25">
      <c r="A61">
        <v>50</v>
      </c>
      <c r="B61" s="8">
        <v>139.20201170387267</v>
      </c>
      <c r="C61" s="8">
        <v>2.6732826232910158E-4</v>
      </c>
      <c r="D61" s="8">
        <v>0</v>
      </c>
      <c r="E61" s="8">
        <f t="shared" si="0"/>
        <v>139.20227903213501</v>
      </c>
      <c r="F61" s="21">
        <f t="shared" si="1"/>
        <v>9.530927737584938E-4</v>
      </c>
      <c r="H61" s="433">
        <v>50</v>
      </c>
      <c r="I61" s="523">
        <v>823</v>
      </c>
      <c r="J61" s="613">
        <v>51</v>
      </c>
      <c r="K61" s="703">
        <v>42</v>
      </c>
      <c r="L61">
        <f t="shared" si="2"/>
        <v>916</v>
      </c>
      <c r="M61" s="21">
        <f t="shared" si="3"/>
        <v>1.6091630946525192E-3</v>
      </c>
    </row>
    <row r="62" spans="1:13" x14ac:dyDescent="0.25">
      <c r="A62">
        <v>51</v>
      </c>
      <c r="B62" s="8">
        <v>156.87193953533171</v>
      </c>
      <c r="C62" s="8">
        <v>0</v>
      </c>
      <c r="D62" s="8">
        <v>0</v>
      </c>
      <c r="E62" s="8">
        <f t="shared" si="0"/>
        <v>156.87193953533171</v>
      </c>
      <c r="F62" s="21">
        <f t="shared" si="1"/>
        <v>1.0740737365520334E-3</v>
      </c>
      <c r="H62" s="434">
        <v>51</v>
      </c>
      <c r="I62" s="524">
        <v>606</v>
      </c>
      <c r="J62" s="614">
        <v>74</v>
      </c>
      <c r="K62" s="704">
        <v>29</v>
      </c>
      <c r="L62">
        <f t="shared" si="2"/>
        <v>709</v>
      </c>
      <c r="M62" s="21">
        <f t="shared" si="3"/>
        <v>1.2455203429133583E-3</v>
      </c>
    </row>
    <row r="63" spans="1:13" x14ac:dyDescent="0.25">
      <c r="A63">
        <v>52</v>
      </c>
      <c r="B63" s="8">
        <v>196.05298912057873</v>
      </c>
      <c r="C63" s="8">
        <v>0</v>
      </c>
      <c r="D63" s="8">
        <v>0</v>
      </c>
      <c r="E63" s="8">
        <f t="shared" si="0"/>
        <v>196.05298912057873</v>
      </c>
      <c r="F63" s="21">
        <f t="shared" si="1"/>
        <v>1.3423392813952427E-3</v>
      </c>
      <c r="H63" s="435">
        <v>52</v>
      </c>
      <c r="I63" s="525">
        <v>701</v>
      </c>
      <c r="J63" s="615">
        <v>74</v>
      </c>
      <c r="K63" s="705">
        <v>37</v>
      </c>
      <c r="L63">
        <f t="shared" si="2"/>
        <v>812</v>
      </c>
      <c r="M63" s="21">
        <f t="shared" si="3"/>
        <v>1.4264633546483029E-3</v>
      </c>
    </row>
    <row r="64" spans="1:13" x14ac:dyDescent="0.25">
      <c r="A64">
        <v>53</v>
      </c>
      <c r="B64" s="8">
        <v>241.94988763103481</v>
      </c>
      <c r="C64" s="8">
        <v>0</v>
      </c>
      <c r="D64" s="8">
        <v>1.5753326416015624E-4</v>
      </c>
      <c r="E64" s="8">
        <f t="shared" si="0"/>
        <v>241.95004516429898</v>
      </c>
      <c r="F64" s="21">
        <f t="shared" si="1"/>
        <v>1.6565881051660088E-3</v>
      </c>
      <c r="H64" s="436">
        <v>53</v>
      </c>
      <c r="I64" s="526">
        <v>547</v>
      </c>
      <c r="J64" s="616">
        <v>38</v>
      </c>
      <c r="K64" s="706">
        <v>31</v>
      </c>
      <c r="L64">
        <f t="shared" si="2"/>
        <v>616</v>
      </c>
      <c r="M64" s="21">
        <f t="shared" si="3"/>
        <v>1.0821446138711264E-3</v>
      </c>
    </row>
    <row r="65" spans="1:13" x14ac:dyDescent="0.25">
      <c r="A65">
        <v>54</v>
      </c>
      <c r="B65" s="8">
        <v>272.49468799562453</v>
      </c>
      <c r="C65" s="8">
        <v>0</v>
      </c>
      <c r="D65" s="8">
        <v>3.150665283203125E-3</v>
      </c>
      <c r="E65" s="8">
        <f t="shared" si="0"/>
        <v>272.49783866090775</v>
      </c>
      <c r="F65" s="21">
        <f t="shared" si="1"/>
        <v>1.8657433103703956E-3</v>
      </c>
      <c r="H65" s="437">
        <v>54</v>
      </c>
      <c r="I65" s="527">
        <v>513</v>
      </c>
      <c r="J65" s="617">
        <v>35</v>
      </c>
      <c r="K65" s="707">
        <v>22</v>
      </c>
      <c r="L65">
        <f t="shared" si="2"/>
        <v>570</v>
      </c>
      <c r="M65" s="21">
        <f t="shared" si="3"/>
        <v>1.0013351134846463E-3</v>
      </c>
    </row>
    <row r="66" spans="1:13" x14ac:dyDescent="0.25">
      <c r="A66">
        <v>55</v>
      </c>
      <c r="B66" s="8">
        <v>270.59751062202452</v>
      </c>
      <c r="C66" s="8">
        <v>0</v>
      </c>
      <c r="D66" s="8">
        <v>2.993132019042969E-2</v>
      </c>
      <c r="E66" s="8">
        <f t="shared" si="0"/>
        <v>270.62744194221494</v>
      </c>
      <c r="F66" s="21">
        <f t="shared" si="1"/>
        <v>1.8529370430517681E-3</v>
      </c>
      <c r="H66" s="438">
        <v>55</v>
      </c>
      <c r="I66" s="528">
        <v>430</v>
      </c>
      <c r="J66" s="618">
        <v>27</v>
      </c>
      <c r="K66" s="708">
        <v>11</v>
      </c>
      <c r="L66">
        <f t="shared" si="2"/>
        <v>468</v>
      </c>
      <c r="M66" s="21">
        <f t="shared" si="3"/>
        <v>8.2214883001897269E-4</v>
      </c>
    </row>
    <row r="67" spans="1:13" x14ac:dyDescent="0.25">
      <c r="A67">
        <v>56</v>
      </c>
      <c r="B67" s="8">
        <v>235.67487313060761</v>
      </c>
      <c r="C67" s="8">
        <v>0</v>
      </c>
      <c r="D67" s="8">
        <v>0.17958792114257816</v>
      </c>
      <c r="E67" s="8">
        <f t="shared" si="0"/>
        <v>235.85446105175018</v>
      </c>
      <c r="F67" s="21">
        <f t="shared" si="1"/>
        <v>1.6148527455878356E-3</v>
      </c>
      <c r="H67" s="439">
        <v>56</v>
      </c>
      <c r="I67" s="529">
        <v>552</v>
      </c>
      <c r="J67" s="619">
        <v>43</v>
      </c>
      <c r="K67" s="709">
        <v>19</v>
      </c>
      <c r="L67">
        <f t="shared" si="2"/>
        <v>614</v>
      </c>
      <c r="M67" s="21">
        <f t="shared" si="3"/>
        <v>1.0786311573325838E-3</v>
      </c>
    </row>
    <row r="68" spans="1:13" x14ac:dyDescent="0.25">
      <c r="A68">
        <v>57</v>
      </c>
      <c r="B68" s="8">
        <v>183.31200341844558</v>
      </c>
      <c r="C68" s="8">
        <v>0</v>
      </c>
      <c r="D68" s="8">
        <v>0.7632486648559571</v>
      </c>
      <c r="E68" s="8">
        <f t="shared" si="0"/>
        <v>184.07525208330154</v>
      </c>
      <c r="F68" s="21">
        <f t="shared" si="1"/>
        <v>1.260329886896946E-3</v>
      </c>
      <c r="H68" s="440">
        <v>57</v>
      </c>
      <c r="I68" s="530">
        <v>411</v>
      </c>
      <c r="J68" s="620">
        <v>32</v>
      </c>
      <c r="K68" s="710">
        <v>20</v>
      </c>
      <c r="L68">
        <f t="shared" si="2"/>
        <v>463</v>
      </c>
      <c r="M68" s="21">
        <f t="shared" si="3"/>
        <v>8.1336518867261608E-4</v>
      </c>
    </row>
    <row r="69" spans="1:13" x14ac:dyDescent="0.25">
      <c r="A69">
        <v>58</v>
      </c>
      <c r="B69" s="8">
        <v>132.98571057167052</v>
      </c>
      <c r="C69" s="8">
        <v>0</v>
      </c>
      <c r="D69" s="8">
        <v>2.4423957275390622</v>
      </c>
      <c r="E69" s="8">
        <f t="shared" si="0"/>
        <v>135.42810629920959</v>
      </c>
      <c r="F69" s="21">
        <f t="shared" si="1"/>
        <v>9.2725169713476152E-4</v>
      </c>
      <c r="H69" s="441">
        <v>58</v>
      </c>
      <c r="I69" s="531">
        <v>407</v>
      </c>
      <c r="J69" s="621">
        <v>28</v>
      </c>
      <c r="K69" s="711">
        <v>22</v>
      </c>
      <c r="L69">
        <f t="shared" si="2"/>
        <v>457</v>
      </c>
      <c r="M69" s="21">
        <f t="shared" si="3"/>
        <v>8.028248190569883E-4</v>
      </c>
    </row>
    <row r="70" spans="1:13" x14ac:dyDescent="0.25">
      <c r="A70">
        <v>59</v>
      </c>
      <c r="B70" s="8">
        <v>95.748384427833571</v>
      </c>
      <c r="C70" s="8">
        <v>0</v>
      </c>
      <c r="D70" s="8">
        <v>6.1059893188476559</v>
      </c>
      <c r="E70" s="8">
        <f t="shared" si="0"/>
        <v>101.85437374668123</v>
      </c>
      <c r="F70" s="21">
        <f t="shared" si="1"/>
        <v>6.9737843567380434E-4</v>
      </c>
      <c r="H70" s="442">
        <v>59</v>
      </c>
      <c r="I70" s="532">
        <v>242</v>
      </c>
      <c r="J70" s="622">
        <v>12</v>
      </c>
      <c r="K70" s="712">
        <v>6</v>
      </c>
      <c r="L70">
        <f t="shared" si="2"/>
        <v>260</v>
      </c>
      <c r="M70" s="21">
        <f t="shared" si="3"/>
        <v>4.5674935001054035E-4</v>
      </c>
    </row>
    <row r="71" spans="1:13" x14ac:dyDescent="0.25">
      <c r="A71">
        <v>60</v>
      </c>
      <c r="B71" s="8">
        <v>72.048314065074919</v>
      </c>
      <c r="C71" s="8">
        <v>0</v>
      </c>
      <c r="D71" s="8">
        <v>12.211978637695312</v>
      </c>
      <c r="E71" s="8">
        <f t="shared" si="0"/>
        <v>84.260292702770229</v>
      </c>
      <c r="F71" s="21">
        <f t="shared" si="1"/>
        <v>5.7691495173902059E-4</v>
      </c>
      <c r="H71" s="443">
        <v>60</v>
      </c>
      <c r="I71" s="533">
        <v>302</v>
      </c>
      <c r="J71" s="623">
        <v>23</v>
      </c>
      <c r="K71" s="713">
        <v>17</v>
      </c>
      <c r="L71">
        <f t="shared" si="2"/>
        <v>342</v>
      </c>
      <c r="M71" s="21">
        <f t="shared" si="3"/>
        <v>6.0080106809078777E-4</v>
      </c>
    </row>
    <row r="72" spans="1:13" x14ac:dyDescent="0.25">
      <c r="A72">
        <v>61</v>
      </c>
      <c r="B72" s="8">
        <v>57.927239578914644</v>
      </c>
      <c r="C72" s="8">
        <v>0</v>
      </c>
      <c r="D72" s="8">
        <v>19.844465286254881</v>
      </c>
      <c r="E72" s="8">
        <f t="shared" si="0"/>
        <v>77.771704865169525</v>
      </c>
      <c r="F72" s="21">
        <f t="shared" si="1"/>
        <v>5.3248876688836272E-4</v>
      </c>
      <c r="H72" s="444">
        <v>61</v>
      </c>
      <c r="I72" s="534">
        <v>246</v>
      </c>
      <c r="J72" s="624">
        <v>25</v>
      </c>
      <c r="K72" s="714">
        <v>11</v>
      </c>
      <c r="L72">
        <f t="shared" si="2"/>
        <v>282</v>
      </c>
      <c r="M72" s="21">
        <f t="shared" si="3"/>
        <v>4.9539737193450919E-4</v>
      </c>
    </row>
    <row r="73" spans="1:13" x14ac:dyDescent="0.25">
      <c r="A73">
        <v>62</v>
      </c>
      <c r="B73" s="8">
        <v>50.72361225605011</v>
      </c>
      <c r="C73" s="8">
        <v>0</v>
      </c>
      <c r="D73" s="8">
        <v>26.459287048339839</v>
      </c>
      <c r="E73" s="8">
        <f t="shared" si="0"/>
        <v>77.182899304389949</v>
      </c>
      <c r="F73" s="21">
        <f t="shared" si="1"/>
        <v>5.2845732193624185E-4</v>
      </c>
      <c r="H73" s="445">
        <v>62</v>
      </c>
      <c r="I73" s="535">
        <v>213</v>
      </c>
      <c r="J73" s="625">
        <v>13</v>
      </c>
      <c r="K73" s="715">
        <v>6</v>
      </c>
      <c r="L73">
        <f t="shared" si="2"/>
        <v>232</v>
      </c>
      <c r="M73" s="21">
        <f t="shared" si="3"/>
        <v>4.0756095847094373E-4</v>
      </c>
    </row>
    <row r="74" spans="1:13" x14ac:dyDescent="0.25">
      <c r="A74">
        <v>63</v>
      </c>
      <c r="B74" s="8">
        <v>49.303211350822444</v>
      </c>
      <c r="C74" s="8">
        <v>0</v>
      </c>
      <c r="D74" s="8">
        <v>29.105215753173827</v>
      </c>
      <c r="E74" s="8">
        <f t="shared" si="0"/>
        <v>78.408427103996274</v>
      </c>
      <c r="F74" s="21">
        <f t="shared" si="1"/>
        <v>5.368482886500504E-4</v>
      </c>
      <c r="H74" s="446">
        <v>63</v>
      </c>
      <c r="I74" s="536">
        <v>209</v>
      </c>
      <c r="J74" s="626">
        <v>17</v>
      </c>
      <c r="K74" s="716">
        <v>9</v>
      </c>
      <c r="L74">
        <f t="shared" si="2"/>
        <v>235</v>
      </c>
      <c r="M74" s="21">
        <f t="shared" si="3"/>
        <v>4.1283114327875762E-4</v>
      </c>
    </row>
    <row r="75" spans="1:13" x14ac:dyDescent="0.25">
      <c r="A75">
        <v>64</v>
      </c>
      <c r="B75" s="8">
        <v>51.361224548435203</v>
      </c>
      <c r="C75" s="8">
        <v>0</v>
      </c>
      <c r="D75" s="8">
        <v>26.459287048339842</v>
      </c>
      <c r="E75" s="8">
        <f t="shared" si="0"/>
        <v>77.820511596775049</v>
      </c>
      <c r="F75" s="21">
        <f t="shared" si="1"/>
        <v>5.3282293773331891E-4</v>
      </c>
      <c r="H75" s="447">
        <v>64</v>
      </c>
      <c r="I75" s="537">
        <v>160</v>
      </c>
      <c r="J75" s="627">
        <v>10</v>
      </c>
      <c r="K75" s="717">
        <v>7</v>
      </c>
      <c r="L75">
        <f t="shared" si="2"/>
        <v>177</v>
      </c>
      <c r="M75" s="21">
        <f t="shared" si="3"/>
        <v>3.1094090366102172E-4</v>
      </c>
    </row>
    <row r="76" spans="1:13" x14ac:dyDescent="0.25">
      <c r="A76">
        <v>65</v>
      </c>
      <c r="B76" s="8">
        <v>52.656803727531432</v>
      </c>
      <c r="C76" s="8">
        <v>0</v>
      </c>
      <c r="D76" s="8">
        <v>19.844465286254881</v>
      </c>
      <c r="E76" s="8">
        <f t="shared" ref="E76:E101" si="4">SUM(B76:D76)</f>
        <v>72.501269013786313</v>
      </c>
      <c r="F76" s="21">
        <f t="shared" ref="F76:F102" si="5">E76/$E$102</f>
        <v>4.9640304789412548E-4</v>
      </c>
      <c r="H76" s="448">
        <v>65</v>
      </c>
      <c r="I76" s="538">
        <v>151</v>
      </c>
      <c r="J76" s="628">
        <v>14</v>
      </c>
      <c r="K76" s="718">
        <v>12</v>
      </c>
      <c r="L76">
        <f t="shared" ref="L76:L101" si="6">SUM(I76:K76)</f>
        <v>177</v>
      </c>
      <c r="M76" s="21">
        <f t="shared" ref="M76:M102" si="7">L76/$L$102</f>
        <v>3.1094090366102172E-4</v>
      </c>
    </row>
    <row r="77" spans="1:13" x14ac:dyDescent="0.25">
      <c r="A77">
        <v>66</v>
      </c>
      <c r="B77" s="8">
        <v>49.440793333911898</v>
      </c>
      <c r="C77" s="8">
        <v>0</v>
      </c>
      <c r="D77" s="8">
        <v>12.21197863769531</v>
      </c>
      <c r="E77" s="8">
        <f t="shared" si="4"/>
        <v>61.652771971607208</v>
      </c>
      <c r="F77" s="21">
        <f t="shared" si="5"/>
        <v>4.221253549645838E-4</v>
      </c>
      <c r="H77" s="449">
        <v>66</v>
      </c>
      <c r="I77" s="539">
        <v>134</v>
      </c>
      <c r="J77" s="629">
        <v>10</v>
      </c>
      <c r="K77" s="719">
        <v>8</v>
      </c>
      <c r="L77">
        <f t="shared" si="6"/>
        <v>152</v>
      </c>
      <c r="M77" s="21">
        <f t="shared" si="7"/>
        <v>2.6702269692923899E-4</v>
      </c>
    </row>
    <row r="78" spans="1:13" x14ac:dyDescent="0.25">
      <c r="A78">
        <v>67</v>
      </c>
      <c r="B78" s="8">
        <v>41.337604672908782</v>
      </c>
      <c r="C78" s="8">
        <v>0</v>
      </c>
      <c r="D78" s="8">
        <v>6.1059893188476551</v>
      </c>
      <c r="E78" s="8">
        <f t="shared" si="4"/>
        <v>47.443593991756437</v>
      </c>
      <c r="F78" s="21">
        <f t="shared" si="5"/>
        <v>3.2483768878695073E-4</v>
      </c>
      <c r="H78" s="450">
        <v>67</v>
      </c>
      <c r="I78" s="540">
        <v>168</v>
      </c>
      <c r="J78" s="630">
        <v>5</v>
      </c>
      <c r="K78" s="720">
        <v>7</v>
      </c>
      <c r="L78">
        <f t="shared" si="6"/>
        <v>180</v>
      </c>
      <c r="M78" s="21">
        <f t="shared" si="7"/>
        <v>3.1621108846883566E-4</v>
      </c>
    </row>
    <row r="79" spans="1:13" x14ac:dyDescent="0.25">
      <c r="A79">
        <v>68</v>
      </c>
      <c r="B79" s="8">
        <v>31.854375535583497</v>
      </c>
      <c r="C79" s="8">
        <v>0</v>
      </c>
      <c r="D79" s="8">
        <v>2.4423957275390622</v>
      </c>
      <c r="E79" s="8">
        <f t="shared" si="4"/>
        <v>34.296771263122558</v>
      </c>
      <c r="F79" s="21">
        <f t="shared" si="5"/>
        <v>2.3482377645975188E-4</v>
      </c>
      <c r="H79" s="451">
        <v>68</v>
      </c>
      <c r="I79" s="541">
        <v>119</v>
      </c>
      <c r="J79" s="631">
        <v>10</v>
      </c>
      <c r="K79" s="721">
        <v>6</v>
      </c>
      <c r="L79">
        <f t="shared" si="6"/>
        <v>135</v>
      </c>
      <c r="M79" s="21">
        <f t="shared" si="7"/>
        <v>2.3715831635162673E-4</v>
      </c>
    </row>
    <row r="80" spans="1:13" x14ac:dyDescent="0.25">
      <c r="A80">
        <v>69</v>
      </c>
      <c r="B80" s="8">
        <v>26.417406942653656</v>
      </c>
      <c r="C80" s="8">
        <v>0</v>
      </c>
      <c r="D80" s="8">
        <v>0.76324866485595688</v>
      </c>
      <c r="E80" s="8">
        <f t="shared" si="4"/>
        <v>27.180655607509614</v>
      </c>
      <c r="F80" s="21">
        <f t="shared" si="5"/>
        <v>1.8610102238021073E-4</v>
      </c>
      <c r="H80" s="452">
        <v>69</v>
      </c>
      <c r="I80" s="542">
        <v>80</v>
      </c>
      <c r="J80" s="632">
        <v>6</v>
      </c>
      <c r="K80" s="722">
        <v>7</v>
      </c>
      <c r="L80">
        <f t="shared" si="6"/>
        <v>93</v>
      </c>
      <c r="M80" s="21">
        <f t="shared" si="7"/>
        <v>1.6337572904223175E-4</v>
      </c>
    </row>
    <row r="81" spans="1:13" x14ac:dyDescent="0.25">
      <c r="A81">
        <v>70</v>
      </c>
      <c r="B81" s="8">
        <v>29.550581858730311</v>
      </c>
      <c r="C81" s="8">
        <v>0</v>
      </c>
      <c r="D81" s="8">
        <v>0.1795879211425781</v>
      </c>
      <c r="E81" s="8">
        <f t="shared" si="4"/>
        <v>29.730169779872888</v>
      </c>
      <c r="F81" s="21">
        <f t="shared" si="5"/>
        <v>2.035570838123181E-4</v>
      </c>
      <c r="H81" s="453">
        <v>70</v>
      </c>
      <c r="I81" s="543">
        <v>84</v>
      </c>
      <c r="J81" s="633">
        <v>5</v>
      </c>
      <c r="K81" s="723">
        <v>5</v>
      </c>
      <c r="L81">
        <f t="shared" si="6"/>
        <v>94</v>
      </c>
      <c r="M81" s="21">
        <f t="shared" si="7"/>
        <v>1.6513245731150306E-4</v>
      </c>
    </row>
    <row r="82" spans="1:13" x14ac:dyDescent="0.25">
      <c r="A82">
        <v>71</v>
      </c>
      <c r="B82" s="8">
        <v>42.338549289798728</v>
      </c>
      <c r="C82" s="8">
        <v>0</v>
      </c>
      <c r="D82" s="8">
        <v>2.9931320190429683E-2</v>
      </c>
      <c r="E82" s="8">
        <f t="shared" si="4"/>
        <v>42.368480609989156</v>
      </c>
      <c r="F82" s="21">
        <f t="shared" si="5"/>
        <v>2.9008930733946892E-4</v>
      </c>
      <c r="H82" s="454">
        <v>71</v>
      </c>
      <c r="I82" s="544">
        <v>69</v>
      </c>
      <c r="J82" s="634">
        <v>6</v>
      </c>
      <c r="K82" s="724">
        <v>0</v>
      </c>
      <c r="L82">
        <f t="shared" si="6"/>
        <v>75</v>
      </c>
      <c r="M82" s="21">
        <f t="shared" si="7"/>
        <v>1.3175462019534819E-4</v>
      </c>
    </row>
    <row r="83" spans="1:13" x14ac:dyDescent="0.25">
      <c r="A83">
        <v>72</v>
      </c>
      <c r="B83" s="8">
        <v>60.873602446174615</v>
      </c>
      <c r="C83" s="8">
        <v>0</v>
      </c>
      <c r="D83" s="8">
        <v>3.150665283203125E-3</v>
      </c>
      <c r="E83" s="8">
        <f t="shared" si="4"/>
        <v>60.876753111457816</v>
      </c>
      <c r="F83" s="21">
        <f t="shared" si="5"/>
        <v>4.1681209448457437E-4</v>
      </c>
      <c r="H83" s="455">
        <v>72</v>
      </c>
      <c r="I83" s="545">
        <v>90</v>
      </c>
      <c r="J83" s="635">
        <v>5</v>
      </c>
      <c r="K83" s="725">
        <v>4</v>
      </c>
      <c r="L83">
        <f t="shared" si="6"/>
        <v>99</v>
      </c>
      <c r="M83" s="21">
        <f t="shared" si="7"/>
        <v>1.7391609865785961E-4</v>
      </c>
    </row>
    <row r="84" spans="1:13" x14ac:dyDescent="0.25">
      <c r="A84">
        <v>73</v>
      </c>
      <c r="B84" s="8">
        <v>77.071078621864316</v>
      </c>
      <c r="C84" s="8">
        <v>0</v>
      </c>
      <c r="D84" s="8">
        <v>1.5753326416015624E-4</v>
      </c>
      <c r="E84" s="8">
        <f t="shared" si="4"/>
        <v>77.071236155128474</v>
      </c>
      <c r="F84" s="21">
        <f t="shared" si="5"/>
        <v>5.2769278459248426E-4</v>
      </c>
      <c r="H84" s="456">
        <v>73</v>
      </c>
      <c r="I84" s="546">
        <v>79</v>
      </c>
      <c r="J84" s="636">
        <v>7</v>
      </c>
      <c r="K84" s="726">
        <v>1</v>
      </c>
      <c r="L84">
        <f t="shared" si="6"/>
        <v>87</v>
      </c>
      <c r="M84" s="21">
        <f t="shared" si="7"/>
        <v>1.5283535942660389E-4</v>
      </c>
    </row>
    <row r="85" spans="1:13" x14ac:dyDescent="0.25">
      <c r="A85">
        <v>74</v>
      </c>
      <c r="B85" s="8">
        <v>82.783897854995729</v>
      </c>
      <c r="C85" s="8">
        <v>0</v>
      </c>
      <c r="D85" s="8">
        <v>0</v>
      </c>
      <c r="E85" s="8">
        <f t="shared" si="4"/>
        <v>82.783897854995729</v>
      </c>
      <c r="F85" s="21">
        <f t="shared" si="5"/>
        <v>5.668063438167085E-4</v>
      </c>
      <c r="H85" s="457">
        <v>74</v>
      </c>
      <c r="I85" s="547">
        <v>59</v>
      </c>
      <c r="J85" s="637">
        <v>4</v>
      </c>
      <c r="K85" s="727">
        <v>1</v>
      </c>
      <c r="L85">
        <f t="shared" si="6"/>
        <v>64</v>
      </c>
      <c r="M85" s="21">
        <f t="shared" si="7"/>
        <v>1.1243060923336378E-4</v>
      </c>
    </row>
    <row r="86" spans="1:13" x14ac:dyDescent="0.25">
      <c r="A86">
        <v>75</v>
      </c>
      <c r="B86" s="8">
        <v>75.121502694129944</v>
      </c>
      <c r="C86" s="8">
        <v>0</v>
      </c>
      <c r="D86" s="8">
        <v>0</v>
      </c>
      <c r="E86" s="8">
        <f t="shared" si="4"/>
        <v>75.121502694129944</v>
      </c>
      <c r="F86" s="21">
        <f t="shared" si="5"/>
        <v>5.1434331297927987E-4</v>
      </c>
      <c r="H86" s="458">
        <v>75</v>
      </c>
      <c r="I86" s="548">
        <v>60</v>
      </c>
      <c r="J86" s="638">
        <v>5</v>
      </c>
      <c r="K86" s="728">
        <v>1</v>
      </c>
      <c r="L86">
        <f t="shared" si="6"/>
        <v>66</v>
      </c>
      <c r="M86" s="21">
        <f t="shared" si="7"/>
        <v>1.1594406577190641E-4</v>
      </c>
    </row>
    <row r="87" spans="1:13" x14ac:dyDescent="0.25">
      <c r="A87">
        <v>76</v>
      </c>
      <c r="B87" s="8">
        <v>58.615568020820618</v>
      </c>
      <c r="C87" s="8">
        <v>0</v>
      </c>
      <c r="D87" s="8">
        <v>0</v>
      </c>
      <c r="E87" s="8">
        <f t="shared" si="4"/>
        <v>58.615568020820618</v>
      </c>
      <c r="F87" s="21">
        <f t="shared" si="5"/>
        <v>4.0133017001465067E-4</v>
      </c>
      <c r="H87" s="459">
        <v>76</v>
      </c>
      <c r="I87" s="549">
        <v>69</v>
      </c>
      <c r="J87" s="639">
        <v>7</v>
      </c>
      <c r="K87" s="729">
        <v>1</v>
      </c>
      <c r="L87">
        <f t="shared" si="6"/>
        <v>77</v>
      </c>
      <c r="M87" s="21">
        <f t="shared" si="7"/>
        <v>1.352680767338908E-4</v>
      </c>
    </row>
    <row r="88" spans="1:13" x14ac:dyDescent="0.25">
      <c r="A88">
        <v>77</v>
      </c>
      <c r="B88" s="8">
        <v>42.304741987133021</v>
      </c>
      <c r="C88" s="8">
        <v>0</v>
      </c>
      <c r="D88" s="8">
        <v>0</v>
      </c>
      <c r="E88" s="8">
        <f t="shared" si="4"/>
        <v>42.304741987133021</v>
      </c>
      <c r="F88" s="21">
        <f t="shared" si="5"/>
        <v>2.896529005415639E-4</v>
      </c>
      <c r="H88" s="460">
        <v>77</v>
      </c>
      <c r="I88" s="550">
        <v>26</v>
      </c>
      <c r="J88" s="640">
        <v>2</v>
      </c>
      <c r="K88" s="730">
        <v>0</v>
      </c>
      <c r="L88">
        <f t="shared" si="6"/>
        <v>28</v>
      </c>
      <c r="M88" s="21">
        <f t="shared" si="7"/>
        <v>4.9188391539596654E-5</v>
      </c>
    </row>
    <row r="89" spans="1:13" x14ac:dyDescent="0.25">
      <c r="A89">
        <v>78</v>
      </c>
      <c r="B89" s="8">
        <v>34.643198914527886</v>
      </c>
      <c r="C89" s="8">
        <v>0</v>
      </c>
      <c r="D89" s="8">
        <v>0</v>
      </c>
      <c r="E89" s="8">
        <f t="shared" si="4"/>
        <v>34.643198914527886</v>
      </c>
      <c r="F89" s="21">
        <f t="shared" si="5"/>
        <v>2.3719570379801281E-4</v>
      </c>
      <c r="H89" s="461">
        <v>78</v>
      </c>
      <c r="I89" s="551">
        <v>59</v>
      </c>
      <c r="J89" s="641">
        <v>6</v>
      </c>
      <c r="K89" s="731">
        <v>1</v>
      </c>
      <c r="L89">
        <f t="shared" si="6"/>
        <v>66</v>
      </c>
      <c r="M89" s="21">
        <f t="shared" si="7"/>
        <v>1.1594406577190641E-4</v>
      </c>
    </row>
    <row r="90" spans="1:13" x14ac:dyDescent="0.25">
      <c r="A90">
        <v>79</v>
      </c>
      <c r="B90" s="8">
        <v>40.221416640090936</v>
      </c>
      <c r="C90" s="8">
        <v>0</v>
      </c>
      <c r="D90" s="8">
        <v>0</v>
      </c>
      <c r="E90" s="8">
        <f t="shared" si="4"/>
        <v>40.221416640090936</v>
      </c>
      <c r="F90" s="21">
        <f t="shared" si="5"/>
        <v>2.7538874949849555E-4</v>
      </c>
      <c r="H90" s="462">
        <v>79</v>
      </c>
      <c r="I90" s="552">
        <v>22</v>
      </c>
      <c r="J90" s="642">
        <v>3</v>
      </c>
      <c r="K90" s="732">
        <v>0</v>
      </c>
      <c r="L90">
        <f t="shared" si="6"/>
        <v>25</v>
      </c>
      <c r="M90" s="21">
        <f t="shared" si="7"/>
        <v>4.3918206731782729E-5</v>
      </c>
    </row>
    <row r="91" spans="1:13" x14ac:dyDescent="0.25">
      <c r="A91">
        <v>80</v>
      </c>
      <c r="B91" s="8">
        <v>58.810902517318716</v>
      </c>
      <c r="C91" s="8">
        <v>0</v>
      </c>
      <c r="D91" s="8">
        <v>4.5921993255615237E-5</v>
      </c>
      <c r="E91" s="8">
        <f t="shared" si="4"/>
        <v>58.810948439311971</v>
      </c>
      <c r="F91" s="21">
        <f t="shared" si="5"/>
        <v>4.0266790432685282E-4</v>
      </c>
      <c r="H91" s="463">
        <v>80</v>
      </c>
      <c r="I91" s="553">
        <v>45</v>
      </c>
      <c r="J91" s="643">
        <v>1</v>
      </c>
      <c r="K91" s="733">
        <v>1</v>
      </c>
      <c r="L91">
        <f t="shared" si="6"/>
        <v>47</v>
      </c>
      <c r="M91" s="21">
        <f t="shared" si="7"/>
        <v>8.2566228655751528E-5</v>
      </c>
    </row>
    <row r="92" spans="1:13" x14ac:dyDescent="0.25">
      <c r="A92">
        <v>81</v>
      </c>
      <c r="B92" s="8">
        <v>85.027918582534767</v>
      </c>
      <c r="C92" s="8">
        <v>0</v>
      </c>
      <c r="D92" s="8">
        <v>1.010283851623535E-3</v>
      </c>
      <c r="E92" s="8">
        <f t="shared" si="4"/>
        <v>85.028928866386394</v>
      </c>
      <c r="F92" s="21">
        <f t="shared" si="5"/>
        <v>5.8217766423399996E-4</v>
      </c>
      <c r="H92" s="464">
        <v>81</v>
      </c>
      <c r="I92" s="554">
        <v>45</v>
      </c>
      <c r="J92" s="644">
        <v>6</v>
      </c>
      <c r="K92" s="734">
        <v>0</v>
      </c>
      <c r="L92">
        <f t="shared" si="6"/>
        <v>51</v>
      </c>
      <c r="M92" s="21">
        <f t="shared" si="7"/>
        <v>8.9593141732836765E-5</v>
      </c>
    </row>
    <row r="93" spans="1:13" x14ac:dyDescent="0.25">
      <c r="A93">
        <v>82</v>
      </c>
      <c r="B93" s="8">
        <v>109.12795937900543</v>
      </c>
      <c r="C93" s="8">
        <v>0</v>
      </c>
      <c r="D93" s="8">
        <v>1.0653902435302735E-2</v>
      </c>
      <c r="E93" s="8">
        <f t="shared" si="4"/>
        <v>109.13861328144074</v>
      </c>
      <c r="F93" s="21">
        <f t="shared" si="5"/>
        <v>7.4725230348097235E-4</v>
      </c>
      <c r="H93" s="465">
        <v>82</v>
      </c>
      <c r="I93" s="555">
        <v>10</v>
      </c>
      <c r="J93" s="645">
        <v>1</v>
      </c>
      <c r="K93" s="735">
        <v>2</v>
      </c>
      <c r="L93">
        <f t="shared" si="6"/>
        <v>13</v>
      </c>
      <c r="M93" s="21">
        <f t="shared" si="7"/>
        <v>2.2837467500527018E-5</v>
      </c>
    </row>
    <row r="94" spans="1:13" x14ac:dyDescent="0.25">
      <c r="A94">
        <v>83</v>
      </c>
      <c r="B94" s="8">
        <v>121.68952976188658</v>
      </c>
      <c r="C94" s="8">
        <v>0</v>
      </c>
      <c r="D94" s="8">
        <v>7.1730153465271007E-2</v>
      </c>
      <c r="E94" s="8">
        <f t="shared" si="4"/>
        <v>121.76125991535184</v>
      </c>
      <c r="F94" s="21">
        <f t="shared" si="5"/>
        <v>8.336772770958826E-4</v>
      </c>
      <c r="H94" s="466">
        <v>83</v>
      </c>
      <c r="I94" s="556">
        <v>41</v>
      </c>
      <c r="J94" s="646">
        <v>2</v>
      </c>
      <c r="K94" s="736">
        <v>1</v>
      </c>
      <c r="L94">
        <f t="shared" si="6"/>
        <v>44</v>
      </c>
      <c r="M94" s="21">
        <f t="shared" si="7"/>
        <v>7.7296043847937596E-5</v>
      </c>
    </row>
    <row r="95" spans="1:13" x14ac:dyDescent="0.25">
      <c r="A95">
        <v>84</v>
      </c>
      <c r="B95" s="8">
        <v>122.61358644561767</v>
      </c>
      <c r="C95" s="8">
        <v>0</v>
      </c>
      <c r="D95" s="8">
        <v>0.34657328310012819</v>
      </c>
      <c r="E95" s="8">
        <f t="shared" si="4"/>
        <v>122.9601597287178</v>
      </c>
      <c r="F95" s="21">
        <f t="shared" si="5"/>
        <v>8.4188592681429502E-4</v>
      </c>
      <c r="H95" s="467">
        <v>84</v>
      </c>
      <c r="I95" s="557">
        <v>13</v>
      </c>
      <c r="J95" s="647">
        <v>0</v>
      </c>
      <c r="K95" s="737">
        <v>1</v>
      </c>
      <c r="L95">
        <f t="shared" si="6"/>
        <v>14</v>
      </c>
      <c r="M95" s="21">
        <f t="shared" si="7"/>
        <v>2.4594195769798327E-5</v>
      </c>
    </row>
    <row r="96" spans="1:13" x14ac:dyDescent="0.25">
      <c r="A96">
        <v>85</v>
      </c>
      <c r="B96" s="8">
        <v>130.31295529394149</v>
      </c>
      <c r="C96" s="8">
        <v>0</v>
      </c>
      <c r="D96" s="8">
        <v>1.2810399238586425</v>
      </c>
      <c r="E96" s="8">
        <f t="shared" si="4"/>
        <v>131.59399521780011</v>
      </c>
      <c r="F96" s="21">
        <f t="shared" si="5"/>
        <v>9.0100023350294018E-4</v>
      </c>
      <c r="H96" s="468">
        <v>85</v>
      </c>
      <c r="I96" s="558">
        <v>18</v>
      </c>
      <c r="J96" s="648">
        <v>1</v>
      </c>
      <c r="K96" s="738">
        <v>2</v>
      </c>
      <c r="L96">
        <f t="shared" si="6"/>
        <v>21</v>
      </c>
      <c r="M96" s="21">
        <f t="shared" si="7"/>
        <v>3.6891293654697492E-5</v>
      </c>
    </row>
    <row r="97" spans="1:13" x14ac:dyDescent="0.25">
      <c r="A97">
        <v>86</v>
      </c>
      <c r="B97" s="8">
        <v>184.86524522972107</v>
      </c>
      <c r="C97" s="8">
        <v>0</v>
      </c>
      <c r="D97" s="8">
        <v>3.7729509658813476</v>
      </c>
      <c r="E97" s="8">
        <f t="shared" si="4"/>
        <v>188.6381961956024</v>
      </c>
      <c r="F97" s="21">
        <f t="shared" si="5"/>
        <v>1.2915715381884012E-3</v>
      </c>
      <c r="H97" s="469">
        <v>86</v>
      </c>
      <c r="I97" s="559">
        <v>9</v>
      </c>
      <c r="J97" s="649">
        <v>0</v>
      </c>
      <c r="K97" s="739">
        <v>1</v>
      </c>
      <c r="L97">
        <f t="shared" si="6"/>
        <v>10</v>
      </c>
      <c r="M97" s="21">
        <f t="shared" si="7"/>
        <v>1.756728269271309E-5</v>
      </c>
    </row>
    <row r="98" spans="1:13" x14ac:dyDescent="0.25">
      <c r="A98">
        <v>87</v>
      </c>
      <c r="B98" s="8">
        <v>339.49970060052874</v>
      </c>
      <c r="C98" s="8">
        <v>0</v>
      </c>
      <c r="D98" s="8">
        <v>9.1127603416442877</v>
      </c>
      <c r="E98" s="8">
        <f t="shared" si="4"/>
        <v>348.61246094217302</v>
      </c>
      <c r="F98" s="21">
        <f t="shared" si="5"/>
        <v>2.3868863331572873E-3</v>
      </c>
      <c r="H98" s="470">
        <v>87</v>
      </c>
      <c r="I98" s="560">
        <v>13</v>
      </c>
      <c r="J98" s="650">
        <v>2</v>
      </c>
      <c r="K98" s="740">
        <v>0</v>
      </c>
      <c r="L98">
        <f t="shared" si="6"/>
        <v>15</v>
      </c>
      <c r="M98" s="21">
        <f t="shared" si="7"/>
        <v>2.6350924039069636E-5</v>
      </c>
    </row>
    <row r="99" spans="1:13" x14ac:dyDescent="0.25">
      <c r="A99">
        <v>88</v>
      </c>
      <c r="B99" s="8">
        <v>637.95111265792843</v>
      </c>
      <c r="C99" s="8">
        <v>0</v>
      </c>
      <c r="D99" s="8">
        <v>18.45742674922943</v>
      </c>
      <c r="E99" s="8">
        <f t="shared" si="4"/>
        <v>656.40853940715783</v>
      </c>
      <c r="F99" s="21">
        <f t="shared" si="5"/>
        <v>4.4943102935685771E-3</v>
      </c>
      <c r="H99" s="471">
        <v>88</v>
      </c>
      <c r="I99" s="561">
        <v>8</v>
      </c>
      <c r="J99" s="651">
        <v>0</v>
      </c>
      <c r="K99" s="741">
        <v>1</v>
      </c>
      <c r="L99">
        <f t="shared" si="6"/>
        <v>9</v>
      </c>
      <c r="M99" s="21">
        <f t="shared" si="7"/>
        <v>1.581055442344178E-5</v>
      </c>
    </row>
    <row r="100" spans="1:13" x14ac:dyDescent="0.25">
      <c r="A100">
        <v>89</v>
      </c>
      <c r="B100" s="8">
        <v>1084.5600916721344</v>
      </c>
      <c r="C100" s="8">
        <v>0</v>
      </c>
      <c r="D100" s="8">
        <v>31.955278226852418</v>
      </c>
      <c r="E100" s="8">
        <f t="shared" si="4"/>
        <v>1116.5153698989868</v>
      </c>
      <c r="F100" s="21">
        <f t="shared" si="5"/>
        <v>7.6445783663883649E-3</v>
      </c>
      <c r="H100" s="472">
        <v>89</v>
      </c>
      <c r="I100" s="562">
        <v>8</v>
      </c>
      <c r="J100" s="652">
        <v>0</v>
      </c>
      <c r="K100" s="742">
        <v>0</v>
      </c>
      <c r="L100">
        <f t="shared" si="6"/>
        <v>8</v>
      </c>
      <c r="M100" s="21">
        <f t="shared" si="7"/>
        <v>1.4053826154170473E-5</v>
      </c>
    </row>
    <row r="101" spans="1:13" ht="15.75" thickBot="1" x14ac:dyDescent="0.3">
      <c r="A101" s="1">
        <v>90</v>
      </c>
      <c r="B101" s="9">
        <v>1626.6768</v>
      </c>
      <c r="C101" s="9">
        <v>0</v>
      </c>
      <c r="D101" s="9">
        <v>48.152700000000003</v>
      </c>
      <c r="E101" s="9">
        <f t="shared" si="4"/>
        <v>1674.8295000000001</v>
      </c>
      <c r="F101" s="21">
        <f t="shared" si="5"/>
        <v>1.1467254019304174E-2</v>
      </c>
      <c r="H101" s="745">
        <v>90</v>
      </c>
      <c r="I101" s="745">
        <v>84</v>
      </c>
      <c r="J101" s="745">
        <v>4</v>
      </c>
      <c r="K101" s="745">
        <v>4</v>
      </c>
      <c r="L101" s="1">
        <f t="shared" si="6"/>
        <v>92</v>
      </c>
      <c r="M101" s="21">
        <f t="shared" si="7"/>
        <v>1.6161900077296044E-4</v>
      </c>
    </row>
    <row r="102" spans="1:13" x14ac:dyDescent="0.25">
      <c r="E102" s="8">
        <f>SUM(E11:E101)</f>
        <v>146053.23098106688</v>
      </c>
      <c r="F102" s="21">
        <f t="shared" si="5"/>
        <v>1</v>
      </c>
      <c r="L102" s="22">
        <f>SUM(L11:L101)</f>
        <v>569240</v>
      </c>
      <c r="M102" s="21">
        <f t="shared" si="7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workbookViewId="0">
      <selection activeCell="A3" sqref="A3"/>
    </sheetView>
  </sheetViews>
  <sheetFormatPr defaultRowHeight="15" x14ac:dyDescent="0.25"/>
  <cols>
    <col min="4" max="4" width="12.28515625" bestFit="1" customWidth="1" collapsed="1"/>
    <col min="15" max="15" width="12.28515625" bestFit="1" customWidth="1" collapsed="1"/>
    <col min="26" max="26" width="12.28515625" bestFit="1" customWidth="1" collapsed="1"/>
  </cols>
  <sheetData>
    <row r="1" spans="1:21" x14ac:dyDescent="0.25">
      <c r="A1" t="s">
        <v>2</v>
      </c>
    </row>
    <row r="2" spans="1:21" x14ac:dyDescent="0.25">
      <c r="A2" t="s">
        <v>264</v>
      </c>
    </row>
    <row r="3" spans="1:21" x14ac:dyDescent="0.25">
      <c r="A3" t="s">
        <v>17</v>
      </c>
    </row>
    <row r="5" spans="1:21" ht="15.75" thickBot="1" x14ac:dyDescent="0.3">
      <c r="A5" s="4" t="s">
        <v>48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16</v>
      </c>
      <c r="J6" s="3" t="s">
        <v>4</v>
      </c>
      <c r="L6" s="2" t="s">
        <v>15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16</v>
      </c>
      <c r="U6" s="3" t="s">
        <v>4</v>
      </c>
    </row>
    <row r="7" spans="1:21" x14ac:dyDescent="0.25">
      <c r="A7" s="747" t="s">
        <v>38</v>
      </c>
      <c r="B7" s="13">
        <v>4248.7331000000004</v>
      </c>
      <c r="C7" s="13">
        <v>644.55279999999993</v>
      </c>
      <c r="D7" s="13">
        <v>0</v>
      </c>
      <c r="E7" s="13">
        <v>0</v>
      </c>
      <c r="F7" s="13">
        <v>0</v>
      </c>
      <c r="G7" s="13">
        <v>1673.5687</v>
      </c>
      <c r="H7" s="13">
        <v>0</v>
      </c>
      <c r="I7" s="13"/>
      <c r="J7" s="13">
        <f>SUM(B7:I7)</f>
        <v>6566.8546000000006</v>
      </c>
      <c r="K7" s="13"/>
      <c r="L7" t="str">
        <f>$A$7</f>
        <v>Williamson</v>
      </c>
      <c r="M7" s="743">
        <v>21718</v>
      </c>
      <c r="N7" s="743">
        <v>5228</v>
      </c>
      <c r="O7" s="743">
        <v>1044</v>
      </c>
      <c r="P7" s="743">
        <v>295</v>
      </c>
      <c r="Q7" s="743">
        <v>213</v>
      </c>
      <c r="R7" s="743">
        <v>2719</v>
      </c>
      <c r="S7" s="743">
        <v>248</v>
      </c>
      <c r="T7" s="743"/>
      <c r="U7" s="13">
        <f>SUM(M7:T7)</f>
        <v>31465</v>
      </c>
    </row>
    <row r="8" spans="1:21" x14ac:dyDescent="0.25">
      <c r="A8" t="s">
        <v>39</v>
      </c>
      <c r="B8" s="13">
        <v>1164.5256999999999</v>
      </c>
      <c r="C8" s="13">
        <v>11756.125399999999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  <c r="I8" s="13"/>
      <c r="J8" s="13">
        <f t="shared" ref="J8:J14" si="0">SUM(B8:I8)</f>
        <v>12920.651099999999</v>
      </c>
      <c r="K8" s="13"/>
      <c r="L8" t="str">
        <f>$A$8</f>
        <v>Rutherford</v>
      </c>
      <c r="M8" s="743">
        <v>4784</v>
      </c>
      <c r="N8" s="743">
        <v>36692</v>
      </c>
      <c r="O8" s="743">
        <v>2160</v>
      </c>
      <c r="P8" s="743">
        <v>574</v>
      </c>
      <c r="Q8" s="743">
        <v>351</v>
      </c>
      <c r="R8" s="743">
        <v>1668</v>
      </c>
      <c r="S8" s="743">
        <v>271</v>
      </c>
      <c r="T8" s="743"/>
      <c r="U8" s="13">
        <f t="shared" ref="U8:U14" si="1">SUM(M8:T8)</f>
        <v>46500</v>
      </c>
    </row>
    <row r="9" spans="1:21" x14ac:dyDescent="0.25">
      <c r="A9" t="s">
        <v>40</v>
      </c>
      <c r="B9" s="13">
        <v>0</v>
      </c>
      <c r="C9" s="13">
        <v>207.65209999999999</v>
      </c>
      <c r="D9" s="13">
        <v>15379.0031</v>
      </c>
      <c r="E9" s="13">
        <v>814.58870000000002</v>
      </c>
      <c r="F9" s="13">
        <v>51.698900000000002</v>
      </c>
      <c r="G9" s="13">
        <v>0</v>
      </c>
      <c r="H9" s="13">
        <v>0</v>
      </c>
      <c r="I9" s="13"/>
      <c r="J9" s="13">
        <f t="shared" si="0"/>
        <v>16452.942799999997</v>
      </c>
      <c r="K9" s="14"/>
      <c r="L9" t="str">
        <f>$A$9</f>
        <v>Sumner</v>
      </c>
      <c r="M9" s="743">
        <v>879</v>
      </c>
      <c r="N9" s="743">
        <v>1505</v>
      </c>
      <c r="O9" s="743">
        <v>35865</v>
      </c>
      <c r="P9" s="743">
        <v>4093</v>
      </c>
      <c r="Q9" s="743">
        <v>1123</v>
      </c>
      <c r="R9" s="743">
        <v>2313</v>
      </c>
      <c r="S9" s="743">
        <v>699</v>
      </c>
      <c r="T9" s="743"/>
      <c r="U9" s="13">
        <f t="shared" si="1"/>
        <v>46477</v>
      </c>
    </row>
    <row r="10" spans="1:21" x14ac:dyDescent="0.25">
      <c r="A10" t="s">
        <v>41</v>
      </c>
      <c r="B10" s="13">
        <v>0</v>
      </c>
      <c r="C10" s="13">
        <v>56.238399999999999</v>
      </c>
      <c r="D10" s="13">
        <v>947.04679999999996</v>
      </c>
      <c r="E10" s="13">
        <v>29465.6875</v>
      </c>
      <c r="F10" s="13">
        <v>1642.5951</v>
      </c>
      <c r="G10" s="13">
        <v>211.5138</v>
      </c>
      <c r="H10" s="13">
        <v>0</v>
      </c>
      <c r="I10" s="13"/>
      <c r="J10" s="13">
        <f t="shared" si="0"/>
        <v>32323.081599999998</v>
      </c>
      <c r="K10" s="14"/>
      <c r="L10" t="str">
        <f>$A$10</f>
        <v>Roberston</v>
      </c>
      <c r="M10" s="743">
        <v>781</v>
      </c>
      <c r="N10" s="743">
        <v>1114</v>
      </c>
      <c r="O10" s="743">
        <v>8597</v>
      </c>
      <c r="P10" s="743">
        <v>85692</v>
      </c>
      <c r="Q10" s="743">
        <v>6534</v>
      </c>
      <c r="R10" s="743">
        <v>4705</v>
      </c>
      <c r="S10" s="743">
        <v>2414</v>
      </c>
      <c r="T10" s="743"/>
      <c r="U10" s="13">
        <f t="shared" si="1"/>
        <v>109837</v>
      </c>
    </row>
    <row r="11" spans="1:21" x14ac:dyDescent="0.25">
      <c r="A11" t="s">
        <v>42</v>
      </c>
      <c r="B11" s="13">
        <v>0</v>
      </c>
      <c r="C11" s="13">
        <v>0</v>
      </c>
      <c r="D11" s="13">
        <v>181.53570000000002</v>
      </c>
      <c r="E11" s="13">
        <v>1748.3607999999999</v>
      </c>
      <c r="F11" s="13">
        <v>5551.3217000000004</v>
      </c>
      <c r="G11" s="13">
        <v>47.3611</v>
      </c>
      <c r="H11" s="13">
        <v>1682.7993000000001</v>
      </c>
      <c r="I11" s="13"/>
      <c r="J11" s="13">
        <f t="shared" si="0"/>
        <v>9211.3786</v>
      </c>
      <c r="K11" s="14"/>
      <c r="L11" t="str">
        <f>$A$11</f>
        <v>Davidson</v>
      </c>
      <c r="M11" s="743">
        <v>210</v>
      </c>
      <c r="N11" s="743">
        <v>317</v>
      </c>
      <c r="O11" s="743">
        <v>1671</v>
      </c>
      <c r="P11" s="743">
        <v>3683</v>
      </c>
      <c r="Q11" s="743">
        <v>28909</v>
      </c>
      <c r="R11" s="743">
        <v>1667</v>
      </c>
      <c r="S11" s="743">
        <v>4618</v>
      </c>
      <c r="T11" s="743"/>
      <c r="U11" s="13">
        <f t="shared" si="1"/>
        <v>41075</v>
      </c>
    </row>
    <row r="12" spans="1:21" x14ac:dyDescent="0.25">
      <c r="A12" t="s">
        <v>43</v>
      </c>
      <c r="B12" s="13">
        <v>456.34710000000001</v>
      </c>
      <c r="C12" s="13">
        <v>0</v>
      </c>
      <c r="D12" s="13">
        <v>0</v>
      </c>
      <c r="E12" s="13">
        <v>1250.8869999999999</v>
      </c>
      <c r="F12" s="13">
        <v>280.31400000000002</v>
      </c>
      <c r="G12" s="13">
        <v>27372.2467</v>
      </c>
      <c r="H12" s="13">
        <v>2406.4749999999999</v>
      </c>
      <c r="I12" s="13"/>
      <c r="J12" s="13">
        <f t="shared" si="0"/>
        <v>31766.269799999998</v>
      </c>
      <c r="K12" s="14"/>
      <c r="L12" t="str">
        <f>$A$12</f>
        <v>Maury</v>
      </c>
      <c r="M12" s="743">
        <v>2841</v>
      </c>
      <c r="N12" s="743">
        <v>1585</v>
      </c>
      <c r="O12" s="743">
        <v>3339</v>
      </c>
      <c r="P12" s="743">
        <v>2510</v>
      </c>
      <c r="Q12" s="743">
        <v>1866</v>
      </c>
      <c r="R12" s="743">
        <v>89624</v>
      </c>
      <c r="S12" s="743">
        <v>3169</v>
      </c>
      <c r="T12" s="743"/>
      <c r="U12" s="13">
        <f t="shared" si="1"/>
        <v>104934</v>
      </c>
    </row>
    <row r="13" spans="1:21" x14ac:dyDescent="0.25">
      <c r="A13" t="s">
        <v>44</v>
      </c>
      <c r="B13" s="13">
        <v>0</v>
      </c>
      <c r="C13" s="13">
        <v>0</v>
      </c>
      <c r="D13" s="13">
        <v>0</v>
      </c>
      <c r="E13" s="13">
        <v>0</v>
      </c>
      <c r="F13" s="13">
        <v>335.10730000000001</v>
      </c>
      <c r="G13" s="13">
        <v>250.68770000000001</v>
      </c>
      <c r="H13" s="13">
        <v>10903.082899999999</v>
      </c>
      <c r="I13" s="13"/>
      <c r="J13" s="13">
        <f t="shared" si="0"/>
        <v>11488.877899999999</v>
      </c>
      <c r="K13" s="14"/>
      <c r="L13" t="str">
        <f>$A$13</f>
        <v>Wilson</v>
      </c>
      <c r="M13" s="743">
        <v>193</v>
      </c>
      <c r="N13" s="743">
        <v>260</v>
      </c>
      <c r="O13" s="743">
        <v>1044</v>
      </c>
      <c r="P13" s="743">
        <v>1322</v>
      </c>
      <c r="Q13" s="743">
        <v>5120</v>
      </c>
      <c r="R13" s="743">
        <v>3580</v>
      </c>
      <c r="S13" s="743">
        <v>59652</v>
      </c>
      <c r="T13" s="743"/>
      <c r="U13" s="13">
        <f t="shared" si="1"/>
        <v>71171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t="shared" si="0"/>
        <v>0</v>
      </c>
      <c r="K14" s="13"/>
      <c r="L14" s="74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t="shared" si="1"/>
        <v>0</v>
      </c>
    </row>
    <row r="15" spans="1:21" ht="15.75" thickBot="1" x14ac:dyDescent="0.3">
      <c r="A15" s="1" t="s">
        <v>4</v>
      </c>
      <c r="B15" s="16">
        <f t="shared" ref="B15:J15" si="2">SUM(B7:B14)</f>
        <v>5869.6059000000005</v>
      </c>
      <c r="C15" s="16">
        <f t="shared" si="2"/>
        <v>12664.568699999998</v>
      </c>
      <c r="D15" s="16">
        <f t="shared" si="2"/>
        <v>16507.585599999999</v>
      </c>
      <c r="E15" s="16">
        <f t="shared" si="2"/>
        <v>33279.523999999998</v>
      </c>
      <c r="F15" s="16">
        <f t="shared" si="2"/>
        <v>7861.0370000000003</v>
      </c>
      <c r="G15" s="16">
        <f t="shared" si="2"/>
        <v>29555.377999999997</v>
      </c>
      <c r="H15" s="16">
        <f t="shared" si="2"/>
        <v>14992.357199999999</v>
      </c>
      <c r="I15" s="16">
        <f t="shared" si="2"/>
        <v>0</v>
      </c>
      <c r="J15" s="16">
        <f t="shared" si="2"/>
        <v>120730.0564</v>
      </c>
      <c r="K15" s="13"/>
      <c r="L15" s="16" t="s">
        <v>4</v>
      </c>
      <c r="M15" s="16">
        <f t="shared" ref="M15:U15" si="3">SUM(M7:M14)</f>
        <v>31406</v>
      </c>
      <c r="N15" s="16">
        <f t="shared" si="3"/>
        <v>46701</v>
      </c>
      <c r="O15" s="16">
        <f t="shared" si="3"/>
        <v>53720</v>
      </c>
      <c r="P15" s="16">
        <f t="shared" si="3"/>
        <v>98169</v>
      </c>
      <c r="Q15" s="16">
        <f t="shared" si="3"/>
        <v>44116</v>
      </c>
      <c r="R15" s="16">
        <f t="shared" si="3"/>
        <v>106276</v>
      </c>
      <c r="S15" s="16">
        <f t="shared" si="3"/>
        <v>71071</v>
      </c>
      <c r="T15" s="16">
        <f t="shared" si="3"/>
        <v>0</v>
      </c>
      <c r="U15" s="16">
        <f t="shared" si="3"/>
        <v>451459</v>
      </c>
    </row>
    <row r="18" spans="1:32" ht="15.75" thickBot="1" x14ac:dyDescent="0.3">
      <c r="A18" s="4" t="s">
        <v>49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16</v>
      </c>
      <c r="J19" s="3" t="s">
        <v>4</v>
      </c>
      <c r="L19" s="2" t="s">
        <v>15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16</v>
      </c>
      <c r="U19" s="3" t="s">
        <v>4</v>
      </c>
    </row>
    <row r="20" spans="1:32" x14ac:dyDescent="0.25">
      <c r="A20" t="str">
        <f>$A$7</f>
        <v>Williamson</v>
      </c>
      <c r="B20" s="13">
        <f t="shared" ref="B20:H20" si="4">($U7/$J7)*B7</f>
        <v>20357.750420041277</v>
      </c>
      <c r="C20" s="13">
        <f t="shared" si="4"/>
        <v>3088.3665144649303</v>
      </c>
      <c r="D20" s="13">
        <f t="shared" si="4"/>
        <v>0</v>
      </c>
      <c r="E20" s="13">
        <f t="shared" si="4"/>
        <v>0</v>
      </c>
      <c r="F20" s="13">
        <f t="shared" si="4"/>
        <v>0</v>
      </c>
      <c r="G20" s="13">
        <f t="shared" si="4"/>
        <v>8018.8830654937901</v>
      </c>
      <c r="H20" s="13">
        <f t="shared" si="4"/>
        <v>0</v>
      </c>
      <c r="I20" s="13"/>
      <c r="J20" s="13">
        <f>SUM(B20:I20)</f>
        <v>31465</v>
      </c>
      <c r="K20" s="13"/>
      <c r="L20" t="str">
        <f>$A$7</f>
        <v>Williamson</v>
      </c>
      <c r="M20" s="13">
        <f t="shared" ref="M20:M26" si="5">M7</f>
        <v>21718</v>
      </c>
      <c r="N20" s="13">
        <f t="shared" ref="N20:U20" si="6">N7</f>
        <v>5228</v>
      </c>
      <c r="O20" s="13">
        <f t="shared" si="6"/>
        <v>1044</v>
      </c>
      <c r="P20" s="13">
        <f t="shared" si="6"/>
        <v>295</v>
      </c>
      <c r="Q20" s="13">
        <f t="shared" si="6"/>
        <v>213</v>
      </c>
      <c r="R20" s="13">
        <f t="shared" si="6"/>
        <v>2719</v>
      </c>
      <c r="S20" s="13">
        <f t="shared" si="6"/>
        <v>248</v>
      </c>
      <c r="T20" s="13"/>
      <c r="U20" s="13">
        <f t="shared" si="6"/>
        <v>31465</v>
      </c>
    </row>
    <row r="21" spans="1:32" x14ac:dyDescent="0.25">
      <c r="A21" t="str">
        <f>$A$8</f>
        <v>Rutherford</v>
      </c>
      <c r="B21" s="13">
        <f t="shared" ref="B21:G25" si="7">($U8/$J8)*B8</f>
        <v>4190.9997128550276</v>
      </c>
      <c r="C21" s="13">
        <f t="shared" si="7"/>
        <v>42309.000287144969</v>
      </c>
      <c r="D21" s="13">
        <f t="shared" si="7"/>
        <v>0</v>
      </c>
      <c r="E21" s="13">
        <f t="shared" si="7"/>
        <v>0</v>
      </c>
      <c r="F21" s="13">
        <f t="shared" si="7"/>
        <v>0</v>
      </c>
      <c r="G21" s="13">
        <f t="shared" si="7"/>
        <v>0</v>
      </c>
      <c r="H21" s="13">
        <f t="shared" ref="H21:H26" si="8">($U8/$J8)*H8</f>
        <v>0</v>
      </c>
      <c r="I21" s="13"/>
      <c r="J21" s="13">
        <f t="shared" ref="J21:J27" si="9">SUM(B21:I21)</f>
        <v>46500</v>
      </c>
      <c r="K21" s="13"/>
      <c r="L21" t="str">
        <f>$A$8</f>
        <v>Rutherford</v>
      </c>
      <c r="M21" s="13">
        <f t="shared" si="5"/>
        <v>4784</v>
      </c>
      <c r="N21" s="13">
        <f t="shared" ref="N21:S25" si="10">N8</f>
        <v>36692</v>
      </c>
      <c r="O21" s="13">
        <f t="shared" si="10"/>
        <v>2160</v>
      </c>
      <c r="P21" s="13">
        <f t="shared" si="10"/>
        <v>574</v>
      </c>
      <c r="Q21" s="13">
        <f t="shared" si="10"/>
        <v>351</v>
      </c>
      <c r="R21" s="13">
        <f t="shared" si="10"/>
        <v>1668</v>
      </c>
      <c r="S21" s="13">
        <f t="shared" si="10"/>
        <v>271</v>
      </c>
      <c r="T21" s="13"/>
      <c r="U21" s="13">
        <f t="shared" ref="U21:U26" si="11">U8</f>
        <v>46500</v>
      </c>
    </row>
    <row r="22" spans="1:32" x14ac:dyDescent="0.25">
      <c r="A22" t="str">
        <f>$A$9</f>
        <v>Sumner</v>
      </c>
      <c r="B22" s="13">
        <f t="shared" si="7"/>
        <v>0</v>
      </c>
      <c r="C22" s="13">
        <f t="shared" si="7"/>
        <v>586.58482977890139</v>
      </c>
      <c r="D22" s="13">
        <f t="shared" si="7"/>
        <v>43443.287670014884</v>
      </c>
      <c r="E22" s="13">
        <f t="shared" si="7"/>
        <v>2301.0861625252846</v>
      </c>
      <c r="F22" s="13">
        <f t="shared" si="7"/>
        <v>146.04133768094061</v>
      </c>
      <c r="G22" s="13">
        <f t="shared" si="7"/>
        <v>0</v>
      </c>
      <c r="H22" s="13">
        <f t="shared" si="8"/>
        <v>0</v>
      </c>
      <c r="I22" s="13"/>
      <c r="J22" s="13">
        <f t="shared" si="9"/>
        <v>46477.000000000007</v>
      </c>
      <c r="K22" s="14"/>
      <c r="L22" t="str">
        <f>$A$9</f>
        <v>Sumner</v>
      </c>
      <c r="M22" s="13">
        <f t="shared" si="5"/>
        <v>879</v>
      </c>
      <c r="N22" s="13">
        <f t="shared" si="10"/>
        <v>1505</v>
      </c>
      <c r="O22" s="13">
        <f t="shared" si="10"/>
        <v>35865</v>
      </c>
      <c r="P22" s="13">
        <f t="shared" si="10"/>
        <v>4093</v>
      </c>
      <c r="Q22" s="13">
        <f t="shared" si="10"/>
        <v>1123</v>
      </c>
      <c r="R22" s="13">
        <f t="shared" si="10"/>
        <v>2313</v>
      </c>
      <c r="S22" s="13">
        <f t="shared" si="10"/>
        <v>699</v>
      </c>
      <c r="T22" s="13"/>
      <c r="U22" s="13">
        <f t="shared" si="11"/>
        <v>46477</v>
      </c>
    </row>
    <row r="23" spans="1:32" x14ac:dyDescent="0.25">
      <c r="A23" t="str">
        <f>$A$10</f>
        <v>Roberston</v>
      </c>
      <c r="B23" s="13">
        <f t="shared" si="7"/>
        <v>0</v>
      </c>
      <c r="C23" s="13">
        <f t="shared" si="7"/>
        <v>191.10359640957006</v>
      </c>
      <c r="D23" s="13">
        <f t="shared" si="7"/>
        <v>3218.157868079014</v>
      </c>
      <c r="E23" s="13">
        <f t="shared" si="7"/>
        <v>100127.29472976674</v>
      </c>
      <c r="F23" s="13">
        <f t="shared" si="7"/>
        <v>5581.6991780480485</v>
      </c>
      <c r="G23" s="13">
        <f t="shared" si="7"/>
        <v>718.74462769663648</v>
      </c>
      <c r="H23" s="13">
        <f t="shared" si="8"/>
        <v>0</v>
      </c>
      <c r="I23" s="13"/>
      <c r="J23" s="13">
        <f>SUM(B23:I23)</f>
        <v>109837.00000000001</v>
      </c>
      <c r="K23" s="14"/>
      <c r="L23" t="str">
        <f>$A$10</f>
        <v>Roberston</v>
      </c>
      <c r="M23" s="13">
        <f t="shared" si="5"/>
        <v>781</v>
      </c>
      <c r="N23" s="13">
        <f t="shared" si="10"/>
        <v>1114</v>
      </c>
      <c r="O23" s="13">
        <f t="shared" si="10"/>
        <v>8597</v>
      </c>
      <c r="P23" s="13">
        <f t="shared" si="10"/>
        <v>85692</v>
      </c>
      <c r="Q23" s="13">
        <f t="shared" si="10"/>
        <v>6534</v>
      </c>
      <c r="R23" s="13">
        <f t="shared" si="10"/>
        <v>4705</v>
      </c>
      <c r="S23" s="13">
        <f t="shared" si="10"/>
        <v>2414</v>
      </c>
      <c r="T23" s="13"/>
      <c r="U23" s="13">
        <f t="shared" si="11"/>
        <v>109837</v>
      </c>
    </row>
    <row r="24" spans="1:32" x14ac:dyDescent="0.25">
      <c r="A24" t="str">
        <f>$A$11</f>
        <v>Davidson</v>
      </c>
      <c r="B24" s="13">
        <f t="shared" si="7"/>
        <v>0</v>
      </c>
      <c r="C24" s="13">
        <f t="shared" si="7"/>
        <v>0</v>
      </c>
      <c r="D24" s="13">
        <f t="shared" si="7"/>
        <v>809.49651526645539</v>
      </c>
      <c r="E24" s="13">
        <f t="shared" si="7"/>
        <v>7796.2184574630328</v>
      </c>
      <c r="F24" s="13">
        <f t="shared" si="7"/>
        <v>24754.225043741011</v>
      </c>
      <c r="G24" s="13">
        <f t="shared" si="7"/>
        <v>211.19066612895489</v>
      </c>
      <c r="H24" s="13">
        <f t="shared" si="8"/>
        <v>7503.8693174005466</v>
      </c>
      <c r="I24" s="13"/>
      <c r="J24" s="13">
        <f t="shared" si="9"/>
        <v>41075</v>
      </c>
      <c r="K24" s="14"/>
      <c r="L24" t="str">
        <f>$A$11</f>
        <v>Davidson</v>
      </c>
      <c r="M24" s="13">
        <f t="shared" si="5"/>
        <v>210</v>
      </c>
      <c r="N24" s="13">
        <f t="shared" si="10"/>
        <v>317</v>
      </c>
      <c r="O24" s="13">
        <f t="shared" si="10"/>
        <v>1671</v>
      </c>
      <c r="P24" s="13">
        <f t="shared" si="10"/>
        <v>3683</v>
      </c>
      <c r="Q24" s="13">
        <f t="shared" si="10"/>
        <v>28909</v>
      </c>
      <c r="R24" s="13">
        <f t="shared" si="10"/>
        <v>1667</v>
      </c>
      <c r="S24" s="13">
        <f t="shared" si="10"/>
        <v>4618</v>
      </c>
      <c r="T24" s="13"/>
      <c r="U24" s="13">
        <f t="shared" si="11"/>
        <v>41075</v>
      </c>
    </row>
    <row r="25" spans="1:32" x14ac:dyDescent="0.25">
      <c r="A25" t="str">
        <f>$A$12</f>
        <v>Maury</v>
      </c>
      <c r="B25" s="13">
        <f t="shared" si="7"/>
        <v>1507.4582849321516</v>
      </c>
      <c r="C25" s="13">
        <f t="shared" si="7"/>
        <v>0</v>
      </c>
      <c r="D25" s="13">
        <f t="shared" si="7"/>
        <v>0</v>
      </c>
      <c r="E25" s="13">
        <f t="shared" si="7"/>
        <v>4132.0739666449599</v>
      </c>
      <c r="F25" s="13">
        <f t="shared" si="7"/>
        <v>925.96548040399773</v>
      </c>
      <c r="G25" s="13">
        <f t="shared" si="7"/>
        <v>90419.156964340844</v>
      </c>
      <c r="H25" s="13">
        <f t="shared" si="8"/>
        <v>7949.3453036780547</v>
      </c>
      <c r="I25" s="13"/>
      <c r="J25" s="13">
        <f t="shared" si="9"/>
        <v>104934.00000000001</v>
      </c>
      <c r="K25" s="14"/>
      <c r="L25" t="str">
        <f>$A$12</f>
        <v>Maury</v>
      </c>
      <c r="M25" s="13">
        <f t="shared" si="5"/>
        <v>2841</v>
      </c>
      <c r="N25" s="13">
        <f t="shared" si="10"/>
        <v>1585</v>
      </c>
      <c r="O25" s="13">
        <f t="shared" si="10"/>
        <v>3339</v>
      </c>
      <c r="P25" s="13">
        <f t="shared" si="10"/>
        <v>2510</v>
      </c>
      <c r="Q25" s="13">
        <f t="shared" si="10"/>
        <v>1866</v>
      </c>
      <c r="R25" s="13">
        <f t="shared" si="10"/>
        <v>89624</v>
      </c>
      <c r="S25" s="13">
        <f t="shared" si="10"/>
        <v>3169</v>
      </c>
      <c r="T25" s="13"/>
      <c r="U25" s="13">
        <f t="shared" si="11"/>
        <v>104934</v>
      </c>
    </row>
    <row r="26" spans="1:32" x14ac:dyDescent="0.25">
      <c r="A26" t="str">
        <f>$A$13</f>
        <v>Wilson</v>
      </c>
      <c r="B26" s="13">
        <f>($U13/$J13)*B13</f>
        <v>0</v>
      </c>
      <c r="C26" s="13">
        <f t="shared" ref="C26:G26" si="12">($U13/$J13)*C13</f>
        <v>0</v>
      </c>
      <c r="D26" s="13">
        <f t="shared" si="12"/>
        <v>0</v>
      </c>
      <c r="E26" s="13">
        <f t="shared" si="12"/>
        <v>0</v>
      </c>
      <c r="F26" s="13">
        <f t="shared" si="12"/>
        <v>2075.9139278780222</v>
      </c>
      <c r="G26" s="13">
        <f t="shared" si="12"/>
        <v>1552.9536001683855</v>
      </c>
      <c r="H26" s="13">
        <f t="shared" si="8"/>
        <v>67542.132471953591</v>
      </c>
      <c r="I26" s="13"/>
      <c r="J26" s="13">
        <f t="shared" si="9"/>
        <v>71171</v>
      </c>
      <c r="K26" s="14"/>
      <c r="L26" t="str">
        <f>$A$13</f>
        <v>Wilson</v>
      </c>
      <c r="M26" s="13">
        <f t="shared" si="5"/>
        <v>193</v>
      </c>
      <c r="N26" s="13">
        <f t="shared" ref="N26:S26" si="13">N13</f>
        <v>260</v>
      </c>
      <c r="O26" s="13">
        <f t="shared" si="13"/>
        <v>1044</v>
      </c>
      <c r="P26" s="13">
        <f t="shared" si="13"/>
        <v>1322</v>
      </c>
      <c r="Q26" s="13">
        <f t="shared" si="13"/>
        <v>5120</v>
      </c>
      <c r="R26" s="13">
        <f t="shared" si="13"/>
        <v>3580</v>
      </c>
      <c r="S26" s="13">
        <f t="shared" si="13"/>
        <v>59652</v>
      </c>
      <c r="T26" s="13"/>
      <c r="U26" s="13">
        <f t="shared" si="11"/>
        <v>71171</v>
      </c>
    </row>
    <row r="27" spans="1:32" x14ac:dyDescent="0.25">
      <c r="A27" s="7" t="s">
        <v>16</v>
      </c>
      <c r="B27" s="15"/>
      <c r="C27" s="15"/>
      <c r="D27" s="15"/>
      <c r="E27" s="15"/>
      <c r="F27" s="15"/>
      <c r="G27" s="15"/>
      <c r="H27" s="15"/>
      <c r="I27" s="15"/>
      <c r="J27" s="15">
        <f t="shared" si="9"/>
        <v>0</v>
      </c>
      <c r="K27" s="13"/>
      <c r="L27" s="746" t="s">
        <v>16</v>
      </c>
      <c r="M27" s="15"/>
      <c r="N27" s="15"/>
      <c r="O27" s="15"/>
      <c r="P27" s="15"/>
      <c r="Q27" s="15"/>
      <c r="R27" s="15"/>
      <c r="S27" s="15"/>
      <c r="T27" s="15"/>
      <c r="U27" s="15"/>
    </row>
    <row r="28" spans="1:32" ht="15.75" thickBot="1" x14ac:dyDescent="0.3">
      <c r="A28" s="1" t="s">
        <v>4</v>
      </c>
      <c r="B28" s="16">
        <f t="shared" ref="B28:J28" si="14">SUM(B20:B27)</f>
        <v>26056.208417828457</v>
      </c>
      <c r="C28" s="16">
        <f t="shared" si="14"/>
        <v>46175.055227798366</v>
      </c>
      <c r="D28" s="16">
        <f t="shared" si="14"/>
        <v>47470.942053360355</v>
      </c>
      <c r="E28" s="16">
        <f t="shared" si="14"/>
        <v>114356.67331640003</v>
      </c>
      <c r="F28" s="16">
        <f t="shared" si="14"/>
        <v>33483.844967752018</v>
      </c>
      <c r="G28" s="16">
        <f t="shared" si="14"/>
        <v>100920.92892382861</v>
      </c>
      <c r="H28" s="16">
        <f t="shared" si="14"/>
        <v>82995.347093032193</v>
      </c>
      <c r="I28" s="16">
        <f t="shared" si="14"/>
        <v>0</v>
      </c>
      <c r="J28" s="16">
        <f t="shared" si="14"/>
        <v>451459</v>
      </c>
      <c r="K28" s="13"/>
      <c r="L28" s="16" t="s">
        <v>4</v>
      </c>
      <c r="M28" s="16">
        <f t="shared" ref="M28:U28" si="15">M15</f>
        <v>31406</v>
      </c>
      <c r="N28" s="16">
        <f t="shared" si="15"/>
        <v>46701</v>
      </c>
      <c r="O28" s="16">
        <f t="shared" si="15"/>
        <v>53720</v>
      </c>
      <c r="P28" s="16">
        <f t="shared" si="15"/>
        <v>98169</v>
      </c>
      <c r="Q28" s="16">
        <f t="shared" si="15"/>
        <v>44116</v>
      </c>
      <c r="R28" s="16">
        <f t="shared" si="15"/>
        <v>106276</v>
      </c>
      <c r="S28" s="16">
        <f t="shared" si="15"/>
        <v>71071</v>
      </c>
      <c r="T28" s="16"/>
      <c r="U28" s="16">
        <f t="shared" si="15"/>
        <v>451459</v>
      </c>
    </row>
    <row r="31" spans="1:32" ht="15.75" thickBot="1" x14ac:dyDescent="0.3">
      <c r="A31" s="4" t="s">
        <v>50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16</v>
      </c>
      <c r="J32" s="3" t="s">
        <v>4</v>
      </c>
      <c r="L32" s="2" t="s">
        <v>15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16</v>
      </c>
      <c r="U32" s="3" t="s">
        <v>4</v>
      </c>
      <c r="W32" s="2" t="s">
        <v>15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16</v>
      </c>
      <c r="AF32" s="3" t="s">
        <v>4</v>
      </c>
    </row>
    <row r="33" spans="1:32" x14ac:dyDescent="0.25">
      <c r="A33" t="str">
        <f>$A$7</f>
        <v>Williamson</v>
      </c>
      <c r="B33" s="17">
        <f t="shared" ref="B33:H33" si="16">B20/$J$28</f>
        <v>4.5093243063138132E-2</v>
      </c>
      <c r="C33" s="17">
        <f t="shared" si="16"/>
        <v>6.8408571198379708E-3</v>
      </c>
      <c r="D33" s="17">
        <f t="shared" si="16"/>
        <v>0</v>
      </c>
      <c r="E33" s="17">
        <f t="shared" si="16"/>
        <v>0</v>
      </c>
      <c r="F33" s="17">
        <f t="shared" si="16"/>
        <v>0</v>
      </c>
      <c r="G33" s="17">
        <f t="shared" si="16"/>
        <v>1.7762151303869874E-2</v>
      </c>
      <c r="H33" s="17">
        <f t="shared" si="16"/>
        <v>0</v>
      </c>
      <c r="I33" s="13"/>
      <c r="J33" s="17">
        <f t="shared" ref="J33:J39" si="17">J20/$J$28</f>
        <v>6.9696251486845981E-2</v>
      </c>
      <c r="K33" s="13"/>
      <c r="L33" t="str">
        <f>$A$7</f>
        <v>Williamson</v>
      </c>
      <c r="M33" s="17">
        <f t="shared" ref="M33:S33" si="18">M20/$U$28</f>
        <v>4.8106251065988273E-2</v>
      </c>
      <c r="N33" s="17">
        <f t="shared" si="18"/>
        <v>1.1580232091950764E-2</v>
      </c>
      <c r="O33" s="17">
        <f t="shared" si="18"/>
        <v>2.3125023534806039E-3</v>
      </c>
      <c r="P33" s="17">
        <f t="shared" si="18"/>
        <v>6.5343696769806336E-4</v>
      </c>
      <c r="Q33" s="17">
        <f t="shared" si="18"/>
        <v>4.7180364108368643E-4</v>
      </c>
      <c r="R33" s="17">
        <f t="shared" si="18"/>
        <v>6.022695305664523E-3</v>
      </c>
      <c r="S33" s="17">
        <f t="shared" si="18"/>
        <v>5.4933006098006681E-4</v>
      </c>
      <c r="T33" s="17"/>
      <c r="U33" s="17">
        <f t="shared" ref="U33:U39" si="19">U20/$U$28</f>
        <v>6.9696251486845981E-2</v>
      </c>
      <c r="W33" t="str">
        <f>$A$7</f>
        <v>Williamson</v>
      </c>
      <c r="X33" s="17">
        <f t="shared" ref="X33:AD39" si="20">M33-B33</f>
        <v>3.0130080028501413E-3</v>
      </c>
      <c r="Y33" s="17">
        <f t="shared" si="20"/>
        <v>4.7393749721127932E-3</v>
      </c>
      <c r="Z33" s="17">
        <f t="shared" si="20"/>
        <v>2.3125023534806039E-3</v>
      </c>
      <c r="AA33" s="17">
        <f t="shared" si="20"/>
        <v>6.5343696769806336E-4</v>
      </c>
      <c r="AB33" s="17">
        <f t="shared" si="20"/>
        <v>4.7180364108368643E-4</v>
      </c>
      <c r="AC33" s="17">
        <f t="shared" si="20"/>
        <v>-1.1739455998205351E-2</v>
      </c>
      <c r="AD33" s="17">
        <f t="shared" si="20"/>
        <v>5.4933006098006681E-4</v>
      </c>
      <c r="AE33" s="17"/>
      <c r="AF33" s="17">
        <f t="shared" ref="AF33:AF39" si="21">U33-J33</f>
        <v>0</v>
      </c>
    </row>
    <row r="34" spans="1:32" x14ac:dyDescent="0.25">
      <c r="A34" t="str">
        <f>$A$8</f>
        <v>Rutherford</v>
      </c>
      <c r="B34" s="17">
        <f t="shared" ref="B34:G38" si="22">B21/$J$28</f>
        <v>9.2832343864116731E-3</v>
      </c>
      <c r="C34" s="17">
        <f t="shared" si="22"/>
        <v>9.3716152047350856E-2</v>
      </c>
      <c r="D34" s="17">
        <f t="shared" si="22"/>
        <v>0</v>
      </c>
      <c r="E34" s="17">
        <f t="shared" si="22"/>
        <v>0</v>
      </c>
      <c r="F34" s="17">
        <f t="shared" si="22"/>
        <v>0</v>
      </c>
      <c r="G34" s="17">
        <f t="shared" si="22"/>
        <v>0</v>
      </c>
      <c r="H34" s="17">
        <f t="shared" ref="H34:H39" si="23">H21/$J$28</f>
        <v>0</v>
      </c>
      <c r="I34" s="13"/>
      <c r="J34" s="17">
        <f t="shared" si="17"/>
        <v>0.10299938643376254</v>
      </c>
      <c r="K34" s="13"/>
      <c r="L34" t="str">
        <f>$A$8</f>
        <v>Rutherford</v>
      </c>
      <c r="M34" s="17">
        <f t="shared" ref="M34:R38" si="24">M21/$U$28</f>
        <v>1.0596754079550966E-2</v>
      </c>
      <c r="N34" s="17">
        <f t="shared" si="24"/>
        <v>8.1274268538228278E-2</v>
      </c>
      <c r="O34" s="17">
        <f t="shared" si="24"/>
        <v>4.7844876278909047E-3</v>
      </c>
      <c r="P34" s="17">
        <f t="shared" si="24"/>
        <v>1.2714332863006386E-3</v>
      </c>
      <c r="Q34" s="17">
        <f t="shared" si="24"/>
        <v>7.7747923953227203E-4</v>
      </c>
      <c r="R34" s="17">
        <f t="shared" si="24"/>
        <v>3.694687668204643E-3</v>
      </c>
      <c r="S34" s="17">
        <f t="shared" ref="S34:S39" si="25">S21/$U$28</f>
        <v>6.0027599405483112E-4</v>
      </c>
      <c r="T34" s="17"/>
      <c r="U34" s="17">
        <f t="shared" si="19"/>
        <v>0.10299938643376254</v>
      </c>
      <c r="W34" t="str">
        <f>$A$8</f>
        <v>Rutherford</v>
      </c>
      <c r="X34" s="17">
        <f t="shared" ref="X34:X39" si="26">M34-B34</f>
        <v>1.3135196931392933E-3</v>
      </c>
      <c r="Y34" s="17">
        <f t="shared" ref="Y34:AC39" si="27">N34-C34</f>
        <v>-1.2441883509122578E-2</v>
      </c>
      <c r="Z34" s="17">
        <f t="shared" si="27"/>
        <v>4.7844876278909047E-3</v>
      </c>
      <c r="AA34" s="17">
        <f t="shared" si="27"/>
        <v>1.2714332863006386E-3</v>
      </c>
      <c r="AB34" s="17">
        <f t="shared" si="27"/>
        <v>7.7747923953227203E-4</v>
      </c>
      <c r="AC34" s="17">
        <f t="shared" si="27"/>
        <v>3.694687668204643E-3</v>
      </c>
      <c r="AD34" s="17">
        <f t="shared" si="20"/>
        <v>6.0027599405483112E-4</v>
      </c>
      <c r="AE34" s="17"/>
      <c r="AF34" s="17">
        <f t="shared" si="21"/>
        <v>0</v>
      </c>
    </row>
    <row r="35" spans="1:32" x14ac:dyDescent="0.25">
      <c r="A35" t="str">
        <f>$A$9</f>
        <v>Sumner</v>
      </c>
      <c r="B35" s="17">
        <f t="shared" si="22"/>
        <v>0</v>
      </c>
      <c r="C35" s="17">
        <f t="shared" si="22"/>
        <v>1.2993091948081696E-3</v>
      </c>
      <c r="D35" s="17">
        <f t="shared" si="22"/>
        <v>9.622864461670913E-2</v>
      </c>
      <c r="E35" s="17">
        <f t="shared" si="22"/>
        <v>5.0969992015338812E-3</v>
      </c>
      <c r="F35" s="17">
        <f t="shared" si="22"/>
        <v>3.2348748763661952E-4</v>
      </c>
      <c r="G35" s="17">
        <f t="shared" si="22"/>
        <v>0</v>
      </c>
      <c r="H35" s="17">
        <f t="shared" si="23"/>
        <v>0</v>
      </c>
      <c r="I35" s="13"/>
      <c r="J35" s="17">
        <f t="shared" si="17"/>
        <v>0.10294844050068779</v>
      </c>
      <c r="K35" s="14"/>
      <c r="L35" t="str">
        <f>$A$9</f>
        <v>Sumner</v>
      </c>
      <c r="M35" s="17">
        <f t="shared" si="24"/>
        <v>1.9470206596833822E-3</v>
      </c>
      <c r="N35" s="17">
        <f t="shared" si="24"/>
        <v>3.3336360555443574E-3</v>
      </c>
      <c r="O35" s="17">
        <f t="shared" si="24"/>
        <v>7.9442429988105231E-2</v>
      </c>
      <c r="P35" s="17">
        <f t="shared" si="24"/>
        <v>9.0661610467395702E-3</v>
      </c>
      <c r="Q35" s="17">
        <f t="shared" si="24"/>
        <v>2.487490558389577E-3</v>
      </c>
      <c r="R35" s="17">
        <f t="shared" si="24"/>
        <v>5.1233888348665105E-3</v>
      </c>
      <c r="S35" s="17">
        <f t="shared" si="25"/>
        <v>1.5483133573591401E-3</v>
      </c>
      <c r="T35" s="17"/>
      <c r="U35" s="17">
        <f t="shared" si="19"/>
        <v>0.10294844050068777</v>
      </c>
      <c r="W35" t="str">
        <f>$A$9</f>
        <v>Sumner</v>
      </c>
      <c r="X35" s="17">
        <f t="shared" si="26"/>
        <v>1.9470206596833822E-3</v>
      </c>
      <c r="Y35" s="17">
        <f t="shared" si="27"/>
        <v>2.0343268607361875E-3</v>
      </c>
      <c r="Z35" s="17">
        <f t="shared" si="27"/>
        <v>-1.6786214628603899E-2</v>
      </c>
      <c r="AA35" s="17">
        <f t="shared" si="27"/>
        <v>3.969161845205689E-3</v>
      </c>
      <c r="AB35" s="17">
        <f t="shared" si="27"/>
        <v>2.1640030707529576E-3</v>
      </c>
      <c r="AC35" s="17">
        <f t="shared" si="27"/>
        <v>5.1233888348665105E-3</v>
      </c>
      <c r="AD35" s="17">
        <f t="shared" si="20"/>
        <v>1.5483133573591401E-3</v>
      </c>
      <c r="AE35" s="17"/>
      <c r="AF35" s="17">
        <f t="shared" si="21"/>
        <v>0</v>
      </c>
    </row>
    <row r="36" spans="1:32" x14ac:dyDescent="0.25">
      <c r="A36" t="str">
        <f>$A$10</f>
        <v>Roberston</v>
      </c>
      <c r="B36" s="17">
        <f t="shared" si="22"/>
        <v>0</v>
      </c>
      <c r="C36" s="17">
        <f t="shared" si="22"/>
        <v>4.233022188273355E-4</v>
      </c>
      <c r="D36" s="17">
        <f t="shared" si="22"/>
        <v>7.1283502335295432E-3</v>
      </c>
      <c r="E36" s="17">
        <f t="shared" si="22"/>
        <v>0.22178601983738666</v>
      </c>
      <c r="F36" s="17">
        <f t="shared" si="22"/>
        <v>1.2363690120360982E-2</v>
      </c>
      <c r="G36" s="17">
        <f t="shared" si="22"/>
        <v>1.5920485087164869E-3</v>
      </c>
      <c r="H36" s="17">
        <f t="shared" si="23"/>
        <v>0</v>
      </c>
      <c r="I36" s="13"/>
      <c r="J36" s="17">
        <f t="shared" si="17"/>
        <v>0.24329341091882101</v>
      </c>
      <c r="K36" s="14"/>
      <c r="L36" t="str">
        <f>$A$10</f>
        <v>Roberston</v>
      </c>
      <c r="M36" s="17">
        <f t="shared" si="24"/>
        <v>1.7299466839735169E-3</v>
      </c>
      <c r="N36" s="17">
        <f t="shared" si="24"/>
        <v>2.4675551932733649E-3</v>
      </c>
      <c r="O36" s="17">
        <f t="shared" si="24"/>
        <v>1.9042703767119494E-2</v>
      </c>
      <c r="P36" s="17">
        <f t="shared" si="24"/>
        <v>0.18981125639316085</v>
      </c>
      <c r="Q36" s="17">
        <f t="shared" si="24"/>
        <v>1.4473075074369988E-2</v>
      </c>
      <c r="R36" s="17">
        <f t="shared" si="24"/>
        <v>1.0421765874641994E-2</v>
      </c>
      <c r="S36" s="17">
        <f t="shared" si="25"/>
        <v>5.3471079322817798E-3</v>
      </c>
      <c r="T36" s="17"/>
      <c r="U36" s="17">
        <f t="shared" si="19"/>
        <v>0.24329341091882098</v>
      </c>
      <c r="W36" t="str">
        <f>$A$10</f>
        <v>Roberston</v>
      </c>
      <c r="X36" s="17">
        <f t="shared" si="26"/>
        <v>1.7299466839735169E-3</v>
      </c>
      <c r="Y36" s="17">
        <f t="shared" si="27"/>
        <v>2.0442529744460294E-3</v>
      </c>
      <c r="Z36" s="17">
        <f t="shared" si="27"/>
        <v>1.1914353533589951E-2</v>
      </c>
      <c r="AA36" s="17">
        <f t="shared" si="27"/>
        <v>-3.1974763444225812E-2</v>
      </c>
      <c r="AB36" s="17">
        <f t="shared" si="27"/>
        <v>2.1093849540090061E-3</v>
      </c>
      <c r="AC36" s="17">
        <f t="shared" si="27"/>
        <v>8.829717365925506E-3</v>
      </c>
      <c r="AD36" s="17">
        <f t="shared" si="20"/>
        <v>5.3471079322817798E-3</v>
      </c>
      <c r="AE36" s="17"/>
      <c r="AF36" s="17">
        <f t="shared" si="21"/>
        <v>0</v>
      </c>
    </row>
    <row r="37" spans="1:32" x14ac:dyDescent="0.25">
      <c r="A37" t="str">
        <f>$A$11</f>
        <v>Davidson</v>
      </c>
      <c r="B37" s="17">
        <f t="shared" si="22"/>
        <v>0</v>
      </c>
      <c r="C37" s="17">
        <f t="shared" si="22"/>
        <v>0</v>
      </c>
      <c r="D37" s="17">
        <f t="shared" si="22"/>
        <v>1.7930676213486836E-3</v>
      </c>
      <c r="E37" s="17">
        <f t="shared" si="22"/>
        <v>1.7268940163919722E-2</v>
      </c>
      <c r="F37" s="17">
        <f t="shared" si="22"/>
        <v>5.4831612712873179E-2</v>
      </c>
      <c r="G37" s="17">
        <f t="shared" si="22"/>
        <v>4.6779589315741827E-4</v>
      </c>
      <c r="H37" s="17">
        <f t="shared" si="23"/>
        <v>1.6621374958524577E-2</v>
      </c>
      <c r="I37" s="13"/>
      <c r="J37" s="17">
        <f t="shared" si="17"/>
        <v>9.0982791349823566E-2</v>
      </c>
      <c r="K37" s="14"/>
      <c r="L37" t="str">
        <f>$A$11</f>
        <v>Davidson</v>
      </c>
      <c r="M37" s="17">
        <f t="shared" si="24"/>
        <v>4.6515851937828243E-4</v>
      </c>
      <c r="N37" s="17">
        <f t="shared" si="24"/>
        <v>7.0216786020435963E-4</v>
      </c>
      <c r="O37" s="17">
        <f t="shared" si="24"/>
        <v>3.7013327899100474E-3</v>
      </c>
      <c r="P37" s="17">
        <f t="shared" si="24"/>
        <v>8.1579944136676869E-3</v>
      </c>
      <c r="Q37" s="17">
        <f t="shared" si="24"/>
        <v>6.403460779384175E-2</v>
      </c>
      <c r="R37" s="17">
        <f t="shared" si="24"/>
        <v>3.6924726276361753E-3</v>
      </c>
      <c r="S37" s="17">
        <f t="shared" si="25"/>
        <v>1.0229057345185278E-2</v>
      </c>
      <c r="T37" s="17"/>
      <c r="U37" s="17">
        <f t="shared" si="19"/>
        <v>9.0982791349823566E-2</v>
      </c>
      <c r="W37" t="str">
        <f>$A$11</f>
        <v>Davidson</v>
      </c>
      <c r="X37" s="17">
        <f t="shared" si="26"/>
        <v>4.6515851937828243E-4</v>
      </c>
      <c r="Y37" s="17">
        <f t="shared" si="27"/>
        <v>7.0216786020435963E-4</v>
      </c>
      <c r="Z37" s="17">
        <f t="shared" si="27"/>
        <v>1.9082651685613638E-3</v>
      </c>
      <c r="AA37" s="17">
        <f t="shared" si="27"/>
        <v>-9.1109457502520346E-3</v>
      </c>
      <c r="AB37" s="17">
        <f t="shared" si="27"/>
        <v>9.2029950809685707E-3</v>
      </c>
      <c r="AC37" s="17">
        <f t="shared" si="27"/>
        <v>3.224676734478757E-3</v>
      </c>
      <c r="AD37" s="17">
        <f t="shared" si="20"/>
        <v>-6.3923176133392993E-3</v>
      </c>
      <c r="AE37" s="17"/>
      <c r="AF37" s="17">
        <f t="shared" si="21"/>
        <v>0</v>
      </c>
    </row>
    <row r="38" spans="1:32" x14ac:dyDescent="0.25">
      <c r="A38" t="str">
        <f>$A$12</f>
        <v>Maury</v>
      </c>
      <c r="B38" s="17">
        <f t="shared" si="22"/>
        <v>3.3390812563979266E-3</v>
      </c>
      <c r="C38" s="17">
        <f t="shared" si="22"/>
        <v>0</v>
      </c>
      <c r="D38" s="17">
        <f t="shared" si="22"/>
        <v>0</v>
      </c>
      <c r="E38" s="17">
        <f t="shared" si="22"/>
        <v>9.1527114680291233E-3</v>
      </c>
      <c r="F38" s="17">
        <f t="shared" si="22"/>
        <v>2.0510511040958265E-3</v>
      </c>
      <c r="G38" s="17">
        <f t="shared" si="22"/>
        <v>0.20028210084269191</v>
      </c>
      <c r="H38" s="17">
        <f t="shared" si="23"/>
        <v>1.7608122340407557E-2</v>
      </c>
      <c r="I38" s="13"/>
      <c r="J38" s="17">
        <f t="shared" si="17"/>
        <v>0.23243306701162236</v>
      </c>
      <c r="K38" s="14"/>
      <c r="L38" t="str">
        <f>$A$12</f>
        <v>Maury</v>
      </c>
      <c r="M38" s="17">
        <f t="shared" si="24"/>
        <v>6.2929302550176203E-3</v>
      </c>
      <c r="N38" s="17">
        <f t="shared" si="24"/>
        <v>3.5108393010217982E-3</v>
      </c>
      <c r="O38" s="17">
        <f t="shared" si="24"/>
        <v>7.39602045811469E-3</v>
      </c>
      <c r="P38" s="17">
        <f t="shared" si="24"/>
        <v>5.5597518268547088E-3</v>
      </c>
      <c r="Q38" s="17">
        <f t="shared" si="24"/>
        <v>4.1332657007613098E-3</v>
      </c>
      <c r="R38" s="17">
        <f t="shared" si="24"/>
        <v>0.19852079590837707</v>
      </c>
      <c r="S38" s="17">
        <f t="shared" si="25"/>
        <v>7.0194635614751286E-3</v>
      </c>
      <c r="T38" s="17"/>
      <c r="U38" s="17">
        <f t="shared" si="19"/>
        <v>0.23243306701162231</v>
      </c>
      <c r="W38" t="str">
        <f>$A$12</f>
        <v>Maury</v>
      </c>
      <c r="X38" s="17">
        <f t="shared" si="26"/>
        <v>2.9538489986196937E-3</v>
      </c>
      <c r="Y38" s="17">
        <f t="shared" si="27"/>
        <v>3.5108393010217982E-3</v>
      </c>
      <c r="Z38" s="17">
        <f t="shared" si="27"/>
        <v>7.39602045811469E-3</v>
      </c>
      <c r="AA38" s="17">
        <f t="shared" si="27"/>
        <v>-3.5929596411744145E-3</v>
      </c>
      <c r="AB38" s="17">
        <f t="shared" si="27"/>
        <v>2.0822145966654833E-3</v>
      </c>
      <c r="AC38" s="17">
        <f t="shared" si="27"/>
        <v>-1.761304934314839E-3</v>
      </c>
      <c r="AD38" s="17">
        <f t="shared" si="20"/>
        <v>-1.0588658778932428E-2</v>
      </c>
      <c r="AE38" s="17"/>
      <c r="AF38" s="17">
        <f t="shared" si="21"/>
        <v>0</v>
      </c>
    </row>
    <row r="39" spans="1:32" x14ac:dyDescent="0.25">
      <c r="A39" t="str">
        <f>$A$13</f>
        <v>Wilson</v>
      </c>
      <c r="B39" s="17">
        <f>B26/$J$28</f>
        <v>0</v>
      </c>
      <c r="C39" s="17">
        <f t="shared" ref="C39:G39" si="28">C26/$J$28</f>
        <v>0</v>
      </c>
      <c r="D39" s="17">
        <f t="shared" si="28"/>
        <v>0</v>
      </c>
      <c r="E39" s="17">
        <f t="shared" si="28"/>
        <v>0</v>
      </c>
      <c r="F39" s="17">
        <f t="shared" si="28"/>
        <v>4.5982335668975968E-3</v>
      </c>
      <c r="G39" s="17">
        <f t="shared" si="28"/>
        <v>3.4398552253214255E-3</v>
      </c>
      <c r="H39" s="17">
        <f t="shared" si="23"/>
        <v>0.14960856350621782</v>
      </c>
      <c r="I39" s="13"/>
      <c r="J39" s="17">
        <f t="shared" si="17"/>
        <v>0.15764665229843686</v>
      </c>
      <c r="K39" s="14"/>
      <c r="L39" t="str">
        <f>$A$13</f>
        <v>Wilson</v>
      </c>
      <c r="M39" s="17">
        <f>M26/$U$28</f>
        <v>4.2750282971432623E-4</v>
      </c>
      <c r="N39" s="17">
        <f t="shared" ref="N39:R39" si="29">N26/$U$28</f>
        <v>5.7591054780168304E-4</v>
      </c>
      <c r="O39" s="17">
        <f t="shared" si="29"/>
        <v>2.3125023534806039E-3</v>
      </c>
      <c r="P39" s="17">
        <f t="shared" si="29"/>
        <v>2.928283631514711E-3</v>
      </c>
      <c r="Q39" s="17">
        <f t="shared" si="29"/>
        <v>1.1341007710556218E-2</v>
      </c>
      <c r="R39" s="17">
        <f t="shared" si="29"/>
        <v>7.9298452351154805E-3</v>
      </c>
      <c r="S39" s="17">
        <f t="shared" si="25"/>
        <v>0.13213159999025381</v>
      </c>
      <c r="T39" s="17"/>
      <c r="U39" s="17">
        <f t="shared" si="19"/>
        <v>0.15764665229843686</v>
      </c>
      <c r="W39" t="str">
        <f>$A$13</f>
        <v>Wilson</v>
      </c>
      <c r="X39" s="17">
        <f t="shared" si="26"/>
        <v>4.2750282971432623E-4</v>
      </c>
      <c r="Y39" s="17">
        <f t="shared" si="27"/>
        <v>5.7591054780168304E-4</v>
      </c>
      <c r="Z39" s="17">
        <f t="shared" si="27"/>
        <v>2.3125023534806039E-3</v>
      </c>
      <c r="AA39" s="17">
        <f t="shared" si="27"/>
        <v>2.928283631514711E-3</v>
      </c>
      <c r="AB39" s="17">
        <f t="shared" si="27"/>
        <v>6.7427741436586214E-3</v>
      </c>
      <c r="AC39" s="17">
        <f t="shared" si="27"/>
        <v>4.4899900097940555E-3</v>
      </c>
      <c r="AD39" s="17">
        <f t="shared" si="20"/>
        <v>-1.7476963515964006E-2</v>
      </c>
      <c r="AE39" s="17"/>
      <c r="AF39" s="17">
        <f t="shared" si="21"/>
        <v>0</v>
      </c>
    </row>
    <row r="40" spans="1:32" x14ac:dyDescent="0.25">
      <c r="A40" s="7" t="s">
        <v>16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746" t="s">
        <v>16</v>
      </c>
      <c r="M40" s="18"/>
      <c r="N40" s="18"/>
      <c r="O40" s="18"/>
      <c r="P40" s="18"/>
      <c r="Q40" s="18"/>
      <c r="R40" s="18"/>
      <c r="S40" s="18"/>
      <c r="T40" s="18"/>
      <c r="U40" s="18"/>
      <c r="W40" s="746" t="s">
        <v>16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thickBot="1" x14ac:dyDescent="0.3">
      <c r="A41" s="1" t="s">
        <v>4</v>
      </c>
      <c r="B41" s="19">
        <f t="shared" ref="B41:G41" si="30">B28/$J$28</f>
        <v>5.7715558705947731E-2</v>
      </c>
      <c r="C41" s="19">
        <f t="shared" si="30"/>
        <v>0.10227962058082432</v>
      </c>
      <c r="D41" s="19">
        <f t="shared" si="30"/>
        <v>0.10515006247158735</v>
      </c>
      <c r="E41" s="19">
        <f t="shared" si="30"/>
        <v>0.25330467067086943</v>
      </c>
      <c r="F41" s="19">
        <f t="shared" si="30"/>
        <v>7.4168074991864202E-2</v>
      </c>
      <c r="G41" s="19">
        <f t="shared" si="30"/>
        <v>0.2235439517737571</v>
      </c>
      <c r="H41" s="19"/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6.9565564093306373E-2</v>
      </c>
      <c r="N41" s="19">
        <f>N28/$U$28</f>
        <v>0.10344460958802461</v>
      </c>
      <c r="O41" s="19">
        <f>O28/$U$28</f>
        <v>0.11899197933810157</v>
      </c>
      <c r="P41" s="19">
        <f>P28/$U$28</f>
        <v>0.21744831756593622</v>
      </c>
      <c r="Q41" s="19">
        <f t="shared" ref="Q41:S41" si="31">Q28/$U$28</f>
        <v>9.7718729718534791E-2</v>
      </c>
      <c r="R41" s="19">
        <f t="shared" si="31"/>
        <v>0.2354056514545064</v>
      </c>
      <c r="S41" s="19">
        <f t="shared" si="31"/>
        <v>0.15742514824159004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D41" si="32">M41-B41</f>
        <v>1.1850005387358642E-2</v>
      </c>
      <c r="Y41" s="19">
        <f t="shared" si="32"/>
        <v>1.1649890072002872E-3</v>
      </c>
      <c r="Z41" s="19">
        <f t="shared" si="32"/>
        <v>1.3841916866514217E-2</v>
      </c>
      <c r="AA41" s="19">
        <f t="shared" si="32"/>
        <v>-3.5856353104933208E-2</v>
      </c>
      <c r="AB41" s="19">
        <f t="shared" si="32"/>
        <v>2.3550654726670589E-2</v>
      </c>
      <c r="AC41" s="19">
        <f t="shared" si="32"/>
        <v>1.1861699680749294E-2</v>
      </c>
      <c r="AD41" s="19">
        <f t="shared" si="32"/>
        <v>0.15742514824159004</v>
      </c>
      <c r="AE41" s="19">
        <f>T41-I41</f>
        <v>0</v>
      </c>
      <c r="AF41" s="19">
        <f>U41-J41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267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620"/>
  <sheetViews>
    <sheetView workbookViewId="0">
      <selection activeCell="K31" sqref="K31"/>
    </sheetView>
  </sheetViews>
  <sheetFormatPr defaultRowHeight="15" x14ac:dyDescent="0.25"/>
  <sheetData>
    <row r="1" spans="1:11" x14ac:dyDescent="0.25">
      <c r="A1" s="750" t="s">
        <v>240</v>
      </c>
      <c r="B1" s="775"/>
      <c r="C1" s="775"/>
      <c r="D1" s="775"/>
      <c r="E1" s="775"/>
      <c r="F1" s="775"/>
      <c r="G1" s="775"/>
      <c r="H1" s="775" t="s">
        <v>241</v>
      </c>
      <c r="I1" s="775"/>
      <c r="J1" s="775"/>
      <c r="K1" s="775"/>
    </row>
    <row r="2" spans="1:11" x14ac:dyDescent="0.25">
      <c r="A2" s="775">
        <v>1</v>
      </c>
      <c r="B2" s="775" t="s">
        <v>242</v>
      </c>
      <c r="C2" s="775"/>
      <c r="D2" s="775"/>
      <c r="E2" s="775"/>
      <c r="F2" s="775"/>
      <c r="G2" s="775"/>
      <c r="H2" s="775"/>
      <c r="I2" s="775"/>
      <c r="J2" s="775"/>
      <c r="K2" s="775"/>
    </row>
    <row r="3" spans="1:11" x14ac:dyDescent="0.25">
      <c r="A3" s="775">
        <v>2</v>
      </c>
      <c r="B3" s="775" t="s">
        <v>243</v>
      </c>
      <c r="C3" s="775"/>
      <c r="D3" s="775"/>
      <c r="E3" s="775"/>
      <c r="F3" s="775"/>
      <c r="G3" s="775"/>
      <c r="H3" s="775"/>
      <c r="I3" s="775"/>
      <c r="J3" s="775"/>
      <c r="K3" s="775"/>
    </row>
    <row r="4" spans="1:11" x14ac:dyDescent="0.25">
      <c r="A4" s="775">
        <v>3</v>
      </c>
      <c r="B4" s="775" t="s">
        <v>244</v>
      </c>
      <c r="C4" s="775"/>
      <c r="D4" s="775"/>
      <c r="E4" s="775"/>
      <c r="F4" s="775"/>
      <c r="G4" s="775"/>
      <c r="H4" s="775"/>
      <c r="I4" s="775"/>
      <c r="J4" s="775"/>
      <c r="K4" s="775"/>
    </row>
    <row r="5" spans="1:11" x14ac:dyDescent="0.25">
      <c r="A5" s="775">
        <v>4</v>
      </c>
      <c r="B5" s="775" t="s">
        <v>245</v>
      </c>
      <c r="C5" s="775"/>
      <c r="D5" s="775"/>
      <c r="E5" s="775"/>
      <c r="F5" s="775"/>
      <c r="G5" s="775"/>
      <c r="H5" s="775"/>
      <c r="I5" s="775"/>
      <c r="J5" s="775"/>
      <c r="K5" s="775"/>
    </row>
    <row r="8" spans="1:11" x14ac:dyDescent="0.25">
      <c r="B8" t="s">
        <v>246</v>
      </c>
      <c r="C8" t="s">
        <v>247</v>
      </c>
      <c r="D8" t="s">
        <v>248</v>
      </c>
      <c r="E8" t="s">
        <v>249</v>
      </c>
      <c r="F8" t="s">
        <v>250</v>
      </c>
      <c r="G8" t="s">
        <v>251</v>
      </c>
      <c r="H8" t="s">
        <v>252</v>
      </c>
    </row>
    <row r="9" spans="1:11" x14ac:dyDescent="0.25">
      <c r="A9" t="s">
        <v>253</v>
      </c>
      <c r="B9" t="s">
        <v>254</v>
      </c>
      <c r="C9" t="s">
        <v>255</v>
      </c>
      <c r="D9" t="s">
        <v>256</v>
      </c>
      <c r="E9">
        <v>4</v>
      </c>
      <c r="F9" s="790">
        <v>0.48607638888888888</v>
      </c>
      <c r="G9" t="s">
        <v>257</v>
      </c>
      <c r="H9">
        <v>24</v>
      </c>
      <c r="I9" t="s">
        <v>258</v>
      </c>
      <c r="J9">
        <v>12</v>
      </c>
    </row>
    <row r="10" spans="1:11" x14ac:dyDescent="0.25">
      <c r="A10" t="s">
        <v>259</v>
      </c>
    </row>
    <row r="11" spans="1:11" x14ac:dyDescent="0.25">
      <c r="B11">
        <v>1</v>
      </c>
      <c r="C11" t="s">
        <v>58</v>
      </c>
      <c r="D11" t="s">
        <v>260</v>
      </c>
      <c r="E11">
        <v>1</v>
      </c>
      <c r="F11">
        <v>0</v>
      </c>
    </row>
    <row r="12" spans="1:11" x14ac:dyDescent="0.25">
      <c r="B12">
        <v>2</v>
      </c>
      <c r="C12" t="s">
        <v>61</v>
      </c>
      <c r="D12" t="s">
        <v>261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64</v>
      </c>
      <c r="D13" t="s">
        <v>261</v>
      </c>
      <c r="E13" s="791">
        <v>7.0220312730799997E-2</v>
      </c>
      <c r="F13">
        <v>0.25869937796300002</v>
      </c>
    </row>
    <row r="14" spans="1:11" x14ac:dyDescent="0.25">
      <c r="B14">
        <v>4</v>
      </c>
      <c r="C14" t="s">
        <v>67</v>
      </c>
      <c r="D14" t="s">
        <v>261</v>
      </c>
      <c r="E14" s="791">
        <v>-3.3904088920700001E-2</v>
      </c>
      <c r="F14">
        <v>0.29717527652300002</v>
      </c>
    </row>
    <row r="15" spans="1:11" x14ac:dyDescent="0.25">
      <c r="B15">
        <v>5</v>
      </c>
      <c r="C15" t="s">
        <v>70</v>
      </c>
      <c r="D15" t="s">
        <v>261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72</v>
      </c>
      <c r="D16" t="s">
        <v>261</v>
      </c>
      <c r="E16">
        <v>0.36721258210199997</v>
      </c>
      <c r="F16">
        <v>0.14251816133299999</v>
      </c>
    </row>
    <row r="17" spans="2:6" x14ac:dyDescent="0.25">
      <c r="B17">
        <v>7</v>
      </c>
      <c r="C17" t="s">
        <v>74</v>
      </c>
      <c r="D17" t="s">
        <v>261</v>
      </c>
      <c r="E17">
        <v>-1.7918460355300001</v>
      </c>
      <c r="F17">
        <v>0.28790085567700002</v>
      </c>
    </row>
    <row r="18" spans="2:6" x14ac:dyDescent="0.25">
      <c r="B18">
        <v>8</v>
      </c>
      <c r="C18" t="s">
        <v>77</v>
      </c>
      <c r="D18" t="s">
        <v>261</v>
      </c>
      <c r="E18">
        <v>1.39963442933</v>
      </c>
      <c r="F18">
        <v>0.219287303381</v>
      </c>
    </row>
    <row r="19" spans="2:6" x14ac:dyDescent="0.25">
      <c r="B19">
        <v>9</v>
      </c>
      <c r="C19" t="s">
        <v>79</v>
      </c>
      <c r="D19" t="s">
        <v>261</v>
      </c>
      <c r="E19">
        <v>0.66317866364400002</v>
      </c>
      <c r="F19">
        <v>0.26858783017999999</v>
      </c>
    </row>
    <row r="20" spans="2:6" x14ac:dyDescent="0.25">
      <c r="B20">
        <v>10</v>
      </c>
      <c r="C20" t="s">
        <v>81</v>
      </c>
      <c r="D20" t="s">
        <v>261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83</v>
      </c>
      <c r="D21" t="s">
        <v>261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85</v>
      </c>
      <c r="D22" t="s">
        <v>261</v>
      </c>
      <c r="E22">
        <v>-0.913115187153</v>
      </c>
      <c r="F22">
        <v>0.28732544144</v>
      </c>
    </row>
    <row r="23" spans="2:6" x14ac:dyDescent="0.25">
      <c r="B23">
        <v>13</v>
      </c>
      <c r="C23" t="s">
        <v>87</v>
      </c>
      <c r="D23" t="s">
        <v>261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89</v>
      </c>
      <c r="D24" t="s">
        <v>261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91</v>
      </c>
      <c r="D25" t="s">
        <v>261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93</v>
      </c>
      <c r="D26" t="s">
        <v>261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96</v>
      </c>
      <c r="D27" t="s">
        <v>260</v>
      </c>
      <c r="E27">
        <v>0</v>
      </c>
      <c r="F27">
        <v>0</v>
      </c>
    </row>
    <row r="28" spans="2:6" x14ac:dyDescent="0.25">
      <c r="B28">
        <v>18</v>
      </c>
      <c r="C28" t="s">
        <v>99</v>
      </c>
      <c r="D28" t="s">
        <v>260</v>
      </c>
      <c r="E28">
        <v>0</v>
      </c>
      <c r="F28">
        <v>0</v>
      </c>
    </row>
    <row r="29" spans="2:6" x14ac:dyDescent="0.25">
      <c r="B29">
        <v>19</v>
      </c>
      <c r="C29" t="s">
        <v>102</v>
      </c>
      <c r="D29" t="s">
        <v>260</v>
      </c>
      <c r="E29">
        <v>0</v>
      </c>
      <c r="F29">
        <v>0</v>
      </c>
    </row>
    <row r="30" spans="2:6" x14ac:dyDescent="0.25">
      <c r="B30">
        <v>20</v>
      </c>
      <c r="C30" t="s">
        <v>105</v>
      </c>
      <c r="D30" t="s">
        <v>261</v>
      </c>
      <c r="E30">
        <v>0.55927220197000005</v>
      </c>
      <c r="F30" s="791">
        <v>6.3070773371999997E-2</v>
      </c>
    </row>
    <row r="31" spans="2:6" x14ac:dyDescent="0.25">
      <c r="B31">
        <v>21</v>
      </c>
      <c r="C31" t="s">
        <v>107</v>
      </c>
      <c r="D31" t="s">
        <v>261</v>
      </c>
      <c r="E31">
        <v>-14.073533462</v>
      </c>
      <c r="F31">
        <v>2.1635731872099999</v>
      </c>
    </row>
    <row r="32" spans="2:6" x14ac:dyDescent="0.25">
      <c r="B32">
        <v>22</v>
      </c>
      <c r="C32" t="s">
        <v>109</v>
      </c>
      <c r="D32" t="s">
        <v>261</v>
      </c>
      <c r="E32">
        <v>4.23561831E-2</v>
      </c>
      <c r="F32">
        <v>0.48285243031500003</v>
      </c>
    </row>
    <row r="33" spans="2:6" x14ac:dyDescent="0.25">
      <c r="B33">
        <v>23</v>
      </c>
      <c r="C33" t="s">
        <v>111</v>
      </c>
      <c r="D33" t="s">
        <v>261</v>
      </c>
      <c r="E33">
        <v>-2.9413698566000002</v>
      </c>
      <c r="F33">
        <v>0.28097869320699997</v>
      </c>
    </row>
    <row r="34" spans="2:6" x14ac:dyDescent="0.25">
      <c r="B34">
        <v>924</v>
      </c>
      <c r="C34" t="s">
        <v>262</v>
      </c>
      <c r="D34" t="s">
        <v>261</v>
      </c>
      <c r="E34">
        <v>-1.4293629385</v>
      </c>
      <c r="F34">
        <v>0</v>
      </c>
    </row>
    <row r="35" spans="2:6" x14ac:dyDescent="0.25">
      <c r="B35">
        <v>24</v>
      </c>
      <c r="C35" t="s">
        <v>113</v>
      </c>
      <c r="D35" t="s">
        <v>261</v>
      </c>
      <c r="E35">
        <v>0.21220129380800001</v>
      </c>
      <c r="F35" s="791">
        <v>2.3591368768600001E-2</v>
      </c>
    </row>
    <row r="36" spans="2:6" x14ac:dyDescent="0.25">
      <c r="B36">
        <v>25</v>
      </c>
      <c r="C36" t="s">
        <v>116</v>
      </c>
      <c r="D36" t="s">
        <v>261</v>
      </c>
      <c r="E36">
        <v>-0.156772126135</v>
      </c>
      <c r="F36" s="791">
        <v>2.5404206972699999E-2</v>
      </c>
    </row>
    <row r="37" spans="2:6" x14ac:dyDescent="0.25">
      <c r="B37">
        <v>26</v>
      </c>
      <c r="C37" t="s">
        <v>118</v>
      </c>
      <c r="D37" t="s">
        <v>261</v>
      </c>
      <c r="E37">
        <v>0.78053827557199995</v>
      </c>
      <c r="F37">
        <v>0.13801392691299999</v>
      </c>
    </row>
    <row r="38" spans="2:6" x14ac:dyDescent="0.25">
      <c r="B38">
        <v>27</v>
      </c>
      <c r="C38" t="s">
        <v>119</v>
      </c>
      <c r="D38" t="s">
        <v>261</v>
      </c>
      <c r="E38">
        <v>-12.632321361500001</v>
      </c>
      <c r="F38">
        <v>2.1635010799400001</v>
      </c>
    </row>
    <row r="39" spans="2:6" x14ac:dyDescent="0.25">
      <c r="B39">
        <v>28</v>
      </c>
      <c r="C39" t="s">
        <v>121</v>
      </c>
      <c r="D39" t="s">
        <v>261</v>
      </c>
      <c r="E39">
        <v>-4.7373800512499997</v>
      </c>
      <c r="F39">
        <v>0.49109078483500002</v>
      </c>
    </row>
    <row r="40" spans="2:6" x14ac:dyDescent="0.25">
      <c r="B40">
        <v>29</v>
      </c>
      <c r="C40" t="s">
        <v>122</v>
      </c>
      <c r="D40" t="s">
        <v>261</v>
      </c>
      <c r="E40">
        <v>-3.8495864337499999</v>
      </c>
      <c r="F40">
        <v>0.23114662533300001</v>
      </c>
    </row>
    <row r="41" spans="2:6" x14ac:dyDescent="0.25">
      <c r="B41">
        <v>30</v>
      </c>
      <c r="C41" t="s">
        <v>123</v>
      </c>
      <c r="D41" t="s">
        <v>261</v>
      </c>
      <c r="E41">
        <v>-0.55196399758000003</v>
      </c>
      <c r="F41">
        <v>0.15445284496</v>
      </c>
    </row>
    <row r="42" spans="2:6" x14ac:dyDescent="0.25">
      <c r="B42">
        <v>31</v>
      </c>
      <c r="C42" t="s">
        <v>125</v>
      </c>
      <c r="D42" t="s">
        <v>261</v>
      </c>
      <c r="E42">
        <v>0.161916660248</v>
      </c>
      <c r="F42" s="791">
        <v>2.4598246513100001E-2</v>
      </c>
    </row>
    <row r="43" spans="2:6" x14ac:dyDescent="0.25">
      <c r="B43">
        <v>32</v>
      </c>
      <c r="C43" t="s">
        <v>127</v>
      </c>
      <c r="D43" t="s">
        <v>261</v>
      </c>
      <c r="E43">
        <v>-0.164548260329</v>
      </c>
      <c r="F43" s="791">
        <v>3.0497321424399999E-2</v>
      </c>
    </row>
    <row r="44" spans="2:6" x14ac:dyDescent="0.25">
      <c r="B44">
        <v>33</v>
      </c>
      <c r="C44" t="s">
        <v>129</v>
      </c>
      <c r="D44" t="s">
        <v>261</v>
      </c>
      <c r="E44">
        <v>0.20498917376299999</v>
      </c>
      <c r="F44" s="791">
        <v>2.26070286041E-2</v>
      </c>
    </row>
    <row r="45" spans="2:6" x14ac:dyDescent="0.25">
      <c r="B45">
        <v>34</v>
      </c>
      <c r="C45" t="s">
        <v>131</v>
      </c>
      <c r="D45" t="s">
        <v>261</v>
      </c>
      <c r="E45">
        <v>-0.128001396233</v>
      </c>
      <c r="F45" s="791">
        <v>2.71057179313E-2</v>
      </c>
    </row>
    <row r="46" spans="2:6" x14ac:dyDescent="0.25">
      <c r="B46">
        <v>35</v>
      </c>
      <c r="C46" t="s">
        <v>134</v>
      </c>
      <c r="D46" t="s">
        <v>261</v>
      </c>
      <c r="E46" s="791">
        <v>6.1170505754699997E-2</v>
      </c>
      <c r="F46" s="791">
        <v>1.6417141522400001E-2</v>
      </c>
    </row>
    <row r="47" spans="2:6" x14ac:dyDescent="0.25">
      <c r="B47">
        <v>36</v>
      </c>
      <c r="C47" t="s">
        <v>136</v>
      </c>
      <c r="D47" t="s">
        <v>261</v>
      </c>
      <c r="E47">
        <v>1.3253567635600001</v>
      </c>
      <c r="F47">
        <v>0.18997438038600001</v>
      </c>
    </row>
    <row r="48" spans="2:6" x14ac:dyDescent="0.25">
      <c r="B48">
        <v>37</v>
      </c>
      <c r="C48" t="s">
        <v>137</v>
      </c>
      <c r="D48" t="s">
        <v>261</v>
      </c>
      <c r="E48">
        <v>-9.2010945905200003</v>
      </c>
      <c r="F48">
        <v>2.2590324693200001</v>
      </c>
    </row>
    <row r="49" spans="2:6" x14ac:dyDescent="0.25">
      <c r="B49">
        <v>38</v>
      </c>
      <c r="C49" t="s">
        <v>139</v>
      </c>
      <c r="D49" t="s">
        <v>261</v>
      </c>
      <c r="E49">
        <v>-2.1424454967800002</v>
      </c>
      <c r="F49">
        <v>0.534114739916</v>
      </c>
    </row>
    <row r="50" spans="2:6" x14ac:dyDescent="0.25">
      <c r="B50">
        <v>39</v>
      </c>
      <c r="C50" t="s">
        <v>140</v>
      </c>
      <c r="D50" t="s">
        <v>261</v>
      </c>
      <c r="E50">
        <v>-3.2698397693199999</v>
      </c>
      <c r="F50">
        <v>0.29434692441299998</v>
      </c>
    </row>
    <row r="51" spans="2:6" x14ac:dyDescent="0.25">
      <c r="B51">
        <v>40</v>
      </c>
      <c r="C51" t="s">
        <v>141</v>
      </c>
      <c r="D51" t="s">
        <v>261</v>
      </c>
      <c r="E51">
        <v>-1.5387148017900001</v>
      </c>
      <c r="F51">
        <v>0.21098361657199999</v>
      </c>
    </row>
    <row r="52" spans="2:6" x14ac:dyDescent="0.25">
      <c r="B52">
        <v>41</v>
      </c>
      <c r="C52" t="s">
        <v>142</v>
      </c>
      <c r="D52" t="s">
        <v>261</v>
      </c>
      <c r="E52">
        <v>-0.149205194047</v>
      </c>
      <c r="F52" s="791">
        <v>2.2183697722899999E-2</v>
      </c>
    </row>
    <row r="53" spans="2:6" x14ac:dyDescent="0.25">
      <c r="B53">
        <v>42</v>
      </c>
      <c r="C53" t="s">
        <v>144</v>
      </c>
      <c r="D53" t="s">
        <v>261</v>
      </c>
      <c r="E53">
        <v>0.517393579278</v>
      </c>
      <c r="F53" s="791">
        <v>3.32158540558E-2</v>
      </c>
    </row>
    <row r="54" spans="2:6" x14ac:dyDescent="0.25">
      <c r="B54">
        <v>43</v>
      </c>
      <c r="C54" t="s">
        <v>146</v>
      </c>
      <c r="D54" t="s">
        <v>261</v>
      </c>
      <c r="E54">
        <v>0.84374741070500003</v>
      </c>
      <c r="F54">
        <v>0.178687822675</v>
      </c>
    </row>
    <row r="55" spans="2:6" x14ac:dyDescent="0.25">
      <c r="B55">
        <v>44</v>
      </c>
      <c r="C55" t="s">
        <v>147</v>
      </c>
      <c r="D55" t="s">
        <v>261</v>
      </c>
      <c r="E55">
        <v>-16.440174024099999</v>
      </c>
      <c r="F55">
        <v>2.7220288019000001</v>
      </c>
    </row>
    <row r="56" spans="2:6" x14ac:dyDescent="0.25">
      <c r="B56">
        <v>45</v>
      </c>
      <c r="C56" t="s">
        <v>149</v>
      </c>
      <c r="D56" t="s">
        <v>261</v>
      </c>
      <c r="E56">
        <v>0.38560809579999999</v>
      </c>
      <c r="F56">
        <v>0.678544989012</v>
      </c>
    </row>
    <row r="57" spans="2:6" x14ac:dyDescent="0.25">
      <c r="B57">
        <v>46</v>
      </c>
      <c r="C57" t="s">
        <v>151</v>
      </c>
      <c r="D57" t="s">
        <v>261</v>
      </c>
      <c r="E57">
        <v>-2.4592819233999998</v>
      </c>
      <c r="F57">
        <v>0.316542075087</v>
      </c>
    </row>
    <row r="58" spans="2:6" x14ac:dyDescent="0.25">
      <c r="B58">
        <v>47</v>
      </c>
      <c r="C58" t="s">
        <v>153</v>
      </c>
      <c r="D58" t="s">
        <v>261</v>
      </c>
      <c r="E58">
        <v>-2.8909492550999998</v>
      </c>
      <c r="F58">
        <v>0.198666198524</v>
      </c>
    </row>
    <row r="59" spans="2:6" x14ac:dyDescent="0.25">
      <c r="B59">
        <v>48</v>
      </c>
      <c r="C59" t="s">
        <v>156</v>
      </c>
      <c r="D59" t="s">
        <v>261</v>
      </c>
      <c r="E59">
        <v>0.16683062839400001</v>
      </c>
      <c r="F59" s="791">
        <v>3.6092162993199998E-2</v>
      </c>
    </row>
    <row r="60" spans="2:6" x14ac:dyDescent="0.25">
      <c r="B60">
        <v>49</v>
      </c>
      <c r="C60" t="s">
        <v>158</v>
      </c>
      <c r="D60" t="s">
        <v>261</v>
      </c>
      <c r="E60">
        <v>0.80686039286800004</v>
      </c>
      <c r="F60">
        <v>0.18430849226599999</v>
      </c>
    </row>
    <row r="61" spans="2:6" x14ac:dyDescent="0.25">
      <c r="B61">
        <v>50</v>
      </c>
      <c r="C61" t="s">
        <v>159</v>
      </c>
      <c r="D61" t="s">
        <v>261</v>
      </c>
      <c r="E61">
        <v>-10.275631588</v>
      </c>
      <c r="F61">
        <v>2.32184701625</v>
      </c>
    </row>
    <row r="62" spans="2:6" x14ac:dyDescent="0.25">
      <c r="B62">
        <v>51</v>
      </c>
      <c r="C62" t="s">
        <v>160</v>
      </c>
      <c r="D62" t="s">
        <v>261</v>
      </c>
      <c r="E62">
        <v>-3.6378931021600001</v>
      </c>
      <c r="F62">
        <v>0.59301229503800001</v>
      </c>
    </row>
    <row r="63" spans="2:6" x14ac:dyDescent="0.25">
      <c r="B63">
        <v>52</v>
      </c>
      <c r="C63" t="s">
        <v>161</v>
      </c>
      <c r="D63" t="s">
        <v>261</v>
      </c>
      <c r="E63">
        <v>-4.0172263670700001</v>
      </c>
      <c r="F63">
        <v>0.29029353811199998</v>
      </c>
    </row>
    <row r="64" spans="2:6" x14ac:dyDescent="0.25">
      <c r="B64">
        <v>53</v>
      </c>
      <c r="C64" t="s">
        <v>162</v>
      </c>
      <c r="D64" t="s">
        <v>261</v>
      </c>
      <c r="E64">
        <v>-0.54205465260999997</v>
      </c>
      <c r="F64">
        <v>0.18935293258499999</v>
      </c>
    </row>
    <row r="65" spans="2:6" x14ac:dyDescent="0.25">
      <c r="B65">
        <v>54</v>
      </c>
      <c r="C65" t="s">
        <v>163</v>
      </c>
      <c r="D65" t="s">
        <v>261</v>
      </c>
      <c r="E65">
        <v>0.21306405683599999</v>
      </c>
      <c r="F65" s="791">
        <v>4.0484886653700002E-2</v>
      </c>
    </row>
    <row r="66" spans="2:6" x14ac:dyDescent="0.25">
      <c r="B66">
        <v>55</v>
      </c>
      <c r="C66" t="s">
        <v>165</v>
      </c>
      <c r="D66" t="s">
        <v>261</v>
      </c>
      <c r="E66">
        <v>0.49322187999099998</v>
      </c>
      <c r="F66" s="791">
        <v>4.4144582285800003E-2</v>
      </c>
    </row>
    <row r="67" spans="2:6" x14ac:dyDescent="0.25">
      <c r="B67">
        <v>56</v>
      </c>
      <c r="C67" t="s">
        <v>166</v>
      </c>
      <c r="D67" t="s">
        <v>261</v>
      </c>
      <c r="E67">
        <v>-0.81297460986500003</v>
      </c>
      <c r="F67" s="791">
        <v>4.4146608637300001E-2</v>
      </c>
    </row>
    <row r="68" spans="2:6" x14ac:dyDescent="0.25">
      <c r="B68">
        <v>57</v>
      </c>
      <c r="C68" t="s">
        <v>167</v>
      </c>
      <c r="D68" t="s">
        <v>261</v>
      </c>
      <c r="E68" s="791">
        <v>8.0759501397E-2</v>
      </c>
      <c r="F68" s="791">
        <v>2.06933444566E-2</v>
      </c>
    </row>
    <row r="69" spans="2:6" x14ac:dyDescent="0.25">
      <c r="B69">
        <v>70</v>
      </c>
      <c r="C69" t="s">
        <v>168</v>
      </c>
      <c r="D69" t="s">
        <v>261</v>
      </c>
      <c r="E69">
        <v>0.29053029913700001</v>
      </c>
      <c r="F69" s="791">
        <v>1.13080873111E-2</v>
      </c>
    </row>
    <row r="70" spans="2:6" x14ac:dyDescent="0.25">
      <c r="B70">
        <v>71</v>
      </c>
      <c r="C70" t="s">
        <v>169</v>
      </c>
      <c r="D70" t="s">
        <v>260</v>
      </c>
      <c r="E70">
        <v>0</v>
      </c>
      <c r="F70">
        <v>0</v>
      </c>
    </row>
    <row r="71" spans="2:6" x14ac:dyDescent="0.25">
      <c r="B71">
        <v>72</v>
      </c>
      <c r="C71" t="s">
        <v>171</v>
      </c>
      <c r="D71" t="s">
        <v>261</v>
      </c>
      <c r="E71">
        <v>-3.51218611463</v>
      </c>
      <c r="F71">
        <v>1.10016104602</v>
      </c>
    </row>
    <row r="72" spans="2:6" x14ac:dyDescent="0.25">
      <c r="B72">
        <v>73</v>
      </c>
      <c r="C72" t="s">
        <v>173</v>
      </c>
      <c r="D72" t="s">
        <v>261</v>
      </c>
      <c r="E72">
        <v>-1.9512398226400001</v>
      </c>
      <c r="F72">
        <v>1.3061635869799999</v>
      </c>
    </row>
    <row r="73" spans="2:6" x14ac:dyDescent="0.25">
      <c r="B73">
        <v>74</v>
      </c>
      <c r="C73" t="s">
        <v>175</v>
      </c>
      <c r="D73" t="s">
        <v>261</v>
      </c>
      <c r="E73">
        <v>-2.2875988415099999</v>
      </c>
      <c r="F73">
        <v>0.68287455172</v>
      </c>
    </row>
    <row r="74" spans="2:6" x14ac:dyDescent="0.25">
      <c r="B74">
        <v>75</v>
      </c>
      <c r="C74" t="s">
        <v>177</v>
      </c>
      <c r="D74" t="s">
        <v>261</v>
      </c>
      <c r="E74">
        <v>-2.97270473739</v>
      </c>
      <c r="F74">
        <v>0.801285272145</v>
      </c>
    </row>
    <row r="75" spans="2:6" x14ac:dyDescent="0.25">
      <c r="B75">
        <v>76</v>
      </c>
      <c r="C75" t="s">
        <v>179</v>
      </c>
      <c r="D75" t="s">
        <v>261</v>
      </c>
      <c r="E75">
        <v>-2.2065775626700002</v>
      </c>
      <c r="F75">
        <v>0.71288966547400001</v>
      </c>
    </row>
    <row r="76" spans="2:6" x14ac:dyDescent="0.25">
      <c r="B76">
        <v>77</v>
      </c>
      <c r="C76" t="s">
        <v>181</v>
      </c>
      <c r="D76" t="s">
        <v>261</v>
      </c>
      <c r="E76">
        <v>-1.91608314575</v>
      </c>
      <c r="F76">
        <v>0.89189817863900001</v>
      </c>
    </row>
    <row r="77" spans="2:6" x14ac:dyDescent="0.25">
      <c r="B77">
        <v>78</v>
      </c>
      <c r="C77" t="s">
        <v>183</v>
      </c>
      <c r="D77" t="s">
        <v>261</v>
      </c>
      <c r="E77">
        <v>-2.9941803696</v>
      </c>
      <c r="F77">
        <v>0.73230805856600001</v>
      </c>
    </row>
    <row r="78" spans="2:6" x14ac:dyDescent="0.25">
      <c r="B78">
        <v>79</v>
      </c>
      <c r="C78" t="s">
        <v>185</v>
      </c>
      <c r="D78" t="s">
        <v>261</v>
      </c>
      <c r="E78">
        <v>-20.893048808300001</v>
      </c>
      <c r="F78">
        <v>1.3318572224</v>
      </c>
    </row>
    <row r="79" spans="2:6" x14ac:dyDescent="0.25">
      <c r="B79">
        <v>80</v>
      </c>
      <c r="C79" t="s">
        <v>187</v>
      </c>
      <c r="D79" t="s">
        <v>261</v>
      </c>
      <c r="E79">
        <v>-0.340851234339</v>
      </c>
      <c r="F79">
        <v>0.73993441747499999</v>
      </c>
    </row>
    <row r="80" spans="2:6" x14ac:dyDescent="0.25">
      <c r="B80">
        <v>81</v>
      </c>
      <c r="C80" t="s">
        <v>189</v>
      </c>
      <c r="D80" t="s">
        <v>261</v>
      </c>
      <c r="E80">
        <v>-3.5548804977600001</v>
      </c>
      <c r="F80">
        <v>1.7924879455</v>
      </c>
    </row>
    <row r="81" spans="2:6" x14ac:dyDescent="0.25">
      <c r="B81">
        <v>82</v>
      </c>
      <c r="C81" t="s">
        <v>191</v>
      </c>
      <c r="D81" t="s">
        <v>261</v>
      </c>
      <c r="E81">
        <v>-2.04042829643</v>
      </c>
      <c r="F81">
        <v>0.57123076706499998</v>
      </c>
    </row>
    <row r="82" spans="2:6" x14ac:dyDescent="0.25">
      <c r="B82">
        <v>83</v>
      </c>
      <c r="C82" t="s">
        <v>192</v>
      </c>
      <c r="D82" t="s">
        <v>261</v>
      </c>
      <c r="E82">
        <v>-3.1291070048599998</v>
      </c>
      <c r="F82">
        <v>0.70960900603900001</v>
      </c>
    </row>
    <row r="83" spans="2:6" x14ac:dyDescent="0.25">
      <c r="B83">
        <v>84</v>
      </c>
      <c r="C83" t="s">
        <v>194</v>
      </c>
      <c r="D83" t="s">
        <v>261</v>
      </c>
      <c r="E83">
        <v>-1.36058822067</v>
      </c>
      <c r="F83">
        <v>0.54117102218500002</v>
      </c>
    </row>
    <row r="84" spans="2:6" x14ac:dyDescent="0.25">
      <c r="B84">
        <v>85</v>
      </c>
      <c r="C84" t="s">
        <v>196</v>
      </c>
      <c r="D84" t="s">
        <v>261</v>
      </c>
      <c r="E84">
        <v>-3.7593502074299998</v>
      </c>
      <c r="F84">
        <v>0.90517580077699999</v>
      </c>
    </row>
    <row r="85" spans="2:6" x14ac:dyDescent="0.25">
      <c r="B85">
        <v>86</v>
      </c>
      <c r="C85" t="s">
        <v>198</v>
      </c>
      <c r="D85" t="s">
        <v>261</v>
      </c>
      <c r="E85">
        <v>-2.6162258391100002</v>
      </c>
      <c r="F85">
        <v>0.60159109194399996</v>
      </c>
    </row>
    <row r="86" spans="2:6" x14ac:dyDescent="0.25">
      <c r="B86">
        <v>87</v>
      </c>
      <c r="C86" t="s">
        <v>200</v>
      </c>
      <c r="D86" t="s">
        <v>261</v>
      </c>
      <c r="E86">
        <v>-18.920608679800001</v>
      </c>
      <c r="F86">
        <v>1.15389556702</v>
      </c>
    </row>
    <row r="87" spans="2:6" x14ac:dyDescent="0.25">
      <c r="B87">
        <v>88</v>
      </c>
      <c r="C87" t="s">
        <v>202</v>
      </c>
      <c r="D87" t="s">
        <v>260</v>
      </c>
      <c r="E87">
        <v>0</v>
      </c>
      <c r="F87">
        <v>0</v>
      </c>
    </row>
    <row r="88" spans="2:6" x14ac:dyDescent="0.25">
      <c r="B88">
        <v>89</v>
      </c>
      <c r="C88" t="s">
        <v>204</v>
      </c>
      <c r="D88" t="s">
        <v>261</v>
      </c>
      <c r="E88">
        <v>-6.14284833482</v>
      </c>
      <c r="F88">
        <v>0.878821332959</v>
      </c>
    </row>
    <row r="89" spans="2:6" x14ac:dyDescent="0.25">
      <c r="B89">
        <v>90</v>
      </c>
      <c r="C89" t="s">
        <v>206</v>
      </c>
      <c r="D89" t="s">
        <v>261</v>
      </c>
      <c r="E89">
        <v>-16.4745846271</v>
      </c>
      <c r="F89">
        <v>3.4758476738100001</v>
      </c>
    </row>
    <row r="90" spans="2:6" x14ac:dyDescent="0.25">
      <c r="B90">
        <v>91</v>
      </c>
      <c r="C90" t="s">
        <v>208</v>
      </c>
      <c r="D90" t="s">
        <v>261</v>
      </c>
      <c r="E90">
        <v>-9.3272520902899991</v>
      </c>
      <c r="F90">
        <v>0.81194250572399995</v>
      </c>
    </row>
    <row r="91" spans="2:6" x14ac:dyDescent="0.25">
      <c r="B91">
        <v>92</v>
      </c>
      <c r="C91" t="s">
        <v>210</v>
      </c>
      <c r="D91" t="s">
        <v>261</v>
      </c>
      <c r="E91">
        <v>-0.748114378523</v>
      </c>
      <c r="F91">
        <v>0.37548664507700003</v>
      </c>
    </row>
    <row r="92" spans="2:6" x14ac:dyDescent="0.25">
      <c r="B92">
        <v>93</v>
      </c>
      <c r="C92" t="s">
        <v>212</v>
      </c>
      <c r="D92" t="s">
        <v>261</v>
      </c>
      <c r="E92">
        <v>-0.29100107664500002</v>
      </c>
      <c r="F92">
        <v>0.38141528568499999</v>
      </c>
    </row>
    <row r="93" spans="2:6" x14ac:dyDescent="0.25">
      <c r="B93">
        <v>94</v>
      </c>
      <c r="C93" t="s">
        <v>214</v>
      </c>
      <c r="D93" t="s">
        <v>260</v>
      </c>
      <c r="E93">
        <v>0</v>
      </c>
      <c r="F93">
        <v>0</v>
      </c>
    </row>
    <row r="94" spans="2:6" x14ac:dyDescent="0.25">
      <c r="B94">
        <v>95</v>
      </c>
      <c r="C94" t="s">
        <v>216</v>
      </c>
      <c r="D94" t="s">
        <v>261</v>
      </c>
      <c r="E94">
        <v>-10.3298280696</v>
      </c>
      <c r="F94">
        <v>0.93444956582399996</v>
      </c>
    </row>
    <row r="95" spans="2:6" x14ac:dyDescent="0.25">
      <c r="B95">
        <v>96</v>
      </c>
      <c r="C95" t="s">
        <v>218</v>
      </c>
      <c r="D95" t="s">
        <v>261</v>
      </c>
      <c r="E95">
        <v>-16.742935323400001</v>
      </c>
      <c r="F95">
        <v>0.87728587361400001</v>
      </c>
    </row>
    <row r="96" spans="2:6" x14ac:dyDescent="0.25">
      <c r="B96">
        <v>97</v>
      </c>
      <c r="C96" t="s">
        <v>220</v>
      </c>
      <c r="D96" t="s">
        <v>261</v>
      </c>
      <c r="E96">
        <v>-6.97234539975</v>
      </c>
      <c r="F96">
        <v>0.84429798985799998</v>
      </c>
    </row>
    <row r="97" spans="2:6" x14ac:dyDescent="0.25">
      <c r="B97">
        <v>98</v>
      </c>
      <c r="C97" t="s">
        <v>222</v>
      </c>
      <c r="D97" t="s">
        <v>261</v>
      </c>
      <c r="E97">
        <v>-10.7755348742</v>
      </c>
      <c r="F97">
        <v>1.10642531916</v>
      </c>
    </row>
    <row r="98" spans="2:6" x14ac:dyDescent="0.25">
      <c r="B98">
        <v>99</v>
      </c>
      <c r="C98" t="s">
        <v>223</v>
      </c>
      <c r="D98" t="s">
        <v>261</v>
      </c>
      <c r="E98">
        <v>-11.547846395100001</v>
      </c>
      <c r="F98">
        <v>0.74733147077399997</v>
      </c>
    </row>
    <row r="99" spans="2:6" x14ac:dyDescent="0.25">
      <c r="B99">
        <v>100</v>
      </c>
      <c r="C99" t="s">
        <v>224</v>
      </c>
      <c r="D99" t="s">
        <v>260</v>
      </c>
      <c r="E99">
        <v>0</v>
      </c>
      <c r="F99">
        <v>0</v>
      </c>
    </row>
    <row r="100" spans="2:6" x14ac:dyDescent="0.25">
      <c r="B100">
        <v>101</v>
      </c>
      <c r="C100" t="s">
        <v>225</v>
      </c>
      <c r="D100" t="s">
        <v>261</v>
      </c>
      <c r="E100">
        <v>-11.0962758301</v>
      </c>
      <c r="F100">
        <v>0.74556172273099997</v>
      </c>
    </row>
    <row r="101" spans="2:6" x14ac:dyDescent="0.25">
      <c r="B101">
        <v>102</v>
      </c>
      <c r="C101" t="s">
        <v>226</v>
      </c>
      <c r="D101" t="s">
        <v>260</v>
      </c>
      <c r="E101">
        <v>0</v>
      </c>
      <c r="F101">
        <v>0</v>
      </c>
    </row>
    <row r="102" spans="2:6" x14ac:dyDescent="0.25">
      <c r="B102">
        <v>103</v>
      </c>
      <c r="C102" t="s">
        <v>227</v>
      </c>
      <c r="D102" t="s">
        <v>261</v>
      </c>
      <c r="E102">
        <v>-12.7257909892</v>
      </c>
      <c r="F102">
        <v>1.5440284820600001</v>
      </c>
    </row>
    <row r="103" spans="2:6" x14ac:dyDescent="0.25">
      <c r="B103">
        <v>104</v>
      </c>
      <c r="C103" t="s">
        <v>228</v>
      </c>
      <c r="D103" t="s">
        <v>261</v>
      </c>
      <c r="E103">
        <v>-12.5271034041</v>
      </c>
      <c r="F103">
        <v>0.667513404915</v>
      </c>
    </row>
    <row r="104" spans="2:6" x14ac:dyDescent="0.25">
      <c r="B104">
        <v>105</v>
      </c>
      <c r="C104" t="s">
        <v>229</v>
      </c>
      <c r="D104" t="s">
        <v>261</v>
      </c>
      <c r="E104">
        <v>-21.008822510800002</v>
      </c>
      <c r="F104">
        <v>2.1748440765799999</v>
      </c>
    </row>
    <row r="105" spans="2:6" x14ac:dyDescent="0.25">
      <c r="B105">
        <v>106</v>
      </c>
      <c r="C105" t="s">
        <v>230</v>
      </c>
      <c r="D105" t="s">
        <v>261</v>
      </c>
      <c r="E105">
        <v>-1.63176275226</v>
      </c>
      <c r="F105">
        <v>0.967651109555</v>
      </c>
    </row>
    <row r="106" spans="2:6" x14ac:dyDescent="0.25">
      <c r="B106">
        <v>107</v>
      </c>
      <c r="C106" t="s">
        <v>231</v>
      </c>
      <c r="D106" t="s">
        <v>261</v>
      </c>
      <c r="E106">
        <v>-4.6653914733199997</v>
      </c>
      <c r="F106">
        <v>2.61248252668</v>
      </c>
    </row>
    <row r="107" spans="2:6" x14ac:dyDescent="0.25">
      <c r="B107">
        <v>108</v>
      </c>
      <c r="C107" t="s">
        <v>233</v>
      </c>
      <c r="D107" t="s">
        <v>261</v>
      </c>
      <c r="E107">
        <v>-7.5050624753099999</v>
      </c>
      <c r="F107">
        <v>1.3833200651199999</v>
      </c>
    </row>
    <row r="108" spans="2:6" x14ac:dyDescent="0.25">
      <c r="B108">
        <v>109</v>
      </c>
      <c r="C108" t="s">
        <v>234</v>
      </c>
      <c r="D108" t="s">
        <v>261</v>
      </c>
      <c r="E108">
        <v>-7.2217481188799999</v>
      </c>
      <c r="F108">
        <v>1.5428659018799999</v>
      </c>
    </row>
    <row r="109" spans="2:6" x14ac:dyDescent="0.25">
      <c r="B109">
        <v>110</v>
      </c>
      <c r="C109" t="s">
        <v>235</v>
      </c>
      <c r="D109" t="s">
        <v>261</v>
      </c>
      <c r="E109">
        <v>-3.4793464222399999</v>
      </c>
      <c r="F109">
        <v>0.74775521117900001</v>
      </c>
    </row>
    <row r="110" spans="2:6" x14ac:dyDescent="0.25">
      <c r="B110">
        <v>111</v>
      </c>
      <c r="C110" t="s">
        <v>236</v>
      </c>
      <c r="D110" t="s">
        <v>260</v>
      </c>
      <c r="E110">
        <v>0</v>
      </c>
      <c r="F110">
        <v>0</v>
      </c>
    </row>
    <row r="111" spans="2:6" x14ac:dyDescent="0.25">
      <c r="B111">
        <v>112</v>
      </c>
      <c r="C111" t="s">
        <v>237</v>
      </c>
      <c r="D111" t="s">
        <v>260</v>
      </c>
      <c r="E111">
        <v>0</v>
      </c>
      <c r="F111">
        <v>0</v>
      </c>
    </row>
    <row r="112" spans="2:6" x14ac:dyDescent="0.25">
      <c r="B112">
        <v>113</v>
      </c>
      <c r="C112" t="s">
        <v>239</v>
      </c>
      <c r="D112" t="s">
        <v>261</v>
      </c>
      <c r="E112">
        <v>-2.23577200178</v>
      </c>
      <c r="F112">
        <v>2.4396907415000002</v>
      </c>
    </row>
    <row r="113" spans="1:11" x14ac:dyDescent="0.25">
      <c r="A113">
        <v>-1</v>
      </c>
    </row>
    <row r="114" spans="1:11" x14ac:dyDescent="0.25">
      <c r="B114">
        <v>6224</v>
      </c>
      <c r="C114" s="791">
        <v>-7713.1262757699997</v>
      </c>
      <c r="D114" s="791">
        <v>-24166.840237699998</v>
      </c>
      <c r="E114" s="791">
        <v>-15453.864181499999</v>
      </c>
    </row>
    <row r="115" spans="1:11" x14ac:dyDescent="0.25">
      <c r="B115">
        <v>5</v>
      </c>
      <c r="C115" t="s">
        <v>263</v>
      </c>
      <c r="D115" t="s">
        <v>257</v>
      </c>
      <c r="E115">
        <v>24</v>
      </c>
      <c r="F115" t="s">
        <v>258</v>
      </c>
      <c r="G115">
        <v>12</v>
      </c>
    </row>
    <row r="116" spans="1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1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1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1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1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1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1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1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1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1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1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1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3"/>
  <sheetViews>
    <sheetView workbookViewId="0">
      <selection activeCell="L7" sqref="L7"/>
    </sheetView>
  </sheetViews>
  <sheetFormatPr defaultRowHeight="15" x14ac:dyDescent="0.25"/>
  <cols>
    <col min="1" max="1" width="12.7109375" style="749" bestFit="1" customWidth="1" collapsed="1"/>
    <col min="2" max="2" width="18.85546875" style="748" customWidth="1" collapsed="1"/>
    <col min="3" max="3" width="6.7109375" style="749" customWidth="1" collapsed="1"/>
    <col min="4" max="4" width="12.7109375" style="749" customWidth="1" collapsed="1"/>
    <col min="5" max="5" width="18.85546875" style="748" customWidth="1" collapsed="1"/>
    <col min="6" max="8" width="9.140625" style="749" collapsed="1"/>
    <col min="9" max="9" width="13" style="749" customWidth="1" collapsed="1"/>
    <col min="10" max="10" width="19.5703125" style="751" bestFit="1" customWidth="1" collapsed="1"/>
    <col min="11" max="11" width="19.5703125" style="751" customWidth="1" collapsed="1"/>
    <col min="12" max="12" width="92.42578125" style="749" customWidth="1" collapsed="1"/>
    <col min="13" max="16384" width="9.140625" style="749" collapsed="1"/>
  </cols>
  <sheetData>
    <row r="1" spans="1:17" x14ac:dyDescent="0.25">
      <c r="A1" s="10" t="s">
        <v>51</v>
      </c>
      <c r="D1" s="10" t="s">
        <v>52</v>
      </c>
      <c r="H1" s="750" t="s">
        <v>53</v>
      </c>
      <c r="N1" s="750"/>
    </row>
    <row r="2" spans="1:17" ht="15.75" thickBot="1" x14ac:dyDescent="0.3">
      <c r="A2" s="750" t="s">
        <v>54</v>
      </c>
      <c r="J2" s="751" t="s">
        <v>55</v>
      </c>
      <c r="K2" s="751" t="s">
        <v>56</v>
      </c>
      <c r="P2" s="752"/>
      <c r="Q2" s="752"/>
    </row>
    <row r="3" spans="1:17" x14ac:dyDescent="0.25">
      <c r="A3" s="753" t="s">
        <v>3</v>
      </c>
      <c r="B3" s="754" t="s">
        <v>57</v>
      </c>
      <c r="D3" s="753" t="s">
        <v>3</v>
      </c>
      <c r="E3" s="754" t="s">
        <v>57</v>
      </c>
      <c r="F3" s="755"/>
      <c r="H3" s="749">
        <v>1</v>
      </c>
      <c r="I3" s="749" t="s">
        <v>58</v>
      </c>
      <c r="J3" s="751">
        <f>OtherTourDestination!E11</f>
        <v>1</v>
      </c>
      <c r="K3" s="792">
        <f>J3</f>
        <v>1</v>
      </c>
      <c r="L3" s="749" t="s">
        <v>59</v>
      </c>
    </row>
    <row r="4" spans="1:17" x14ac:dyDescent="0.25">
      <c r="A4" s="756" t="s">
        <v>60</v>
      </c>
      <c r="B4" s="757">
        <f>TLFD!E11</f>
        <v>68493.958299999998</v>
      </c>
      <c r="D4" s="756" t="s">
        <v>60</v>
      </c>
      <c r="E4" s="757">
        <f>TLFD!L11</f>
        <v>174621</v>
      </c>
      <c r="F4" s="758"/>
      <c r="H4" s="749">
        <v>2</v>
      </c>
      <c r="I4" s="749" t="s">
        <v>61</v>
      </c>
      <c r="J4" s="751">
        <f>OtherTourDestination!E12</f>
        <v>13.7073027249</v>
      </c>
      <c r="K4" s="792">
        <f t="shared" ref="K4:K67" si="0">J4</f>
        <v>13.7073027249</v>
      </c>
      <c r="L4" s="749" t="s">
        <v>62</v>
      </c>
    </row>
    <row r="5" spans="1:17" x14ac:dyDescent="0.25">
      <c r="A5" s="759" t="s">
        <v>63</v>
      </c>
      <c r="B5" s="760">
        <f>TLFD!E12+TLFD!E13+(TLFD!E14/2)</f>
        <v>94621.103649072669</v>
      </c>
      <c r="D5" s="759" t="s">
        <v>63</v>
      </c>
      <c r="E5" s="760">
        <f>TLFD!L12+TLFD!L13+(TLFD!L14/2)</f>
        <v>116425.5</v>
      </c>
      <c r="F5" s="758"/>
      <c r="H5" s="749">
        <v>3</v>
      </c>
      <c r="I5" s="749" t="s">
        <v>64</v>
      </c>
      <c r="J5" s="751">
        <f>OtherTourDestination!E13</f>
        <v>7.0220312730799997E-2</v>
      </c>
      <c r="K5" s="792">
        <f t="shared" si="0"/>
        <v>7.0220312730799997E-2</v>
      </c>
      <c r="L5" s="749" t="s">
        <v>65</v>
      </c>
    </row>
    <row r="6" spans="1:17" x14ac:dyDescent="0.25">
      <c r="A6" s="759" t="s">
        <v>66</v>
      </c>
      <c r="B6" s="760">
        <f>(TLFD!E14/2)+SUM(TLFD!E15:E20)</f>
        <v>39698.359640674404</v>
      </c>
      <c r="D6" s="759" t="s">
        <v>66</v>
      </c>
      <c r="E6" s="760">
        <f>(TLFD!L14/2)+SUM(TLFD!L15:L20)</f>
        <v>195207.5</v>
      </c>
      <c r="F6" s="761"/>
      <c r="H6" s="749">
        <v>4</v>
      </c>
      <c r="I6" s="749" t="s">
        <v>67</v>
      </c>
      <c r="J6" s="751">
        <f>OtherTourDestination!E14</f>
        <v>-3.3904088920700001E-2</v>
      </c>
      <c r="K6" s="792">
        <f t="shared" si="0"/>
        <v>-3.3904088920700001E-2</v>
      </c>
      <c r="L6" s="749" t="s">
        <v>68</v>
      </c>
    </row>
    <row r="7" spans="1:17" x14ac:dyDescent="0.25">
      <c r="A7" s="762" t="s">
        <v>69</v>
      </c>
      <c r="B7" s="763">
        <f>SUM(TLFD!E21:E101)</f>
        <v>7856.9781328684821</v>
      </c>
      <c r="D7" s="762" t="s">
        <v>69</v>
      </c>
      <c r="E7" s="763">
        <f>SUM(TLFD!L21:L101)</f>
        <v>82986</v>
      </c>
      <c r="F7" s="764"/>
      <c r="H7" s="749">
        <v>5</v>
      </c>
      <c r="I7" s="749" t="s">
        <v>70</v>
      </c>
      <c r="J7" s="751">
        <f>OtherTourDestination!E15</f>
        <v>0.14394271350499999</v>
      </c>
      <c r="K7" s="792">
        <f t="shared" si="0"/>
        <v>0.14394271350499999</v>
      </c>
      <c r="L7" s="749" t="s">
        <v>71</v>
      </c>
    </row>
    <row r="8" spans="1:17" ht="15.75" thickBot="1" x14ac:dyDescent="0.3">
      <c r="A8" s="765" t="s">
        <v>4</v>
      </c>
      <c r="B8" s="766">
        <f>SUM(B4:B7)</f>
        <v>210670.39972261555</v>
      </c>
      <c r="C8" s="767"/>
      <c r="D8" s="765" t="s">
        <v>4</v>
      </c>
      <c r="E8" s="766">
        <f>SUM(E4:E7)</f>
        <v>569240</v>
      </c>
      <c r="H8" s="749">
        <v>6</v>
      </c>
      <c r="I8" s="749" t="s">
        <v>72</v>
      </c>
      <c r="J8" s="751">
        <f>OtherTourDestination!E16</f>
        <v>0.36721258210199997</v>
      </c>
      <c r="K8" s="792">
        <f t="shared" si="0"/>
        <v>0.36721258210199997</v>
      </c>
      <c r="L8" s="749" t="s">
        <v>73</v>
      </c>
    </row>
    <row r="9" spans="1:17" x14ac:dyDescent="0.25">
      <c r="H9" s="749">
        <v>7</v>
      </c>
      <c r="I9" s="749" t="s">
        <v>74</v>
      </c>
      <c r="J9" s="751">
        <f>OtherTourDestination!E17</f>
        <v>-1.7918460355300001</v>
      </c>
      <c r="K9" s="792">
        <f t="shared" si="0"/>
        <v>-1.7918460355300001</v>
      </c>
      <c r="L9" s="749" t="s">
        <v>75</v>
      </c>
    </row>
    <row r="10" spans="1:17" ht="15.75" thickBot="1" x14ac:dyDescent="0.3">
      <c r="A10" s="768" t="s">
        <v>76</v>
      </c>
      <c r="F10" s="755"/>
      <c r="H10" s="749">
        <v>8</v>
      </c>
      <c r="I10" s="749" t="s">
        <v>77</v>
      </c>
      <c r="J10" s="751">
        <f>OtherTourDestination!E18</f>
        <v>1.39963442933</v>
      </c>
      <c r="K10" s="792">
        <f t="shared" si="0"/>
        <v>1.39963442933</v>
      </c>
      <c r="L10" s="749" t="s">
        <v>78</v>
      </c>
    </row>
    <row r="11" spans="1:17" x14ac:dyDescent="0.25">
      <c r="A11" s="753" t="s">
        <v>3</v>
      </c>
      <c r="B11" s="754" t="s">
        <v>57</v>
      </c>
      <c r="D11" s="753" t="s">
        <v>3</v>
      </c>
      <c r="E11" s="754" t="s">
        <v>57</v>
      </c>
      <c r="F11" s="769"/>
      <c r="H11" s="749">
        <v>9</v>
      </c>
      <c r="I11" s="749" t="s">
        <v>79</v>
      </c>
      <c r="J11" s="751">
        <f>OtherTourDestination!E19</f>
        <v>0.66317866364400002</v>
      </c>
      <c r="K11" s="792">
        <f t="shared" si="0"/>
        <v>0.66317866364400002</v>
      </c>
      <c r="L11" s="749" t="s">
        <v>80</v>
      </c>
    </row>
    <row r="12" spans="1:17" x14ac:dyDescent="0.25">
      <c r="A12" s="756" t="s">
        <v>60</v>
      </c>
      <c r="B12" s="770">
        <f>B4/B$8</f>
        <v>0.32512378763311922</v>
      </c>
      <c r="D12" s="756" t="s">
        <v>60</v>
      </c>
      <c r="E12" s="770">
        <f>E4/E$8</f>
        <v>0.30676164710842529</v>
      </c>
      <c r="F12" s="769"/>
      <c r="H12" s="749">
        <v>10</v>
      </c>
      <c r="I12" s="749" t="s">
        <v>81</v>
      </c>
      <c r="J12" s="751">
        <f>OtherTourDestination!E20</f>
        <v>-0.38108886824999999</v>
      </c>
      <c r="K12" s="792">
        <f t="shared" si="0"/>
        <v>-0.38108886824999999</v>
      </c>
      <c r="L12" s="749" t="s">
        <v>82</v>
      </c>
    </row>
    <row r="13" spans="1:17" x14ac:dyDescent="0.25">
      <c r="A13" s="759" t="s">
        <v>63</v>
      </c>
      <c r="B13" s="771">
        <f t="shared" ref="B13:B16" si="1">B5/B$8</f>
        <v>0.44914284955863715</v>
      </c>
      <c r="D13" s="759" t="s">
        <v>63</v>
      </c>
      <c r="E13" s="771">
        <f t="shared" ref="E13:E16" si="2">E5/E$8</f>
        <v>0.2045279671140468</v>
      </c>
      <c r="F13" s="769"/>
      <c r="H13" s="749">
        <v>11</v>
      </c>
      <c r="I13" s="749" t="s">
        <v>83</v>
      </c>
      <c r="J13" s="751">
        <f>OtherTourDestination!E21</f>
        <v>-0.73323034645999996</v>
      </c>
      <c r="K13" s="792">
        <f t="shared" si="0"/>
        <v>-0.73323034645999996</v>
      </c>
      <c r="L13" s="749" t="s">
        <v>84</v>
      </c>
    </row>
    <row r="14" spans="1:17" x14ac:dyDescent="0.25">
      <c r="A14" s="759" t="s">
        <v>66</v>
      </c>
      <c r="B14" s="771">
        <f t="shared" si="1"/>
        <v>0.18843824140906479</v>
      </c>
      <c r="D14" s="759" t="s">
        <v>66</v>
      </c>
      <c r="E14" s="771">
        <f t="shared" si="2"/>
        <v>0.34292653362377906</v>
      </c>
      <c r="F14" s="772"/>
      <c r="H14" s="749">
        <v>12</v>
      </c>
      <c r="I14" s="749" t="s">
        <v>85</v>
      </c>
      <c r="J14" s="751">
        <f>OtherTourDestination!E22</f>
        <v>-0.913115187153</v>
      </c>
      <c r="K14" s="792">
        <f t="shared" si="0"/>
        <v>-0.913115187153</v>
      </c>
      <c r="L14" s="749" t="s">
        <v>86</v>
      </c>
    </row>
    <row r="15" spans="1:17" x14ac:dyDescent="0.25">
      <c r="A15" s="762" t="s">
        <v>69</v>
      </c>
      <c r="B15" s="771">
        <f t="shared" si="1"/>
        <v>3.7295121399178857E-2</v>
      </c>
      <c r="D15" s="762" t="s">
        <v>69</v>
      </c>
      <c r="E15" s="771">
        <f t="shared" si="2"/>
        <v>0.14578385215374887</v>
      </c>
      <c r="H15" s="749">
        <v>13</v>
      </c>
      <c r="I15" s="749" t="s">
        <v>87</v>
      </c>
      <c r="J15" s="751">
        <f>OtherTourDestination!E23</f>
        <v>-0.56168035354400003</v>
      </c>
      <c r="K15" s="792">
        <f t="shared" si="0"/>
        <v>-0.56168035354400003</v>
      </c>
      <c r="L15" s="749" t="s">
        <v>88</v>
      </c>
    </row>
    <row r="16" spans="1:17" ht="15.75" thickBot="1" x14ac:dyDescent="0.3">
      <c r="A16" s="765" t="s">
        <v>4</v>
      </c>
      <c r="B16" s="773">
        <f t="shared" si="1"/>
        <v>1</v>
      </c>
      <c r="C16" s="767"/>
      <c r="D16" s="765" t="s">
        <v>4</v>
      </c>
      <c r="E16" s="773">
        <f t="shared" si="2"/>
        <v>1</v>
      </c>
      <c r="H16" s="749">
        <v>14</v>
      </c>
      <c r="I16" s="749" t="s">
        <v>89</v>
      </c>
      <c r="J16" s="751">
        <f>OtherTourDestination!E24</f>
        <v>-0.30132725845199998</v>
      </c>
      <c r="K16" s="792">
        <f t="shared" si="0"/>
        <v>-0.30132725845199998</v>
      </c>
      <c r="L16" s="749" t="s">
        <v>90</v>
      </c>
    </row>
    <row r="17" spans="1:12" x14ac:dyDescent="0.25">
      <c r="H17" s="749">
        <v>15</v>
      </c>
      <c r="I17" s="749" t="s">
        <v>91</v>
      </c>
      <c r="J17" s="751">
        <f>OtherTourDestination!E25</f>
        <v>1.97893419319</v>
      </c>
      <c r="K17" s="792">
        <f t="shared" si="0"/>
        <v>1.97893419319</v>
      </c>
      <c r="L17" s="749" t="s">
        <v>92</v>
      </c>
    </row>
    <row r="18" spans="1:12" x14ac:dyDescent="0.25">
      <c r="H18" s="749">
        <v>16</v>
      </c>
      <c r="I18" s="749" t="s">
        <v>93</v>
      </c>
      <c r="J18" s="751">
        <f>OtherTourDestination!E26</f>
        <v>0.89286126056000004</v>
      </c>
      <c r="K18" s="792">
        <f t="shared" si="0"/>
        <v>0.89286126056000004</v>
      </c>
      <c r="L18" s="749" t="s">
        <v>94</v>
      </c>
    </row>
    <row r="19" spans="1:12" x14ac:dyDescent="0.25">
      <c r="A19" s="774" t="s">
        <v>95</v>
      </c>
      <c r="H19" s="749">
        <v>17</v>
      </c>
      <c r="I19" s="749" t="s">
        <v>96</v>
      </c>
      <c r="J19" s="751">
        <f>OtherTourDestination!E27</f>
        <v>0</v>
      </c>
      <c r="K19" s="792">
        <f t="shared" si="0"/>
        <v>0</v>
      </c>
      <c r="L19" s="749" t="s">
        <v>97</v>
      </c>
    </row>
    <row r="20" spans="1:12" x14ac:dyDescent="0.25">
      <c r="A20" s="774" t="s">
        <v>98</v>
      </c>
      <c r="H20" s="749">
        <v>18</v>
      </c>
      <c r="I20" s="749" t="s">
        <v>99</v>
      </c>
      <c r="J20" s="751">
        <f>OtherTourDestination!E28</f>
        <v>0</v>
      </c>
      <c r="K20" s="792">
        <f t="shared" si="0"/>
        <v>0</v>
      </c>
      <c r="L20" s="749" t="s">
        <v>100</v>
      </c>
    </row>
    <row r="21" spans="1:12" ht="15.75" thickBot="1" x14ac:dyDescent="0.3">
      <c r="A21" s="775"/>
      <c r="G21" s="749" t="s">
        <v>101</v>
      </c>
      <c r="H21" s="749">
        <v>19</v>
      </c>
      <c r="I21" s="749" t="s">
        <v>102</v>
      </c>
      <c r="J21" s="751">
        <f>OtherTourDestination!E29</f>
        <v>0</v>
      </c>
      <c r="K21" s="792">
        <f t="shared" si="0"/>
        <v>0</v>
      </c>
      <c r="L21" s="749" t="s">
        <v>103</v>
      </c>
    </row>
    <row r="22" spans="1:12" x14ac:dyDescent="0.25">
      <c r="A22" s="776" t="s">
        <v>104</v>
      </c>
      <c r="B22" s="777"/>
      <c r="G22" s="749" t="s">
        <v>101</v>
      </c>
      <c r="H22" s="749">
        <v>20</v>
      </c>
      <c r="I22" s="749" t="s">
        <v>105</v>
      </c>
      <c r="J22" s="751">
        <f>OtherTourDestination!E30</f>
        <v>0.55927220197000005</v>
      </c>
      <c r="K22" s="792">
        <f t="shared" si="0"/>
        <v>0.55927220197000005</v>
      </c>
      <c r="L22" s="778" t="s">
        <v>106</v>
      </c>
    </row>
    <row r="23" spans="1:12" x14ac:dyDescent="0.25">
      <c r="A23" s="756" t="s">
        <v>60</v>
      </c>
      <c r="B23" s="779"/>
      <c r="G23" s="749" t="s">
        <v>101</v>
      </c>
      <c r="H23" s="749">
        <v>21</v>
      </c>
      <c r="I23" s="749" t="s">
        <v>107</v>
      </c>
      <c r="J23" s="751">
        <f>OtherTourDestination!E31</f>
        <v>-14.073533462</v>
      </c>
      <c r="K23" s="792">
        <f t="shared" si="0"/>
        <v>-14.073533462</v>
      </c>
      <c r="L23" s="749" t="s">
        <v>108</v>
      </c>
    </row>
    <row r="24" spans="1:12" x14ac:dyDescent="0.25">
      <c r="A24" s="759" t="s">
        <v>63</v>
      </c>
      <c r="B24" s="779"/>
      <c r="G24" s="749" t="s">
        <v>101</v>
      </c>
      <c r="H24" s="749">
        <v>22</v>
      </c>
      <c r="I24" s="749" t="s">
        <v>109</v>
      </c>
      <c r="J24" s="751">
        <f>OtherTourDestination!E32</f>
        <v>4.23561831E-2</v>
      </c>
      <c r="K24" s="792">
        <f t="shared" si="0"/>
        <v>4.23561831E-2</v>
      </c>
      <c r="L24" s="749" t="s">
        <v>110</v>
      </c>
    </row>
    <row r="25" spans="1:12" x14ac:dyDescent="0.25">
      <c r="A25" s="759" t="s">
        <v>66</v>
      </c>
      <c r="B25" s="779"/>
      <c r="G25" s="749" t="s">
        <v>101</v>
      </c>
      <c r="H25" s="749">
        <v>23</v>
      </c>
      <c r="I25" s="749" t="s">
        <v>111</v>
      </c>
      <c r="J25" s="751">
        <f>OtherTourDestination!E33</f>
        <v>-2.9413698566000002</v>
      </c>
      <c r="K25" s="792">
        <f t="shared" si="0"/>
        <v>-2.9413698566000002</v>
      </c>
      <c r="L25" s="749" t="s">
        <v>112</v>
      </c>
    </row>
    <row r="26" spans="1:12" ht="15.75" thickBot="1" x14ac:dyDescent="0.3">
      <c r="A26" s="780" t="s">
        <v>69</v>
      </c>
      <c r="B26" s="781"/>
      <c r="G26" s="749" t="s">
        <v>101</v>
      </c>
      <c r="H26" s="749">
        <v>24</v>
      </c>
      <c r="I26" s="749" t="s">
        <v>113</v>
      </c>
      <c r="J26" s="751">
        <f>OtherTourDestination!E34</f>
        <v>-1.4293629385</v>
      </c>
      <c r="K26" s="792">
        <f t="shared" si="0"/>
        <v>-1.4293629385</v>
      </c>
      <c r="L26" s="778" t="s">
        <v>114</v>
      </c>
    </row>
    <row r="27" spans="1:12" x14ac:dyDescent="0.25">
      <c r="A27" s="775"/>
      <c r="B27" s="782"/>
      <c r="G27" s="749" t="s">
        <v>115</v>
      </c>
      <c r="H27" s="749">
        <v>25</v>
      </c>
      <c r="I27" s="749" t="s">
        <v>116</v>
      </c>
      <c r="J27" s="751">
        <f>OtherTourDestination!E35</f>
        <v>0.21220129380800001</v>
      </c>
      <c r="K27" s="792">
        <f t="shared" si="0"/>
        <v>0.21220129380800001</v>
      </c>
      <c r="L27" s="778" t="s">
        <v>117</v>
      </c>
    </row>
    <row r="28" spans="1:12" x14ac:dyDescent="0.25">
      <c r="A28" s="775"/>
      <c r="B28" s="782"/>
      <c r="G28" s="749" t="s">
        <v>115</v>
      </c>
      <c r="H28" s="749">
        <v>26</v>
      </c>
      <c r="I28" s="749" t="s">
        <v>118</v>
      </c>
      <c r="J28" s="751">
        <f>OtherTourDestination!E36</f>
        <v>-0.156772126135</v>
      </c>
      <c r="K28" s="792">
        <f t="shared" si="0"/>
        <v>-0.156772126135</v>
      </c>
      <c r="L28" s="749" t="s">
        <v>106</v>
      </c>
    </row>
    <row r="29" spans="1:12" x14ac:dyDescent="0.25">
      <c r="A29" s="774" t="s">
        <v>95</v>
      </c>
      <c r="B29" s="783"/>
      <c r="G29" s="749" t="s">
        <v>115</v>
      </c>
      <c r="H29" s="749">
        <v>27</v>
      </c>
      <c r="I29" s="749" t="s">
        <v>119</v>
      </c>
      <c r="J29" s="751">
        <f>OtherTourDestination!E37</f>
        <v>0.78053827557199995</v>
      </c>
      <c r="K29" s="792">
        <f t="shared" si="0"/>
        <v>0.78053827557199995</v>
      </c>
      <c r="L29" s="749" t="s">
        <v>108</v>
      </c>
    </row>
    <row r="30" spans="1:12" x14ac:dyDescent="0.25">
      <c r="A30" s="774" t="s">
        <v>120</v>
      </c>
      <c r="B30" s="783"/>
      <c r="G30" s="749" t="s">
        <v>115</v>
      </c>
      <c r="H30" s="749">
        <v>28</v>
      </c>
      <c r="I30" s="749" t="s">
        <v>121</v>
      </c>
      <c r="J30" s="751">
        <f>OtherTourDestination!E38</f>
        <v>-12.632321361500001</v>
      </c>
      <c r="K30" s="792">
        <f t="shared" si="0"/>
        <v>-12.632321361500001</v>
      </c>
      <c r="L30" s="749" t="s">
        <v>110</v>
      </c>
    </row>
    <row r="31" spans="1:12" ht="15.75" thickBot="1" x14ac:dyDescent="0.3">
      <c r="A31" s="775"/>
      <c r="B31" s="782"/>
      <c r="G31" s="749" t="s">
        <v>115</v>
      </c>
      <c r="H31" s="749">
        <v>29</v>
      </c>
      <c r="I31" s="749" t="s">
        <v>122</v>
      </c>
      <c r="J31" s="751">
        <f>OtherTourDestination!E39</f>
        <v>-4.7373800512499997</v>
      </c>
      <c r="K31" s="792">
        <f t="shared" si="0"/>
        <v>-4.7373800512499997</v>
      </c>
      <c r="L31" s="749" t="s">
        <v>112</v>
      </c>
    </row>
    <row r="32" spans="1:12" x14ac:dyDescent="0.25">
      <c r="A32" s="776" t="s">
        <v>104</v>
      </c>
      <c r="B32" s="777"/>
      <c r="G32" s="749" t="s">
        <v>115</v>
      </c>
      <c r="H32" s="749">
        <v>30</v>
      </c>
      <c r="I32" s="749" t="s">
        <v>123</v>
      </c>
      <c r="J32" s="751">
        <f>OtherTourDestination!E40</f>
        <v>-3.8495864337499999</v>
      </c>
      <c r="K32" s="792">
        <f t="shared" si="0"/>
        <v>-3.8495864337499999</v>
      </c>
      <c r="L32" s="749" t="s">
        <v>124</v>
      </c>
    </row>
    <row r="33" spans="1:12" x14ac:dyDescent="0.25">
      <c r="A33" s="756" t="s">
        <v>60</v>
      </c>
      <c r="B33" s="779">
        <f>LN(B12/E12)-LN(B12/E12)</f>
        <v>0</v>
      </c>
      <c r="G33" s="749" t="s">
        <v>115</v>
      </c>
      <c r="H33" s="749">
        <v>31</v>
      </c>
      <c r="I33" s="749" t="s">
        <v>125</v>
      </c>
      <c r="J33" s="751">
        <f>OtherTourDestination!E41</f>
        <v>-0.55196399758000003</v>
      </c>
      <c r="K33" s="792">
        <f t="shared" si="0"/>
        <v>-0.55196399758000003</v>
      </c>
      <c r="L33" s="778" t="s">
        <v>126</v>
      </c>
    </row>
    <row r="34" spans="1:12" x14ac:dyDescent="0.25">
      <c r="A34" s="759" t="s">
        <v>63</v>
      </c>
      <c r="B34" s="779">
        <f>LN(B13/E13)-LN(B12/E12)</f>
        <v>0.72850132038902615</v>
      </c>
      <c r="G34" s="749" t="s">
        <v>115</v>
      </c>
      <c r="H34" s="749">
        <v>32</v>
      </c>
      <c r="I34" s="749" t="s">
        <v>127</v>
      </c>
      <c r="J34" s="751">
        <f>OtherTourDestination!E42</f>
        <v>0.161916660248</v>
      </c>
      <c r="K34" s="792">
        <f t="shared" si="0"/>
        <v>0.161916660248</v>
      </c>
      <c r="L34" s="778" t="s">
        <v>128</v>
      </c>
    </row>
    <row r="35" spans="1:12" x14ac:dyDescent="0.25">
      <c r="A35" s="759" t="s">
        <v>66</v>
      </c>
      <c r="B35" s="779">
        <f>LN(B14/E14)-LN(B13/E13)-LN(B12/E12)</f>
        <v>-1.4435171206700559</v>
      </c>
      <c r="E35" s="784"/>
      <c r="G35" s="749" t="s">
        <v>115</v>
      </c>
      <c r="H35" s="749">
        <v>33</v>
      </c>
      <c r="I35" s="749" t="s">
        <v>129</v>
      </c>
      <c r="J35" s="751">
        <f>OtherTourDestination!E43</f>
        <v>-0.164548260329</v>
      </c>
      <c r="K35" s="792">
        <f t="shared" si="0"/>
        <v>-0.164548260329</v>
      </c>
      <c r="L35" s="778" t="s">
        <v>130</v>
      </c>
    </row>
    <row r="36" spans="1:12" ht="15.75" thickBot="1" x14ac:dyDescent="0.3">
      <c r="A36" s="780" t="s">
        <v>69</v>
      </c>
      <c r="B36" s="781">
        <f>LN(B15/E15)-LN(B14/E14)-LN(B13/E13)-LN(B12/E12)</f>
        <v>-1.609287825967898</v>
      </c>
      <c r="E36" s="785"/>
      <c r="G36" s="749" t="s">
        <v>115</v>
      </c>
      <c r="H36" s="749">
        <v>34</v>
      </c>
      <c r="I36" s="749" t="s">
        <v>131</v>
      </c>
      <c r="J36" s="751">
        <f>OtherTourDestination!E44</f>
        <v>0.20498917376299999</v>
      </c>
      <c r="K36" s="792">
        <f t="shared" si="0"/>
        <v>0.20498917376299999</v>
      </c>
      <c r="L36" s="778" t="s">
        <v>132</v>
      </c>
    </row>
    <row r="37" spans="1:12" x14ac:dyDescent="0.25">
      <c r="A37" s="775"/>
      <c r="B37" s="779"/>
      <c r="G37" s="749" t="s">
        <v>133</v>
      </c>
      <c r="H37" s="749">
        <v>35</v>
      </c>
      <c r="I37" s="749" t="s">
        <v>134</v>
      </c>
      <c r="J37" s="751">
        <f>OtherTourDestination!E45</f>
        <v>-0.128001396233</v>
      </c>
      <c r="K37" s="792">
        <f t="shared" si="0"/>
        <v>-0.128001396233</v>
      </c>
      <c r="L37" s="778" t="s">
        <v>135</v>
      </c>
    </row>
    <row r="38" spans="1:12" x14ac:dyDescent="0.25">
      <c r="A38" s="775"/>
      <c r="B38" s="779"/>
      <c r="G38" s="749" t="s">
        <v>133</v>
      </c>
      <c r="H38" s="749">
        <v>36</v>
      </c>
      <c r="I38" s="749" t="s">
        <v>136</v>
      </c>
      <c r="J38" s="751">
        <f>OtherTourDestination!E46</f>
        <v>6.1170505754699997E-2</v>
      </c>
      <c r="K38" s="792">
        <f t="shared" si="0"/>
        <v>6.1170505754699997E-2</v>
      </c>
      <c r="L38" s="778" t="s">
        <v>106</v>
      </c>
    </row>
    <row r="39" spans="1:12" x14ac:dyDescent="0.25">
      <c r="A39" s="774" t="s">
        <v>95</v>
      </c>
      <c r="B39" s="786"/>
      <c r="G39" s="749" t="s">
        <v>133</v>
      </c>
      <c r="H39" s="749">
        <v>37</v>
      </c>
      <c r="I39" s="749" t="s">
        <v>137</v>
      </c>
      <c r="J39" s="751">
        <f>OtherTourDestination!E47</f>
        <v>1.3253567635600001</v>
      </c>
      <c r="K39" s="792">
        <f t="shared" si="0"/>
        <v>1.3253567635600001</v>
      </c>
      <c r="L39" s="778" t="s">
        <v>108</v>
      </c>
    </row>
    <row r="40" spans="1:12" x14ac:dyDescent="0.25">
      <c r="A40" s="774" t="s">
        <v>138</v>
      </c>
      <c r="B40" s="786"/>
      <c r="G40" s="749" t="s">
        <v>133</v>
      </c>
      <c r="H40" s="749">
        <v>38</v>
      </c>
      <c r="I40" s="749" t="s">
        <v>139</v>
      </c>
      <c r="J40" s="751">
        <f>OtherTourDestination!E48</f>
        <v>-9.2010945905200003</v>
      </c>
      <c r="K40" s="792">
        <f t="shared" si="0"/>
        <v>-9.2010945905200003</v>
      </c>
      <c r="L40" s="778" t="s">
        <v>110</v>
      </c>
    </row>
    <row r="41" spans="1:12" ht="15.75" thickBot="1" x14ac:dyDescent="0.3">
      <c r="A41" s="775"/>
      <c r="B41" s="779"/>
      <c r="G41" s="749" t="s">
        <v>133</v>
      </c>
      <c r="H41" s="749">
        <v>39</v>
      </c>
      <c r="I41" s="749" t="s">
        <v>140</v>
      </c>
      <c r="J41" s="751">
        <f>OtherTourDestination!E49</f>
        <v>-2.1424454967800002</v>
      </c>
      <c r="K41" s="792">
        <f t="shared" si="0"/>
        <v>-2.1424454967800002</v>
      </c>
      <c r="L41" s="778" t="s">
        <v>112</v>
      </c>
    </row>
    <row r="42" spans="1:12" x14ac:dyDescent="0.25">
      <c r="A42" s="776" t="s">
        <v>104</v>
      </c>
      <c r="B42" s="787"/>
      <c r="G42" s="749" t="s">
        <v>133</v>
      </c>
      <c r="H42" s="749">
        <v>40</v>
      </c>
      <c r="I42" s="749" t="s">
        <v>141</v>
      </c>
      <c r="J42" s="751">
        <f>OtherTourDestination!E50</f>
        <v>-3.2698397693199999</v>
      </c>
      <c r="K42" s="792">
        <f t="shared" si="0"/>
        <v>-3.2698397693199999</v>
      </c>
      <c r="L42" s="778" t="s">
        <v>124</v>
      </c>
    </row>
    <row r="43" spans="1:12" x14ac:dyDescent="0.25">
      <c r="A43" s="756" t="s">
        <v>60</v>
      </c>
      <c r="B43" s="779">
        <f>B23+B33</f>
        <v>0</v>
      </c>
      <c r="G43" s="749" t="s">
        <v>133</v>
      </c>
      <c r="H43" s="749">
        <v>41</v>
      </c>
      <c r="I43" s="749" t="s">
        <v>142</v>
      </c>
      <c r="J43" s="751">
        <f>OtherTourDestination!E51</f>
        <v>-1.5387148017900001</v>
      </c>
      <c r="K43" s="792">
        <f t="shared" si="0"/>
        <v>-1.5387148017900001</v>
      </c>
      <c r="L43" s="778" t="s">
        <v>126</v>
      </c>
    </row>
    <row r="44" spans="1:12" x14ac:dyDescent="0.25">
      <c r="A44" s="759" t="s">
        <v>63</v>
      </c>
      <c r="B44" s="779">
        <f t="shared" ref="B44:B46" si="3">B24+B34</f>
        <v>0.72850132038902615</v>
      </c>
      <c r="G44" s="749" t="s">
        <v>143</v>
      </c>
      <c r="H44" s="749">
        <v>42</v>
      </c>
      <c r="I44" s="749" t="s">
        <v>144</v>
      </c>
      <c r="J44" s="751">
        <f>OtherTourDestination!E52</f>
        <v>-0.149205194047</v>
      </c>
      <c r="K44" s="792">
        <f t="shared" si="0"/>
        <v>-0.149205194047</v>
      </c>
      <c r="L44" s="778" t="s">
        <v>145</v>
      </c>
    </row>
    <row r="45" spans="1:12" x14ac:dyDescent="0.25">
      <c r="A45" s="759" t="s">
        <v>66</v>
      </c>
      <c r="B45" s="779">
        <f t="shared" si="3"/>
        <v>-1.4435171206700559</v>
      </c>
      <c r="G45" s="788" t="s">
        <v>143</v>
      </c>
      <c r="H45" s="788">
        <v>43</v>
      </c>
      <c r="I45" s="788" t="s">
        <v>146</v>
      </c>
      <c r="J45" s="751">
        <f>OtherTourDestination!E53</f>
        <v>0.517393579278</v>
      </c>
      <c r="K45" s="792">
        <f t="shared" si="0"/>
        <v>0.517393579278</v>
      </c>
      <c r="L45" s="789" t="s">
        <v>106</v>
      </c>
    </row>
    <row r="46" spans="1:12" ht="15.75" thickBot="1" x14ac:dyDescent="0.3">
      <c r="A46" s="780" t="s">
        <v>69</v>
      </c>
      <c r="B46" s="781">
        <f t="shared" si="3"/>
        <v>-1.609287825967898</v>
      </c>
      <c r="G46" s="788" t="s">
        <v>143</v>
      </c>
      <c r="H46" s="788">
        <v>44</v>
      </c>
      <c r="I46" s="788" t="s">
        <v>147</v>
      </c>
      <c r="J46" s="751">
        <f>OtherTourDestination!E54</f>
        <v>0.84374741070500003</v>
      </c>
      <c r="K46" s="792">
        <f t="shared" si="0"/>
        <v>0.84374741070500003</v>
      </c>
      <c r="L46" s="789" t="s">
        <v>148</v>
      </c>
    </row>
    <row r="47" spans="1:12" x14ac:dyDescent="0.25">
      <c r="G47" s="788" t="s">
        <v>143</v>
      </c>
      <c r="H47" s="788">
        <v>45</v>
      </c>
      <c r="I47" s="788" t="s">
        <v>149</v>
      </c>
      <c r="J47" s="751">
        <f>OtherTourDestination!E55</f>
        <v>-16.440174024099999</v>
      </c>
      <c r="K47" s="792">
        <f t="shared" si="0"/>
        <v>-16.440174024099999</v>
      </c>
      <c r="L47" s="789" t="s">
        <v>150</v>
      </c>
    </row>
    <row r="48" spans="1:12" x14ac:dyDescent="0.25">
      <c r="G48" s="788" t="s">
        <v>143</v>
      </c>
      <c r="H48" s="788">
        <v>46</v>
      </c>
      <c r="I48" s="788" t="s">
        <v>151</v>
      </c>
      <c r="J48" s="751">
        <f>OtherTourDestination!E56</f>
        <v>0.38560809579999999</v>
      </c>
      <c r="K48" s="792">
        <f t="shared" si="0"/>
        <v>0.38560809579999999</v>
      </c>
      <c r="L48" s="789" t="s">
        <v>152</v>
      </c>
    </row>
    <row r="49" spans="7:12" x14ac:dyDescent="0.25">
      <c r="G49" s="788" t="s">
        <v>143</v>
      </c>
      <c r="H49" s="788">
        <v>47</v>
      </c>
      <c r="I49" s="788" t="s">
        <v>153</v>
      </c>
      <c r="J49" s="751">
        <f>OtherTourDestination!E57</f>
        <v>-2.4592819233999998</v>
      </c>
      <c r="K49" s="792">
        <f t="shared" si="0"/>
        <v>-2.4592819233999998</v>
      </c>
      <c r="L49" s="789" t="s">
        <v>154</v>
      </c>
    </row>
    <row r="50" spans="7:12" x14ac:dyDescent="0.25">
      <c r="G50" s="788" t="s">
        <v>155</v>
      </c>
      <c r="H50" s="788">
        <v>48</v>
      </c>
      <c r="I50" s="788" t="s">
        <v>156</v>
      </c>
      <c r="J50" s="751">
        <f>OtherTourDestination!E58</f>
        <v>-2.8909492550999998</v>
      </c>
      <c r="K50" s="792">
        <f t="shared" si="0"/>
        <v>-2.8909492550999998</v>
      </c>
      <c r="L50" s="789" t="s">
        <v>157</v>
      </c>
    </row>
    <row r="51" spans="7:12" x14ac:dyDescent="0.25">
      <c r="G51" s="749" t="s">
        <v>155</v>
      </c>
      <c r="H51" s="749">
        <v>49</v>
      </c>
      <c r="I51" s="749" t="s">
        <v>158</v>
      </c>
      <c r="J51" s="751">
        <f>OtherTourDestination!E59</f>
        <v>0.16683062839400001</v>
      </c>
      <c r="K51" s="792">
        <f t="shared" si="0"/>
        <v>0.16683062839400001</v>
      </c>
      <c r="L51" s="778" t="s">
        <v>106</v>
      </c>
    </row>
    <row r="52" spans="7:12" x14ac:dyDescent="0.25">
      <c r="G52" s="749" t="s">
        <v>155</v>
      </c>
      <c r="H52" s="749">
        <v>50</v>
      </c>
      <c r="I52" s="749" t="s">
        <v>159</v>
      </c>
      <c r="J52" s="751">
        <f>OtherTourDestination!E60</f>
        <v>0.80686039286800004</v>
      </c>
      <c r="K52" s="792">
        <f t="shared" si="0"/>
        <v>0.80686039286800004</v>
      </c>
      <c r="L52" s="778" t="s">
        <v>108</v>
      </c>
    </row>
    <row r="53" spans="7:12" x14ac:dyDescent="0.25">
      <c r="G53" s="749" t="s">
        <v>155</v>
      </c>
      <c r="H53" s="749">
        <v>51</v>
      </c>
      <c r="I53" s="749" t="s">
        <v>160</v>
      </c>
      <c r="J53" s="751">
        <f>OtherTourDestination!E61</f>
        <v>-10.275631588</v>
      </c>
      <c r="K53" s="792">
        <f t="shared" si="0"/>
        <v>-10.275631588</v>
      </c>
      <c r="L53" s="778" t="s">
        <v>110</v>
      </c>
    </row>
    <row r="54" spans="7:12" x14ac:dyDescent="0.25">
      <c r="G54" s="749" t="s">
        <v>155</v>
      </c>
      <c r="H54" s="749">
        <v>52</v>
      </c>
      <c r="I54" s="749" t="s">
        <v>161</v>
      </c>
      <c r="J54" s="751">
        <f>OtherTourDestination!E62</f>
        <v>-3.6378931021600001</v>
      </c>
      <c r="K54" s="792">
        <f t="shared" si="0"/>
        <v>-3.6378931021600001</v>
      </c>
      <c r="L54" s="778" t="s">
        <v>112</v>
      </c>
    </row>
    <row r="55" spans="7:12" x14ac:dyDescent="0.25">
      <c r="G55" s="749" t="s">
        <v>155</v>
      </c>
      <c r="H55" s="749">
        <v>53</v>
      </c>
      <c r="I55" s="749" t="s">
        <v>162</v>
      </c>
      <c r="J55" s="751">
        <f>OtherTourDestination!E63</f>
        <v>-4.0172263670700001</v>
      </c>
      <c r="K55" s="792">
        <f t="shared" si="0"/>
        <v>-4.0172263670700001</v>
      </c>
      <c r="L55" s="778" t="s">
        <v>124</v>
      </c>
    </row>
    <row r="56" spans="7:12" x14ac:dyDescent="0.25">
      <c r="G56" s="749" t="s">
        <v>155</v>
      </c>
      <c r="H56" s="749">
        <v>54</v>
      </c>
      <c r="I56" s="749" t="s">
        <v>163</v>
      </c>
      <c r="J56" s="751">
        <f>OtherTourDestination!E64</f>
        <v>-0.54205465260999997</v>
      </c>
      <c r="K56" s="792">
        <f t="shared" si="0"/>
        <v>-0.54205465260999997</v>
      </c>
      <c r="L56" s="778" t="s">
        <v>164</v>
      </c>
    </row>
    <row r="57" spans="7:12" x14ac:dyDescent="0.25">
      <c r="G57" s="749" t="s">
        <v>155</v>
      </c>
      <c r="H57" s="749">
        <v>55</v>
      </c>
      <c r="I57" s="749" t="s">
        <v>165</v>
      </c>
      <c r="J57" s="751">
        <f>OtherTourDestination!E65</f>
        <v>0.21306405683599999</v>
      </c>
      <c r="K57" s="792">
        <f t="shared" si="0"/>
        <v>0.21306405683599999</v>
      </c>
      <c r="L57" s="778" t="s">
        <v>128</v>
      </c>
    </row>
    <row r="58" spans="7:12" x14ac:dyDescent="0.25">
      <c r="G58" s="749" t="s">
        <v>155</v>
      </c>
      <c r="H58" s="749">
        <v>56</v>
      </c>
      <c r="I58" s="749" t="s">
        <v>166</v>
      </c>
      <c r="J58" s="751">
        <f>OtherTourDestination!E66</f>
        <v>0.49322187999099998</v>
      </c>
      <c r="K58" s="792">
        <f t="shared" si="0"/>
        <v>0.49322187999099998</v>
      </c>
      <c r="L58" s="778" t="s">
        <v>132</v>
      </c>
    </row>
    <row r="59" spans="7:12" x14ac:dyDescent="0.25">
      <c r="H59" s="749">
        <v>57</v>
      </c>
      <c r="I59" s="749" t="s">
        <v>167</v>
      </c>
      <c r="J59" s="751">
        <f>OtherTourDestination!E67</f>
        <v>-0.81297460986500003</v>
      </c>
      <c r="K59" s="792">
        <f t="shared" si="0"/>
        <v>-0.81297460986500003</v>
      </c>
      <c r="L59" s="778" t="s">
        <v>135</v>
      </c>
    </row>
    <row r="60" spans="7:12" x14ac:dyDescent="0.25">
      <c r="G60" s="749" t="s">
        <v>101</v>
      </c>
      <c r="H60" s="749">
        <v>70</v>
      </c>
      <c r="I60" s="749" t="s">
        <v>168</v>
      </c>
      <c r="J60" s="751">
        <f>OtherTourDestination!E68</f>
        <v>8.0759501397E-2</v>
      </c>
      <c r="K60" s="792">
        <f t="shared" si="0"/>
        <v>8.0759501397E-2</v>
      </c>
      <c r="L60" s="778"/>
    </row>
    <row r="61" spans="7:12" x14ac:dyDescent="0.25">
      <c r="G61" s="749" t="s">
        <v>101</v>
      </c>
      <c r="H61" s="749">
        <v>71</v>
      </c>
      <c r="I61" s="749" t="s">
        <v>169</v>
      </c>
      <c r="J61" s="751">
        <f>OtherTourDestination!E69</f>
        <v>0.29053029913700001</v>
      </c>
      <c r="K61" s="792">
        <f t="shared" si="0"/>
        <v>0.29053029913700001</v>
      </c>
      <c r="L61" s="749" t="s">
        <v>170</v>
      </c>
    </row>
    <row r="62" spans="7:12" x14ac:dyDescent="0.25">
      <c r="G62" s="749" t="s">
        <v>101</v>
      </c>
      <c r="H62" s="749">
        <v>72</v>
      </c>
      <c r="I62" s="749" t="s">
        <v>171</v>
      </c>
      <c r="J62" s="751">
        <f>OtherTourDestination!E70</f>
        <v>0</v>
      </c>
      <c r="K62" s="792">
        <f t="shared" si="0"/>
        <v>0</v>
      </c>
      <c r="L62" s="749" t="s">
        <v>172</v>
      </c>
    </row>
    <row r="63" spans="7:12" x14ac:dyDescent="0.25">
      <c r="G63" s="749" t="s">
        <v>101</v>
      </c>
      <c r="H63" s="749">
        <v>73</v>
      </c>
      <c r="I63" s="749" t="s">
        <v>173</v>
      </c>
      <c r="J63" s="751">
        <f>OtherTourDestination!E71</f>
        <v>-3.51218611463</v>
      </c>
      <c r="K63" s="792">
        <f t="shared" si="0"/>
        <v>-3.51218611463</v>
      </c>
      <c r="L63" s="749" t="s">
        <v>174</v>
      </c>
    </row>
    <row r="64" spans="7:12" x14ac:dyDescent="0.25">
      <c r="G64" s="749" t="s">
        <v>101</v>
      </c>
      <c r="H64" s="749">
        <v>74</v>
      </c>
      <c r="I64" s="749" t="s">
        <v>175</v>
      </c>
      <c r="J64" s="751">
        <f>OtherTourDestination!E72</f>
        <v>-1.9512398226400001</v>
      </c>
      <c r="K64" s="792">
        <f t="shared" si="0"/>
        <v>-1.9512398226400001</v>
      </c>
      <c r="L64" s="749" t="s">
        <v>176</v>
      </c>
    </row>
    <row r="65" spans="7:12" x14ac:dyDescent="0.25">
      <c r="G65" s="749" t="s">
        <v>101</v>
      </c>
      <c r="H65" s="749">
        <v>75</v>
      </c>
      <c r="I65" s="749" t="s">
        <v>177</v>
      </c>
      <c r="J65" s="751">
        <f>OtherTourDestination!E73</f>
        <v>-2.2875988415099999</v>
      </c>
      <c r="K65" s="792">
        <f t="shared" si="0"/>
        <v>-2.2875988415099999</v>
      </c>
      <c r="L65" s="749" t="s">
        <v>178</v>
      </c>
    </row>
    <row r="66" spans="7:12" x14ac:dyDescent="0.25">
      <c r="G66" s="749" t="s">
        <v>101</v>
      </c>
      <c r="H66" s="749">
        <v>76</v>
      </c>
      <c r="I66" s="749" t="s">
        <v>179</v>
      </c>
      <c r="J66" s="751">
        <f>OtherTourDestination!E74</f>
        <v>-2.97270473739</v>
      </c>
      <c r="K66" s="792">
        <f t="shared" si="0"/>
        <v>-2.97270473739</v>
      </c>
      <c r="L66" s="749" t="s">
        <v>180</v>
      </c>
    </row>
    <row r="67" spans="7:12" x14ac:dyDescent="0.25">
      <c r="G67" s="749" t="s">
        <v>101</v>
      </c>
      <c r="H67" s="749">
        <v>77</v>
      </c>
      <c r="I67" s="749" t="s">
        <v>181</v>
      </c>
      <c r="J67" s="751">
        <f>OtherTourDestination!E75</f>
        <v>-2.2065775626700002</v>
      </c>
      <c r="K67" s="792">
        <f t="shared" si="0"/>
        <v>-2.2065775626700002</v>
      </c>
      <c r="L67" s="749" t="s">
        <v>182</v>
      </c>
    </row>
    <row r="68" spans="7:12" x14ac:dyDescent="0.25">
      <c r="G68" s="749" t="s">
        <v>101</v>
      </c>
      <c r="H68" s="749">
        <v>78</v>
      </c>
      <c r="I68" s="749" t="s">
        <v>183</v>
      </c>
      <c r="J68" s="751">
        <f>OtherTourDestination!E76</f>
        <v>-1.91608314575</v>
      </c>
      <c r="K68" s="792">
        <f t="shared" ref="K68:K103" si="4">J68</f>
        <v>-1.91608314575</v>
      </c>
      <c r="L68" s="749" t="s">
        <v>184</v>
      </c>
    </row>
    <row r="69" spans="7:12" x14ac:dyDescent="0.25">
      <c r="G69" s="749" t="s">
        <v>101</v>
      </c>
      <c r="H69" s="749">
        <v>79</v>
      </c>
      <c r="I69" s="749" t="s">
        <v>185</v>
      </c>
      <c r="J69" s="751">
        <f>OtherTourDestination!E77</f>
        <v>-2.9941803696</v>
      </c>
      <c r="K69" s="792">
        <f t="shared" si="4"/>
        <v>-2.9941803696</v>
      </c>
      <c r="L69" s="749" t="s">
        <v>186</v>
      </c>
    </row>
    <row r="70" spans="7:12" x14ac:dyDescent="0.25">
      <c r="G70" s="749" t="s">
        <v>101</v>
      </c>
      <c r="H70" s="749">
        <v>80</v>
      </c>
      <c r="I70" s="749" t="s">
        <v>187</v>
      </c>
      <c r="J70" s="751">
        <f>OtherTourDestination!E78</f>
        <v>-20.893048808300001</v>
      </c>
      <c r="K70" s="792">
        <f t="shared" si="4"/>
        <v>-20.893048808300001</v>
      </c>
      <c r="L70" s="749" t="s">
        <v>188</v>
      </c>
    </row>
    <row r="71" spans="7:12" x14ac:dyDescent="0.25">
      <c r="G71" s="749" t="s">
        <v>101</v>
      </c>
      <c r="H71" s="749">
        <v>81</v>
      </c>
      <c r="I71" s="749" t="s">
        <v>189</v>
      </c>
      <c r="J71" s="751">
        <f>OtherTourDestination!E79</f>
        <v>-0.340851234339</v>
      </c>
      <c r="K71" s="792">
        <f t="shared" si="4"/>
        <v>-0.340851234339</v>
      </c>
      <c r="L71" s="749" t="s">
        <v>190</v>
      </c>
    </row>
    <row r="72" spans="7:12" x14ac:dyDescent="0.25">
      <c r="G72" s="749" t="s">
        <v>101</v>
      </c>
      <c r="H72" s="749">
        <v>82</v>
      </c>
      <c r="I72" s="749" t="s">
        <v>191</v>
      </c>
      <c r="J72" s="751">
        <f>OtherTourDestination!E80</f>
        <v>-3.5548804977600001</v>
      </c>
      <c r="K72" s="792">
        <f t="shared" si="4"/>
        <v>-3.5548804977600001</v>
      </c>
      <c r="L72" s="749" t="s">
        <v>190</v>
      </c>
    </row>
    <row r="73" spans="7:12" x14ac:dyDescent="0.25">
      <c r="G73" s="749" t="s">
        <v>101</v>
      </c>
      <c r="H73" s="749">
        <v>83</v>
      </c>
      <c r="I73" s="749" t="s">
        <v>192</v>
      </c>
      <c r="J73" s="751">
        <f>OtherTourDestination!E81</f>
        <v>-2.04042829643</v>
      </c>
      <c r="K73" s="792">
        <f t="shared" si="4"/>
        <v>-2.04042829643</v>
      </c>
      <c r="L73" s="749" t="s">
        <v>193</v>
      </c>
    </row>
    <row r="74" spans="7:12" x14ac:dyDescent="0.25">
      <c r="G74" s="749" t="s">
        <v>101</v>
      </c>
      <c r="H74" s="749">
        <v>84</v>
      </c>
      <c r="I74" s="749" t="s">
        <v>194</v>
      </c>
      <c r="J74" s="751">
        <f>OtherTourDestination!E82</f>
        <v>-3.1291070048599998</v>
      </c>
      <c r="K74" s="792">
        <f t="shared" si="4"/>
        <v>-3.1291070048599998</v>
      </c>
      <c r="L74" s="749" t="s">
        <v>195</v>
      </c>
    </row>
    <row r="75" spans="7:12" x14ac:dyDescent="0.25">
      <c r="G75" s="749" t="s">
        <v>101</v>
      </c>
      <c r="H75" s="749">
        <v>85</v>
      </c>
      <c r="I75" s="749" t="s">
        <v>196</v>
      </c>
      <c r="J75" s="751">
        <f>OtherTourDestination!E83</f>
        <v>-1.36058822067</v>
      </c>
      <c r="K75" s="792">
        <f t="shared" si="4"/>
        <v>-1.36058822067</v>
      </c>
      <c r="L75" s="749" t="s">
        <v>197</v>
      </c>
    </row>
    <row r="76" spans="7:12" x14ac:dyDescent="0.25">
      <c r="G76" s="749" t="s">
        <v>101</v>
      </c>
      <c r="H76" s="749">
        <v>86</v>
      </c>
      <c r="I76" s="749" t="s">
        <v>198</v>
      </c>
      <c r="J76" s="751">
        <f>OtherTourDestination!E84</f>
        <v>-3.7593502074299998</v>
      </c>
      <c r="K76" s="792">
        <f t="shared" si="4"/>
        <v>-3.7593502074299998</v>
      </c>
      <c r="L76" s="749" t="s">
        <v>199</v>
      </c>
    </row>
    <row r="77" spans="7:12" x14ac:dyDescent="0.25">
      <c r="G77" s="749" t="s">
        <v>101</v>
      </c>
      <c r="H77" s="749">
        <v>87</v>
      </c>
      <c r="I77" s="749" t="s">
        <v>200</v>
      </c>
      <c r="J77" s="751">
        <f>OtherTourDestination!E85</f>
        <v>-2.6162258391100002</v>
      </c>
      <c r="K77" s="792">
        <f t="shared" si="4"/>
        <v>-2.6162258391100002</v>
      </c>
      <c r="L77" s="749" t="s">
        <v>201</v>
      </c>
    </row>
    <row r="78" spans="7:12" x14ac:dyDescent="0.25">
      <c r="G78" s="749" t="s">
        <v>115</v>
      </c>
      <c r="H78" s="749">
        <v>88</v>
      </c>
      <c r="I78" s="749" t="s">
        <v>202</v>
      </c>
      <c r="J78" s="751">
        <f>OtherTourDestination!E86</f>
        <v>-18.920608679800001</v>
      </c>
      <c r="K78" s="792">
        <f t="shared" si="4"/>
        <v>-18.920608679800001</v>
      </c>
      <c r="L78" s="749" t="s">
        <v>203</v>
      </c>
    </row>
    <row r="79" spans="7:12" x14ac:dyDescent="0.25">
      <c r="G79" s="749" t="s">
        <v>115</v>
      </c>
      <c r="H79" s="749">
        <v>89</v>
      </c>
      <c r="I79" s="749" t="s">
        <v>204</v>
      </c>
      <c r="J79" s="751">
        <f>OtherTourDestination!E87</f>
        <v>0</v>
      </c>
      <c r="K79" s="792">
        <f t="shared" si="4"/>
        <v>0</v>
      </c>
      <c r="L79" s="749" t="s">
        <v>205</v>
      </c>
    </row>
    <row r="80" spans="7:12" x14ac:dyDescent="0.25">
      <c r="G80" s="749" t="s">
        <v>115</v>
      </c>
      <c r="H80" s="749">
        <v>90</v>
      </c>
      <c r="I80" s="749" t="s">
        <v>206</v>
      </c>
      <c r="J80" s="751">
        <f>OtherTourDestination!E88</f>
        <v>-6.14284833482</v>
      </c>
      <c r="K80" s="792">
        <f t="shared" si="4"/>
        <v>-6.14284833482</v>
      </c>
      <c r="L80" s="749" t="s">
        <v>207</v>
      </c>
    </row>
    <row r="81" spans="7:12" x14ac:dyDescent="0.25">
      <c r="G81" s="749" t="s">
        <v>115</v>
      </c>
      <c r="H81" s="749">
        <v>91</v>
      </c>
      <c r="I81" s="749" t="s">
        <v>208</v>
      </c>
      <c r="J81" s="751">
        <f>OtherTourDestination!E89</f>
        <v>-16.4745846271</v>
      </c>
      <c r="K81" s="792">
        <f t="shared" si="4"/>
        <v>-16.4745846271</v>
      </c>
      <c r="L81" s="749" t="s">
        <v>209</v>
      </c>
    </row>
    <row r="82" spans="7:12" x14ac:dyDescent="0.25">
      <c r="G82" s="749" t="s">
        <v>115</v>
      </c>
      <c r="H82" s="749">
        <v>92</v>
      </c>
      <c r="I82" s="749" t="s">
        <v>210</v>
      </c>
      <c r="J82" s="751">
        <f>OtherTourDestination!E90</f>
        <v>-9.3272520902899991</v>
      </c>
      <c r="K82" s="792">
        <f t="shared" si="4"/>
        <v>-9.3272520902899991</v>
      </c>
      <c r="L82" s="749" t="s">
        <v>211</v>
      </c>
    </row>
    <row r="83" spans="7:12" x14ac:dyDescent="0.25">
      <c r="G83" s="749" t="s">
        <v>115</v>
      </c>
      <c r="H83" s="749">
        <v>93</v>
      </c>
      <c r="I83" s="749" t="s">
        <v>212</v>
      </c>
      <c r="J83" s="751">
        <f>OtherTourDestination!E91</f>
        <v>-0.748114378523</v>
      </c>
      <c r="K83" s="792">
        <f t="shared" si="4"/>
        <v>-0.748114378523</v>
      </c>
      <c r="L83" s="749" t="s">
        <v>213</v>
      </c>
    </row>
    <row r="84" spans="7:12" x14ac:dyDescent="0.25">
      <c r="G84" s="749" t="s">
        <v>115</v>
      </c>
      <c r="H84" s="749">
        <v>94</v>
      </c>
      <c r="I84" s="749" t="s">
        <v>214</v>
      </c>
      <c r="J84" s="751">
        <f>OtherTourDestination!E92</f>
        <v>-0.29100107664500002</v>
      </c>
      <c r="K84" s="792">
        <f t="shared" si="4"/>
        <v>-0.29100107664500002</v>
      </c>
      <c r="L84" s="749" t="s">
        <v>215</v>
      </c>
    </row>
    <row r="85" spans="7:12" x14ac:dyDescent="0.25">
      <c r="G85" s="749" t="s">
        <v>115</v>
      </c>
      <c r="H85" s="749">
        <v>95</v>
      </c>
      <c r="I85" s="749" t="s">
        <v>216</v>
      </c>
      <c r="J85" s="751">
        <f>OtherTourDestination!E93</f>
        <v>0</v>
      </c>
      <c r="K85" s="792">
        <f t="shared" si="4"/>
        <v>0</v>
      </c>
      <c r="L85" s="749" t="s">
        <v>217</v>
      </c>
    </row>
    <row r="86" spans="7:12" x14ac:dyDescent="0.25">
      <c r="G86" s="749" t="s">
        <v>115</v>
      </c>
      <c r="H86" s="749">
        <v>96</v>
      </c>
      <c r="I86" s="749" t="s">
        <v>218</v>
      </c>
      <c r="J86" s="751">
        <f>OtherTourDestination!E94</f>
        <v>-10.3298280696</v>
      </c>
      <c r="K86" s="792">
        <f t="shared" si="4"/>
        <v>-10.3298280696</v>
      </c>
      <c r="L86" s="749" t="s">
        <v>219</v>
      </c>
    </row>
    <row r="87" spans="7:12" x14ac:dyDescent="0.25">
      <c r="G87" s="749" t="s">
        <v>133</v>
      </c>
      <c r="H87" s="749">
        <v>97</v>
      </c>
      <c r="I87" s="749" t="s">
        <v>220</v>
      </c>
      <c r="J87" s="751">
        <f>OtherTourDestination!E95</f>
        <v>-16.742935323400001</v>
      </c>
      <c r="K87" s="792">
        <f t="shared" si="4"/>
        <v>-16.742935323400001</v>
      </c>
      <c r="L87" s="749" t="s">
        <v>221</v>
      </c>
    </row>
    <row r="88" spans="7:12" x14ac:dyDescent="0.25">
      <c r="G88" s="749" t="s">
        <v>133</v>
      </c>
      <c r="H88" s="749">
        <v>98</v>
      </c>
      <c r="I88" s="749" t="s">
        <v>222</v>
      </c>
      <c r="J88" s="751">
        <f>OtherTourDestination!E96</f>
        <v>-6.97234539975</v>
      </c>
      <c r="K88" s="792">
        <f t="shared" si="4"/>
        <v>-6.97234539975</v>
      </c>
      <c r="L88" s="749" t="s">
        <v>207</v>
      </c>
    </row>
    <row r="89" spans="7:12" x14ac:dyDescent="0.25">
      <c r="G89" s="749" t="s">
        <v>133</v>
      </c>
      <c r="H89" s="749">
        <v>99</v>
      </c>
      <c r="I89" s="749" t="s">
        <v>223</v>
      </c>
      <c r="J89" s="751">
        <f>OtherTourDestination!E97</f>
        <v>-10.7755348742</v>
      </c>
      <c r="K89" s="792">
        <f t="shared" si="4"/>
        <v>-10.7755348742</v>
      </c>
      <c r="L89" s="749" t="s">
        <v>209</v>
      </c>
    </row>
    <row r="90" spans="7:12" x14ac:dyDescent="0.25">
      <c r="G90" s="749" t="s">
        <v>133</v>
      </c>
      <c r="H90" s="749">
        <v>100</v>
      </c>
      <c r="I90" s="749" t="s">
        <v>224</v>
      </c>
      <c r="J90" s="751">
        <f>OtherTourDestination!E98</f>
        <v>-11.547846395100001</v>
      </c>
      <c r="K90" s="792">
        <f t="shared" si="4"/>
        <v>-11.547846395100001</v>
      </c>
      <c r="L90" s="749" t="s">
        <v>211</v>
      </c>
    </row>
    <row r="91" spans="7:12" x14ac:dyDescent="0.25">
      <c r="G91" s="749" t="s">
        <v>143</v>
      </c>
      <c r="H91" s="749">
        <v>101</v>
      </c>
      <c r="I91" s="749" t="s">
        <v>225</v>
      </c>
      <c r="J91" s="751">
        <f>OtherTourDestination!E99</f>
        <v>0</v>
      </c>
      <c r="K91" s="792">
        <f t="shared" si="4"/>
        <v>0</v>
      </c>
      <c r="L91" s="749" t="s">
        <v>213</v>
      </c>
    </row>
    <row r="92" spans="7:12" x14ac:dyDescent="0.25">
      <c r="G92" s="749" t="s">
        <v>143</v>
      </c>
      <c r="H92" s="749">
        <v>102</v>
      </c>
      <c r="I92" s="749" t="s">
        <v>226</v>
      </c>
      <c r="J92" s="751">
        <f>OtherTourDestination!E100</f>
        <v>-11.0962758301</v>
      </c>
      <c r="K92" s="792">
        <f t="shared" si="4"/>
        <v>-11.0962758301</v>
      </c>
      <c r="L92" s="749" t="s">
        <v>207</v>
      </c>
    </row>
    <row r="93" spans="7:12" x14ac:dyDescent="0.25">
      <c r="G93" s="749" t="s">
        <v>143</v>
      </c>
      <c r="H93" s="749">
        <v>103</v>
      </c>
      <c r="I93" s="749" t="s">
        <v>227</v>
      </c>
      <c r="J93" s="751">
        <f>OtherTourDestination!E101</f>
        <v>0</v>
      </c>
      <c r="K93" s="792">
        <f t="shared" si="4"/>
        <v>0</v>
      </c>
      <c r="L93" s="749" t="s">
        <v>209</v>
      </c>
    </row>
    <row r="94" spans="7:12" x14ac:dyDescent="0.25">
      <c r="G94" s="749" t="s">
        <v>143</v>
      </c>
      <c r="H94" s="749">
        <v>104</v>
      </c>
      <c r="I94" s="749" t="s">
        <v>228</v>
      </c>
      <c r="J94" s="751">
        <f>OtherTourDestination!E102</f>
        <v>-12.7257909892</v>
      </c>
      <c r="K94" s="792">
        <f t="shared" si="4"/>
        <v>-12.7257909892</v>
      </c>
      <c r="L94" s="749" t="s">
        <v>211</v>
      </c>
    </row>
    <row r="95" spans="7:12" x14ac:dyDescent="0.25">
      <c r="G95" s="749" t="s">
        <v>155</v>
      </c>
      <c r="H95" s="749">
        <v>105</v>
      </c>
      <c r="I95" s="749" t="s">
        <v>229</v>
      </c>
      <c r="J95" s="751">
        <f>OtherTourDestination!E103</f>
        <v>-12.5271034041</v>
      </c>
      <c r="K95" s="792">
        <f t="shared" si="4"/>
        <v>-12.5271034041</v>
      </c>
      <c r="L95" s="749" t="s">
        <v>213</v>
      </c>
    </row>
    <row r="96" spans="7:12" x14ac:dyDescent="0.25">
      <c r="G96" s="749" t="s">
        <v>155</v>
      </c>
      <c r="H96" s="749">
        <v>106</v>
      </c>
      <c r="I96" s="749" t="s">
        <v>230</v>
      </c>
      <c r="J96" s="751">
        <f>OtherTourDestination!E104</f>
        <v>-21.008822510800002</v>
      </c>
      <c r="K96" s="792">
        <f t="shared" si="4"/>
        <v>-21.008822510800002</v>
      </c>
      <c r="L96" s="749" t="s">
        <v>207</v>
      </c>
    </row>
    <row r="97" spans="7:12" x14ac:dyDescent="0.25">
      <c r="G97" s="749" t="s">
        <v>155</v>
      </c>
      <c r="H97" s="749">
        <v>107</v>
      </c>
      <c r="I97" s="749" t="s">
        <v>231</v>
      </c>
      <c r="J97" s="751">
        <f>OtherTourDestination!E105</f>
        <v>-1.63176275226</v>
      </c>
      <c r="K97" s="792">
        <f t="shared" si="4"/>
        <v>-1.63176275226</v>
      </c>
      <c r="L97" s="749" t="s">
        <v>232</v>
      </c>
    </row>
    <row r="98" spans="7:12" x14ac:dyDescent="0.25">
      <c r="G98" s="749" t="s">
        <v>155</v>
      </c>
      <c r="H98" s="749">
        <v>108</v>
      </c>
      <c r="I98" s="749" t="s">
        <v>233</v>
      </c>
      <c r="J98" s="751">
        <f>OtherTourDestination!E106</f>
        <v>-4.6653914733199997</v>
      </c>
      <c r="K98" s="792">
        <f t="shared" si="4"/>
        <v>-4.6653914733199997</v>
      </c>
      <c r="L98" s="749" t="s">
        <v>209</v>
      </c>
    </row>
    <row r="99" spans="7:12" x14ac:dyDescent="0.25">
      <c r="G99" s="749" t="s">
        <v>155</v>
      </c>
      <c r="H99" s="749">
        <v>109</v>
      </c>
      <c r="I99" s="749" t="s">
        <v>234</v>
      </c>
      <c r="J99" s="751">
        <f>OtherTourDestination!E107</f>
        <v>-7.5050624753099999</v>
      </c>
      <c r="K99" s="792">
        <f t="shared" si="4"/>
        <v>-7.5050624753099999</v>
      </c>
      <c r="L99" s="749" t="s">
        <v>211</v>
      </c>
    </row>
    <row r="100" spans="7:12" x14ac:dyDescent="0.25">
      <c r="G100" s="749" t="s">
        <v>155</v>
      </c>
      <c r="H100" s="749">
        <v>110</v>
      </c>
      <c r="I100" s="749" t="s">
        <v>235</v>
      </c>
      <c r="J100" s="751">
        <f>OtherTourDestination!E108</f>
        <v>-7.2217481188799999</v>
      </c>
      <c r="K100" s="792">
        <f t="shared" si="4"/>
        <v>-7.2217481188799999</v>
      </c>
      <c r="L100" s="749" t="s">
        <v>213</v>
      </c>
    </row>
    <row r="101" spans="7:12" x14ac:dyDescent="0.25">
      <c r="G101" s="749" t="s">
        <v>155</v>
      </c>
      <c r="H101" s="749">
        <v>111</v>
      </c>
      <c r="I101" s="749" t="s">
        <v>236</v>
      </c>
      <c r="J101" s="751">
        <f>OtherTourDestination!E109</f>
        <v>-3.4793464222399999</v>
      </c>
      <c r="K101" s="792">
        <f t="shared" si="4"/>
        <v>-3.4793464222399999</v>
      </c>
      <c r="L101" s="749" t="s">
        <v>219</v>
      </c>
    </row>
    <row r="102" spans="7:12" x14ac:dyDescent="0.25">
      <c r="G102" s="749" t="s">
        <v>155</v>
      </c>
      <c r="H102" s="749">
        <v>112</v>
      </c>
      <c r="I102" s="749" t="s">
        <v>237</v>
      </c>
      <c r="J102" s="751">
        <f>OtherTourDestination!E110</f>
        <v>0</v>
      </c>
      <c r="K102" s="792">
        <f t="shared" si="4"/>
        <v>0</v>
      </c>
      <c r="L102" s="749" t="s">
        <v>238</v>
      </c>
    </row>
    <row r="103" spans="7:12" x14ac:dyDescent="0.25">
      <c r="G103" s="749" t="s">
        <v>155</v>
      </c>
      <c r="H103" s="749">
        <v>113</v>
      </c>
      <c r="I103" s="749" t="s">
        <v>239</v>
      </c>
      <c r="J103" s="751">
        <f>OtherTourDestination!E111</f>
        <v>0</v>
      </c>
      <c r="K103" s="792">
        <f t="shared" si="4"/>
        <v>0</v>
      </c>
      <c r="L103" s="749" t="s">
        <v>221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TLFD</vt:lpstr>
      <vt:lpstr>TDFD</vt:lpstr>
      <vt:lpstr>County_Flow</vt:lpstr>
      <vt:lpstr>Documentation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2017-04-27T22:29:08Z</dcterms:modified>
</cp:coreProperties>
</file>