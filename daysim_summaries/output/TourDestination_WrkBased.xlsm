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5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OtherTourDestination" r:id="rId5" sheetId="7"/>
    <sheet name="Calibration" r:id="rId6" sheetId="6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6" l="1" r="J4"/>
  <c i="6" r="J5"/>
  <c i="6" r="J6"/>
  <c i="6" r="J7"/>
  <c i="6" r="J8"/>
  <c i="6" r="J9"/>
  <c i="6" r="J10"/>
  <c i="6" r="J11"/>
  <c i="6" r="J12"/>
  <c i="6" r="J13"/>
  <c i="6" r="J14"/>
  <c i="6" r="J15"/>
  <c i="6" r="J16"/>
  <c i="6" r="J17"/>
  <c i="6" r="J18"/>
  <c i="6" r="J19"/>
  <c i="6" r="J20"/>
  <c i="6" r="J21"/>
  <c i="6" r="J22"/>
  <c i="6" r="J23"/>
  <c i="6" r="J24"/>
  <c i="6" r="J25"/>
  <c i="6" r="J26"/>
  <c i="6" r="J27"/>
  <c i="6" r="J28"/>
  <c i="6" r="J29"/>
  <c i="6" r="J30"/>
  <c i="6" r="J31"/>
  <c i="6" r="J32"/>
  <c i="6" r="J33"/>
  <c i="6" r="J34"/>
  <c i="6" r="J35"/>
  <c i="6" r="J36"/>
  <c i="6" r="J37"/>
  <c i="6" r="J38"/>
  <c i="6" r="J39"/>
  <c i="6" r="J40"/>
  <c i="6" r="J41"/>
  <c i="6" r="J42"/>
  <c i="6" r="J43"/>
  <c i="6" r="J44"/>
  <c i="6" r="J45"/>
  <c i="6" r="J46"/>
  <c i="6" r="J47"/>
  <c i="6" r="J48"/>
  <c i="6" r="J49"/>
  <c i="6" r="J50"/>
  <c i="6" r="J51"/>
  <c i="6" r="J52"/>
  <c i="6" r="J53"/>
  <c i="6" r="J54"/>
  <c i="6" r="J55"/>
  <c i="6" r="J56"/>
  <c i="6" r="J57"/>
  <c i="6" r="J58"/>
  <c i="6" r="J59"/>
  <c i="6" r="J60"/>
  <c i="6" r="J61"/>
  <c i="6" r="J62"/>
  <c i="6" r="J63"/>
  <c i="6" r="J64"/>
  <c i="6" r="J65"/>
  <c i="6" r="J66"/>
  <c i="6" r="J67"/>
  <c i="6" r="J68"/>
  <c i="6" r="J69"/>
  <c i="6" r="J70"/>
  <c i="6" r="J71"/>
  <c i="6" r="J72"/>
  <c i="6" r="J73"/>
  <c i="6" r="J74"/>
  <c i="6" r="J75"/>
  <c i="6" r="J76"/>
  <c i="6" r="J77"/>
  <c i="6" r="J78"/>
  <c i="6" r="J79"/>
  <c i="6" r="J80"/>
  <c i="6" r="J81"/>
  <c i="6" r="J82"/>
  <c i="6" r="J83"/>
  <c i="6" r="J84"/>
  <c i="6" r="J85"/>
  <c i="6" r="J86"/>
  <c i="6" r="J87"/>
  <c i="6" r="J88"/>
  <c i="6" r="J89"/>
  <c i="6" r="J90"/>
  <c i="6" r="J91"/>
  <c i="6" r="J92"/>
  <c i="6" r="J93"/>
  <c i="6" r="J94"/>
  <c i="6" r="J95"/>
  <c i="6" r="J96"/>
  <c i="6" r="J97"/>
  <c i="6" r="J98"/>
  <c i="6" r="J99"/>
  <c i="6" r="J100"/>
  <c i="6" r="J101"/>
  <c i="6" r="J102"/>
  <c i="6" r="J103"/>
  <c i="6" r="J3"/>
  <c i="6" l="1" r="K51"/>
  <c i="6" r="K50"/>
  <c i="6" r="K49"/>
  <c i="6" r="K48"/>
  <c i="6" r="K47"/>
  <c i="6" r="K46"/>
  <c i="6" r="K45"/>
  <c i="6" r="K44"/>
  <c i="6" r="K43"/>
  <c i="6" r="K103"/>
  <c i="6" r="K102"/>
  <c i="6" r="K101"/>
  <c i="6" r="K100"/>
  <c i="6" r="K99"/>
  <c i="6" r="K98"/>
  <c i="6" r="K97"/>
  <c i="6" r="K96"/>
  <c i="6" r="K95"/>
  <c i="6" r="K94"/>
  <c i="6" r="K93"/>
  <c i="6" r="K92"/>
  <c i="6" r="K91"/>
  <c i="6" r="K90"/>
  <c i="6" r="K89"/>
  <c i="6" r="K88"/>
  <c i="6" r="K87"/>
  <c i="6" r="K86"/>
  <c i="6" r="K85"/>
  <c i="6" r="K84"/>
  <c i="6" r="K83"/>
  <c i="6" r="K82"/>
  <c i="6" r="K81"/>
  <c i="6" r="K80"/>
  <c i="6" r="K79"/>
  <c i="6" r="K78"/>
  <c i="6" r="K77"/>
  <c i="6" r="K76"/>
  <c i="6" r="K75"/>
  <c i="6" r="K74"/>
  <c i="6" r="K73"/>
  <c i="6" r="K72"/>
  <c i="6" r="K71"/>
  <c i="6" r="K70"/>
  <c i="6" r="K69"/>
  <c i="6" r="K68"/>
  <c i="6" r="K67"/>
  <c i="6" r="K66"/>
  <c i="6" r="K65"/>
  <c i="6" r="K64"/>
  <c i="6" r="K63"/>
  <c i="6" r="K62"/>
  <c i="6" r="K61"/>
  <c i="6" r="K60"/>
  <c i="6" r="K59"/>
  <c i="6" r="K58"/>
  <c i="6" r="K57"/>
  <c i="6" r="K56"/>
  <c i="6" r="K55"/>
  <c i="6" r="K54"/>
  <c i="6" r="K53"/>
  <c i="6" r="K52"/>
  <c i="6" r="K42"/>
  <c i="6" r="K41"/>
  <c i="6" r="K40"/>
  <c i="6" r="K39"/>
  <c i="6" r="K38"/>
  <c i="6" r="K37"/>
  <c i="6" r="K36"/>
  <c i="6" r="K35"/>
  <c i="6" r="K34"/>
  <c i="6" r="K33"/>
  <c i="6" r="K32"/>
  <c i="6" r="K31"/>
  <c i="6" r="K30"/>
  <c i="6" r="K29"/>
  <c i="6" r="K28"/>
  <c i="6" r="K27"/>
  <c i="6" r="K26"/>
  <c i="6" r="K25"/>
  <c i="6" r="K24"/>
  <c i="6" r="K23"/>
  <c i="6" r="K22"/>
  <c i="6" r="K21"/>
  <c i="6" r="K20"/>
  <c i="6" r="K19"/>
  <c i="6" r="K18"/>
  <c i="6" r="K17"/>
  <c i="6" r="K16"/>
  <c i="6" r="K15"/>
  <c i="6" r="K14"/>
  <c i="6" r="K13"/>
  <c i="6" r="K12"/>
  <c i="6" r="K11"/>
  <c i="6" r="K10"/>
  <c i="6" r="K9"/>
  <c i="6" r="K8"/>
  <c i="6" r="K7"/>
  <c i="6" r="K6"/>
  <c i="6" r="K5"/>
  <c i="6" r="K4"/>
  <c i="6" r="K3"/>
  <c i="1" l="1" r="H15"/>
  <c i="1" r="J13"/>
  <c i="1" l="1" r="U13"/>
  <c i="1" r="U26" s="1"/>
  <c i="1" r="S15"/>
  <c i="1" r="S28" s="1"/>
  <c i="1" r="N26"/>
  <c i="1" r="O26"/>
  <c i="1" r="P26"/>
  <c i="1" r="Q26"/>
  <c i="1" r="R26"/>
  <c i="1" r="S26"/>
  <c i="1" r="M26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r="S21"/>
  <c i="1" r="S22"/>
  <c i="1" r="S23"/>
  <c i="1" r="S24"/>
  <c i="1" r="S25"/>
  <c i="1" r="S20"/>
  <c i="1" l="1" r="C26"/>
  <c i="1" r="D26"/>
  <c i="1" r="B26"/>
  <c i="1" r="F26"/>
  <c i="1" r="H26"/>
  <c i="1" r="G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J24"/>
  <c i="1" r="J23"/>
  <c i="1" r="U22"/>
  <c i="1" r="H22"/>
  <c i="1" r="U20"/>
  <c i="1" r="H20"/>
  <c i="1" r="H21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E28" s="1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6" r="E6" s="1"/>
  <c i="3" r="L13"/>
  <c i="3" r="L12"/>
  <c i="6" r="E5" s="1"/>
  <c i="3" r="L11"/>
  <c i="6" r="E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6" r="B7" s="1"/>
  <c i="3" r="E20"/>
  <c i="3" r="E19"/>
  <c i="3" r="E18"/>
  <c i="3" r="E17"/>
  <c i="3" r="E16"/>
  <c i="3" r="E15"/>
  <c i="3" r="E14"/>
  <c i="3" r="E13"/>
  <c i="3" r="E12"/>
  <c i="6" r="B5" s="1"/>
  <c i="3" r="E11"/>
  <c i="6" r="B4" s="1"/>
  <c i="6" l="1" r="E7"/>
  <c i="6" r="E8"/>
  <c i="6" r="E14" s="1"/>
  <c i="6" r="E12"/>
  <c i="6" r="B6"/>
  <c i="6" r="B8" s="1"/>
  <c i="1" r="H28"/>
  <c i="1" r="S34"/>
  <c i="1" r="O39"/>
  <c i="1" r="R39"/>
  <c i="1" r="S35"/>
  <c i="1" r="S36"/>
  <c i="1" r="S33"/>
  <c i="1" r="N39"/>
  <c i="1" r="P39"/>
  <c i="1" r="M39"/>
  <c i="1" r="S37"/>
  <c i="1" r="S38"/>
  <c i="1" r="S39"/>
  <c i="1" r="Q39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B16"/>
  <c i="6" r="B15"/>
  <c i="6" r="B13"/>
  <c i="6" r="B12"/>
  <c i="6" r="B33" s="1"/>
  <c i="6" r="B43" s="1"/>
  <c i="6" r="E13"/>
  <c i="6" r="B14"/>
  <c i="6" r="B35" s="1"/>
  <c i="6" r="B45" s="1"/>
  <c i="6" r="E15"/>
  <c i="6" r="E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B34"/>
  <c i="6" r="B44" s="1"/>
  <c i="6" r="B36"/>
  <c i="6" r="B46" s="1"/>
  <c i="1" r="H35"/>
  <c i="1" r="AD35" s="1"/>
  <c i="1" r="H37"/>
  <c i="1" r="AD37" s="1"/>
  <c i="1" r="H38"/>
  <c i="1" r="AD38" s="1"/>
  <c i="1" r="H34"/>
  <c i="1" r="AD34" s="1"/>
  <c i="1" r="H36"/>
  <c i="1" r="AD36" s="1"/>
  <c i="1" r="H33"/>
  <c i="1" r="AD33" s="1"/>
  <c i="1" r="H39"/>
  <c i="1" r="AD39" s="1"/>
  <c i="1" r="B39"/>
  <c i="1" r="X39" s="1"/>
  <c i="1" r="C39"/>
  <c i="1" r="Y39" s="1"/>
  <c i="1" r="G39"/>
  <c i="1" r="AC39" s="1"/>
  <c i="1" r="E39"/>
  <c i="1" r="AA39" s="1"/>
  <c i="1" r="F39"/>
  <c i="1" r="AB39" s="1"/>
  <c i="1" r="D39"/>
  <c i="1" r="Z39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</calcChain>
</file>

<file path=xl/sharedStrings.xml><?xml version="1.0" encoding="utf-8"?>
<sst xmlns="http://schemas.openxmlformats.org/spreadsheetml/2006/main" count="689" uniqueCount="272">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</sst>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79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Font="1" applyNumberFormat="1" borderId="0" fillId="0" fontId="0" numFmtId="11" xfId="0"/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ill="1" applyFont="1" applyNumberFormat="1" borderId="0" fillId="0" fontId="0" numFmtId="11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6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0.23577866339755182</c:v>
                </c:pt>
                <c:pt idx="1">
                  <c:v>0.19012636538609307</c:v>
                </c:pt>
                <c:pt idx="2">
                  <c:v>0.14640094808133852</c:v>
                </c:pt>
                <c:pt idx="3">
                  <c:v>0.10723124569248255</c:v>
                </c:pt>
                <c:pt idx="4">
                  <c:v>7.5427444301328861E-2</c:v>
                </c:pt>
                <c:pt idx="5">
                  <c:v>5.2543308981674759E-2</c:v>
                </c:pt>
                <c:pt idx="6">
                  <c:v>3.7946685519961734E-2</c:v>
                </c:pt>
                <c:pt idx="7">
                  <c:v>2.9276581341297358E-2</c:v>
                </c:pt>
                <c:pt idx="8">
                  <c:v>2.3806226519261897E-2</c:v>
                </c:pt>
                <c:pt idx="9">
                  <c:v>1.9603770894940285E-2</c:v>
                </c:pt>
                <c:pt idx="10">
                  <c:v>1.5854013188677837E-2</c:v>
                </c:pt>
                <c:pt idx="11">
                  <c:v>1.2492538917460199E-2</c:v>
                </c:pt>
                <c:pt idx="12">
                  <c:v>9.6691135513604348E-3</c:v>
                </c:pt>
                <c:pt idx="13">
                  <c:v>7.4259683374395214E-3</c:v>
                </c:pt>
                <c:pt idx="14">
                  <c:v>5.66376023161073E-3</c:v>
                </c:pt>
                <c:pt idx="15">
                  <c:v>4.2521729938579441E-3</c:v>
                </c:pt>
                <c:pt idx="16">
                  <c:v>3.1179963183214235E-3</c:v>
                </c:pt>
                <c:pt idx="17">
                  <c:v>2.248018474110592E-3</c:v>
                </c:pt>
                <c:pt idx="18">
                  <c:v>1.6434071185588029E-3</c:v>
                </c:pt>
                <c:pt idx="19">
                  <c:v>1.2799508795064767E-3</c:v>
                </c:pt>
                <c:pt idx="20">
                  <c:v>1.0983785120353734E-3</c:v>
                </c:pt>
                <c:pt idx="21">
                  <c:v>1.0254159936811753E-3</c:v>
                </c:pt>
                <c:pt idx="22">
                  <c:v>1.0096510923342319E-3</c:v>
                </c:pt>
                <c:pt idx="23">
                  <c:v>1.0413895282462139E-3</c:v>
                </c:pt>
                <c:pt idx="24">
                  <c:v>1.1364824437340218E-3</c:v>
                </c:pt>
                <c:pt idx="25">
                  <c:v>1.2981587441210545E-3</c:v>
                </c:pt>
                <c:pt idx="26">
                  <c:v>1.4880234870755635E-3</c:v>
                </c:pt>
                <c:pt idx="27">
                  <c:v>1.6264487887538875E-3</c:v>
                </c:pt>
                <c:pt idx="28">
                  <c:v>1.6268484223626984E-3</c:v>
                </c:pt>
                <c:pt idx="29">
                  <c:v>1.4499865994860566E-3</c:v>
                </c:pt>
                <c:pt idx="30">
                  <c:v>1.1393637780187809E-3</c:v>
                </c:pt>
                <c:pt idx="31">
                  <c:v>8.0006134320600455E-4</c:v>
                </c:pt>
                <c:pt idx="32">
                  <c:v>5.3225194318690496E-4</c:v>
                </c:pt>
                <c:pt idx="33">
                  <c:v>3.7647773399374432E-4</c:v>
                </c:pt>
                <c:pt idx="34">
                  <c:v>3.1213622446727075E-4</c:v>
                </c:pt>
                <c:pt idx="35">
                  <c:v>2.9497911448824051E-4</c:v>
                </c:pt>
                <c:pt idx="36">
                  <c:v>2.9101156007971946E-4</c:v>
                </c:pt>
                <c:pt idx="37">
                  <c:v>2.8404814263137819E-4</c:v>
                </c:pt>
                <c:pt idx="38">
                  <c:v>2.665683878108904E-4</c:v>
                </c:pt>
                <c:pt idx="39">
                  <c:v>2.3330576810992953E-4</c:v>
                </c:pt>
                <c:pt idx="40">
                  <c:v>1.8387878709586253E-4</c:v>
                </c:pt>
                <c:pt idx="41">
                  <c:v>1.2634353323647186E-4</c:v>
                </c:pt>
                <c:pt idx="42">
                  <c:v>7.3686753877242261E-5</c:v>
                </c:pt>
                <c:pt idx="43">
                  <c:v>3.5710965792177096E-5</c:v>
                </c:pt>
                <c:pt idx="44">
                  <c:v>1.4438489889487556E-5</c:v>
                </c:pt>
                <c:pt idx="45">
                  <c:v>6.3470628834857487E-6</c:v>
                </c:pt>
                <c:pt idx="46">
                  <c:v>7.5381305688719855E-6</c:v>
                </c:pt>
                <c:pt idx="47">
                  <c:v>1.6499403628455487E-5</c:v>
                </c:pt>
                <c:pt idx="48">
                  <c:v>3.2682775869368769E-5</c:v>
                </c:pt>
                <c:pt idx="49">
                  <c:v>5.3081913278741561E-5</c:v>
                </c:pt>
                <c:pt idx="50">
                  <c:v>7.0774716223127041E-5</c:v>
                </c:pt>
                <c:pt idx="51">
                  <c:v>7.7852187845439737E-5</c:v>
                </c:pt>
                <c:pt idx="52">
                  <c:v>7.0774716223127041E-5</c:v>
                </c:pt>
                <c:pt idx="53">
                  <c:v>5.3081037167345274E-5</c:v>
                </c:pt>
                <c:pt idx="54">
                  <c:v>3.2665253641443243E-5</c:v>
                </c:pt>
                <c:pt idx="55">
                  <c:v>1.6332626820721625E-5</c:v>
                </c:pt>
                <c:pt idx="56">
                  <c:v>6.5330507282886512E-6</c:v>
                </c:pt>
                <c:pt idx="57">
                  <c:v>2.0415783525902031E-6</c:v>
                </c:pt>
                <c:pt idx="58">
                  <c:v>4.8037137708004781E-7</c:v>
                </c:pt>
                <c:pt idx="59">
                  <c:v>8.0061896180007974E-8</c:v>
                </c:pt>
                <c:pt idx="60">
                  <c:v>8.4275680189482088E-9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0.22260391618000688</c:v>
                </c:pt>
                <c:pt idx="1">
                  <c:v>0.16638039619832817</c:v>
                </c:pt>
                <c:pt idx="2">
                  <c:v>0.13678002977212872</c:v>
                </c:pt>
                <c:pt idx="3">
                  <c:v>0.11342035955570823</c:v>
                </c:pt>
                <c:pt idx="4">
                  <c:v>8.9545402496278487E-2</c:v>
                </c:pt>
                <c:pt idx="5">
                  <c:v>5.9887781976411314E-2</c:v>
                </c:pt>
                <c:pt idx="6">
                  <c:v>4.5058971716477728E-2</c:v>
                </c:pt>
                <c:pt idx="7">
                  <c:v>3.3550898889270583E-2</c:v>
                </c:pt>
                <c:pt idx="8">
                  <c:v>2.7653727241497766E-2</c:v>
                </c:pt>
                <c:pt idx="9">
                  <c:v>2.0554219626703309E-2</c:v>
                </c:pt>
                <c:pt idx="10">
                  <c:v>1.5630367571281348E-2</c:v>
                </c:pt>
                <c:pt idx="11">
                  <c:v>1.122180235886866E-2</c:v>
                </c:pt>
                <c:pt idx="12">
                  <c:v>8.9888927058284669E-3</c:v>
                </c:pt>
                <c:pt idx="13">
                  <c:v>7.214015802129852E-3</c:v>
                </c:pt>
                <c:pt idx="14">
                  <c:v>7.3285239894652467E-3</c:v>
                </c:pt>
                <c:pt idx="15">
                  <c:v>5.0383602427573572E-3</c:v>
                </c:pt>
                <c:pt idx="16">
                  <c:v>4.6375815870834764E-3</c:v>
                </c:pt>
                <c:pt idx="17">
                  <c:v>4.2940570250772931E-3</c:v>
                </c:pt>
                <c:pt idx="18">
                  <c:v>3.3779915263941374E-3</c:v>
                </c:pt>
                <c:pt idx="19">
                  <c:v>2.5191801213786786E-3</c:v>
                </c:pt>
                <c:pt idx="20">
                  <c:v>1.2595900606893393E-3</c:v>
                </c:pt>
                <c:pt idx="21">
                  <c:v>1.5458605290278255E-3</c:v>
                </c:pt>
                <c:pt idx="22">
                  <c:v>1.6031146226955226E-3</c:v>
                </c:pt>
                <c:pt idx="23">
                  <c:v>1.0305736860185502E-3</c:v>
                </c:pt>
                <c:pt idx="24">
                  <c:v>9.1606549868315584E-4</c:v>
                </c:pt>
                <c:pt idx="25">
                  <c:v>9.1606549868315584E-4</c:v>
                </c:pt>
                <c:pt idx="26">
                  <c:v>8.0155731134776132E-4</c:v>
                </c:pt>
                <c:pt idx="27">
                  <c:v>6.8704912401236691E-4</c:v>
                </c:pt>
                <c:pt idx="28">
                  <c:v>1.0305736860185502E-3</c:v>
                </c:pt>
                <c:pt idx="29">
                  <c:v>9.1606549868315584E-4</c:v>
                </c:pt>
                <c:pt idx="30">
                  <c:v>8.5881140501545858E-4</c:v>
                </c:pt>
                <c:pt idx="31">
                  <c:v>4.0077865567388066E-4</c:v>
                </c:pt>
                <c:pt idx="32">
                  <c:v>2.8627046833848619E-4</c:v>
                </c:pt>
                <c:pt idx="33">
                  <c:v>3.4352456200618345E-4</c:v>
                </c:pt>
                <c:pt idx="34">
                  <c:v>1.7176228100309173E-4</c:v>
                </c:pt>
                <c:pt idx="35">
                  <c:v>5.725409366769724E-5</c:v>
                </c:pt>
                <c:pt idx="36">
                  <c:v>1.7176228100309173E-4</c:v>
                </c:pt>
                <c:pt idx="37">
                  <c:v>1.7176228100309173E-4</c:v>
                </c:pt>
                <c:pt idx="38">
                  <c:v>2.8627046833848619E-4</c:v>
                </c:pt>
                <c:pt idx="39">
                  <c:v>5.725409366769724E-5</c:v>
                </c:pt>
                <c:pt idx="40">
                  <c:v>5.725409366769724E-5</c:v>
                </c:pt>
                <c:pt idx="41">
                  <c:v>1.1450818733539448E-4</c:v>
                </c:pt>
                <c:pt idx="42">
                  <c:v>1.1450818733539448E-4</c:v>
                </c:pt>
                <c:pt idx="43">
                  <c:v>0</c:v>
                </c:pt>
                <c:pt idx="44">
                  <c:v>5.725409366769724E-5</c:v>
                </c:pt>
                <c:pt idx="45">
                  <c:v>1.7176228100309173E-4</c:v>
                </c:pt>
                <c:pt idx="46">
                  <c:v>5.725409366769724E-5</c:v>
                </c:pt>
                <c:pt idx="47">
                  <c:v>5.725409366769724E-5</c:v>
                </c:pt>
                <c:pt idx="48">
                  <c:v>5.725409366769724E-5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5.725409366769724E-5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2.327259431506137E-2</c:v>
                </c:pt>
                <c:pt idx="2">
                  <c:v>4.8067448536688873E-2</c:v>
                </c:pt>
                <c:pt idx="3">
                  <c:v>7.3248685610845285E-2</c:v>
                </c:pt>
                <c:pt idx="4">
                  <c:v>9.4517066588236831E-2</c:v>
                </c:pt>
                <c:pt idx="5">
                  <c:v>0.10659510369434089</c:v>
                </c:pt>
                <c:pt idx="6">
                  <c:v>0.10652547969182469</c:v>
                </c:pt>
                <c:pt idx="7">
                  <c:v>9.5581885387273857E-2</c:v>
                </c:pt>
                <c:pt idx="8">
                  <c:v>7.8450788428163568E-2</c:v>
                </c:pt>
                <c:pt idx="9">
                  <c:v>6.056537860522726E-2</c:v>
                </c:pt>
                <c:pt idx="10">
                  <c:v>4.5687918871358459E-2</c:v>
                </c:pt>
                <c:pt idx="11">
                  <c:v>3.513492484084383E-2</c:v>
                </c:pt>
                <c:pt idx="12">
                  <c:v>2.8474105979543401E-2</c:v>
                </c:pt>
                <c:pt idx="13">
                  <c:v>2.4627552843624678E-2</c:v>
                </c:pt>
                <c:pt idx="14">
                  <c:v>2.2537095278130689E-2</c:v>
                </c:pt>
                <c:pt idx="15">
                  <c:v>2.127968744143208E-2</c:v>
                </c:pt>
                <c:pt idx="16">
                  <c:v>2.0016613083666094E-2</c:v>
                </c:pt>
                <c:pt idx="17">
                  <c:v>1.8113239592388052E-2</c:v>
                </c:pt>
                <c:pt idx="18">
                  <c:v>1.5386250932272633E-2</c:v>
                </c:pt>
                <c:pt idx="19">
                  <c:v>1.2186834102959027E-2</c:v>
                </c:pt>
                <c:pt idx="20">
                  <c:v>9.162873448185822E-3</c:v>
                </c:pt>
                <c:pt idx="21">
                  <c:v>6.8605309813450713E-3</c:v>
                </c:pt>
                <c:pt idx="22">
                  <c:v>5.4575100811408098E-3</c:v>
                </c:pt>
                <c:pt idx="23">
                  <c:v>4.7671119776507235E-3</c:v>
                </c:pt>
                <c:pt idx="24">
                  <c:v>4.4275542064254689E-3</c:v>
                </c:pt>
                <c:pt idx="25">
                  <c:v>4.1088589932848163E-3</c:v>
                </c:pt>
                <c:pt idx="26">
                  <c:v>3.6319161353424662E-3</c:v>
                </c:pt>
                <c:pt idx="27">
                  <c:v>2.9837471191222712E-3</c:v>
                </c:pt>
                <c:pt idx="28">
                  <c:v>2.2623560362115057E-3</c:v>
                </c:pt>
                <c:pt idx="29">
                  <c:v>1.5986002259480981E-3</c:v>
                </c:pt>
                <c:pt idx="30">
                  <c:v>1.095352761516364E-3</c:v>
                </c:pt>
                <c:pt idx="31">
                  <c:v>8.0320747384581763E-4</c:v>
                </c:pt>
                <c:pt idx="32">
                  <c:v>7.2909651925127114E-4</c:v>
                </c:pt>
                <c:pt idx="33">
                  <c:v>8.5761220571856187E-4</c:v>
                </c:pt>
                <c:pt idx="34">
                  <c:v>1.1589106899446298E-3</c:v>
                </c:pt>
                <c:pt idx="35">
                  <c:v>1.5723144878267187E-3</c:v>
                </c:pt>
                <c:pt idx="36">
                  <c:v>1.9881368771145309E-3</c:v>
                </c:pt>
                <c:pt idx="37">
                  <c:v>2.2665410818228831E-3</c:v>
                </c:pt>
                <c:pt idx="38">
                  <c:v>2.3015717641315016E-3</c:v>
                </c:pt>
                <c:pt idx="39">
                  <c:v>2.0858657561461488E-3</c:v>
                </c:pt>
                <c:pt idx="40">
                  <c:v>1.7165345167264722E-3</c:v>
                </c:pt>
                <c:pt idx="41">
                  <c:v>1.3297999828067214E-3</c:v>
                </c:pt>
                <c:pt idx="42">
                  <c:v>1.0179032012981096E-3</c:v>
                </c:pt>
                <c:pt idx="43">
                  <c:v>7.968718137115106E-4</c:v>
                </c:pt>
                <c:pt idx="44">
                  <c:v>6.3885950308598572E-4</c:v>
                </c:pt>
                <c:pt idx="45">
                  <c:v>5.1951665100788489E-4</c:v>
                </c:pt>
                <c:pt idx="46">
                  <c:v>4.3144340482491073E-4</c:v>
                </c:pt>
                <c:pt idx="47">
                  <c:v>3.6868604064364564E-4</c:v>
                </c:pt>
                <c:pt idx="48">
                  <c:v>3.1863256301000999E-4</c:v>
                </c:pt>
                <c:pt idx="49">
                  <c:v>2.7327912202627794E-4</c:v>
                </c:pt>
                <c:pt idx="50">
                  <c:v>2.3828610413578576E-4</c:v>
                </c:pt>
                <c:pt idx="51">
                  <c:v>2.2339547246021734E-4</c:v>
                </c:pt>
                <c:pt idx="52">
                  <c:v>2.2633110788548115E-4</c:v>
                </c:pt>
                <c:pt idx="53">
                  <c:v>2.3082227270431415E-4</c:v>
                </c:pt>
                <c:pt idx="54">
                  <c:v>2.2004849432965911E-4</c:v>
                </c:pt>
                <c:pt idx="55">
                  <c:v>1.8918163680307923E-4</c:v>
                </c:pt>
                <c:pt idx="56">
                  <c:v>1.4549516241147689E-4</c:v>
                </c:pt>
                <c:pt idx="57">
                  <c:v>1.001411481230872E-4</c:v>
                </c:pt>
                <c:pt idx="58">
                  <c:v>6.1410968333174302E-5</c:v>
                </c:pt>
                <c:pt idx="59">
                  <c:v>3.305464566992444E-5</c:v>
                </c:pt>
                <c:pt idx="60">
                  <c:v>1.523382660706403E-5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7.7293026451391274E-3</c:v>
                </c:pt>
                <c:pt idx="1">
                  <c:v>2.7367456773159281E-2</c:v>
                </c:pt>
                <c:pt idx="2">
                  <c:v>3.629909538532005E-2</c:v>
                </c:pt>
                <c:pt idx="3">
                  <c:v>5.8170159166380395E-2</c:v>
                </c:pt>
                <c:pt idx="4">
                  <c:v>7.7235772357723581E-2</c:v>
                </c:pt>
                <c:pt idx="5">
                  <c:v>8.8114050154586052E-2</c:v>
                </c:pt>
                <c:pt idx="6">
                  <c:v>8.7140730562235202E-2</c:v>
                </c:pt>
                <c:pt idx="7">
                  <c:v>8.307568991182869E-2</c:v>
                </c:pt>
                <c:pt idx="8">
                  <c:v>6.7445322340547342E-2</c:v>
                </c:pt>
                <c:pt idx="9">
                  <c:v>6.773159280888584E-2</c:v>
                </c:pt>
                <c:pt idx="10">
                  <c:v>6.3265773502805447E-2</c:v>
                </c:pt>
                <c:pt idx="11">
                  <c:v>4.9582045116225812E-2</c:v>
                </c:pt>
                <c:pt idx="12">
                  <c:v>3.9906103286384977E-2</c:v>
                </c:pt>
                <c:pt idx="13">
                  <c:v>3.292110385892591E-2</c:v>
                </c:pt>
                <c:pt idx="14">
                  <c:v>3.005839917554105E-2</c:v>
                </c:pt>
                <c:pt idx="15">
                  <c:v>2.4791022558112906E-2</c:v>
                </c:pt>
                <c:pt idx="16">
                  <c:v>1.9180121378678576E-2</c:v>
                </c:pt>
                <c:pt idx="17">
                  <c:v>1.8779342723004695E-2</c:v>
                </c:pt>
                <c:pt idx="18">
                  <c:v>1.4199015229588916E-2</c:v>
                </c:pt>
                <c:pt idx="19">
                  <c:v>1.4657047978930493E-2</c:v>
                </c:pt>
                <c:pt idx="20">
                  <c:v>1.2252376044887209E-2</c:v>
                </c:pt>
                <c:pt idx="21">
                  <c:v>1.0248482766517806E-2</c:v>
                </c:pt>
                <c:pt idx="22">
                  <c:v>8.5881140501545862E-3</c:v>
                </c:pt>
                <c:pt idx="23">
                  <c:v>6.9849994274590634E-3</c:v>
                </c:pt>
                <c:pt idx="24">
                  <c:v>7.5575403641360353E-3</c:v>
                </c:pt>
                <c:pt idx="25">
                  <c:v>5.5536470857666326E-3</c:v>
                </c:pt>
                <c:pt idx="26">
                  <c:v>4.7520897744188712E-3</c:v>
                </c:pt>
                <c:pt idx="27">
                  <c:v>3.4924997137295317E-3</c:v>
                </c:pt>
                <c:pt idx="28">
                  <c:v>3.3779915263941374E-3</c:v>
                </c:pt>
                <c:pt idx="29">
                  <c:v>3.607007901064926E-3</c:v>
                </c:pt>
                <c:pt idx="30">
                  <c:v>3.2062292453910453E-3</c:v>
                </c:pt>
                <c:pt idx="31">
                  <c:v>2.0611473720371005E-3</c:v>
                </c:pt>
                <c:pt idx="32">
                  <c:v>2.0611473720371005E-3</c:v>
                </c:pt>
                <c:pt idx="33">
                  <c:v>1.66036871636322E-3</c:v>
                </c:pt>
                <c:pt idx="34">
                  <c:v>1.7176228100309172E-3</c:v>
                </c:pt>
                <c:pt idx="35">
                  <c:v>1.9466391847017062E-3</c:v>
                </c:pt>
                <c:pt idx="36">
                  <c:v>9.1606549868315584E-4</c:v>
                </c:pt>
                <c:pt idx="37">
                  <c:v>1.3168441543570364E-3</c:v>
                </c:pt>
                <c:pt idx="38">
                  <c:v>1.3168441543570364E-3</c:v>
                </c:pt>
                <c:pt idx="39">
                  <c:v>1.0305736860185502E-3</c:v>
                </c:pt>
                <c:pt idx="40">
                  <c:v>4.5803274934157792E-4</c:v>
                </c:pt>
                <c:pt idx="41">
                  <c:v>1.1450818733539448E-3</c:v>
                </c:pt>
                <c:pt idx="42">
                  <c:v>2.8627046833848619E-4</c:v>
                </c:pt>
                <c:pt idx="43">
                  <c:v>6.2979503034466964E-4</c:v>
                </c:pt>
                <c:pt idx="44">
                  <c:v>5.7254093667697238E-4</c:v>
                </c:pt>
                <c:pt idx="45">
                  <c:v>7.4430321768006417E-4</c:v>
                </c:pt>
                <c:pt idx="46">
                  <c:v>6.2979503034466964E-4</c:v>
                </c:pt>
                <c:pt idx="47">
                  <c:v>5.1528684300927512E-4</c:v>
                </c:pt>
                <c:pt idx="48">
                  <c:v>2.2901637467078896E-4</c:v>
                </c:pt>
                <c:pt idx="49">
                  <c:v>2.8627046833848619E-4</c:v>
                </c:pt>
                <c:pt idx="50">
                  <c:v>4.5803274934157792E-4</c:v>
                </c:pt>
                <c:pt idx="51">
                  <c:v>5.1528684300927512E-4</c:v>
                </c:pt>
                <c:pt idx="52">
                  <c:v>2.2901637467078896E-4</c:v>
                </c:pt>
                <c:pt idx="53">
                  <c:v>5.725409366769724E-5</c:v>
                </c:pt>
                <c:pt idx="54">
                  <c:v>3.4352456200618345E-4</c:v>
                </c:pt>
                <c:pt idx="55">
                  <c:v>1.7176228100309173E-4</c:v>
                </c:pt>
                <c:pt idx="56">
                  <c:v>5.725409366769724E-5</c:v>
                </c:pt>
                <c:pt idx="57">
                  <c:v>1.1450818733539448E-4</c:v>
                </c:pt>
                <c:pt idx="58">
                  <c:v>2.2901637467078896E-4</c:v>
                </c:pt>
                <c:pt idx="59">
                  <c:v>1.1450818733539448E-4</c:v>
                </c:pt>
                <c:pt idx="60">
                  <c:v>1.1450818733539448E-4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02"/>
  <sheetViews>
    <sheetView topLeftCell="A63" workbookViewId="0">
      <selection activeCell="L11" sqref="L11:L101"/>
    </sheetView>
  </sheetViews>
  <sheetFormatPr defaultRowHeight="15" x14ac:dyDescent="0.25"/>
  <cols>
    <col min="1" max="1" customWidth="true" width="13.5703125" collapsed="true"/>
  </cols>
  <sheetData>
    <row r="1" spans="1:18" x14ac:dyDescent="0.25">
      <c r="A1" t="s">
        <v>1</v>
      </c>
    </row>
    <row r="2" spans="1:18" x14ac:dyDescent="0.25">
      <c r="A2" t="s">
        <v>50</v>
      </c>
    </row>
    <row r="3" spans="1:18" x14ac:dyDescent="0.25">
      <c r="A3" t="s">
        <v>6</v>
      </c>
    </row>
    <row r="4" spans="1:18" x14ac:dyDescent="0.25">
      <c r="A4" t="s">
        <v>5</v>
      </c>
    </row>
    <row r="5" spans="1:18" x14ac:dyDescent="0.25">
      <c r="A5" t="s">
        <v>7</v>
      </c>
    </row>
    <row r="6" spans="1:18" x14ac:dyDescent="0.25">
      <c r="A6" t="s">
        <v>8</v>
      </c>
    </row>
    <row r="7" spans="1:18" x14ac:dyDescent="0.25">
      <c r="A7" t="s">
        <v>16</v>
      </c>
    </row>
    <row ht="15.75" r="9" spans="1:18" thickBot="1" x14ac:dyDescent="0.3">
      <c r="A9" s="4" t="s">
        <v>51</v>
      </c>
      <c r="B9" s="1"/>
      <c r="C9" s="1"/>
      <c r="D9" s="1"/>
      <c r="E9" s="1"/>
      <c r="F9" s="1"/>
      <c r="H9" s="4" t="s">
        <v>17</v>
      </c>
      <c r="I9" s="1"/>
      <c r="J9" s="1"/>
      <c r="K9" s="1"/>
      <c r="L9" s="1"/>
      <c r="M9" s="1"/>
      <c r="P9" s="10" t="s">
        <v>24</v>
      </c>
    </row>
    <row r="10" spans="1:18" x14ac:dyDescent="0.25">
      <c r="A10" s="2" t="s">
        <v>3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3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66368.1614</v>
      </c>
      <c r="C11" s="8" t="n">
        <v>1407.7788</v>
      </c>
      <c r="D11" s="8" t="n">
        <v>718.0181</v>
      </c>
      <c r="E11" s="8">
        <f>SUM(B11:D11)</f>
        <v>22121.356603725137</v>
      </c>
      <c r="F11" s="21">
        <f>E11/$E$102</f>
        <v>0.23577866339755182</v>
      </c>
      <c r="H11" s="23">
        <v>0</v>
      </c>
      <c r="I11" s="113" t="n">
        <v>146349.0</v>
      </c>
      <c r="J11" s="203" t="n">
        <v>16780.0</v>
      </c>
      <c r="K11" s="293" t="n">
        <v>11492.0</v>
      </c>
      <c r="L11">
        <f>SUM(I11:K11)</f>
        <v>19440</v>
      </c>
      <c r="M11" s="21">
        <f>L11/$L$102</f>
        <v>0.22260391618000688</v>
      </c>
      <c r="P11" t="s">
        <v>13</v>
      </c>
      <c r="Q11" s="8" t="n">
        <v>2.5235162970802123</v>
      </c>
      <c r="R11" s="8" t="n">
        <v>5.391832200521832</v>
      </c>
    </row>
    <row r="12" spans="1:18" x14ac:dyDescent="0.25">
      <c r="A12">
        <v>1</v>
      </c>
      <c r="B12" s="8" t="n">
        <v>48180.753412897204</v>
      </c>
      <c r="C12" s="8" t="n">
        <v>1138.015915996647</v>
      </c>
      <c r="D12" s="8" t="n">
        <v>733.0886858200074</v>
      </c>
      <c r="E12" s="8">
        <f ref="E12:E75" si="0" t="shared">SUM(B12:D12)</f>
        <v>17838.141364743944</v>
      </c>
      <c r="F12" s="21">
        <f ref="F12:F75" si="1" t="shared">E12/$E$102</f>
        <v>0.19012636538609307</v>
      </c>
      <c r="H12" s="24">
        <v>1</v>
      </c>
      <c r="I12" s="114" t="n">
        <v>53145.0</v>
      </c>
      <c r="J12" s="204" t="n">
        <v>7626.0</v>
      </c>
      <c r="K12" s="294" t="n">
        <v>4836.0</v>
      </c>
      <c r="L12">
        <f ref="L12:L75" si="2" t="shared">SUM(I12:K12)</f>
        <v>14530</v>
      </c>
      <c r="M12" s="21">
        <f ref="M12:M75" si="3" t="shared">L12/$L$102</f>
        <v>0.16638039619832817</v>
      </c>
      <c r="P12" t="s">
        <v>14</v>
      </c>
      <c r="Q12" s="8" t="n">
        <v>3.062595448772691</v>
      </c>
      <c r="R12" s="8" t="n">
        <v>4.869014106243793</v>
      </c>
    </row>
    <row r="13" spans="1:18" x14ac:dyDescent="0.25">
      <c r="A13">
        <v>2</v>
      </c>
      <c r="B13" s="8" t="n">
        <v>32316.830402999974</v>
      </c>
      <c r="C13" s="8" t="n">
        <v>873.1213064216613</v>
      </c>
      <c r="D13" s="8" t="n">
        <v>690.9412878774642</v>
      </c>
      <c r="E13" s="8">
        <f si="0" t="shared"/>
        <v>13735.710996758353</v>
      </c>
      <c r="F13" s="21">
        <f si="1" t="shared"/>
        <v>0.14640094808133852</v>
      </c>
      <c r="H13" s="25">
        <v>2</v>
      </c>
      <c r="I13" s="115" t="n">
        <v>33549.0</v>
      </c>
      <c r="J13" s="205" t="n">
        <v>4257.0</v>
      </c>
      <c r="K13" s="295" t="n">
        <v>2645.0</v>
      </c>
      <c r="L13">
        <f si="2" t="shared"/>
        <v>11945</v>
      </c>
      <c r="M13" s="21">
        <f si="3" t="shared"/>
        <v>0.13678002977212872</v>
      </c>
      <c r="P13" s="6" t="s">
        <v>15</v>
      </c>
      <c r="Q13" s="11" t="n">
        <v>2.001336038357462</v>
      </c>
      <c r="R13" s="11" t="n">
        <v>4.985407250784214</v>
      </c>
    </row>
    <row ht="15.75" r="14" spans="1:18" thickBot="1" x14ac:dyDescent="0.3">
      <c r="A14">
        <v>3</v>
      </c>
      <c r="B14" s="8" t="n">
        <v>20174.313808079052</v>
      </c>
      <c r="C14" s="8" t="n">
        <v>626.2398597467422</v>
      </c>
      <c r="D14" s="8" t="n">
        <v>576.151606293583</v>
      </c>
      <c r="E14" s="8">
        <f si="0" t="shared"/>
        <v>10060.709441826881</v>
      </c>
      <c r="F14" s="21">
        <f si="1" t="shared"/>
        <v>0.10723124569248255</v>
      </c>
      <c r="H14" s="26">
        <v>3</v>
      </c>
      <c r="I14" s="116" t="n">
        <v>16889.0</v>
      </c>
      <c r="J14" s="206" t="n">
        <v>2328.0</v>
      </c>
      <c r="K14" s="296" t="n">
        <v>1518.0</v>
      </c>
      <c r="L14">
        <f si="2" t="shared"/>
        <v>9905</v>
      </c>
      <c r="M14" s="21">
        <f si="3" t="shared"/>
        <v>0.11342035955570823</v>
      </c>
      <c r="P14" s="1" t="s">
        <v>4</v>
      </c>
      <c r="Q14" s="9" t="n">
        <v>2.5258028228622</v>
      </c>
      <c r="R14" s="9" t="n">
        <v>5.309813372740829</v>
      </c>
    </row>
    <row r="15" spans="1:18" x14ac:dyDescent="0.25">
      <c r="A15">
        <v>4</v>
      </c>
      <c r="B15" s="8" t="n">
        <v>11908.494814851472</v>
      </c>
      <c r="C15" s="8" t="n">
        <v>415.88493232250215</v>
      </c>
      <c r="D15" s="8" t="n">
        <v>419.9413379839897</v>
      </c>
      <c r="E15" s="8">
        <f si="0" t="shared"/>
        <v>7076.7955380420417</v>
      </c>
      <c r="F15" s="21">
        <f si="1" t="shared"/>
        <v>7.5427444301328861E-2</v>
      </c>
      <c r="H15" s="27">
        <v>4</v>
      </c>
      <c r="I15" s="117" t="n">
        <v>48539.0</v>
      </c>
      <c r="J15" s="207" t="n">
        <v>7264.0</v>
      </c>
      <c r="K15" s="297" t="n">
        <v>4640.0</v>
      </c>
      <c r="L15">
        <f si="2" t="shared"/>
        <v>7820</v>
      </c>
      <c r="M15" s="21">
        <f si="3" t="shared"/>
        <v>8.9545402496278487E-2</v>
      </c>
    </row>
    <row r="16" spans="1:18" x14ac:dyDescent="0.25">
      <c r="A16">
        <v>5</v>
      </c>
      <c r="B16" s="8" t="n">
        <v>6792.174449190807</v>
      </c>
      <c r="C16" s="8" t="n">
        <v>255.2423829634667</v>
      </c>
      <c r="D16" s="8" t="n">
        <v>269.95929165086744</v>
      </c>
      <c r="E16" s="8">
        <f si="0" t="shared"/>
        <v>4929.7474944266314</v>
      </c>
      <c r="F16" s="21">
        <f si="1" t="shared"/>
        <v>5.2543308981674759E-2</v>
      </c>
      <c r="H16" s="28">
        <v>5</v>
      </c>
      <c r="I16" s="118" t="n">
        <v>33252.0</v>
      </c>
      <c r="J16" s="208" t="n">
        <v>4639.0</v>
      </c>
      <c r="K16" s="298" t="n">
        <v>2936.0</v>
      </c>
      <c r="L16">
        <f si="2" t="shared"/>
        <v>5230</v>
      </c>
      <c r="M16" s="21">
        <f si="3" t="shared"/>
        <v>5.9887781976411314E-2</v>
      </c>
    </row>
    <row r="17" spans="1:13" x14ac:dyDescent="0.25">
      <c r="A17">
        <v>6</v>
      </c>
      <c r="B17" s="8" t="n">
        <v>3831.019491265011</v>
      </c>
      <c r="C17" s="8" t="n">
        <v>145.67330375099183</v>
      </c>
      <c r="D17" s="8" t="n">
        <v>157.72495750780107</v>
      </c>
      <c r="E17" s="8">
        <f si="0" t="shared"/>
        <v>3560.2549875393124</v>
      </c>
      <c r="F17" s="21">
        <f si="1" t="shared"/>
        <v>3.7946685519961734E-2</v>
      </c>
      <c r="H17" s="29">
        <v>6</v>
      </c>
      <c r="I17" s="119" t="n">
        <v>25920.0</v>
      </c>
      <c r="J17" s="209" t="n">
        <v>3624.0</v>
      </c>
      <c r="K17" s="299" t="n">
        <v>2494.0</v>
      </c>
      <c r="L17">
        <f si="2" t="shared"/>
        <v>3935</v>
      </c>
      <c r="M17" s="21">
        <f si="3" t="shared"/>
        <v>4.5058971716477728E-2</v>
      </c>
    </row>
    <row r="18" spans="1:13" x14ac:dyDescent="0.25">
      <c r="A18">
        <v>7</v>
      </c>
      <c r="B18" s="8" t="n">
        <v>2196.3014319711688</v>
      </c>
      <c r="C18" s="8" t="n">
        <v>79.2348320409775</v>
      </c>
      <c r="D18" s="8" t="n">
        <v>88.59200129966737</v>
      </c>
      <c r="E18" s="8">
        <f si="0" t="shared"/>
        <v>2746.8036617749744</v>
      </c>
      <c r="F18" s="21">
        <f si="1" t="shared"/>
        <v>2.9276581341297358E-2</v>
      </c>
      <c r="H18" s="30">
        <v>7</v>
      </c>
      <c r="I18" s="120" t="n">
        <v>15622.0</v>
      </c>
      <c r="J18" s="210" t="n">
        <v>2178.0</v>
      </c>
      <c r="K18" s="300" t="n">
        <v>1678.0</v>
      </c>
      <c r="L18">
        <f si="2" t="shared"/>
        <v>2930</v>
      </c>
      <c r="M18" s="21">
        <f si="3" t="shared"/>
        <v>3.3550898889270583E-2</v>
      </c>
    </row>
    <row r="19" spans="1:13" x14ac:dyDescent="0.25">
      <c r="A19">
        <v>8</v>
      </c>
      <c r="B19" s="8" t="n">
        <v>1344.379212642956</v>
      </c>
      <c r="C19" s="8" t="n">
        <v>44.72860112075806</v>
      </c>
      <c r="D19" s="8" t="n">
        <v>51.52840873603821</v>
      </c>
      <c r="E19" s="8">
        <f si="0" t="shared"/>
        <v>2233.5609958637115</v>
      </c>
      <c r="F19" s="21">
        <f si="1" t="shared"/>
        <v>2.3806226519261897E-2</v>
      </c>
      <c r="H19" s="31">
        <v>8</v>
      </c>
      <c r="I19" s="121" t="n">
        <v>12084.0</v>
      </c>
      <c r="J19" s="211" t="n">
        <v>1567.0</v>
      </c>
      <c r="K19" s="301" t="n">
        <v>1039.0</v>
      </c>
      <c r="L19">
        <f si="2" t="shared"/>
        <v>2415</v>
      </c>
      <c r="M19" s="21">
        <f si="3" t="shared"/>
        <v>2.7653727241497766E-2</v>
      </c>
    </row>
    <row r="20" spans="1:13" x14ac:dyDescent="0.25">
      <c r="A20">
        <v>9</v>
      </c>
      <c r="B20" s="8" t="n">
        <v>945.448026407528</v>
      </c>
      <c r="C20" s="8" t="n">
        <v>31.199391332244872</v>
      </c>
      <c r="D20" s="8" t="n">
        <v>32.480136576461796</v>
      </c>
      <c r="E20" s="8">
        <f si="0" t="shared"/>
        <v>1839.2758721067751</v>
      </c>
      <c r="F20" s="21">
        <f si="1" t="shared"/>
        <v>1.9603770894940285E-2</v>
      </c>
      <c r="H20" s="32">
        <v>9</v>
      </c>
      <c r="I20" s="122" t="n">
        <v>14850.0</v>
      </c>
      <c r="J20" s="212" t="n">
        <v>1395.0</v>
      </c>
      <c r="K20" s="302" t="n">
        <v>1119.0</v>
      </c>
      <c r="L20">
        <f si="2" t="shared"/>
        <v>1795</v>
      </c>
      <c r="M20" s="21">
        <f si="3" t="shared"/>
        <v>2.0554219626703309E-2</v>
      </c>
    </row>
    <row r="21" spans="1:13" x14ac:dyDescent="0.25">
      <c r="A21">
        <v>10</v>
      </c>
      <c r="B21" s="8" t="n">
        <v>785.9135835197449</v>
      </c>
      <c r="C21" s="8" t="n">
        <v>28.68437228689194</v>
      </c>
      <c r="D21" s="8" t="n">
        <v>21.491650923061375</v>
      </c>
      <c r="E21" s="8">
        <f si="0" t="shared"/>
        <v>1487.4640236447513</v>
      </c>
      <c r="F21" s="21">
        <f si="1" t="shared"/>
        <v>1.5854013188677837E-2</v>
      </c>
      <c r="H21" s="33">
        <v>10</v>
      </c>
      <c r="I21" s="123" t="n">
        <v>6359.0</v>
      </c>
      <c r="J21" s="213" t="n">
        <v>742.0</v>
      </c>
      <c r="K21" s="303" t="n">
        <v>469.0</v>
      </c>
      <c r="L21">
        <f si="2" t="shared"/>
        <v>1365</v>
      </c>
      <c r="M21" s="21">
        <f si="3" t="shared"/>
        <v>1.5630367571281348E-2</v>
      </c>
    </row>
    <row r="22" spans="1:13" x14ac:dyDescent="0.25">
      <c r="A22">
        <v>11</v>
      </c>
      <c r="B22" s="8" t="n">
        <v>721.6049278680803</v>
      </c>
      <c r="C22" s="8" t="n">
        <v>28.95182638187409</v>
      </c>
      <c r="D22" s="8" t="n">
        <v>13.742805431842806</v>
      </c>
      <c r="E22" s="8">
        <f si="0" t="shared"/>
        <v>1172.0819191051573</v>
      </c>
      <c r="F22" s="21">
        <f si="1" t="shared"/>
        <v>1.2492538917460199E-2</v>
      </c>
      <c r="H22" s="34">
        <v>11</v>
      </c>
      <c r="I22" s="124" t="n">
        <v>7048.0</v>
      </c>
      <c r="J22" s="214" t="n">
        <v>746.0</v>
      </c>
      <c r="K22" s="304" t="n">
        <v>519.0</v>
      </c>
      <c r="L22">
        <f si="2" t="shared"/>
        <v>980</v>
      </c>
      <c r="M22" s="21">
        <f si="3" t="shared"/>
        <v>1.122180235886866E-2</v>
      </c>
    </row>
    <row r="23" spans="1:13" x14ac:dyDescent="0.25">
      <c r="A23">
        <v>12</v>
      </c>
      <c r="B23" s="8" t="n">
        <v>669.910637362671</v>
      </c>
      <c r="C23" s="8" t="n">
        <v>27.09426533546448</v>
      </c>
      <c r="D23" s="8" t="n">
        <v>7.861357724666597</v>
      </c>
      <c r="E23" s="8">
        <f si="0" t="shared"/>
        <v>907.1809375342159</v>
      </c>
      <c r="F23" s="21">
        <f si="1" t="shared"/>
        <v>9.6691135513604348E-3</v>
      </c>
      <c r="H23" s="35">
        <v>12</v>
      </c>
      <c r="I23" s="125" t="n">
        <v>4861.0</v>
      </c>
      <c r="J23" s="215" t="n">
        <v>508.0</v>
      </c>
      <c r="K23" s="305" t="n">
        <v>390.0</v>
      </c>
      <c r="L23">
        <f si="2" t="shared"/>
        <v>785</v>
      </c>
      <c r="M23" s="21">
        <f si="3" t="shared"/>
        <v>8.9888927058284669E-3</v>
      </c>
    </row>
    <row r="24" spans="1:13" x14ac:dyDescent="0.25">
      <c r="A24">
        <v>13</v>
      </c>
      <c r="B24" s="8" t="n">
        <v>601.4745543745994</v>
      </c>
      <c r="C24" s="8" t="n">
        <v>22.54428406620026</v>
      </c>
      <c r="D24" s="8" t="n">
        <v>3.8119581121444703</v>
      </c>
      <c r="E24" s="8">
        <f si="0" t="shared"/>
        <v>696.7233224301043</v>
      </c>
      <c r="F24" s="21">
        <f si="1" t="shared"/>
        <v>7.4259683374395214E-3</v>
      </c>
      <c r="H24" s="36">
        <v>13</v>
      </c>
      <c r="I24" s="126" t="n">
        <v>6352.0</v>
      </c>
      <c r="J24" s="216" t="n">
        <v>723.0</v>
      </c>
      <c r="K24" s="306" t="n">
        <v>441.0</v>
      </c>
      <c r="L24">
        <f si="2" t="shared"/>
        <v>630</v>
      </c>
      <c r="M24" s="21">
        <f si="3" t="shared"/>
        <v>7.214015802129852E-3</v>
      </c>
    </row>
    <row r="25" spans="1:13" x14ac:dyDescent="0.25">
      <c r="A25">
        <v>14</v>
      </c>
      <c r="B25" s="8" t="n">
        <v>517.3917547182083</v>
      </c>
      <c r="C25" s="8" t="n">
        <v>18.219611211681368</v>
      </c>
      <c r="D25" s="8" t="n">
        <v>1.5074857410430909</v>
      </c>
      <c r="E25" s="8">
        <f si="0" t="shared"/>
        <v>531.38845557964419</v>
      </c>
      <c r="F25" s="21">
        <f si="1" t="shared"/>
        <v>5.66376023161073E-3</v>
      </c>
      <c r="H25" s="37">
        <v>14</v>
      </c>
      <c r="I25" s="127" t="n">
        <v>4512.0</v>
      </c>
      <c r="J25" s="217" t="n">
        <v>468.0</v>
      </c>
      <c r="K25" s="307" t="n">
        <v>339.0</v>
      </c>
      <c r="L25">
        <f si="2" t="shared"/>
        <v>640</v>
      </c>
      <c r="M25" s="21">
        <f si="3" t="shared"/>
        <v>7.3285239894652467E-3</v>
      </c>
    </row>
    <row r="26" spans="1:13" x14ac:dyDescent="0.25">
      <c r="A26">
        <v>15</v>
      </c>
      <c r="B26" s="8" t="n">
        <v>426.5009427128791</v>
      </c>
      <c r="C26" s="8" t="n">
        <v>18.05370151062012</v>
      </c>
      <c r="D26" s="8" t="n">
        <v>0.46947043209075934</v>
      </c>
      <c r="E26" s="8">
        <f si="0" t="shared"/>
        <v>398.94973439245399</v>
      </c>
      <c r="F26" s="21">
        <f si="1" t="shared"/>
        <v>4.2521729938579441E-3</v>
      </c>
      <c r="H26" s="38">
        <v>15</v>
      </c>
      <c r="I26" s="128" t="n">
        <v>5187.0</v>
      </c>
      <c r="J26" s="218" t="n">
        <v>605.0</v>
      </c>
      <c r="K26" s="308" t="n">
        <v>339.0</v>
      </c>
      <c r="L26">
        <f si="2" t="shared"/>
        <v>440</v>
      </c>
      <c r="M26" s="21">
        <f si="3" t="shared"/>
        <v>5.0383602427573572E-3</v>
      </c>
    </row>
    <row r="27" spans="1:13" x14ac:dyDescent="0.25">
      <c r="A27">
        <v>16</v>
      </c>
      <c r="B27" s="8" t="n">
        <v>336.3371832430839</v>
      </c>
      <c r="C27" s="8" t="n">
        <v>24.150167017364502</v>
      </c>
      <c r="D27" s="8" t="n">
        <v>0.11039107704162598</v>
      </c>
      <c r="E27" s="8">
        <f si="0" t="shared"/>
        <v>292.53838092376969</v>
      </c>
      <c r="F27" s="21">
        <f si="1" t="shared"/>
        <v>3.1179963183214235E-3</v>
      </c>
      <c r="H27" s="39">
        <v>16</v>
      </c>
      <c r="I27" s="129" t="n">
        <v>4577.0</v>
      </c>
      <c r="J27" s="219" t="n">
        <v>436.0</v>
      </c>
      <c r="K27" s="309" t="n">
        <v>374.0</v>
      </c>
      <c r="L27">
        <f si="2" t="shared"/>
        <v>405</v>
      </c>
      <c r="M27" s="21">
        <f si="3" t="shared"/>
        <v>4.6375815870834764E-3</v>
      </c>
    </row>
    <row r="28" spans="1:13" x14ac:dyDescent="0.25">
      <c r="A28">
        <v>17</v>
      </c>
      <c r="B28" s="8" t="n">
        <v>253.8934765895843</v>
      </c>
      <c r="C28" s="8" t="n">
        <v>34.89942534341812</v>
      </c>
      <c r="D28" s="8" t="n">
        <v>0.018398512840270997</v>
      </c>
      <c r="E28" s="8">
        <f si="0" t="shared"/>
        <v>210.91483682606543</v>
      </c>
      <c r="F28" s="21">
        <f si="1" t="shared"/>
        <v>2.248018474110592E-3</v>
      </c>
      <c r="H28" s="40">
        <v>17</v>
      </c>
      <c r="I28" s="130" t="n">
        <v>3402.0</v>
      </c>
      <c r="J28" s="220" t="n">
        <v>299.0</v>
      </c>
      <c r="K28" s="310" t="n">
        <v>269.0</v>
      </c>
      <c r="L28">
        <f si="2" t="shared"/>
        <v>375</v>
      </c>
      <c r="M28" s="21">
        <f si="3" t="shared"/>
        <v>4.2940570250772931E-3</v>
      </c>
    </row>
    <row r="29" spans="1:13" x14ac:dyDescent="0.25">
      <c r="A29">
        <v>18</v>
      </c>
      <c r="B29" s="8" t="n">
        <v>186.44539213285444</v>
      </c>
      <c r="C29" s="8" t="n">
        <v>45.242539714336395</v>
      </c>
      <c r="D29" s="8" t="n">
        <v>0.001936685562133789</v>
      </c>
      <c r="E29" s="8">
        <f si="0" t="shared"/>
        <v>154.1886546936679</v>
      </c>
      <c r="F29" s="21">
        <f si="1" t="shared"/>
        <v>1.6434071185588029E-3</v>
      </c>
      <c r="H29" s="41">
        <v>18</v>
      </c>
      <c r="I29" s="131" t="n">
        <v>3331.0</v>
      </c>
      <c r="J29" s="221" t="n">
        <v>339.0</v>
      </c>
      <c r="K29" s="311" t="n">
        <v>246.0</v>
      </c>
      <c r="L29">
        <f si="2" t="shared"/>
        <v>295</v>
      </c>
      <c r="M29" s="21">
        <f si="3" t="shared"/>
        <v>3.3779915263941374E-3</v>
      </c>
    </row>
    <row r="30" spans="1:13" x14ac:dyDescent="0.25">
      <c r="A30">
        <v>19</v>
      </c>
      <c r="B30" s="8" t="n">
        <v>140.30392360401152</v>
      </c>
      <c r="C30" s="8" t="n">
        <v>49.4625326128006</v>
      </c>
      <c r="D30" s="8" t="n">
        <v>9.683427810668945E-5</v>
      </c>
      <c r="E30" s="8">
        <f si="0" t="shared"/>
        <v>120.08826173161009</v>
      </c>
      <c r="F30" s="21">
        <f si="1" t="shared"/>
        <v>1.2799508795064767E-3</v>
      </c>
      <c r="H30" s="42">
        <v>19</v>
      </c>
      <c r="I30" s="132" t="n">
        <v>2809.0</v>
      </c>
      <c r="J30" s="222" t="n">
        <v>263.0</v>
      </c>
      <c r="K30" s="312" t="n">
        <v>233.0</v>
      </c>
      <c r="L30">
        <f si="2" t="shared"/>
        <v>220</v>
      </c>
      <c r="M30" s="21">
        <f si="3" t="shared"/>
        <v>2.5191801213786786E-3</v>
      </c>
    </row>
    <row r="31" spans="1:13" x14ac:dyDescent="0.25">
      <c r="A31">
        <v>20</v>
      </c>
      <c r="B31" s="8" t="n">
        <v>119.88310839414595</v>
      </c>
      <c r="C31" s="8" t="n">
        <v>44.91119896984101</v>
      </c>
      <c r="D31" s="8" t="n">
        <v>0.0</v>
      </c>
      <c r="E31" s="8">
        <f si="0" t="shared"/>
        <v>103.05267830632629</v>
      </c>
      <c r="F31" s="21">
        <f si="1" t="shared"/>
        <v>1.0983785120353734E-3</v>
      </c>
      <c r="H31" s="43">
        <v>20</v>
      </c>
      <c r="I31" s="133" t="n">
        <v>2499.0</v>
      </c>
      <c r="J31" s="223" t="n">
        <v>236.0</v>
      </c>
      <c r="K31" s="313" t="n">
        <v>223.0</v>
      </c>
      <c r="L31">
        <f si="2" t="shared"/>
        <v>110</v>
      </c>
      <c r="M31" s="21">
        <f si="3" t="shared"/>
        <v>1.2595900606893393E-3</v>
      </c>
    </row>
    <row r="32" spans="1:13" x14ac:dyDescent="0.25">
      <c r="A32">
        <v>21</v>
      </c>
      <c r="B32" s="8" t="n">
        <v>126.19122486572265</v>
      </c>
      <c r="C32" s="8" t="n">
        <v>33.67635266122818</v>
      </c>
      <c r="D32" s="8" t="n">
        <v>0.0</v>
      </c>
      <c r="E32" s="8">
        <f si="0" t="shared"/>
        <v>96.207148418417802</v>
      </c>
      <c r="F32" s="21">
        <f si="1" t="shared"/>
        <v>1.0254159936811753E-3</v>
      </c>
      <c r="H32" s="44">
        <v>21</v>
      </c>
      <c r="I32" s="134" t="n">
        <v>2115.0</v>
      </c>
      <c r="J32" s="224" t="n">
        <v>191.0</v>
      </c>
      <c r="K32" s="314" t="n">
        <v>138.0</v>
      </c>
      <c r="L32">
        <f si="2" t="shared"/>
        <v>135</v>
      </c>
      <c r="M32" s="21">
        <f si="3" t="shared"/>
        <v>1.5458605290278255E-3</v>
      </c>
    </row>
    <row r="33" spans="1:13" x14ac:dyDescent="0.25">
      <c r="A33">
        <v>22</v>
      </c>
      <c r="B33" s="8" t="n">
        <v>153.0127299202919</v>
      </c>
      <c r="C33" s="8" t="n">
        <v>20.723332062816624</v>
      </c>
      <c r="D33" s="8" t="n">
        <v>0.0</v>
      </c>
      <c r="E33" s="8">
        <f si="0" t="shared"/>
        <v>94.728045095441288</v>
      </c>
      <c r="F33" s="21">
        <f si="1" t="shared"/>
        <v>1.0096510923342319E-3</v>
      </c>
      <c r="H33" s="45">
        <v>22</v>
      </c>
      <c r="I33" s="135" t="n">
        <v>1630.0</v>
      </c>
      <c r="J33" s="225" t="n">
        <v>137.0</v>
      </c>
      <c r="K33" s="315" t="n">
        <v>109.0</v>
      </c>
      <c r="L33">
        <f si="2" t="shared"/>
        <v>140</v>
      </c>
      <c r="M33" s="21">
        <f si="3" t="shared"/>
        <v>1.6031146226955226E-3</v>
      </c>
    </row>
    <row r="34" spans="1:13" x14ac:dyDescent="0.25">
      <c r="A34">
        <v>23</v>
      </c>
      <c r="B34" s="8" t="n">
        <v>184.64287230243684</v>
      </c>
      <c r="C34" s="8" t="n">
        <v>10.361643447875977</v>
      </c>
      <c r="D34" s="8" t="n">
        <v>0.0</v>
      </c>
      <c r="E34" s="8">
        <f si="0" t="shared"/>
        <v>97.705826242964406</v>
      </c>
      <c r="F34" s="21">
        <f si="1" t="shared"/>
        <v>1.0413895282462139E-3</v>
      </c>
      <c r="H34" s="46">
        <v>23</v>
      </c>
      <c r="I34" s="136" t="n">
        <v>1992.0</v>
      </c>
      <c r="J34" s="226" t="n">
        <v>195.0</v>
      </c>
      <c r="K34" s="316" t="n">
        <v>137.0</v>
      </c>
      <c r="L34">
        <f si="2" t="shared"/>
        <v>90</v>
      </c>
      <c r="M34" s="21">
        <f si="3" t="shared"/>
        <v>1.0305736860185502E-3</v>
      </c>
    </row>
    <row r="35" spans="1:13" x14ac:dyDescent="0.25">
      <c r="A35">
        <v>24</v>
      </c>
      <c r="B35" s="8" t="n">
        <v>201.3853489944458</v>
      </c>
      <c r="C35" s="8" t="n">
        <v>4.144657379150391</v>
      </c>
      <c r="D35" s="8" t="n">
        <v>0.0</v>
      </c>
      <c r="E35" s="8">
        <f si="0" t="shared"/>
        <v>106.62768653210682</v>
      </c>
      <c r="F35" s="21">
        <f si="1" t="shared"/>
        <v>1.1364824437340218E-3</v>
      </c>
      <c r="H35" s="47">
        <v>24</v>
      </c>
      <c r="I35" s="137" t="n">
        <v>1475.0</v>
      </c>
      <c r="J35" s="227" t="n">
        <v>121.0</v>
      </c>
      <c r="K35" s="317" t="n">
        <v>90.0</v>
      </c>
      <c r="L35">
        <f si="2" t="shared"/>
        <v>80</v>
      </c>
      <c r="M35" s="21">
        <f si="3" t="shared"/>
        <v>9.1606549868315584E-4</v>
      </c>
    </row>
    <row r="36" spans="1:13" x14ac:dyDescent="0.25">
      <c r="A36">
        <v>25</v>
      </c>
      <c r="B36" s="8" t="n">
        <v>191.34667720146177</v>
      </c>
      <c r="C36" s="8" t="n">
        <v>1.2952054309844971</v>
      </c>
      <c r="D36" s="8" t="n">
        <v>0.0</v>
      </c>
      <c r="E36" s="8">
        <f si="0" t="shared"/>
        <v>121.79657011001615</v>
      </c>
      <c r="F36" s="21">
        <f si="1" t="shared"/>
        <v>1.2981587441210545E-3</v>
      </c>
      <c r="H36" s="48">
        <v>25</v>
      </c>
      <c r="I36" s="138" t="n">
        <v>1352.0</v>
      </c>
      <c r="J36" s="228" t="n">
        <v>112.0</v>
      </c>
      <c r="K36" s="318" t="n">
        <v>77.0</v>
      </c>
      <c r="L36">
        <f si="2" t="shared"/>
        <v>80</v>
      </c>
      <c r="M36" s="21">
        <f si="3" t="shared"/>
        <v>9.1606549868315584E-4</v>
      </c>
    </row>
    <row r="37" spans="1:13" x14ac:dyDescent="0.25">
      <c r="A37">
        <v>26</v>
      </c>
      <c r="B37" s="8" t="n">
        <v>158.2944342250824</v>
      </c>
      <c r="C37" s="8" t="n">
        <v>0.30475421905517586</v>
      </c>
      <c r="D37" s="8" t="n">
        <v>0.0</v>
      </c>
      <c r="E37" s="8">
        <f si="0" t="shared"/>
        <v>139.61016538979547</v>
      </c>
      <c r="F37" s="21">
        <f si="1" t="shared"/>
        <v>1.4880234870755635E-3</v>
      </c>
      <c r="H37" s="49">
        <v>26</v>
      </c>
      <c r="I37" s="139" t="n">
        <v>1080.0</v>
      </c>
      <c r="J37" s="229" t="n">
        <v>99.0</v>
      </c>
      <c r="K37" s="319" t="n">
        <v>63.0</v>
      </c>
      <c r="L37">
        <f si="2" t="shared"/>
        <v>70</v>
      </c>
      <c r="M37" s="21">
        <f si="3" t="shared"/>
        <v>8.0155731134776132E-4</v>
      </c>
    </row>
    <row r="38" spans="1:13" x14ac:dyDescent="0.25">
      <c r="A38">
        <v>27</v>
      </c>
      <c r="B38" s="8" t="n">
        <v>118.04181217803956</v>
      </c>
      <c r="C38" s="8" t="n">
        <v>0.05079236984252931</v>
      </c>
      <c r="D38" s="8" t="n">
        <v>0.0</v>
      </c>
      <c r="E38" s="8">
        <f si="0" t="shared"/>
        <v>152.59758086360898</v>
      </c>
      <c r="F38" s="21">
        <f si="1" t="shared"/>
        <v>1.6264487887538875E-3</v>
      </c>
      <c r="H38" s="50">
        <v>27</v>
      </c>
      <c r="I38" s="140" t="n">
        <v>982.0</v>
      </c>
      <c r="J38" s="230" t="n">
        <v>87.0</v>
      </c>
      <c r="K38" s="320" t="n">
        <v>76.0</v>
      </c>
      <c r="L38">
        <f si="2" t="shared"/>
        <v>60</v>
      </c>
      <c r="M38" s="21">
        <f si="3" t="shared"/>
        <v>6.8704912401236691E-4</v>
      </c>
    </row>
    <row r="39" spans="1:13" x14ac:dyDescent="0.25">
      <c r="A39">
        <v>28</v>
      </c>
      <c r="B39" s="8" t="n">
        <v>87.32367751226428</v>
      </c>
      <c r="C39" s="8" t="n">
        <v>0.005346565246582031</v>
      </c>
      <c r="D39" s="8" t="n">
        <v>0.0</v>
      </c>
      <c r="E39" s="8">
        <f si="0" t="shared"/>
        <v>152.63507550983334</v>
      </c>
      <c r="F39" s="21">
        <f si="1" t="shared"/>
        <v>1.6268484223626984E-3</v>
      </c>
      <c r="H39" s="51">
        <v>28</v>
      </c>
      <c r="I39" s="141" t="n">
        <v>797.0</v>
      </c>
      <c r="J39" s="231" t="n">
        <v>74.0</v>
      </c>
      <c r="K39" s="321" t="n">
        <v>63.0</v>
      </c>
      <c r="L39">
        <f si="2" t="shared"/>
        <v>90</v>
      </c>
      <c r="M39" s="21">
        <f si="3" t="shared"/>
        <v>1.0305736860185502E-3</v>
      </c>
    </row>
    <row r="40" spans="1:13" x14ac:dyDescent="0.25">
      <c r="A40">
        <v>29</v>
      </c>
      <c r="B40" s="8" t="n">
        <v>75.23124646492006</v>
      </c>
      <c r="C40" s="8" t="n">
        <v>2.673282623291016E-4</v>
      </c>
      <c r="D40" s="8" t="n">
        <v>0.0</v>
      </c>
      <c r="E40" s="8">
        <f si="0" t="shared"/>
        <v>136.04144741362924</v>
      </c>
      <c r="F40" s="21">
        <f si="1" t="shared"/>
        <v>1.4499865994860566E-3</v>
      </c>
      <c r="H40" s="52">
        <v>29</v>
      </c>
      <c r="I40" s="142" t="n">
        <v>809.0</v>
      </c>
      <c r="J40" s="232" t="n">
        <v>72.0</v>
      </c>
      <c r="K40" s="322" t="n">
        <v>54.0</v>
      </c>
      <c r="L40">
        <f si="2" t="shared"/>
        <v>80</v>
      </c>
      <c r="M40" s="21">
        <f si="3" t="shared"/>
        <v>9.1606549868315584E-4</v>
      </c>
    </row>
    <row r="41" spans="1:13" x14ac:dyDescent="0.25">
      <c r="A41">
        <v>30</v>
      </c>
      <c r="B41" s="8" t="n">
        <v>82.03776738147737</v>
      </c>
      <c r="C41" s="8" t="n">
        <v>0.0</v>
      </c>
      <c r="D41" s="8" t="n">
        <v>0.0</v>
      </c>
      <c r="E41" s="8">
        <f si="0" t="shared"/>
        <v>106.89802067638104</v>
      </c>
      <c r="F41" s="21">
        <f si="1" t="shared"/>
        <v>1.1393637780187809E-3</v>
      </c>
      <c r="H41" s="53">
        <v>30</v>
      </c>
      <c r="I41" s="143" t="n">
        <v>780.0</v>
      </c>
      <c r="J41" s="233" t="n">
        <v>74.0</v>
      </c>
      <c r="K41" s="323" t="n">
        <v>41.0</v>
      </c>
      <c r="L41">
        <f si="2" t="shared"/>
        <v>75</v>
      </c>
      <c r="M41" s="21">
        <f si="3" t="shared"/>
        <v>8.5881140501545858E-4</v>
      </c>
    </row>
    <row r="42" spans="1:13" x14ac:dyDescent="0.25">
      <c r="A42">
        <v>31</v>
      </c>
      <c r="B42" s="8" t="n">
        <v>102.11390592765807</v>
      </c>
      <c r="C42" s="8" t="n">
        <v>0.0</v>
      </c>
      <c r="D42" s="8" t="n">
        <v>0.0</v>
      </c>
      <c r="E42" s="8">
        <f si="0" t="shared"/>
        <v>75.063799339949611</v>
      </c>
      <c r="F42" s="21">
        <f si="1" t="shared"/>
        <v>8.0006134320600455E-4</v>
      </c>
      <c r="H42" s="54">
        <v>31</v>
      </c>
      <c r="I42" s="144" t="n">
        <v>766.0</v>
      </c>
      <c r="J42" s="234" t="n">
        <v>64.0</v>
      </c>
      <c r="K42" s="324" t="n">
        <v>39.0</v>
      </c>
      <c r="L42">
        <f si="2" t="shared"/>
        <v>35</v>
      </c>
      <c r="M42" s="21">
        <f si="3" t="shared"/>
        <v>4.0077865567388066E-4</v>
      </c>
    </row>
    <row r="43" spans="1:13" x14ac:dyDescent="0.25">
      <c r="A43">
        <v>32</v>
      </c>
      <c r="B43" s="8" t="n">
        <v>126.19590225124357</v>
      </c>
      <c r="C43" s="8" t="n">
        <v>0.0</v>
      </c>
      <c r="D43" s="8" t="n">
        <v>0.0</v>
      </c>
      <c r="E43" s="8">
        <f si="0" t="shared"/>
        <v>49.937237189314871</v>
      </c>
      <c r="F43" s="21">
        <f si="1" t="shared"/>
        <v>5.3225194318690496E-4</v>
      </c>
      <c r="H43" s="55">
        <v>32</v>
      </c>
      <c r="I43" s="145" t="n">
        <v>548.0</v>
      </c>
      <c r="J43" s="235" t="n">
        <v>48.0</v>
      </c>
      <c r="K43" s="325" t="n">
        <v>22.0</v>
      </c>
      <c r="L43">
        <f si="2" t="shared"/>
        <v>25</v>
      </c>
      <c r="M43" s="21">
        <f si="3" t="shared"/>
        <v>2.8627046833848619E-4</v>
      </c>
    </row>
    <row r="44" spans="1:13" x14ac:dyDescent="0.25">
      <c r="A44">
        <v>33</v>
      </c>
      <c r="B44" s="8" t="n">
        <v>142.92321428813932</v>
      </c>
      <c r="C44" s="8" t="n">
        <v>0.0</v>
      </c>
      <c r="D44" s="8" t="n">
        <v>0.0</v>
      </c>
      <c r="E44" s="8">
        <f si="0" t="shared"/>
        <v>35.322102886789317</v>
      </c>
      <c r="F44" s="21">
        <f si="1" t="shared"/>
        <v>3.7647773399374432E-4</v>
      </c>
      <c r="H44" s="56">
        <v>33</v>
      </c>
      <c r="I44" s="146" t="n">
        <v>581.0</v>
      </c>
      <c r="J44" s="236" t="n">
        <v>52.0</v>
      </c>
      <c r="K44" s="326" t="n">
        <v>26.0</v>
      </c>
      <c r="L44">
        <f si="2" t="shared"/>
        <v>30</v>
      </c>
      <c r="M44" s="21">
        <f si="3" t="shared"/>
        <v>3.4352456200618345E-4</v>
      </c>
    </row>
    <row r="45" spans="1:13" x14ac:dyDescent="0.25">
      <c r="A45">
        <v>34</v>
      </c>
      <c r="B45" s="8" t="n">
        <v>142.50587061309812</v>
      </c>
      <c r="C45" s="8" t="n">
        <v>0.0</v>
      </c>
      <c r="D45" s="8" t="n">
        <v>0.0</v>
      </c>
      <c r="E45" s="8">
        <f si="0" t="shared"/>
        <v>29.285418073383596</v>
      </c>
      <c r="F45" s="21">
        <f si="1" t="shared"/>
        <v>3.1213622446727075E-4</v>
      </c>
      <c r="H45" s="57">
        <v>34</v>
      </c>
      <c r="I45" s="147" t="n">
        <v>505.0</v>
      </c>
      <c r="J45" s="237" t="n">
        <v>34.0</v>
      </c>
      <c r="K45" s="327" t="n">
        <v>21.0</v>
      </c>
      <c r="L45">
        <f si="2" t="shared"/>
        <v>15</v>
      </c>
      <c r="M45" s="21">
        <f si="3" t="shared"/>
        <v>1.7176228100309173E-4</v>
      </c>
    </row>
    <row r="46" spans="1:13" x14ac:dyDescent="0.25">
      <c r="A46">
        <v>35</v>
      </c>
      <c r="B46" s="8" t="n">
        <v>122.22996549224852</v>
      </c>
      <c r="C46" s="8" t="n">
        <v>0.0</v>
      </c>
      <c r="D46" s="8" t="n">
        <v>0.0</v>
      </c>
      <c r="E46" s="8">
        <f si="0" t="shared"/>
        <v>27.67569417951492</v>
      </c>
      <c r="F46" s="21">
        <f si="1" t="shared"/>
        <v>2.9497911448824051E-4</v>
      </c>
      <c r="H46" s="58">
        <v>35</v>
      </c>
      <c r="I46" s="148" t="n">
        <v>438.0</v>
      </c>
      <c r="J46" s="238" t="n">
        <v>38.0</v>
      </c>
      <c r="K46" s="328" t="n">
        <v>25.0</v>
      </c>
      <c r="L46">
        <f si="2" t="shared"/>
        <v>5</v>
      </c>
      <c r="M46" s="21">
        <f si="3" t="shared"/>
        <v>5.725409366769724E-5</v>
      </c>
    </row>
    <row r="47" spans="1:13" x14ac:dyDescent="0.25">
      <c r="A47">
        <v>36</v>
      </c>
      <c r="B47" s="8" t="n">
        <v>88.97938553142546</v>
      </c>
      <c r="C47" s="8" t="n">
        <v>0.0</v>
      </c>
      <c r="D47" s="8" t="n">
        <v>0.0</v>
      </c>
      <c r="E47" s="8">
        <f si="0" t="shared"/>
        <v>27.303448087986322</v>
      </c>
      <c r="F47" s="21">
        <f si="1" t="shared"/>
        <v>2.9101156007971946E-4</v>
      </c>
      <c r="H47" s="59">
        <v>36</v>
      </c>
      <c r="I47" s="149" t="n">
        <v>432.0</v>
      </c>
      <c r="J47" s="239" t="n">
        <v>39.0</v>
      </c>
      <c r="K47" s="329" t="n">
        <v>20.0</v>
      </c>
      <c r="L47">
        <f si="2" t="shared"/>
        <v>15</v>
      </c>
      <c r="M47" s="21">
        <f si="3" t="shared"/>
        <v>1.7176228100309173E-4</v>
      </c>
    </row>
    <row r="48" spans="1:13" x14ac:dyDescent="0.25">
      <c r="A48">
        <v>37</v>
      </c>
      <c r="B48" s="8" t="n">
        <v>55.423584085941314</v>
      </c>
      <c r="C48" s="8" t="n">
        <v>0.0</v>
      </c>
      <c r="D48" s="8" t="n">
        <v>0.0</v>
      </c>
      <c r="E48" s="8">
        <f si="0" t="shared"/>
        <v>26.650122471767911</v>
      </c>
      <c r="F48" s="21">
        <f si="1" t="shared"/>
        <v>2.8404814263137819E-4</v>
      </c>
      <c r="H48" s="60">
        <v>37</v>
      </c>
      <c r="I48" s="150" t="n">
        <v>466.0</v>
      </c>
      <c r="J48" s="240" t="n">
        <v>33.0</v>
      </c>
      <c r="K48" s="330" t="n">
        <v>16.0</v>
      </c>
      <c r="L48">
        <f si="2" t="shared"/>
        <v>15</v>
      </c>
      <c r="M48" s="21">
        <f si="3" t="shared"/>
        <v>1.7176228100309173E-4</v>
      </c>
    </row>
    <row r="49" spans="1:13" x14ac:dyDescent="0.25">
      <c r="A49">
        <v>38</v>
      </c>
      <c r="B49" s="8" t="n">
        <v>32.89969718608856</v>
      </c>
      <c r="C49" s="8" t="n">
        <v>0.0</v>
      </c>
      <c r="D49" s="8" t="n">
        <v>0.0</v>
      </c>
      <c r="E49" s="8">
        <f si="0" t="shared"/>
        <v>25.010127214530783</v>
      </c>
      <c r="F49" s="21">
        <f si="1" t="shared"/>
        <v>2.665683878108904E-4</v>
      </c>
      <c r="H49" s="61">
        <v>38</v>
      </c>
      <c r="I49" s="151" t="n">
        <v>428.0</v>
      </c>
      <c r="J49" s="241" t="n">
        <v>22.0</v>
      </c>
      <c r="K49" s="331" t="n">
        <v>5.0</v>
      </c>
      <c r="L49">
        <f si="2" t="shared"/>
        <v>25</v>
      </c>
      <c r="M49" s="21">
        <f si="3" t="shared"/>
        <v>2.8627046833848619E-4</v>
      </c>
    </row>
    <row r="50" spans="1:13" x14ac:dyDescent="0.25">
      <c r="A50">
        <v>39</v>
      </c>
      <c r="B50" s="8" t="n">
        <v>26.735281722831726</v>
      </c>
      <c r="C50" s="8" t="n">
        <v>0.0</v>
      </c>
      <c r="D50" s="8" t="n">
        <v>0.0</v>
      </c>
      <c r="E50" s="8">
        <f si="0" t="shared"/>
        <v>21.889343249705369</v>
      </c>
      <c r="F50" s="21">
        <f si="1" t="shared"/>
        <v>2.3330576810992953E-4</v>
      </c>
      <c r="H50" s="62">
        <v>39</v>
      </c>
      <c r="I50" s="152" t="n">
        <v>368.0</v>
      </c>
      <c r="J50" s="242" t="n">
        <v>30.0</v>
      </c>
      <c r="K50" s="332" t="n">
        <v>13.0</v>
      </c>
      <c r="L50">
        <f si="2" t="shared"/>
        <v>5</v>
      </c>
      <c r="M50" s="21">
        <f si="3" t="shared"/>
        <v>5.725409366769724E-5</v>
      </c>
    </row>
    <row r="51" spans="1:13" x14ac:dyDescent="0.25">
      <c r="A51">
        <v>40</v>
      </c>
      <c r="B51" s="8" t="n">
        <v>35.738826018810265</v>
      </c>
      <c r="C51" s="8" t="n">
        <v>0.0</v>
      </c>
      <c r="D51" s="8" t="n">
        <v>0.0</v>
      </c>
      <c r="E51" s="8">
        <f si="0" t="shared"/>
        <v>17.25197760727599</v>
      </c>
      <c r="F51" s="21">
        <f si="1" t="shared"/>
        <v>1.8387878709586253E-4</v>
      </c>
      <c r="H51" s="63">
        <v>40</v>
      </c>
      <c r="I51" s="153" t="n">
        <v>278.0</v>
      </c>
      <c r="J51" s="243" t="n">
        <v>20.0</v>
      </c>
      <c r="K51" s="333" t="n">
        <v>12.0</v>
      </c>
      <c r="L51">
        <f si="2" t="shared"/>
        <v>5</v>
      </c>
      <c r="M51" s="21">
        <f si="3" t="shared"/>
        <v>5.725409366769724E-5</v>
      </c>
    </row>
    <row r="52" spans="1:13" x14ac:dyDescent="0.25">
      <c r="A52">
        <v>41</v>
      </c>
      <c r="B52" s="8" t="n">
        <v>53.52611131105422</v>
      </c>
      <c r="C52" s="8" t="n">
        <v>0.0</v>
      </c>
      <c r="D52" s="8" t="n">
        <v>0.0</v>
      </c>
      <c r="E52" s="8">
        <f si="0" t="shared"/>
        <v>11.853873090229815</v>
      </c>
      <c r="F52" s="21">
        <f si="1" t="shared"/>
        <v>1.2634353323647186E-4</v>
      </c>
      <c r="H52" s="64">
        <v>41</v>
      </c>
      <c r="I52" s="154" t="n">
        <v>277.0</v>
      </c>
      <c r="J52" s="244" t="n">
        <v>24.0</v>
      </c>
      <c r="K52" s="334" t="n">
        <v>15.0</v>
      </c>
      <c r="L52">
        <f si="2" t="shared"/>
        <v>10</v>
      </c>
      <c r="M52" s="21">
        <f si="3" t="shared"/>
        <v>1.1450818733539448E-4</v>
      </c>
    </row>
    <row r="53" spans="1:13" x14ac:dyDescent="0.25">
      <c r="A53">
        <v>42</v>
      </c>
      <c r="B53" s="8" t="n">
        <v>70.47059156131743</v>
      </c>
      <c r="C53" s="8" t="n">
        <v>0.0</v>
      </c>
      <c r="D53" s="8" t="n">
        <v>0.0</v>
      </c>
      <c r="E53" s="8">
        <f si="0" t="shared"/>
        <v>6.9134795150693327</v>
      </c>
      <c r="F53" s="21">
        <f si="1" t="shared"/>
        <v>7.3686753877242261E-5</v>
      </c>
      <c r="H53" s="65">
        <v>42</v>
      </c>
      <c r="I53" s="155" t="n">
        <v>223.0</v>
      </c>
      <c r="J53" s="245" t="n">
        <v>18.0</v>
      </c>
      <c r="K53" s="335" t="n">
        <v>12.0</v>
      </c>
      <c r="L53">
        <f si="2" t="shared"/>
        <v>10</v>
      </c>
      <c r="M53" s="21">
        <f si="3" t="shared"/>
        <v>1.1450818733539448E-4</v>
      </c>
    </row>
    <row r="54" spans="1:13" x14ac:dyDescent="0.25">
      <c r="A54">
        <v>43</v>
      </c>
      <c r="B54" s="8" t="n">
        <v>77.39014603080747</v>
      </c>
      <c r="C54" s="8" t="n">
        <v>0.0</v>
      </c>
      <c r="D54" s="8" t="n">
        <v>0.0</v>
      </c>
      <c r="E54" s="8">
        <f si="0" t="shared"/>
        <v>3.3504940505162857</v>
      </c>
      <c r="F54" s="21">
        <f si="1" t="shared"/>
        <v>3.5710965792177096E-5</v>
      </c>
      <c r="H54" s="66">
        <v>43</v>
      </c>
      <c r="I54" s="156" t="n">
        <v>192.0</v>
      </c>
      <c r="J54" s="246" t="n">
        <v>11.0</v>
      </c>
      <c r="K54" s="336" t="n">
        <v>4.0</v>
      </c>
      <c r="L54">
        <f si="2" t="shared"/>
        <v>0</v>
      </c>
      <c r="M54" s="21">
        <f si="3" t="shared"/>
        <v>0</v>
      </c>
    </row>
    <row r="55" spans="1:13" x14ac:dyDescent="0.25">
      <c r="A55">
        <v>44</v>
      </c>
      <c r="B55" s="8" t="n">
        <v>70.34308687467573</v>
      </c>
      <c r="C55" s="8" t="n">
        <v>0.0</v>
      </c>
      <c r="D55" s="8" t="n">
        <v>0.0</v>
      </c>
      <c r="E55" s="8">
        <f si="0" t="shared"/>
        <v>1.3546560111170374</v>
      </c>
      <c r="F55" s="21">
        <f si="1" t="shared"/>
        <v>1.4438489889487556E-5</v>
      </c>
      <c r="H55" s="67">
        <v>44</v>
      </c>
      <c r="I55" s="157" t="n">
        <v>158.0</v>
      </c>
      <c r="J55" s="247" t="n">
        <v>3.0</v>
      </c>
      <c r="K55" s="337" t="n">
        <v>5.0</v>
      </c>
      <c r="L55">
        <f si="2" t="shared"/>
        <v>5</v>
      </c>
      <c r="M55" s="21">
        <f si="3" t="shared"/>
        <v>5.725409366769724E-5</v>
      </c>
    </row>
    <row r="56" spans="1:13" x14ac:dyDescent="0.25">
      <c r="A56">
        <v>45</v>
      </c>
      <c r="B56" s="8" t="n">
        <v>52.75680918502806</v>
      </c>
      <c r="C56" s="8" t="n">
        <v>0.0</v>
      </c>
      <c r="D56" s="8" t="n">
        <v>0.0</v>
      </c>
      <c r="E56" s="8">
        <f si="0" t="shared"/>
        <v>0.595497656185772</v>
      </c>
      <c r="F56" s="21">
        <f si="1" t="shared"/>
        <v>6.3470628834857487E-6</v>
      </c>
      <c r="H56" s="68">
        <v>45</v>
      </c>
      <c r="I56" s="158" t="n">
        <v>205.0</v>
      </c>
      <c r="J56" s="248" t="n">
        <v>14.0</v>
      </c>
      <c r="K56" s="338" t="n">
        <v>12.0</v>
      </c>
      <c r="L56">
        <f si="2" t="shared"/>
        <v>15</v>
      </c>
      <c r="M56" s="21">
        <f si="3" t="shared"/>
        <v>1.7176228100309173E-4</v>
      </c>
    </row>
    <row r="57" spans="1:13" x14ac:dyDescent="0.25">
      <c r="A57">
        <v>46</v>
      </c>
      <c r="B57" s="8" t="n">
        <v>32.46572872924804</v>
      </c>
      <c r="C57" s="8" t="n">
        <v>0.0</v>
      </c>
      <c r="D57" s="8" t="n">
        <v>0.0</v>
      </c>
      <c r="E57" s="8">
        <f si="0" t="shared"/>
        <v>0.70724666955250071</v>
      </c>
      <c r="F57" s="21">
        <f si="1" t="shared"/>
        <v>7.5381305688719855E-6</v>
      </c>
      <c r="H57" s="69">
        <v>46</v>
      </c>
      <c r="I57" s="159" t="n">
        <v>109.0</v>
      </c>
      <c r="J57" s="249" t="n">
        <v>5.0</v>
      </c>
      <c r="K57" s="339" t="n">
        <v>6.0</v>
      </c>
      <c r="L57">
        <f si="2" t="shared"/>
        <v>5</v>
      </c>
      <c r="M57" s="21">
        <f si="3" t="shared"/>
        <v>5.725409366769724E-5</v>
      </c>
    </row>
    <row r="58" spans="1:13" x14ac:dyDescent="0.25">
      <c r="A58">
        <v>47</v>
      </c>
      <c r="B58" s="8" t="n">
        <v>16.23286436462402</v>
      </c>
      <c r="C58" s="8" t="n">
        <v>0.0</v>
      </c>
      <c r="D58" s="8" t="n">
        <v>0.0</v>
      </c>
      <c r="E58" s="8">
        <f si="0" t="shared"/>
        <v>1.5480162036479257</v>
      </c>
      <c r="F58" s="21">
        <f si="1" t="shared"/>
        <v>1.6499403628455487E-5</v>
      </c>
      <c r="H58" s="70">
        <v>47</v>
      </c>
      <c r="I58" s="160" t="n">
        <v>135.0</v>
      </c>
      <c r="J58" s="250" t="n">
        <v>6.0</v>
      </c>
      <c r="K58" s="340" t="n">
        <v>5.0</v>
      </c>
      <c r="L58">
        <f si="2" t="shared"/>
        <v>5</v>
      </c>
      <c r="M58" s="21">
        <f si="3" t="shared"/>
        <v>5.725409366769724E-5</v>
      </c>
    </row>
    <row r="59" spans="1:13" x14ac:dyDescent="0.25">
      <c r="A59">
        <v>48</v>
      </c>
      <c r="B59" s="8" t="n">
        <v>6.493145745849609</v>
      </c>
      <c r="C59" s="8" t="n">
        <v>0.0</v>
      </c>
      <c r="D59" s="8" t="n">
        <v>0.0</v>
      </c>
      <c r="E59" s="8">
        <f si="0" t="shared"/>
        <v>3.0663815350708128</v>
      </c>
      <c r="F59" s="21">
        <f si="1" t="shared"/>
        <v>3.2682775869368769E-5</v>
      </c>
      <c r="H59" s="71">
        <v>48</v>
      </c>
      <c r="I59" s="161" t="n">
        <v>72.0</v>
      </c>
      <c r="J59" s="251" t="n">
        <v>4.0</v>
      </c>
      <c r="K59" s="341" t="n">
        <v>1.0</v>
      </c>
      <c r="L59">
        <f si="2" t="shared"/>
        <v>5</v>
      </c>
      <c r="M59" s="21">
        <f si="3" t="shared"/>
        <v>5.725409366769724E-5</v>
      </c>
    </row>
    <row r="60" spans="1:13" x14ac:dyDescent="0.25">
      <c r="A60">
        <v>49</v>
      </c>
      <c r="B60" s="8" t="n">
        <v>2.0291080455780026</v>
      </c>
      <c r="C60" s="8" t="n">
        <v>0.0</v>
      </c>
      <c r="D60" s="8" t="n">
        <v>0.0</v>
      </c>
      <c r="E60" s="8">
        <f si="0" t="shared"/>
        <v>4.9802807256869341</v>
      </c>
      <c r="F60" s="21">
        <f si="1" t="shared"/>
        <v>5.3081913278741561E-5</v>
      </c>
      <c r="H60" s="72">
        <v>49</v>
      </c>
      <c r="I60" s="162" t="n">
        <v>93.0</v>
      </c>
      <c r="J60" s="252" t="n">
        <v>6.0</v>
      </c>
      <c r="K60" s="342" t="n">
        <v>2.0</v>
      </c>
      <c r="L60">
        <f si="2" t="shared"/>
        <v>0</v>
      </c>
      <c r="M60" s="21">
        <f si="3" t="shared"/>
        <v>0</v>
      </c>
    </row>
    <row r="61" spans="1:13" x14ac:dyDescent="0.25">
      <c r="A61">
        <v>50</v>
      </c>
      <c r="B61" s="8" t="n">
        <v>0.4774371871948242</v>
      </c>
      <c r="C61" s="8" t="n">
        <v>0.0</v>
      </c>
      <c r="D61" s="8" t="n">
        <v>0.0</v>
      </c>
      <c r="E61" s="8">
        <f si="0" t="shared"/>
        <v>6.6402647022364132</v>
      </c>
      <c r="F61" s="21">
        <f si="1" t="shared"/>
        <v>7.0774716223127041E-5</v>
      </c>
      <c r="H61" s="73">
        <v>50</v>
      </c>
      <c r="I61" s="163" t="n">
        <v>83.0</v>
      </c>
      <c r="J61" s="253" t="n">
        <v>3.0</v>
      </c>
      <c r="K61" s="343" t="n">
        <v>2.0</v>
      </c>
      <c r="L61">
        <f si="2" t="shared"/>
        <v>0</v>
      </c>
      <c r="M61" s="21">
        <f si="3" t="shared"/>
        <v>0</v>
      </c>
    </row>
    <row r="62" spans="1:13" x14ac:dyDescent="0.25">
      <c r="A62">
        <v>51</v>
      </c>
      <c r="B62" s="8" t="n">
        <v>0.0795728645324707</v>
      </c>
      <c r="C62" s="8" t="n">
        <v>0.0</v>
      </c>
      <c r="D62" s="8" t="n">
        <v>0.0</v>
      </c>
      <c r="E62" s="8">
        <f si="0" t="shared"/>
        <v>7.3042911724600543</v>
      </c>
      <c r="F62" s="21">
        <f si="1" t="shared"/>
        <v>7.7852187845439737E-5</v>
      </c>
      <c r="H62" s="74">
        <v>51</v>
      </c>
      <c r="I62" s="164" t="n">
        <v>100.0</v>
      </c>
      <c r="J62" s="254" t="n">
        <v>3.0</v>
      </c>
      <c r="K62" s="344" t="n">
        <v>4.0</v>
      </c>
      <c r="L62">
        <f si="2" t="shared"/>
        <v>0</v>
      </c>
      <c r="M62" s="21">
        <f si="3" t="shared"/>
        <v>0</v>
      </c>
    </row>
    <row r="63" spans="1:13" x14ac:dyDescent="0.25">
      <c r="A63">
        <v>52</v>
      </c>
      <c r="B63" s="8" t="n">
        <v>0.008376091003417968</v>
      </c>
      <c r="C63" s="8" t="n">
        <v>0.0</v>
      </c>
      <c r="D63" s="8" t="n">
        <v>0.0</v>
      </c>
      <c r="E63" s="8">
        <f si="0" t="shared"/>
        <v>6.6402647022364132</v>
      </c>
      <c r="F63" s="21">
        <f si="1" t="shared"/>
        <v>7.0774716223127041E-5</v>
      </c>
      <c r="H63" s="75">
        <v>52</v>
      </c>
      <c r="I63" s="165" t="n">
        <v>68.0</v>
      </c>
      <c r="J63" s="255" t="n">
        <v>1.0</v>
      </c>
      <c r="K63" s="345" t="n">
        <v>5.0</v>
      </c>
      <c r="L63">
        <f si="2" t="shared"/>
        <v>0</v>
      </c>
      <c r="M63" s="21">
        <f si="3" t="shared"/>
        <v>0</v>
      </c>
    </row>
    <row r="64" spans="1:13" x14ac:dyDescent="0.25">
      <c r="A64">
        <v>53</v>
      </c>
      <c r="B64" s="8" t="n">
        <v>4.188045501708984E-4</v>
      </c>
      <c r="C64" s="8" t="n">
        <v>0.0</v>
      </c>
      <c r="D64" s="8" t="n">
        <v>0.0</v>
      </c>
      <c r="E64" s="8">
        <f si="0" t="shared"/>
        <v>4.9801985266773094</v>
      </c>
      <c r="F64" s="21">
        <f si="1" t="shared"/>
        <v>5.3081037167345274E-5</v>
      </c>
      <c r="H64" s="76">
        <v>53</v>
      </c>
      <c r="I64" s="166" t="n">
        <v>77.0</v>
      </c>
      <c r="J64" s="256" t="n">
        <v>3.0</v>
      </c>
      <c r="K64" s="346" t="n">
        <v>3.0</v>
      </c>
      <c r="L64">
        <f si="2" t="shared"/>
        <v>0</v>
      </c>
      <c r="M64" s="21">
        <f si="3" t="shared"/>
        <v>0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3.0647375548783442</v>
      </c>
      <c r="F65" s="21">
        <f si="1" t="shared"/>
        <v>3.2665253641443243E-5</v>
      </c>
      <c r="H65" s="77">
        <v>54</v>
      </c>
      <c r="I65" s="167" t="n">
        <v>63.0</v>
      </c>
      <c r="J65" s="257" t="n">
        <v>3.0</v>
      </c>
      <c r="K65" s="347" t="n">
        <v>0.0</v>
      </c>
      <c r="L65">
        <f si="2" t="shared"/>
        <v>0</v>
      </c>
      <c r="M65" s="21">
        <f si="3" t="shared"/>
        <v>0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1.5323687774391723</v>
      </c>
      <c r="F66" s="21">
        <f si="1" t="shared"/>
        <v>1.6332626820721625E-5</v>
      </c>
      <c r="H66" s="78">
        <v>55</v>
      </c>
      <c r="I66" s="168" t="n">
        <v>64.0</v>
      </c>
      <c r="J66" s="258" t="n">
        <v>5.0</v>
      </c>
      <c r="K66" s="348" t="n">
        <v>0.0</v>
      </c>
      <c r="L66">
        <f si="2" t="shared"/>
        <v>0</v>
      </c>
      <c r="M66" s="21">
        <f si="3" t="shared"/>
        <v>0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0.61294751097566902</v>
      </c>
      <c r="F67" s="21">
        <f si="1" t="shared"/>
        <v>6.5330507282886512E-6</v>
      </c>
      <c r="H67" s="79">
        <v>56</v>
      </c>
      <c r="I67" s="169" t="n">
        <v>29.0</v>
      </c>
      <c r="J67" s="259" t="n">
        <v>6.0</v>
      </c>
      <c r="K67" s="349" t="n">
        <v>1.0</v>
      </c>
      <c r="L67">
        <f si="2" t="shared"/>
        <v>0</v>
      </c>
      <c r="M67" s="21">
        <f si="3" t="shared"/>
        <v>0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0.19154609717989654</v>
      </c>
      <c r="F68" s="21">
        <f si="1" t="shared"/>
        <v>2.0415783525902031E-6</v>
      </c>
      <c r="H68" s="80">
        <v>57</v>
      </c>
      <c r="I68" s="170" t="n">
        <v>20.0</v>
      </c>
      <c r="J68" s="260" t="n">
        <v>5.0</v>
      </c>
      <c r="K68" s="350" t="n">
        <v>1.0</v>
      </c>
      <c r="L68">
        <f si="2" t="shared"/>
        <v>5</v>
      </c>
      <c r="M68" s="21">
        <f si="3" t="shared"/>
        <v>5.725409366769724E-5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4.5069669924681539E-2</v>
      </c>
      <c r="F69" s="21">
        <f si="1" t="shared"/>
        <v>4.8037137708004781E-7</v>
      </c>
      <c r="H69" s="81">
        <v>58</v>
      </c>
      <c r="I69" s="171" t="n">
        <v>27.0</v>
      </c>
      <c r="J69" s="261" t="n">
        <v>1.0</v>
      </c>
      <c r="K69" s="351" t="n">
        <v>1.0</v>
      </c>
      <c r="L69">
        <f si="2" t="shared"/>
        <v>0</v>
      </c>
      <c r="M69" s="21">
        <f si="3" t="shared"/>
        <v>0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7.5116116541135902E-3</v>
      </c>
      <c r="F70" s="21">
        <f si="1" t="shared"/>
        <v>8.0061896180007974E-8</v>
      </c>
      <c r="H70" s="82">
        <v>59</v>
      </c>
      <c r="I70" s="172" t="n">
        <v>39.0</v>
      </c>
      <c r="J70" s="262" t="n">
        <v>2.0</v>
      </c>
      <c r="K70" s="352" t="n">
        <v>1.0</v>
      </c>
      <c r="L70">
        <f si="2" t="shared"/>
        <v>0</v>
      </c>
      <c r="M70" s="21">
        <f si="3" t="shared"/>
        <v>0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7.9069596359090434E-4</v>
      </c>
      <c r="F71" s="21">
        <f si="1" t="shared"/>
        <v>8.4275680189482088E-9</v>
      </c>
      <c r="H71" s="83">
        <v>60</v>
      </c>
      <c r="I71" s="173" t="n">
        <v>37.0</v>
      </c>
      <c r="J71" s="263" t="n">
        <v>3.0</v>
      </c>
      <c r="K71" s="353" t="n">
        <v>1.0</v>
      </c>
      <c r="L71">
        <f si="2" t="shared"/>
        <v>0</v>
      </c>
      <c r="M71" s="21">
        <f si="3" t="shared"/>
        <v>0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3.9534798179545209E-5</v>
      </c>
      <c r="F72" s="21">
        <f si="1" t="shared"/>
        <v>4.2137840094741034E-10</v>
      </c>
      <c r="H72" s="84">
        <v>61</v>
      </c>
      <c r="I72" s="174" t="n">
        <v>4.0</v>
      </c>
      <c r="J72" s="264" t="n">
        <v>0.0</v>
      </c>
      <c r="K72" s="354" t="n">
        <v>0.0</v>
      </c>
      <c r="L72">
        <f si="2" t="shared"/>
        <v>0</v>
      </c>
      <c r="M72" s="21">
        <f si="3" t="shared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85">
        <v>62</v>
      </c>
      <c r="I73" s="175" t="n">
        <v>31.0</v>
      </c>
      <c r="J73" s="265" t="n">
        <v>1.0</v>
      </c>
      <c r="K73" s="355" t="n">
        <v>1.0</v>
      </c>
      <c r="L73">
        <f si="2" t="shared"/>
        <v>0</v>
      </c>
      <c r="M73" s="21">
        <f si="3" t="shared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86">
        <v>63</v>
      </c>
      <c r="I74" s="176" t="n">
        <v>18.0</v>
      </c>
      <c r="J74" s="266" t="n">
        <v>1.0</v>
      </c>
      <c r="K74" s="356" t="n">
        <v>0.0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87">
        <v>64</v>
      </c>
      <c r="I75" s="177" t="n">
        <v>4.0</v>
      </c>
      <c r="J75" s="267" t="n">
        <v>0.0</v>
      </c>
      <c r="K75" s="357" t="n">
        <v>0.0</v>
      </c>
      <c r="L75">
        <f si="2" t="shared"/>
        <v>0</v>
      </c>
      <c r="M75" s="21">
        <f si="3" t="shared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88">
        <v>65</v>
      </c>
      <c r="I76" s="178" t="n">
        <v>10.0</v>
      </c>
      <c r="J76" s="268" t="n">
        <v>1.0</v>
      </c>
      <c r="K76" s="35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89">
        <v>66</v>
      </c>
      <c r="I77" s="179" t="n">
        <v>11.0</v>
      </c>
      <c r="J77" s="269" t="n">
        <v>0.0</v>
      </c>
      <c r="K77" s="35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90">
        <v>67</v>
      </c>
      <c r="I78" s="180" t="n">
        <v>3.0</v>
      </c>
      <c r="J78" s="270" t="n">
        <v>1.0</v>
      </c>
      <c r="K78" s="360" t="n">
        <v>0.0</v>
      </c>
      <c r="L78">
        <f si="6" t="shared"/>
        <v>5</v>
      </c>
      <c r="M78" s="21">
        <f si="7" t="shared"/>
        <v>5.725409366769724E-5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91">
        <v>68</v>
      </c>
      <c r="I79" s="181" t="n">
        <v>5.0</v>
      </c>
      <c r="J79" s="271" t="n">
        <v>1.0</v>
      </c>
      <c r="K79" s="361" t="n">
        <v>0.0</v>
      </c>
      <c r="L79">
        <f si="6" t="shared"/>
        <v>0</v>
      </c>
      <c r="M79" s="21">
        <f si="7" t="shared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92">
        <v>69</v>
      </c>
      <c r="I80" s="182" t="n">
        <v>8.0</v>
      </c>
      <c r="J80" s="272" t="n">
        <v>0.0</v>
      </c>
      <c r="K80" s="36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93">
        <v>70</v>
      </c>
      <c r="I81" s="183" t="n">
        <v>13.0</v>
      </c>
      <c r="J81" s="273" t="n">
        <v>0.0</v>
      </c>
      <c r="K81" s="363" t="n">
        <v>1.0</v>
      </c>
      <c r="L81">
        <f si="6" t="shared"/>
        <v>0</v>
      </c>
      <c r="M81" s="21">
        <f si="7" t="shared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94">
        <v>71</v>
      </c>
      <c r="I82" s="184" t="n">
        <v>5.0</v>
      </c>
      <c r="J82" s="274" t="n">
        <v>0.0</v>
      </c>
      <c r="K82" s="36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95">
        <v>72</v>
      </c>
      <c r="I83" s="185" t="n">
        <v>11.0</v>
      </c>
      <c r="J83" s="275" t="n">
        <v>0.0</v>
      </c>
      <c r="K83" s="36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96">
        <v>73</v>
      </c>
      <c r="I84" s="186" t="n">
        <v>6.0</v>
      </c>
      <c r="J84" s="276" t="n">
        <v>0.0</v>
      </c>
      <c r="K84" s="36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97">
        <v>74</v>
      </c>
      <c r="I85" s="187" t="n">
        <v>0.0</v>
      </c>
      <c r="J85" s="277" t="n">
        <v>0.0</v>
      </c>
      <c r="K85" s="36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98">
        <v>75</v>
      </c>
      <c r="I86" s="188" t="n">
        <v>3.0</v>
      </c>
      <c r="J86" s="278" t="n">
        <v>0.0</v>
      </c>
      <c r="K86" s="36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99">
        <v>76</v>
      </c>
      <c r="I87" s="189" t="n">
        <v>4.0</v>
      </c>
      <c r="J87" s="279" t="n">
        <v>0.0</v>
      </c>
      <c r="K87" s="36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00">
        <v>77</v>
      </c>
      <c r="I88" s="190" t="n">
        <v>4.0</v>
      </c>
      <c r="J88" s="280" t="n">
        <v>0.0</v>
      </c>
      <c r="K88" s="37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01">
        <v>78</v>
      </c>
      <c r="I89" s="191" t="n">
        <v>2.0</v>
      </c>
      <c r="J89" s="281" t="n">
        <v>0.0</v>
      </c>
      <c r="K89" s="371" t="n">
        <v>0.0</v>
      </c>
      <c r="L89">
        <f si="6" t="shared"/>
        <v>0</v>
      </c>
      <c r="M89" s="21">
        <f si="7" t="shared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02">
        <v>79</v>
      </c>
      <c r="I90" s="192" t="n">
        <v>0.0</v>
      </c>
      <c r="J90" s="282" t="n">
        <v>0.0</v>
      </c>
      <c r="K90" s="37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03">
        <v>80</v>
      </c>
      <c r="I91" s="193" t="n">
        <v>1.0</v>
      </c>
      <c r="J91" s="283" t="n">
        <v>0.0</v>
      </c>
      <c r="K91" s="37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04">
        <v>81</v>
      </c>
      <c r="I92" s="194" t="n">
        <v>0.0</v>
      </c>
      <c r="J92" s="284" t="n">
        <v>0.0</v>
      </c>
      <c r="K92" s="374" t="n">
        <v>0.0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05">
        <v>82</v>
      </c>
      <c r="I93" s="195" t="n">
        <v>0.0</v>
      </c>
      <c r="J93" s="285" t="n">
        <v>0.0</v>
      </c>
      <c r="K93" s="375" t="n">
        <v>0.0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06">
        <v>83</v>
      </c>
      <c r="I94" s="196" t="n">
        <v>1.0</v>
      </c>
      <c r="J94" s="286" t="n">
        <v>1.0</v>
      </c>
      <c r="K94" s="376" t="n">
        <v>0.0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07">
        <v>84</v>
      </c>
      <c r="I95" s="197" t="n">
        <v>0.0</v>
      </c>
      <c r="J95" s="287" t="n">
        <v>0.0</v>
      </c>
      <c r="K95" s="37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08">
        <v>85</v>
      </c>
      <c r="I96" s="198" t="n">
        <v>0.0</v>
      </c>
      <c r="J96" s="288" t="n">
        <v>0.0</v>
      </c>
      <c r="K96" s="37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09">
        <v>86</v>
      </c>
      <c r="I97" s="199" t="n">
        <v>0.0</v>
      </c>
      <c r="J97" s="289" t="n">
        <v>0.0</v>
      </c>
      <c r="K97" s="379" t="n">
        <v>0.0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110">
        <v>87</v>
      </c>
      <c r="I98" s="200" t="n">
        <v>0.0</v>
      </c>
      <c r="J98" s="290" t="n">
        <v>0.0</v>
      </c>
      <c r="K98" s="38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111">
        <v>88</v>
      </c>
      <c r="I99" s="201" t="n">
        <v>0.0</v>
      </c>
      <c r="J99" s="291" t="n">
        <v>0.0</v>
      </c>
      <c r="K99" s="38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112">
        <v>89</v>
      </c>
      <c r="I100" s="202" t="n">
        <v>0.0</v>
      </c>
      <c r="J100" s="292" t="n">
        <v>0.0</v>
      </c>
      <c r="K100" s="38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744">
        <v>90</v>
      </c>
      <c r="I101" s="744" t="n">
        <v>1.0</v>
      </c>
      <c r="J101" s="744" t="n">
        <v>0.0</v>
      </c>
      <c r="K101" s="744" t="n">
        <v>0.0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93822.554954541454</v>
      </c>
      <c r="F102" s="21">
        <f si="5" t="shared"/>
        <v>1</v>
      </c>
      <c r="L102" s="8">
        <f>SUM(L11:L101)</f>
        <v>87330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02"/>
  <sheetViews>
    <sheetView workbookViewId="0"/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53</v>
      </c>
    </row>
    <row r="3" spans="1:18" x14ac:dyDescent="0.25">
      <c r="A3" t="s">
        <v>10</v>
      </c>
    </row>
    <row r="4" spans="1:18" x14ac:dyDescent="0.25">
      <c r="A4" t="s">
        <v>9</v>
      </c>
    </row>
    <row r="5" spans="1:18" x14ac:dyDescent="0.25">
      <c r="A5" t="s">
        <v>11</v>
      </c>
    </row>
    <row r="6" spans="1:18" x14ac:dyDescent="0.25">
      <c r="A6" t="s">
        <v>12</v>
      </c>
    </row>
    <row r="7" spans="1:18" x14ac:dyDescent="0.25">
      <c r="A7" t="s">
        <v>16</v>
      </c>
    </row>
    <row ht="15.75" r="9" spans="1:18" thickBot="1" x14ac:dyDescent="0.3">
      <c r="A9" s="4" t="s">
        <v>54</v>
      </c>
      <c r="B9" s="1"/>
      <c r="C9" s="1"/>
      <c r="D9" s="1"/>
      <c r="E9" s="1"/>
      <c r="F9" s="1"/>
      <c r="H9" s="4" t="s">
        <v>18</v>
      </c>
      <c r="I9" s="1"/>
      <c r="J9" s="1"/>
      <c r="K9" s="1"/>
      <c r="L9" s="1"/>
      <c r="M9" s="1"/>
      <c r="P9" s="10" t="s">
        <v>25</v>
      </c>
    </row>
    <row r="10" spans="1:18" x14ac:dyDescent="0.25">
      <c r="A10" s="2" t="s">
        <v>22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22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3850.8172</v>
      </c>
      <c r="C11" s="8" t="n">
        <v>133.593</v>
      </c>
      <c r="D11" s="8" t="n">
        <v>109.0124</v>
      </c>
      <c r="E11" s="8">
        <f>SUM(B11:D11)</f>
        <v>0</v>
      </c>
      <c r="F11" s="21">
        <f>E11/$E$102</f>
        <v>0</v>
      </c>
      <c r="H11" s="383">
        <v>0</v>
      </c>
      <c r="I11" s="473" t="n">
        <v>24425.0</v>
      </c>
      <c r="J11" s="563" t="n">
        <v>2548.0</v>
      </c>
      <c r="K11" s="653" t="n">
        <v>2108.0</v>
      </c>
      <c r="L11">
        <f>SUM(I11:K11)</f>
        <v>675</v>
      </c>
      <c r="M11" s="21">
        <f>L11/$L$102</f>
        <v>7.7293026451391274E-3</v>
      </c>
      <c r="P11" t="s">
        <v>13</v>
      </c>
      <c r="Q11" s="8" t="n">
        <v>12.866789799631098</v>
      </c>
      <c r="R11" s="8" t="n">
        <v>15.468416262083206</v>
      </c>
    </row>
    <row r="12" spans="1:18" x14ac:dyDescent="0.25">
      <c r="A12">
        <v>1</v>
      </c>
      <c r="B12" s="8" t="n">
        <v>5335.934965720464</v>
      </c>
      <c r="C12" s="8" t="n">
        <v>150.31726157588957</v>
      </c>
      <c r="D12" s="8" t="n">
        <v>131.24602227859498</v>
      </c>
      <c r="E12" s="8">
        <f ref="E12:E75" si="0" t="shared">SUM(B12:D12)</f>
        <v>1896.7216052111016</v>
      </c>
      <c r="F12" s="21">
        <f ref="F12:F75" si="1" t="shared">E12/$E$102</f>
        <v>2.327259431506137E-2</v>
      </c>
      <c r="H12" s="384">
        <v>1</v>
      </c>
      <c r="I12" s="474" t="n">
        <v>31637.0</v>
      </c>
      <c r="J12" s="564" t="n">
        <v>3632.0</v>
      </c>
      <c r="K12" s="654" t="n">
        <v>2430.0</v>
      </c>
      <c r="L12">
        <f ref="L12:L75" si="2" t="shared">SUM(I12:K12)</f>
        <v>2390</v>
      </c>
      <c r="M12" s="21">
        <f ref="M12:M75" si="3" t="shared">L12/$L$102</f>
        <v>2.7367456773159281E-2</v>
      </c>
      <c r="P12" t="s">
        <v>14</v>
      </c>
      <c r="Q12" s="8" t="n">
        <v>11.981909831684124</v>
      </c>
      <c r="R12" s="8" t="n">
        <v>14.874120062872793</v>
      </c>
    </row>
    <row r="13" spans="1:18" x14ac:dyDescent="0.25">
      <c r="A13">
        <v>2</v>
      </c>
      <c r="B13" s="8" t="n">
        <v>6853.490061488153</v>
      </c>
      <c r="C13" s="8" t="n">
        <v>171.15453998832703</v>
      </c>
      <c r="D13" s="8" t="n">
        <v>154.9245491558075</v>
      </c>
      <c r="E13" s="8">
        <f si="0" t="shared"/>
        <v>3917.5077308810178</v>
      </c>
      <c r="F13" s="21">
        <f si="1" t="shared"/>
        <v>4.8067448536688873E-2</v>
      </c>
      <c r="H13" s="385">
        <v>2</v>
      </c>
      <c r="I13" s="475" t="n">
        <v>30379.0</v>
      </c>
      <c r="J13" s="565" t="n">
        <v>3650.0</v>
      </c>
      <c r="K13" s="655" t="n">
        <v>2215.0</v>
      </c>
      <c r="L13">
        <f si="2" t="shared"/>
        <v>3170</v>
      </c>
      <c r="M13" s="21">
        <f si="3" t="shared"/>
        <v>3.629909538532005E-2</v>
      </c>
      <c r="P13" s="6" t="s">
        <v>15</v>
      </c>
      <c r="Q13" s="11" t="n">
        <v>13.817520097121909</v>
      </c>
      <c r="R13" s="8" t="n">
        <v>15.04601886503035</v>
      </c>
    </row>
    <row ht="15.75" r="14" spans="1:18" thickBot="1" x14ac:dyDescent="0.3">
      <c r="A14">
        <v>3</v>
      </c>
      <c r="B14" s="8" t="n">
        <v>8313.29032471981</v>
      </c>
      <c r="C14" s="8" t="n">
        <v>199.8767337705612</v>
      </c>
      <c r="D14" s="8" t="n">
        <v>176.6862962080002</v>
      </c>
      <c r="E14" s="8">
        <f si="0" t="shared"/>
        <v>5969.7841448425315</v>
      </c>
      <c r="F14" s="21">
        <f si="1" t="shared"/>
        <v>7.3248685610845285E-2</v>
      </c>
      <c r="H14" s="386">
        <v>3</v>
      </c>
      <c r="I14" s="476" t="n">
        <v>27466.0</v>
      </c>
      <c r="J14" s="566" t="n">
        <v>3416.0</v>
      </c>
      <c r="K14" s="656" t="n">
        <v>2184.0</v>
      </c>
      <c r="L14">
        <f si="2" t="shared"/>
        <v>5080</v>
      </c>
      <c r="M14" s="21">
        <f si="3" t="shared"/>
        <v>5.8170159166380395E-2</v>
      </c>
      <c r="P14" s="1" t="s">
        <v>4</v>
      </c>
      <c r="Q14" s="12" t="n">
        <v>12.865905355868307</v>
      </c>
      <c r="R14" s="12" t="n">
        <v>15.377922327838201</v>
      </c>
    </row>
    <row r="15" spans="1:18" x14ac:dyDescent="0.25">
      <c r="A15">
        <v>4</v>
      </c>
      <c r="B15" s="8" t="n">
        <v>9476.338440233518</v>
      </c>
      <c r="C15" s="8" t="n">
        <v>239.19315736780163</v>
      </c>
      <c r="D15" s="8" t="n">
        <v>189.06077302532196</v>
      </c>
      <c r="E15" s="8">
        <f si="0" t="shared"/>
        <v>7703.1619179244226</v>
      </c>
      <c r="F15" s="21">
        <f si="1" t="shared"/>
        <v>9.4517066588236831E-2</v>
      </c>
      <c r="H15" s="387">
        <v>4</v>
      </c>
      <c r="I15" s="477" t="n">
        <v>24269.0</v>
      </c>
      <c r="J15" s="567" t="n">
        <v>3124.0</v>
      </c>
      <c r="K15" s="657" t="n">
        <v>2013.0</v>
      </c>
      <c r="L15">
        <f si="2" t="shared"/>
        <v>6745</v>
      </c>
      <c r="M15" s="21">
        <f si="3" t="shared"/>
        <v>7.7235772357723581E-2</v>
      </c>
    </row>
    <row r="16" spans="1:18" x14ac:dyDescent="0.25">
      <c r="A16">
        <v>5</v>
      </c>
      <c r="B16" s="8" t="n">
        <v>10070.868056053067</v>
      </c>
      <c r="C16" s="8" t="n">
        <v>288.4750185466766</v>
      </c>
      <c r="D16" s="8" t="n">
        <v>187.58391951332092</v>
      </c>
      <c r="E16" s="8">
        <f si="0" t="shared"/>
        <v>8687.5246244432692</v>
      </c>
      <c r="F16" s="21">
        <f si="1" t="shared"/>
        <v>0.10659510369434089</v>
      </c>
      <c r="H16" s="388">
        <v>5</v>
      </c>
      <c r="I16" s="478" t="n">
        <v>20862.0</v>
      </c>
      <c r="J16" s="568" t="n">
        <v>2745.0</v>
      </c>
      <c r="K16" s="658" t="n">
        <v>1752.0</v>
      </c>
      <c r="L16">
        <f si="2" t="shared"/>
        <v>7695</v>
      </c>
      <c r="M16" s="21">
        <f si="3" t="shared"/>
        <v>8.8114050154586052E-2</v>
      </c>
    </row>
    <row r="17" spans="1:13" x14ac:dyDescent="0.25">
      <c r="A17">
        <v>6</v>
      </c>
      <c r="B17" s="8" t="n">
        <v>9982.595315599061</v>
      </c>
      <c r="C17" s="8" t="n">
        <v>340.8911278543472</v>
      </c>
      <c r="D17" s="8" t="n">
        <v>179.0869962024689</v>
      </c>
      <c r="E17" s="8">
        <f si="0" t="shared"/>
        <v>8681.8502527756336</v>
      </c>
      <c r="F17" s="21">
        <f si="1" t="shared"/>
        <v>0.10652547969182469</v>
      </c>
      <c r="H17" s="389">
        <v>6</v>
      </c>
      <c r="I17" s="479" t="n">
        <v>17650.0</v>
      </c>
      <c r="J17" s="569" t="n">
        <v>2329.0</v>
      </c>
      <c r="K17" s="659" t="n">
        <v>1508.0</v>
      </c>
      <c r="L17">
        <f si="2" t="shared"/>
        <v>7610</v>
      </c>
      <c r="M17" s="21">
        <f si="3" t="shared"/>
        <v>8.7140730562235202E-2</v>
      </c>
    </row>
    <row r="18" spans="1:13" x14ac:dyDescent="0.25">
      <c r="A18">
        <v>7</v>
      </c>
      <c r="B18" s="8" t="n">
        <v>9356.689698679733</v>
      </c>
      <c r="C18" s="8" t="n">
        <v>383.8962618701935</v>
      </c>
      <c r="D18" s="8" t="n">
        <v>182.8643994390488</v>
      </c>
      <c r="E18" s="8">
        <f si="0" t="shared"/>
        <v>7789.9448865280301</v>
      </c>
      <c r="F18" s="21">
        <f si="1" t="shared"/>
        <v>9.5581885387273857E-2</v>
      </c>
      <c r="H18" s="390">
        <v>7</v>
      </c>
      <c r="I18" s="480" t="n">
        <v>14719.0</v>
      </c>
      <c r="J18" s="570" t="n">
        <v>1960.0</v>
      </c>
      <c r="K18" s="660" t="n">
        <v>1258.0</v>
      </c>
      <c r="L18">
        <f si="2" t="shared"/>
        <v>7255</v>
      </c>
      <c r="M18" s="21">
        <f si="3" t="shared"/>
        <v>8.307568991182869E-2</v>
      </c>
    </row>
    <row r="19" spans="1:13" x14ac:dyDescent="0.25">
      <c r="A19">
        <v>8</v>
      </c>
      <c r="B19" s="8" t="n">
        <v>8503.819489149857</v>
      </c>
      <c r="C19" s="8" t="n">
        <v>404.83679708995817</v>
      </c>
      <c r="D19" s="8" t="n">
        <v>219.9852923995972</v>
      </c>
      <c r="E19" s="8">
        <f si="0" t="shared"/>
        <v>6393.7566797718036</v>
      </c>
      <c r="F19" s="21">
        <f si="1" t="shared"/>
        <v>7.8450788428163568E-2</v>
      </c>
      <c r="H19" s="391">
        <v>8</v>
      </c>
      <c r="I19" s="481" t="n">
        <v>12924.0</v>
      </c>
      <c r="J19" s="571" t="n">
        <v>1697.0</v>
      </c>
      <c r="K19" s="661" t="n">
        <v>1208.0</v>
      </c>
      <c r="L19">
        <f si="2" t="shared"/>
        <v>5890</v>
      </c>
      <c r="M19" s="21">
        <f si="3" t="shared"/>
        <v>6.7445322340547342E-2</v>
      </c>
    </row>
    <row r="20" spans="1:13" x14ac:dyDescent="0.25">
      <c r="A20">
        <v>9</v>
      </c>
      <c r="B20" s="8" t="n">
        <v>7686.300824694348</v>
      </c>
      <c r="C20" s="8" t="n">
        <v>397.71875390882485</v>
      </c>
      <c r="D20" s="8" t="n">
        <v>295.3932119127274</v>
      </c>
      <c r="E20" s="8">
        <f si="0" t="shared"/>
        <v>4936.0918070909038</v>
      </c>
      <c r="F20" s="21">
        <f si="1" t="shared"/>
        <v>6.056537860522726E-2</v>
      </c>
      <c r="H20" s="392">
        <v>9</v>
      </c>
      <c r="I20" s="482" t="n">
        <v>10436.0</v>
      </c>
      <c r="J20" s="572" t="n">
        <v>1425.0</v>
      </c>
      <c r="K20" s="662" t="n">
        <v>887.0</v>
      </c>
      <c r="L20">
        <f si="2" t="shared"/>
        <v>5915</v>
      </c>
      <c r="M20" s="21">
        <f si="3" t="shared"/>
        <v>6.773159280888584E-2</v>
      </c>
    </row>
    <row r="21" spans="1:13" x14ac:dyDescent="0.25">
      <c r="A21">
        <v>10</v>
      </c>
      <c r="B21" s="8" t="n">
        <v>6975.911540256406</v>
      </c>
      <c r="C21" s="8" t="n">
        <v>365.70646645488733</v>
      </c>
      <c r="D21" s="8" t="n">
        <v>386.34555870275494</v>
      </c>
      <c r="E21" s="8">
        <f si="0" t="shared"/>
        <v>3723.5755346947053</v>
      </c>
      <c r="F21" s="21">
        <f si="1" t="shared"/>
        <v>4.5687918871358459E-2</v>
      </c>
      <c r="H21" s="393">
        <v>10</v>
      </c>
      <c r="I21" s="483" t="n">
        <v>8854.0</v>
      </c>
      <c r="J21" s="573" t="n">
        <v>1214.0</v>
      </c>
      <c r="K21" s="663" t="n">
        <v>739.0</v>
      </c>
      <c r="L21">
        <f si="2" t="shared"/>
        <v>5525</v>
      </c>
      <c r="M21" s="21">
        <f si="3" t="shared"/>
        <v>6.3265773502805447E-2</v>
      </c>
    </row>
    <row r="22" spans="1:13" x14ac:dyDescent="0.25">
      <c r="A22">
        <v>11</v>
      </c>
      <c r="B22" s="8" t="n">
        <v>6289.506934484578</v>
      </c>
      <c r="C22" s="8" t="n">
        <v>318.1839433073998</v>
      </c>
      <c r="D22" s="8" t="n">
        <v>450.1301009729385</v>
      </c>
      <c r="E22" s="8">
        <f si="0" t="shared"/>
        <v>2863.5041775281766</v>
      </c>
      <c r="F22" s="21">
        <f si="1" t="shared"/>
        <v>3.513492484084383E-2</v>
      </c>
      <c r="H22" s="394">
        <v>11</v>
      </c>
      <c r="I22" s="484" t="n">
        <v>7744.0</v>
      </c>
      <c r="J22" s="574" t="n">
        <v>1089.0</v>
      </c>
      <c r="K22" s="664" t="n">
        <v>683.0</v>
      </c>
      <c r="L22">
        <f si="2" t="shared"/>
        <v>4330</v>
      </c>
      <c r="M22" s="21">
        <f si="3" t="shared"/>
        <v>4.9582045116225812E-2</v>
      </c>
    </row>
    <row r="23" spans="1:13" x14ac:dyDescent="0.25">
      <c r="A23">
        <v>12</v>
      </c>
      <c r="B23" s="8" t="n">
        <v>5528.406627569676</v>
      </c>
      <c r="C23" s="8" t="n">
        <v>265.36656123867033</v>
      </c>
      <c r="D23" s="8" t="n">
        <v>449.92962169389716</v>
      </c>
      <c r="E23" s="8">
        <f si="0" t="shared"/>
        <v>2320.6459610529319</v>
      </c>
      <c r="F23" s="21">
        <f si="1" t="shared"/>
        <v>2.8474105979543401E-2</v>
      </c>
      <c r="H23" s="395">
        <v>12</v>
      </c>
      <c r="I23" s="485" t="n">
        <v>6634.0</v>
      </c>
      <c r="J23" s="575" t="n">
        <v>874.0</v>
      </c>
      <c r="K23" s="665" t="n">
        <v>560.0</v>
      </c>
      <c r="L23">
        <f si="2" t="shared"/>
        <v>3485</v>
      </c>
      <c r="M23" s="21">
        <f si="3" t="shared"/>
        <v>3.9906103286384977E-2</v>
      </c>
    </row>
    <row r="24" spans="1:13" x14ac:dyDescent="0.25">
      <c r="A24">
        <v>13</v>
      </c>
      <c r="B24" s="8" t="n">
        <v>4676.12377184639</v>
      </c>
      <c r="C24" s="8" t="n">
        <v>214.10729732141493</v>
      </c>
      <c r="D24" s="8" t="n">
        <v>379.98857972469324</v>
      </c>
      <c r="E24" s="8">
        <f si="0" t="shared"/>
        <v>2007.1510262072754</v>
      </c>
      <c r="F24" s="21">
        <f si="1" t="shared"/>
        <v>2.4627552843624678E-2</v>
      </c>
      <c r="H24" s="396">
        <v>13</v>
      </c>
      <c r="I24" s="486" t="n">
        <v>5547.0</v>
      </c>
      <c r="J24" s="576" t="n">
        <v>728.0</v>
      </c>
      <c r="K24" s="666" t="n">
        <v>485.0</v>
      </c>
      <c r="L24">
        <f si="2" t="shared"/>
        <v>2875</v>
      </c>
      <c r="M24" s="21">
        <f si="3" t="shared"/>
        <v>3.292110385892591E-2</v>
      </c>
    </row>
    <row r="25" spans="1:13" x14ac:dyDescent="0.25">
      <c r="A25">
        <v>14</v>
      </c>
      <c r="B25" s="8" t="n">
        <v>3794.377374377728</v>
      </c>
      <c r="C25" s="8" t="n">
        <v>167.02978746232986</v>
      </c>
      <c r="D25" s="8" t="n">
        <v>268.83415268106455</v>
      </c>
      <c r="E25" s="8">
        <f si="0" t="shared"/>
        <v>1836.7782703566995</v>
      </c>
      <c r="F25" s="21">
        <f si="1" t="shared"/>
        <v>2.2537095278130689E-2</v>
      </c>
      <c r="H25" s="397">
        <v>14</v>
      </c>
      <c r="I25" s="487" t="n">
        <v>4210.0</v>
      </c>
      <c r="J25" s="577" t="n">
        <v>604.0</v>
      </c>
      <c r="K25" s="667" t="n">
        <v>414.0</v>
      </c>
      <c r="L25">
        <f si="2" t="shared"/>
        <v>2625</v>
      </c>
      <c r="M25" s="21">
        <f si="3" t="shared"/>
        <v>3.005839917554105E-2</v>
      </c>
    </row>
    <row r="26" spans="1:13" x14ac:dyDescent="0.25">
      <c r="A26">
        <v>15</v>
      </c>
      <c r="B26" s="8" t="n">
        <v>2966.826727850151</v>
      </c>
      <c r="C26" s="8" t="n">
        <v>124.68538766345978</v>
      </c>
      <c r="D26" s="8" t="n">
        <v>158.4446775823593</v>
      </c>
      <c r="E26" s="8">
        <f si="0" t="shared"/>
        <v>1734.2992524122099</v>
      </c>
      <c r="F26" s="21">
        <f si="1" t="shared"/>
        <v>2.127968744143208E-2</v>
      </c>
      <c r="H26" s="398">
        <v>15</v>
      </c>
      <c r="I26" s="488" t="n">
        <v>3721.0</v>
      </c>
      <c r="J26" s="578" t="n">
        <v>485.0</v>
      </c>
      <c r="K26" s="668" t="n">
        <v>398.0</v>
      </c>
      <c r="L26">
        <f si="2" t="shared"/>
        <v>2165</v>
      </c>
      <c r="M26" s="21">
        <f si="3" t="shared"/>
        <v>2.4791022558112906E-2</v>
      </c>
    </row>
    <row r="27" spans="1:13" x14ac:dyDescent="0.25">
      <c r="A27">
        <v>16</v>
      </c>
      <c r="B27" s="8" t="n">
        <v>2256.7085290977475</v>
      </c>
      <c r="C27" s="8" t="n">
        <v>88.08805622739791</v>
      </c>
      <c r="D27" s="8" t="n">
        <v>78.73825677843095</v>
      </c>
      <c r="E27" s="8">
        <f si="0" t="shared"/>
        <v>1631.3584117422697</v>
      </c>
      <c r="F27" s="21">
        <f si="1" t="shared"/>
        <v>2.0016613083666094E-2</v>
      </c>
      <c r="H27" s="399">
        <v>16</v>
      </c>
      <c r="I27" s="489" t="n">
        <v>3449.0</v>
      </c>
      <c r="J27" s="579" t="n">
        <v>480.0</v>
      </c>
      <c r="K27" s="669" t="n">
        <v>317.0</v>
      </c>
      <c r="L27">
        <f si="2" t="shared"/>
        <v>1675</v>
      </c>
      <c r="M27" s="21">
        <f si="3" t="shared"/>
        <v>1.9180121378678576E-2</v>
      </c>
    </row>
    <row r="28" spans="1:13" x14ac:dyDescent="0.25">
      <c r="A28">
        <v>17</v>
      </c>
      <c r="B28" s="8" t="n">
        <v>1694.415990316963</v>
      </c>
      <c r="C28" s="8" t="n">
        <v>59.03200025234223</v>
      </c>
      <c r="D28" s="8" t="n">
        <v>37.22782190265656</v>
      </c>
      <c r="E28" s="8">
        <f si="0" t="shared"/>
        <v>1476.2330494891776</v>
      </c>
      <c r="F28" s="21">
        <f si="1" t="shared"/>
        <v>1.8113239592388052E-2</v>
      </c>
      <c r="H28" s="400">
        <v>17</v>
      </c>
      <c r="I28" s="490" t="n">
        <v>2998.0</v>
      </c>
      <c r="J28" s="580" t="n">
        <v>464.0</v>
      </c>
      <c r="K28" s="670" t="n">
        <v>268.0</v>
      </c>
      <c r="L28">
        <f si="2" t="shared"/>
        <v>1640</v>
      </c>
      <c r="M28" s="21">
        <f si="3" t="shared"/>
        <v>1.8779342723004695E-2</v>
      </c>
    </row>
    <row r="29" spans="1:13" x14ac:dyDescent="0.25">
      <c r="A29">
        <v>18</v>
      </c>
      <c r="B29" s="8" t="n">
        <v>1280.088152227211</v>
      </c>
      <c r="C29" s="8" t="n">
        <v>38.416747217941285</v>
      </c>
      <c r="D29" s="8" t="n">
        <v>25.519276437282564</v>
      </c>
      <c r="E29" s="8">
        <f si="0" t="shared"/>
        <v>1253.9828680618671</v>
      </c>
      <c r="F29" s="21">
        <f si="1" t="shared"/>
        <v>1.5386250932272633E-2</v>
      </c>
      <c r="H29" s="401">
        <v>18</v>
      </c>
      <c r="I29" s="491" t="n">
        <v>28323.0</v>
      </c>
      <c r="J29" s="581" t="n">
        <v>4647.0</v>
      </c>
      <c r="K29" s="671" t="n">
        <v>2948.0</v>
      </c>
      <c r="L29">
        <f si="2" t="shared"/>
        <v>1240</v>
      </c>
      <c r="M29" s="21">
        <f si="3" t="shared"/>
        <v>1.4199015229588916E-2</v>
      </c>
    </row>
    <row r="30" spans="1:13" x14ac:dyDescent="0.25">
      <c r="A30">
        <v>19</v>
      </c>
      <c r="B30" s="8" t="n">
        <v>993.6691371228218</v>
      </c>
      <c r="C30" s="8" t="n">
        <v>25.048311141490935</v>
      </c>
      <c r="D30" s="8" t="n">
        <v>30.450453483581544</v>
      </c>
      <c r="E30" s="8">
        <f si="0" t="shared"/>
        <v>993.22968592489246</v>
      </c>
      <c r="F30" s="21">
        <f si="1" t="shared"/>
        <v>1.2186834102959027E-2</v>
      </c>
      <c r="H30" s="402">
        <v>19</v>
      </c>
      <c r="I30" s="492" t="n">
        <v>14860.0</v>
      </c>
      <c r="J30" s="582" t="n">
        <v>1778.0</v>
      </c>
      <c r="K30" s="672" t="n">
        <v>1266.0</v>
      </c>
      <c r="L30">
        <f si="2" t="shared"/>
        <v>1280</v>
      </c>
      <c r="M30" s="21">
        <f si="3" t="shared"/>
        <v>1.4657047978930493E-2</v>
      </c>
    </row>
    <row r="31" spans="1:13" x14ac:dyDescent="0.25">
      <c r="A31">
        <v>20</v>
      </c>
      <c r="B31" s="8" t="n">
        <v>810.6977639528275</v>
      </c>
      <c r="C31" s="8" t="n">
        <v>16.408442335033417</v>
      </c>
      <c r="D31" s="8" t="n">
        <v>40.39410681037903</v>
      </c>
      <c r="E31" s="8">
        <f si="0" t="shared"/>
        <v>746.77622097944288</v>
      </c>
      <c r="F31" s="21">
        <f si="1" t="shared"/>
        <v>9.162873448185822E-3</v>
      </c>
      <c r="H31" s="403">
        <v>20</v>
      </c>
      <c r="I31" s="493" t="n">
        <v>16246.0</v>
      </c>
      <c r="J31" s="583" t="n">
        <v>2175.0</v>
      </c>
      <c r="K31" s="673" t="n">
        <v>1545.0</v>
      </c>
      <c r="L31">
        <f si="2" t="shared"/>
        <v>1070</v>
      </c>
      <c r="M31" s="21">
        <f si="3" t="shared"/>
        <v>1.2252376044887209E-2</v>
      </c>
    </row>
    <row r="32" spans="1:13" x14ac:dyDescent="0.25">
      <c r="A32">
        <v>21</v>
      </c>
      <c r="B32" s="8" t="n">
        <v>712.9141563202859</v>
      </c>
      <c r="C32" s="8" t="n">
        <v>10.383581676578522</v>
      </c>
      <c r="D32" s="8" t="n">
        <v>46.94617461986542</v>
      </c>
      <c r="E32" s="8">
        <f si="0" t="shared"/>
        <v>559.13479861228802</v>
      </c>
      <c r="F32" s="21">
        <f si="1" t="shared"/>
        <v>6.8605309813450713E-3</v>
      </c>
      <c r="H32" s="404">
        <v>21</v>
      </c>
      <c r="I32" s="494" t="n">
        <v>16970.0</v>
      </c>
      <c r="J32" s="584" t="n">
        <v>2341.0</v>
      </c>
      <c r="K32" s="674" t="n">
        <v>1509.0</v>
      </c>
      <c r="L32">
        <f si="2" t="shared"/>
        <v>895</v>
      </c>
      <c r="M32" s="21">
        <f si="3" t="shared"/>
        <v>1.0248482766517806E-2</v>
      </c>
    </row>
    <row r="33" spans="1:13" x14ac:dyDescent="0.25">
      <c r="A33">
        <v>22</v>
      </c>
      <c r="B33" s="8" t="n">
        <v>684.1835560886384</v>
      </c>
      <c r="C33" s="8" t="n">
        <v>6.183448585796357</v>
      </c>
      <c r="D33" s="8" t="n">
        <v>45.75353412160874</v>
      </c>
      <c r="E33" s="8">
        <f si="0" t="shared"/>
        <v>444.78828365336329</v>
      </c>
      <c r="F33" s="21">
        <f si="1" t="shared"/>
        <v>5.4575100811408098E-3</v>
      </c>
      <c r="H33" s="405">
        <v>22</v>
      </c>
      <c r="I33" s="495" t="n">
        <v>13378.0</v>
      </c>
      <c r="J33" s="585" t="n">
        <v>1798.0</v>
      </c>
      <c r="K33" s="675" t="n">
        <v>1177.0</v>
      </c>
      <c r="L33">
        <f si="2" t="shared"/>
        <v>750</v>
      </c>
      <c r="M33" s="21">
        <f si="3" t="shared"/>
        <v>8.5881140501545862E-3</v>
      </c>
    </row>
    <row r="34" spans="1:13" x14ac:dyDescent="0.25">
      <c r="A34">
        <v>23</v>
      </c>
      <c r="B34" s="8" t="n">
        <v>700.4363731472016</v>
      </c>
      <c r="C34" s="8" t="n">
        <v>4.045158971881866</v>
      </c>
      <c r="D34" s="8" t="n">
        <v>37.1601184463501</v>
      </c>
      <c r="E34" s="8">
        <f si="0" t="shared"/>
        <v>388.52068489068688</v>
      </c>
      <c r="F34" s="21">
        <f si="1" t="shared"/>
        <v>4.7671119776507235E-3</v>
      </c>
      <c r="H34" s="406">
        <v>23</v>
      </c>
      <c r="I34" s="496" t="n">
        <v>12216.0</v>
      </c>
      <c r="J34" s="586" t="n">
        <v>1620.0</v>
      </c>
      <c r="K34" s="676" t="n">
        <v>1113.0</v>
      </c>
      <c r="L34">
        <f si="2" t="shared"/>
        <v>610</v>
      </c>
      <c r="M34" s="21">
        <f si="3" t="shared"/>
        <v>6.9849994274590634E-3</v>
      </c>
    </row>
    <row r="35" spans="1:13" x14ac:dyDescent="0.25">
      <c r="A35">
        <v>24</v>
      </c>
      <c r="B35" s="8" t="n">
        <v>730.103080029869</v>
      </c>
      <c r="C35" s="8" t="n">
        <v>4.540992024230957</v>
      </c>
      <c r="D35" s="8" t="n">
        <v>25.057188225746156</v>
      </c>
      <c r="E35" s="8">
        <f si="0" t="shared"/>
        <v>360.8466511245648</v>
      </c>
      <c r="F35" s="21">
        <f si="1" t="shared"/>
        <v>4.4275542064254689E-3</v>
      </c>
      <c r="H35" s="407">
        <v>24</v>
      </c>
      <c r="I35" s="497" t="n">
        <v>10012.0</v>
      </c>
      <c r="J35" s="587" t="n">
        <v>1236.0</v>
      </c>
      <c r="K35" s="677" t="n">
        <v>991.0</v>
      </c>
      <c r="L35">
        <f si="2" t="shared"/>
        <v>660</v>
      </c>
      <c r="M35" s="21">
        <f si="3" t="shared"/>
        <v>7.5575403641360353E-3</v>
      </c>
    </row>
    <row r="36" spans="1:13" x14ac:dyDescent="0.25">
      <c r="A36">
        <v>25</v>
      </c>
      <c r="B36" s="8" t="n">
        <v>746.4701002714157</v>
      </c>
      <c r="C36" s="8" t="n">
        <v>8.038827817249297</v>
      </c>
      <c r="D36" s="8" t="n">
        <v>13.936080345153808</v>
      </c>
      <c r="E36" s="8">
        <f si="0" t="shared"/>
        <v>334.87292047563443</v>
      </c>
      <c r="F36" s="21">
        <f si="1" t="shared"/>
        <v>4.1088589932848163E-3</v>
      </c>
      <c r="H36" s="408">
        <v>25</v>
      </c>
      <c r="I36" s="498" t="n">
        <v>9813.0</v>
      </c>
      <c r="J36" s="588" t="n">
        <v>1289.0</v>
      </c>
      <c r="K36" s="678" t="n">
        <v>946.0</v>
      </c>
      <c r="L36">
        <f si="2" t="shared"/>
        <v>485</v>
      </c>
      <c r="M36" s="21">
        <f si="3" t="shared"/>
        <v>5.5536470857666326E-3</v>
      </c>
    </row>
    <row r="37" spans="1:13" x14ac:dyDescent="0.25">
      <c r="A37">
        <v>26</v>
      </c>
      <c r="B37" s="8" t="n">
        <v>738.1829339891434</v>
      </c>
      <c r="C37" s="8" t="n">
        <v>14.154934834480285</v>
      </c>
      <c r="D37" s="8" t="n">
        <v>6.32509146194458</v>
      </c>
      <c r="E37" s="8">
        <f si="0" t="shared"/>
        <v>296.00197163066895</v>
      </c>
      <c r="F37" s="21">
        <f si="1" t="shared"/>
        <v>3.6319161353424662E-3</v>
      </c>
      <c r="H37" s="409">
        <v>26</v>
      </c>
      <c r="I37" s="499" t="n">
        <v>6737.0</v>
      </c>
      <c r="J37" s="589" t="n">
        <v>747.0</v>
      </c>
      <c r="K37" s="679" t="n">
        <v>519.0</v>
      </c>
      <c r="L37">
        <f si="2" t="shared"/>
        <v>415</v>
      </c>
      <c r="M37" s="21">
        <f si="3" t="shared"/>
        <v>4.7520897744188712E-3</v>
      </c>
    </row>
    <row r="38" spans="1:13" x14ac:dyDescent="0.25">
      <c r="A38">
        <v>27</v>
      </c>
      <c r="B38" s="8" t="n">
        <v>708.3656611395836</v>
      </c>
      <c r="C38" s="8" t="n">
        <v>21.244363149642943</v>
      </c>
      <c r="D38" s="8" t="n">
        <v>2.3050045360565186</v>
      </c>
      <c r="E38" s="8">
        <f si="0" t="shared"/>
        <v>243.17605285900723</v>
      </c>
      <c r="F38" s="21">
        <f si="1" t="shared"/>
        <v>2.9837471191222712E-3</v>
      </c>
      <c r="H38" s="410">
        <v>27</v>
      </c>
      <c r="I38" s="500" t="n">
        <v>6588.0</v>
      </c>
      <c r="J38" s="590" t="n">
        <v>845.0</v>
      </c>
      <c r="K38" s="680" t="n">
        <v>571.0</v>
      </c>
      <c r="L38">
        <f si="2" t="shared"/>
        <v>305</v>
      </c>
      <c r="M38" s="21">
        <f si="3" t="shared"/>
        <v>3.4924997137295317E-3</v>
      </c>
    </row>
    <row r="39" spans="1:13" x14ac:dyDescent="0.25">
      <c r="A39">
        <v>28</v>
      </c>
      <c r="B39" s="8" t="n">
        <v>665.8013495905876</v>
      </c>
      <c r="C39" s="8" t="n">
        <v>26.657292024230955</v>
      </c>
      <c r="D39" s="8" t="n">
        <v>0.658264639377594</v>
      </c>
      <c r="E39" s="8">
        <f si="0" t="shared"/>
        <v>184.38251939041703</v>
      </c>
      <c r="F39" s="21">
        <f si="1" t="shared"/>
        <v>2.2623560362115057E-3</v>
      </c>
      <c r="H39" s="411">
        <v>28</v>
      </c>
      <c r="I39" s="501" t="n">
        <v>12522.0</v>
      </c>
      <c r="J39" s="591" t="n">
        <v>1076.0</v>
      </c>
      <c r="K39" s="681" t="n">
        <v>652.0</v>
      </c>
      <c r="L39">
        <f si="2" t="shared"/>
        <v>295</v>
      </c>
      <c r="M39" s="21">
        <f si="3" t="shared"/>
        <v>3.3779915263941374E-3</v>
      </c>
    </row>
    <row r="40" spans="1:13" x14ac:dyDescent="0.25">
      <c r="A40">
        <v>29</v>
      </c>
      <c r="B40" s="8" t="n">
        <v>615.9284317825317</v>
      </c>
      <c r="C40" s="8" t="n">
        <v>28.207490917873383</v>
      </c>
      <c r="D40" s="8" t="n">
        <v>0.14190817070007325</v>
      </c>
      <c r="E40" s="8">
        <f si="0" t="shared"/>
        <v>130.28627344261386</v>
      </c>
      <c r="F40" s="21">
        <f si="1" t="shared"/>
        <v>1.5986002259480981E-3</v>
      </c>
      <c r="H40" s="412">
        <v>29</v>
      </c>
      <c r="I40" s="502" t="n">
        <v>8280.0</v>
      </c>
      <c r="J40" s="592" t="n">
        <v>949.0</v>
      </c>
      <c r="K40" s="682" t="n">
        <v>660.0</v>
      </c>
      <c r="L40">
        <f si="2" t="shared"/>
        <v>315</v>
      </c>
      <c r="M40" s="21">
        <f si="3" t="shared"/>
        <v>3.607007901064926E-3</v>
      </c>
    </row>
    <row r="41" spans="1:13" x14ac:dyDescent="0.25">
      <c r="A41">
        <v>30</v>
      </c>
      <c r="B41" s="8" t="n">
        <v>556.7002811990737</v>
      </c>
      <c r="C41" s="8" t="n">
        <v>25.917283737373353</v>
      </c>
      <c r="D41" s="8" t="n">
        <v>0.021716101646423343</v>
      </c>
      <c r="E41" s="8">
        <f si="0" t="shared"/>
        <v>89.271493326860437</v>
      </c>
      <c r="F41" s="21">
        <f si="1" t="shared"/>
        <v>1.095352761516364E-3</v>
      </c>
      <c r="H41" s="413">
        <v>30</v>
      </c>
      <c r="I41" s="503" t="n">
        <v>5000.0</v>
      </c>
      <c r="J41" s="593" t="n">
        <v>582.0</v>
      </c>
      <c r="K41" s="683" t="n">
        <v>355.0</v>
      </c>
      <c r="L41">
        <f si="2" t="shared"/>
        <v>280</v>
      </c>
      <c r="M41" s="21">
        <f si="3" t="shared"/>
        <v>3.2062292453910453E-3</v>
      </c>
    </row>
    <row r="42" spans="1:13" x14ac:dyDescent="0.25">
      <c r="A42">
        <v>31</v>
      </c>
      <c r="B42" s="8" t="n">
        <v>482.487021086216</v>
      </c>
      <c r="C42" s="8" t="n">
        <v>22.296953255653385</v>
      </c>
      <c r="D42" s="8" t="n">
        <v>0.0021025650024414063</v>
      </c>
      <c r="E42" s="8">
        <f si="0" t="shared"/>
        <v>65.461587500128942</v>
      </c>
      <c r="F42" s="21">
        <f si="1" t="shared"/>
        <v>8.0320747384581763E-4</v>
      </c>
      <c r="H42" s="414">
        <v>31</v>
      </c>
      <c r="I42" s="504" t="n">
        <v>5612.0</v>
      </c>
      <c r="J42" s="594" t="n">
        <v>577.0</v>
      </c>
      <c r="K42" s="684" t="n">
        <v>402.0</v>
      </c>
      <c r="L42">
        <f si="2" t="shared"/>
        <v>180</v>
      </c>
      <c r="M42" s="21">
        <f si="3" t="shared"/>
        <v>2.0611473720371005E-3</v>
      </c>
    </row>
    <row r="43" spans="1:13" x14ac:dyDescent="0.25">
      <c r="A43">
        <v>32</v>
      </c>
      <c r="B43" s="8" t="n">
        <v>394.92340314140324</v>
      </c>
      <c r="C43" s="8" t="n">
        <v>20.52467665100098</v>
      </c>
      <c r="D43" s="8" t="n">
        <v>9.683427810668945E-5</v>
      </c>
      <c r="E43" s="8">
        <f si="0" t="shared"/>
        <v>59.421528241616286</v>
      </c>
      <c r="F43" s="21">
        <f si="1" t="shared"/>
        <v>7.2909651925127114E-4</v>
      </c>
      <c r="H43" s="415">
        <v>32</v>
      </c>
      <c r="I43" s="505" t="n">
        <v>3841.0</v>
      </c>
      <c r="J43" s="595" t="n">
        <v>439.0</v>
      </c>
      <c r="K43" s="685" t="n">
        <v>309.0</v>
      </c>
      <c r="L43">
        <f si="2" t="shared"/>
        <v>180</v>
      </c>
      <c r="M43" s="21">
        <f si="3" t="shared"/>
        <v>2.0611473720371005E-3</v>
      </c>
    </row>
    <row r="44" spans="1:13" x14ac:dyDescent="0.25">
      <c r="A44">
        <v>33</v>
      </c>
      <c r="B44" s="8" t="n">
        <v>311.16419510393143</v>
      </c>
      <c r="C44" s="8" t="n">
        <v>22.001587368392947</v>
      </c>
      <c r="D44" s="8" t="n">
        <v>0.0</v>
      </c>
      <c r="E44" s="8">
        <f si="0" t="shared"/>
        <v>69.895585230324798</v>
      </c>
      <c r="F44" s="21">
        <f si="1" t="shared"/>
        <v>8.5761220571856187E-4</v>
      </c>
      <c r="H44" s="416">
        <v>33</v>
      </c>
      <c r="I44" s="506" t="n">
        <v>5018.0</v>
      </c>
      <c r="J44" s="596" t="n">
        <v>559.0</v>
      </c>
      <c r="K44" s="686" t="n">
        <v>393.0</v>
      </c>
      <c r="L44">
        <f si="2" t="shared"/>
        <v>145</v>
      </c>
      <c r="M44" s="21">
        <f si="3" t="shared"/>
        <v>1.66036871636322E-3</v>
      </c>
    </row>
    <row r="45" spans="1:13" x14ac:dyDescent="0.25">
      <c r="A45">
        <v>34</v>
      </c>
      <c r="B45" s="8" t="n">
        <v>258.70326528806686</v>
      </c>
      <c r="C45" s="8" t="n">
        <v>25.59831287565232</v>
      </c>
      <c r="D45" s="8" t="n">
        <v>0.0</v>
      </c>
      <c r="E45" s="8">
        <f si="0" t="shared"/>
        <v>94.451478609134483</v>
      </c>
      <c r="F45" s="21">
        <f si="1" t="shared"/>
        <v>1.1589106899446298E-3</v>
      </c>
      <c r="H45" s="417">
        <v>34</v>
      </c>
      <c r="I45" s="507" t="n">
        <v>3313.0</v>
      </c>
      <c r="J45" s="597" t="n">
        <v>298.0</v>
      </c>
      <c r="K45" s="687" t="n">
        <v>295.0</v>
      </c>
      <c r="L45">
        <f si="2" t="shared"/>
        <v>150</v>
      </c>
      <c r="M45" s="21">
        <f si="3" t="shared"/>
        <v>1.7176228100309172E-3</v>
      </c>
    </row>
    <row r="46" spans="1:13" x14ac:dyDescent="0.25">
      <c r="A46">
        <v>35</v>
      </c>
      <c r="B46" s="8" t="n">
        <v>257.88008842248917</v>
      </c>
      <c r="C46" s="8" t="n">
        <v>29.368836953449254</v>
      </c>
      <c r="D46" s="8" t="n">
        <v>0.0</v>
      </c>
      <c r="E46" s="8">
        <f si="0" t="shared"/>
        <v>128.14397994800868</v>
      </c>
      <c r="F46" s="21">
        <f si="1" t="shared"/>
        <v>1.5723144878267187E-3</v>
      </c>
      <c r="H46" s="418">
        <v>35</v>
      </c>
      <c r="I46" s="508" t="n">
        <v>3471.0</v>
      </c>
      <c r="J46" s="598" t="n">
        <v>341.0</v>
      </c>
      <c r="K46" s="688" t="n">
        <v>252.0</v>
      </c>
      <c r="L46">
        <f si="2" t="shared"/>
        <v>170</v>
      </c>
      <c r="M46" s="21">
        <f si="3" t="shared"/>
        <v>1.9466391847017062E-3</v>
      </c>
    </row>
    <row r="47" spans="1:13" x14ac:dyDescent="0.25">
      <c r="A47">
        <v>36</v>
      </c>
      <c r="B47" s="8" t="n">
        <v>305.5494103088378</v>
      </c>
      <c r="C47" s="8" t="n">
        <v>32.90154385662079</v>
      </c>
      <c r="D47" s="8" t="n">
        <v>0.0</v>
      </c>
      <c r="E47" s="8">
        <f si="0" t="shared"/>
        <v>162.03359702358631</v>
      </c>
      <c r="F47" s="21">
        <f si="1" t="shared"/>
        <v>1.9881368771145309E-3</v>
      </c>
      <c r="H47" s="419">
        <v>36</v>
      </c>
      <c r="I47" s="509" t="n">
        <v>3959.0</v>
      </c>
      <c r="J47" s="599" t="n">
        <v>447.0</v>
      </c>
      <c r="K47" s="689" t="n">
        <v>269.0</v>
      </c>
      <c r="L47">
        <f si="2" t="shared"/>
        <v>80</v>
      </c>
      <c r="M47" s="21">
        <f si="3" t="shared"/>
        <v>9.1606549868315584E-4</v>
      </c>
    </row>
    <row r="48" spans="1:13" x14ac:dyDescent="0.25">
      <c r="A48">
        <v>37</v>
      </c>
      <c r="B48" s="8" t="n">
        <v>372.7353031714439</v>
      </c>
      <c r="C48" s="8" t="n">
        <v>37.55078320217133</v>
      </c>
      <c r="D48" s="8" t="n">
        <v>0.0</v>
      </c>
      <c r="E48" s="8">
        <f si="0" t="shared"/>
        <v>184.72360153718725</v>
      </c>
      <c r="F48" s="21">
        <f si="1" t="shared"/>
        <v>2.2665410818228831E-3</v>
      </c>
      <c r="H48" s="420">
        <v>37</v>
      </c>
      <c r="I48" s="510" t="n">
        <v>2511.0</v>
      </c>
      <c r="J48" s="600" t="n">
        <v>240.0</v>
      </c>
      <c r="K48" s="690" t="n">
        <v>200.0</v>
      </c>
      <c r="L48">
        <f si="2" t="shared"/>
        <v>115</v>
      </c>
      <c r="M48" s="21">
        <f si="3" t="shared"/>
        <v>1.3168441543570364E-3</v>
      </c>
    </row>
    <row r="49" spans="1:13" x14ac:dyDescent="0.25">
      <c r="A49">
        <v>38</v>
      </c>
      <c r="B49" s="8" t="n">
        <v>418.83885970201493</v>
      </c>
      <c r="C49" s="8" t="n">
        <v>44.019734038448334</v>
      </c>
      <c r="D49" s="8" t="n">
        <v>0.0</v>
      </c>
      <c r="E49" s="8">
        <f si="0" t="shared"/>
        <v>187.57860992518818</v>
      </c>
      <c r="F49" s="21">
        <f si="1" t="shared"/>
        <v>2.3015717641315016E-3</v>
      </c>
      <c r="H49" s="421">
        <v>38</v>
      </c>
      <c r="I49" s="511" t="n">
        <v>2200.0</v>
      </c>
      <c r="J49" s="601" t="n">
        <v>236.0</v>
      </c>
      <c r="K49" s="691" t="n">
        <v>158.0</v>
      </c>
      <c r="L49">
        <f si="2" t="shared"/>
        <v>115</v>
      </c>
      <c r="M49" s="21">
        <f si="3" t="shared"/>
        <v>1.3168441543570364E-3</v>
      </c>
    </row>
    <row r="50" spans="1:13" x14ac:dyDescent="0.25">
      <c r="A50">
        <v>39</v>
      </c>
      <c r="B50" s="8" t="n">
        <v>414.7058329480171</v>
      </c>
      <c r="C50" s="8" t="n">
        <v>50.07165574464799</v>
      </c>
      <c r="D50" s="8" t="n">
        <v>0.0</v>
      </c>
      <c r="E50" s="8">
        <f si="0" t="shared"/>
        <v>169.99852236894714</v>
      </c>
      <c r="F50" s="21">
        <f si="1" t="shared"/>
        <v>2.0858657561461488E-3</v>
      </c>
      <c r="H50" s="422">
        <v>39</v>
      </c>
      <c r="I50" s="512" t="n">
        <v>1845.0</v>
      </c>
      <c r="J50" s="602" t="n">
        <v>207.0</v>
      </c>
      <c r="K50" s="692" t="n">
        <v>171.0</v>
      </c>
      <c r="L50">
        <f si="2" t="shared"/>
        <v>90</v>
      </c>
      <c r="M50" s="21">
        <f si="3" t="shared"/>
        <v>1.0305736860185502E-3</v>
      </c>
    </row>
    <row r="51" spans="1:13" x14ac:dyDescent="0.25">
      <c r="A51">
        <v>40</v>
      </c>
      <c r="B51" s="8" t="n">
        <v>360.4618159152984</v>
      </c>
      <c r="C51" s="8" t="n">
        <v>51.45893751068116</v>
      </c>
      <c r="D51" s="8" t="n">
        <v>0.0</v>
      </c>
      <c r="E51" s="8">
        <f si="0" t="shared"/>
        <v>139.89794433268844</v>
      </c>
      <c r="F51" s="21">
        <f si="1" t="shared"/>
        <v>1.7165345167264722E-3</v>
      </c>
      <c r="H51" s="423">
        <v>40</v>
      </c>
      <c r="I51" s="513" t="n">
        <v>1808.0</v>
      </c>
      <c r="J51" s="603" t="n">
        <v>161.0</v>
      </c>
      <c r="K51" s="693" t="n">
        <v>118.0</v>
      </c>
      <c r="L51">
        <f si="2" t="shared"/>
        <v>40</v>
      </c>
      <c r="M51" s="21">
        <f si="3" t="shared"/>
        <v>4.5803274934157792E-4</v>
      </c>
    </row>
    <row r="52" spans="1:13" x14ac:dyDescent="0.25">
      <c r="A52">
        <v>41</v>
      </c>
      <c r="B52" s="8" t="n">
        <v>284.9226602937698</v>
      </c>
      <c r="C52" s="8" t="n">
        <v>45.546841526985176</v>
      </c>
      <c r="D52" s="8" t="n">
        <v>0.0</v>
      </c>
      <c r="E52" s="8">
        <f si="0" t="shared"/>
        <v>108.37899392963354</v>
      </c>
      <c r="F52" s="21">
        <f si="1" t="shared"/>
        <v>1.3297999828067214E-3</v>
      </c>
      <c r="H52" s="424">
        <v>41</v>
      </c>
      <c r="I52" s="514" t="n">
        <v>1914.0</v>
      </c>
      <c r="J52" s="604" t="n">
        <v>157.0</v>
      </c>
      <c r="K52" s="694" t="n">
        <v>133.0</v>
      </c>
      <c r="L52">
        <f si="2" t="shared"/>
        <v>100</v>
      </c>
      <c r="M52" s="21">
        <f si="3" t="shared"/>
        <v>1.1450818733539448E-3</v>
      </c>
    </row>
    <row r="53" spans="1:13" x14ac:dyDescent="0.25">
      <c r="A53">
        <v>42</v>
      </c>
      <c r="B53" s="8" t="n">
        <v>225.33750030174255</v>
      </c>
      <c r="C53" s="8" t="n">
        <v>33.82743216705322</v>
      </c>
      <c r="D53" s="8" t="n">
        <v>0.0</v>
      </c>
      <c r="E53" s="8">
        <f si="0" t="shared"/>
        <v>82.959336968555689</v>
      </c>
      <c r="F53" s="21">
        <f si="1" t="shared"/>
        <v>1.0179032012981096E-3</v>
      </c>
      <c r="H53" s="425">
        <v>42</v>
      </c>
      <c r="I53" s="515" t="n">
        <v>1464.0</v>
      </c>
      <c r="J53" s="605" t="n">
        <v>138.0</v>
      </c>
      <c r="K53" s="695" t="n">
        <v>99.0</v>
      </c>
      <c r="L53">
        <f si="2" t="shared"/>
        <v>25</v>
      </c>
      <c r="M53" s="21">
        <f si="3" t="shared"/>
        <v>2.8627046833848619E-4</v>
      </c>
    </row>
    <row r="54" spans="1:13" x14ac:dyDescent="0.25">
      <c r="A54">
        <v>43</v>
      </c>
      <c r="B54" s="8" t="n">
        <v>202.32072031602857</v>
      </c>
      <c r="C54" s="8" t="n">
        <v>20.748635389328</v>
      </c>
      <c r="D54" s="8" t="n">
        <v>0.0</v>
      </c>
      <c r="E54" s="8">
        <f si="0" t="shared"/>
        <v>64.94522979211709</v>
      </c>
      <c r="F54" s="21">
        <f si="1" t="shared"/>
        <v>7.968718137115106E-4</v>
      </c>
      <c r="H54" s="426">
        <v>43</v>
      </c>
      <c r="I54" s="516" t="n">
        <v>1334.0</v>
      </c>
      <c r="J54" s="606" t="n">
        <v>148.0</v>
      </c>
      <c r="K54" s="696" t="n">
        <v>98.0</v>
      </c>
      <c r="L54">
        <f si="2" t="shared"/>
        <v>55</v>
      </c>
      <c r="M54" s="21">
        <f si="3" t="shared"/>
        <v>6.2979503034466964E-4</v>
      </c>
    </row>
    <row r="55" spans="1:13" x14ac:dyDescent="0.25">
      <c r="A55">
        <v>44</v>
      </c>
      <c r="B55" s="8" t="n">
        <v>209.27991765012737</v>
      </c>
      <c r="C55" s="8" t="n">
        <v>10.364311710357665</v>
      </c>
      <c r="D55" s="8" t="n">
        <v>0.0</v>
      </c>
      <c r="E55" s="8">
        <f si="0" t="shared"/>
        <v>52.067191383704667</v>
      </c>
      <c r="F55" s="21">
        <f si="1" t="shared"/>
        <v>6.3885950308598572E-4</v>
      </c>
      <c r="H55" s="427">
        <v>44</v>
      </c>
      <c r="I55" s="517" t="n">
        <v>1014.0</v>
      </c>
      <c r="J55" s="607" t="n">
        <v>108.0</v>
      </c>
      <c r="K55" s="697" t="n">
        <v>86.0</v>
      </c>
      <c r="L55">
        <f si="2" t="shared"/>
        <v>50</v>
      </c>
      <c r="M55" s="21">
        <f si="3" t="shared"/>
        <v>5.7254093667697238E-4</v>
      </c>
    </row>
    <row r="56" spans="1:13" x14ac:dyDescent="0.25">
      <c r="A56">
        <v>45</v>
      </c>
      <c r="B56" s="8" t="n">
        <v>222.66637289218897</v>
      </c>
      <c r="C56" s="8" t="n">
        <v>4.144790792274475</v>
      </c>
      <c r="D56" s="8" t="n">
        <v>0.0</v>
      </c>
      <c r="E56" s="8">
        <f si="0" t="shared"/>
        <v>42.340722434879638</v>
      </c>
      <c r="F56" s="21">
        <f si="1" t="shared"/>
        <v>5.1951665100788489E-4</v>
      </c>
      <c r="H56" s="428">
        <v>45</v>
      </c>
      <c r="I56" s="518" t="n">
        <v>1156.0</v>
      </c>
      <c r="J56" s="608" t="n">
        <v>116.0</v>
      </c>
      <c r="K56" s="698" t="n">
        <v>84.0</v>
      </c>
      <c r="L56">
        <f si="2" t="shared"/>
        <v>65</v>
      </c>
      <c r="M56" s="21">
        <f si="3" t="shared"/>
        <v>7.4430321768006417E-4</v>
      </c>
    </row>
    <row r="57" spans="1:13" x14ac:dyDescent="0.25">
      <c r="A57">
        <v>46</v>
      </c>
      <c r="B57" s="8" t="n">
        <v>221.77223414163583</v>
      </c>
      <c r="C57" s="8" t="n">
        <v>1.2952054309844971</v>
      </c>
      <c r="D57" s="8" t="n">
        <v>0.0</v>
      </c>
      <c r="E57" s="8">
        <f si="0" t="shared"/>
        <v>35.162733311070909</v>
      </c>
      <c r="F57" s="21">
        <f si="1" t="shared"/>
        <v>4.3144340482491073E-4</v>
      </c>
      <c r="H57" s="429">
        <v>46</v>
      </c>
      <c r="I57" s="519" t="n">
        <v>1085.0</v>
      </c>
      <c r="J57" s="609" t="n">
        <v>110.0</v>
      </c>
      <c r="K57" s="699" t="n">
        <v>69.0</v>
      </c>
      <c r="L57">
        <f si="2" t="shared"/>
        <v>55</v>
      </c>
      <c r="M57" s="21">
        <f si="3" t="shared"/>
        <v>6.2979503034466964E-4</v>
      </c>
    </row>
    <row r="58" spans="1:13" x14ac:dyDescent="0.25">
      <c r="A58">
        <v>47</v>
      </c>
      <c r="B58" s="8" t="n">
        <v>201.4867223378181</v>
      </c>
      <c r="C58" s="8" t="n">
        <v>0.30475421905517586</v>
      </c>
      <c r="D58" s="8" t="n">
        <v>0.0</v>
      </c>
      <c r="E58" s="8">
        <f si="0" t="shared"/>
        <v>30.047994192722083</v>
      </c>
      <c r="F58" s="21">
        <f si="1" t="shared"/>
        <v>3.6868604064364564E-4</v>
      </c>
      <c r="H58" s="430">
        <v>47</v>
      </c>
      <c r="I58" s="520" t="n">
        <v>910.0</v>
      </c>
      <c r="J58" s="610" t="n">
        <v>90.0</v>
      </c>
      <c r="K58" s="700" t="n">
        <v>84.0</v>
      </c>
      <c r="L58">
        <f si="2" t="shared"/>
        <v>45</v>
      </c>
      <c r="M58" s="21">
        <f si="3" t="shared"/>
        <v>5.1528684300927512E-4</v>
      </c>
    </row>
    <row r="59" spans="1:13" x14ac:dyDescent="0.25">
      <c r="A59">
        <v>48</v>
      </c>
      <c r="B59" s="8" t="n">
        <v>171.25358342018123</v>
      </c>
      <c r="C59" s="8" t="n">
        <v>0.05079236984252931</v>
      </c>
      <c r="D59" s="8" t="n">
        <v>0.0</v>
      </c>
      <c r="E59" s="8">
        <f si="0" t="shared"/>
        <v>25.968624649369261</v>
      </c>
      <c r="F59" s="21">
        <f si="1" t="shared"/>
        <v>3.1863256301000999E-4</v>
      </c>
      <c r="H59" s="431">
        <v>48</v>
      </c>
      <c r="I59" s="521" t="n">
        <v>1001.0</v>
      </c>
      <c r="J59" s="611" t="n">
        <v>89.0</v>
      </c>
      <c r="K59" s="701" t="n">
        <v>58.0</v>
      </c>
      <c r="L59">
        <f si="2" t="shared"/>
        <v>20</v>
      </c>
      <c r="M59" s="21">
        <f si="3" t="shared"/>
        <v>2.2901637467078896E-4</v>
      </c>
    </row>
    <row r="60" spans="1:13" x14ac:dyDescent="0.25">
      <c r="A60">
        <v>49</v>
      </c>
      <c r="B60" s="8" t="n">
        <v>146.17675897369384</v>
      </c>
      <c r="C60" s="8" t="n">
        <v>0.005346565246582031</v>
      </c>
      <c r="D60" s="8" t="n">
        <v>0.0</v>
      </c>
      <c r="E60" s="8">
        <f si="0" t="shared"/>
        <v>22.272309136799198</v>
      </c>
      <c r="F60" s="21">
        <f si="1" t="shared"/>
        <v>2.7327912202627794E-4</v>
      </c>
      <c r="H60" s="432">
        <v>49</v>
      </c>
      <c r="I60" s="522" t="n">
        <v>924.0</v>
      </c>
      <c r="J60" s="612" t="n">
        <v>75.0</v>
      </c>
      <c r="K60" s="702" t="n">
        <v>56.0</v>
      </c>
      <c r="L60">
        <f si="2" t="shared"/>
        <v>25</v>
      </c>
      <c r="M60" s="21">
        <f si="3" t="shared"/>
        <v>2.8627046833848619E-4</v>
      </c>
    </row>
    <row r="61" spans="1:13" x14ac:dyDescent="0.25">
      <c r="A61">
        <v>50</v>
      </c>
      <c r="B61" s="8" t="n">
        <v>139.20201170387267</v>
      </c>
      <c r="C61" s="8" t="n">
        <v>2.673282623291016E-4</v>
      </c>
      <c r="D61" s="8" t="n">
        <v>0.0</v>
      </c>
      <c r="E61" s="8">
        <f si="0" t="shared"/>
        <v>19.420370407240327</v>
      </c>
      <c r="F61" s="21">
        <f si="1" t="shared"/>
        <v>2.3828610413578576E-4</v>
      </c>
      <c r="H61" s="433">
        <v>50</v>
      </c>
      <c r="I61" s="523" t="n">
        <v>823.0</v>
      </c>
      <c r="J61" s="613" t="n">
        <v>51.0</v>
      </c>
      <c r="K61" s="703" t="n">
        <v>42.0</v>
      </c>
      <c r="L61">
        <f si="2" t="shared"/>
        <v>40</v>
      </c>
      <c r="M61" s="21">
        <f si="3" t="shared"/>
        <v>4.5803274934157792E-4</v>
      </c>
    </row>
    <row r="62" spans="1:13" x14ac:dyDescent="0.25">
      <c r="A62">
        <v>51</v>
      </c>
      <c r="B62" s="8" t="n">
        <v>156.8719395353317</v>
      </c>
      <c r="C62" s="8" t="n">
        <v>0.0</v>
      </c>
      <c r="D62" s="8" t="n">
        <v>0.0</v>
      </c>
      <c r="E62" s="8">
        <f si="0" t="shared"/>
        <v>18.206780618670297</v>
      </c>
      <c r="F62" s="21">
        <f si="1" t="shared"/>
        <v>2.2339547246021734E-4</v>
      </c>
      <c r="H62" s="434">
        <v>51</v>
      </c>
      <c r="I62" s="524" t="n">
        <v>606.0</v>
      </c>
      <c r="J62" s="614" t="n">
        <v>74.0</v>
      </c>
      <c r="K62" s="704" t="n">
        <v>29.0</v>
      </c>
      <c r="L62">
        <f si="2" t="shared"/>
        <v>45</v>
      </c>
      <c r="M62" s="21">
        <f si="3" t="shared"/>
        <v>5.1528684300927512E-4</v>
      </c>
    </row>
    <row r="63" spans="1:13" x14ac:dyDescent="0.25">
      <c r="A63">
        <v>52</v>
      </c>
      <c r="B63" s="8" t="n">
        <v>196.05298912057873</v>
      </c>
      <c r="C63" s="8" t="n">
        <v>0.0</v>
      </c>
      <c r="D63" s="8" t="n">
        <v>0.0</v>
      </c>
      <c r="E63" s="8">
        <f si="0" t="shared"/>
        <v>18.446035557794872</v>
      </c>
      <c r="F63" s="21">
        <f si="1" t="shared"/>
        <v>2.2633110788548115E-4</v>
      </c>
      <c r="H63" s="435">
        <v>52</v>
      </c>
      <c r="I63" s="525" t="n">
        <v>701.0</v>
      </c>
      <c r="J63" s="615" t="n">
        <v>74.0</v>
      </c>
      <c r="K63" s="705" t="n">
        <v>37.0</v>
      </c>
      <c r="L63">
        <f si="2" t="shared"/>
        <v>20</v>
      </c>
      <c r="M63" s="21">
        <f si="3" t="shared"/>
        <v>2.2901637467078896E-4</v>
      </c>
    </row>
    <row r="64" spans="1:13" x14ac:dyDescent="0.25">
      <c r="A64">
        <v>53</v>
      </c>
      <c r="B64" s="8" t="n">
        <v>241.9498876310348</v>
      </c>
      <c r="C64" s="8" t="n">
        <v>0.0</v>
      </c>
      <c r="D64" s="8" t="n">
        <v>1.5753326416015624E-4</v>
      </c>
      <c r="E64" s="8">
        <f si="0" t="shared"/>
        <v>18.812066487957722</v>
      </c>
      <c r="F64" s="21">
        <f si="1" t="shared"/>
        <v>2.3082227270431415E-4</v>
      </c>
      <c r="H64" s="436">
        <v>53</v>
      </c>
      <c r="I64" s="526" t="n">
        <v>547.0</v>
      </c>
      <c r="J64" s="616" t="n">
        <v>38.0</v>
      </c>
      <c r="K64" s="706" t="n">
        <v>31.0</v>
      </c>
      <c r="L64">
        <f si="2" t="shared"/>
        <v>5</v>
      </c>
      <c r="M64" s="21">
        <f si="3" t="shared"/>
        <v>5.725409366769724E-5</v>
      </c>
    </row>
    <row r="65" spans="1:13" x14ac:dyDescent="0.25">
      <c r="A65">
        <v>54</v>
      </c>
      <c r="B65" s="8" t="n">
        <v>272.49468799562453</v>
      </c>
      <c r="C65" s="8" t="n">
        <v>0.0</v>
      </c>
      <c r="D65" s="8" t="n">
        <v>0.003150665283203125</v>
      </c>
      <c r="E65" s="8">
        <f si="0" t="shared"/>
        <v>17.934001157710483</v>
      </c>
      <c r="F65" s="21">
        <f si="1" t="shared"/>
        <v>2.2004849432965911E-4</v>
      </c>
      <c r="H65" s="437">
        <v>54</v>
      </c>
      <c r="I65" s="527" t="n">
        <v>513.0</v>
      </c>
      <c r="J65" s="617" t="n">
        <v>35.0</v>
      </c>
      <c r="K65" s="707" t="n">
        <v>22.0</v>
      </c>
      <c r="L65">
        <f si="2" t="shared"/>
        <v>30</v>
      </c>
      <c r="M65" s="21">
        <f si="3" t="shared"/>
        <v>3.4352456200618345E-4</v>
      </c>
    </row>
    <row r="66" spans="1:13" x14ac:dyDescent="0.25">
      <c r="A66">
        <v>55</v>
      </c>
      <c r="B66" s="8" t="n">
        <v>270.5975106220245</v>
      </c>
      <c r="C66" s="8" t="n">
        <v>0.0</v>
      </c>
      <c r="D66" s="8" t="n">
        <v>0.02993132019042969</v>
      </c>
      <c r="E66" s="8">
        <f si="0" t="shared"/>
        <v>15.418345414175791</v>
      </c>
      <c r="F66" s="21">
        <f si="1" t="shared"/>
        <v>1.8918163680307923E-4</v>
      </c>
      <c r="H66" s="438">
        <v>55</v>
      </c>
      <c r="I66" s="528" t="n">
        <v>430.0</v>
      </c>
      <c r="J66" s="618" t="n">
        <v>27.0</v>
      </c>
      <c r="K66" s="708" t="n">
        <v>11.0</v>
      </c>
      <c r="L66">
        <f si="2" t="shared"/>
        <v>15</v>
      </c>
      <c r="M66" s="21">
        <f si="3" t="shared"/>
        <v>1.7176228100309173E-4</v>
      </c>
    </row>
    <row r="67" spans="1:13" x14ac:dyDescent="0.25">
      <c r="A67">
        <v>56</v>
      </c>
      <c r="B67" s="8" t="n">
        <v>235.6748731306076</v>
      </c>
      <c r="C67" s="8" t="n">
        <v>0.0</v>
      </c>
      <c r="D67" s="8" t="n">
        <v>0.17958792114257816</v>
      </c>
      <c r="E67" s="8">
        <f si="0" t="shared"/>
        <v>11.857888049075402</v>
      </c>
      <c r="F67" s="21">
        <f si="1" t="shared"/>
        <v>1.4549516241147689E-4</v>
      </c>
      <c r="H67" s="439">
        <v>56</v>
      </c>
      <c r="I67" s="529" t="n">
        <v>552.0</v>
      </c>
      <c r="J67" s="619" t="n">
        <v>43.0</v>
      </c>
      <c r="K67" s="709" t="n">
        <v>19.0</v>
      </c>
      <c r="L67">
        <f si="2" t="shared"/>
        <v>5</v>
      </c>
      <c r="M67" s="21">
        <f si="3" t="shared"/>
        <v>5.725409366769724E-5</v>
      </c>
    </row>
    <row r="68" spans="1:13" x14ac:dyDescent="0.25">
      <c r="A68">
        <v>57</v>
      </c>
      <c r="B68" s="8" t="n">
        <v>183.31200341844558</v>
      </c>
      <c r="C68" s="8" t="n">
        <v>0.0</v>
      </c>
      <c r="D68" s="8" t="n">
        <v>0.7632486648559571</v>
      </c>
      <c r="E68" s="8">
        <f si="0" t="shared"/>
        <v>8.1615258120484189</v>
      </c>
      <c r="F68" s="21">
        <f si="1" t="shared"/>
        <v>1.001411481230872E-4</v>
      </c>
      <c r="H68" s="440">
        <v>57</v>
      </c>
      <c r="I68" s="530" t="n">
        <v>411.0</v>
      </c>
      <c r="J68" s="620" t="n">
        <v>32.0</v>
      </c>
      <c r="K68" s="710" t="n">
        <v>20.0</v>
      </c>
      <c r="L68">
        <f si="2" t="shared"/>
        <v>10</v>
      </c>
      <c r="M68" s="21">
        <f si="3" t="shared"/>
        <v>1.1450818733539448E-4</v>
      </c>
    </row>
    <row r="69" spans="1:13" x14ac:dyDescent="0.25">
      <c r="A69">
        <v>58</v>
      </c>
      <c r="B69" s="8" t="n">
        <v>132.98571057167052</v>
      </c>
      <c r="C69" s="8" t="n">
        <v>0.0</v>
      </c>
      <c r="D69" s="8" t="n">
        <v>2.442395727539062</v>
      </c>
      <c r="E69" s="8">
        <f si="0" t="shared"/>
        <v>5.0050075577128172</v>
      </c>
      <c r="F69" s="21">
        <f si="1" t="shared"/>
        <v>6.1410968333174302E-5</v>
      </c>
      <c r="H69" s="441">
        <v>58</v>
      </c>
      <c r="I69" s="531" t="n">
        <v>407.0</v>
      </c>
      <c r="J69" s="621" t="n">
        <v>28.0</v>
      </c>
      <c r="K69" s="711" t="n">
        <v>22.0</v>
      </c>
      <c r="L69">
        <f si="2" t="shared"/>
        <v>20</v>
      </c>
      <c r="M69" s="21">
        <f si="3" t="shared"/>
        <v>2.2901637467078896E-4</v>
      </c>
    </row>
    <row r="70" spans="1:13" x14ac:dyDescent="0.25">
      <c r="A70">
        <v>59</v>
      </c>
      <c r="B70" s="8" t="n">
        <v>95.74838442783357</v>
      </c>
      <c r="C70" s="8" t="n">
        <v>0.0</v>
      </c>
      <c r="D70" s="8" t="n">
        <v>6.105989318847656</v>
      </c>
      <c r="E70" s="8">
        <f si="0" t="shared"/>
        <v>2.6939609630959165</v>
      </c>
      <c r="F70" s="21">
        <f si="1" t="shared"/>
        <v>3.305464566992444E-5</v>
      </c>
      <c r="H70" s="442">
        <v>59</v>
      </c>
      <c r="I70" s="532" t="n">
        <v>242.0</v>
      </c>
      <c r="J70" s="622" t="n">
        <v>12.0</v>
      </c>
      <c r="K70" s="712" t="n">
        <v>6.0</v>
      </c>
      <c r="L70">
        <f si="2" t="shared"/>
        <v>10</v>
      </c>
      <c r="M70" s="21">
        <f si="3" t="shared"/>
        <v>1.1450818733539448E-4</v>
      </c>
    </row>
    <row r="71" spans="1:13" x14ac:dyDescent="0.25">
      <c r="A71">
        <v>60</v>
      </c>
      <c r="B71" s="8" t="n">
        <v>72.04831406507492</v>
      </c>
      <c r="C71" s="8" t="n">
        <v>0.0</v>
      </c>
      <c r="D71" s="8" t="n">
        <v>12.211978637695312</v>
      </c>
      <c r="E71" s="8">
        <f si="0" t="shared"/>
        <v>1.241560251705951</v>
      </c>
      <c r="F71" s="21">
        <f si="1" t="shared"/>
        <v>1.523382660706403E-5</v>
      </c>
      <c r="H71" s="443">
        <v>60</v>
      </c>
      <c r="I71" s="533" t="n">
        <v>302.0</v>
      </c>
      <c r="J71" s="623" t="n">
        <v>23.0</v>
      </c>
      <c r="K71" s="713" t="n">
        <v>17.0</v>
      </c>
      <c r="L71">
        <f si="2" t="shared"/>
        <v>10</v>
      </c>
      <c r="M71" s="21">
        <f si="3" t="shared"/>
        <v>1.1450818733539448E-4</v>
      </c>
    </row>
    <row r="72" spans="1:13" x14ac:dyDescent="0.25">
      <c r="A72">
        <v>61</v>
      </c>
      <c r="B72" s="8" t="n">
        <v>57.927239578914644</v>
      </c>
      <c r="C72" s="8" t="n">
        <v>0.0</v>
      </c>
      <c r="D72" s="8" t="n">
        <v>19.84446528625488</v>
      </c>
      <c r="E72" s="8">
        <f si="0" t="shared"/>
        <v>0.47479869892073623</v>
      </c>
      <c r="F72" s="21">
        <f si="1" t="shared"/>
        <v>5.8257350319323424E-6</v>
      </c>
      <c r="H72" s="444">
        <v>61</v>
      </c>
      <c r="I72" s="534" t="n">
        <v>246.0</v>
      </c>
      <c r="J72" s="624" t="n">
        <v>25.0</v>
      </c>
      <c r="K72" s="714" t="n">
        <v>11.0</v>
      </c>
      <c r="L72">
        <f si="2" t="shared"/>
        <v>10</v>
      </c>
      <c r="M72" s="21">
        <f si="3" t="shared"/>
        <v>1.1450818733539448E-4</v>
      </c>
    </row>
    <row r="73" spans="1:13" x14ac:dyDescent="0.25">
      <c r="A73">
        <v>62</v>
      </c>
      <c r="B73" s="8" t="n">
        <v>50.72361225605011</v>
      </c>
      <c r="C73" s="8" t="n">
        <v>0.0</v>
      </c>
      <c r="D73" s="8" t="n">
        <v>26.45928704833984</v>
      </c>
      <c r="E73" s="8">
        <f si="0" t="shared"/>
        <v>0.14591634874796858</v>
      </c>
      <c r="F73" s="21">
        <f si="1" t="shared"/>
        <v>1.7903797684471113E-6</v>
      </c>
      <c r="H73" s="445">
        <v>62</v>
      </c>
      <c r="I73" s="535" t="n">
        <v>213.0</v>
      </c>
      <c r="J73" s="625" t="n">
        <v>13.0</v>
      </c>
      <c r="K73" s="715" t="n">
        <v>6.0</v>
      </c>
      <c r="L73">
        <f si="2" t="shared"/>
        <v>5</v>
      </c>
      <c r="M73" s="21">
        <f si="3" t="shared"/>
        <v>5.725409366769724E-5</v>
      </c>
    </row>
    <row r="74" spans="1:13" x14ac:dyDescent="0.25">
      <c r="A74">
        <v>63</v>
      </c>
      <c r="B74" s="8" t="n">
        <v>49.303211350822444</v>
      </c>
      <c r="C74" s="8" t="n">
        <v>0.0</v>
      </c>
      <c r="D74" s="8" t="n">
        <v>29.105215753173827</v>
      </c>
      <c r="E74" s="8">
        <f si="0" t="shared"/>
        <v>4.1354204214774565E-2</v>
      </c>
      <c r="F74" s="21">
        <f si="1" t="shared"/>
        <v>5.0741216595438842E-7</v>
      </c>
      <c r="H74" s="446">
        <v>63</v>
      </c>
      <c r="I74" s="536" t="n">
        <v>209.0</v>
      </c>
      <c r="J74" s="626" t="n">
        <v>17.0</v>
      </c>
      <c r="K74" s="716" t="n">
        <v>9.0</v>
      </c>
      <c r="L74">
        <f si="2" t="shared"/>
        <v>15</v>
      </c>
      <c r="M74" s="21">
        <f si="3" t="shared"/>
        <v>1.7176228100309173E-4</v>
      </c>
    </row>
    <row r="75" spans="1:13" x14ac:dyDescent="0.25">
      <c r="A75">
        <v>64</v>
      </c>
      <c r="B75" s="8" t="n">
        <v>51.3612245484352</v>
      </c>
      <c r="C75" s="8" t="n">
        <v>0.0</v>
      </c>
      <c r="D75" s="8" t="n">
        <v>26.459287048339842</v>
      </c>
      <c r="E75" s="8">
        <f si="0" t="shared"/>
        <v>5.0696402183187807E-2</v>
      </c>
      <c r="F75" s="21">
        <f si="1" t="shared"/>
        <v>6.2204004952598602E-7</v>
      </c>
      <c r="H75" s="447">
        <v>64</v>
      </c>
      <c r="I75" s="537" t="n">
        <v>160.0</v>
      </c>
      <c r="J75" s="627" t="n">
        <v>10.0</v>
      </c>
      <c r="K75" s="717" t="n">
        <v>7.0</v>
      </c>
      <c r="L75">
        <f si="2" t="shared"/>
        <v>0</v>
      </c>
      <c r="M75" s="21">
        <f si="3" t="shared"/>
        <v>0</v>
      </c>
    </row>
    <row r="76" spans="1:13" x14ac:dyDescent="0.25">
      <c r="A76">
        <v>65</v>
      </c>
      <c r="B76" s="8" t="n">
        <v>52.65680372753143</v>
      </c>
      <c r="C76" s="8" t="n">
        <v>0.0</v>
      </c>
      <c r="D76" s="8" t="n">
        <v>19.84446528625488</v>
      </c>
      <c r="E76" s="8">
        <f ref="E76:E101" si="4" t="shared">SUM(B76:D76)</f>
        <v>0.19213838478605511</v>
      </c>
      <c r="F76" s="21">
        <f ref="F76:F102" si="5" t="shared">E76/$E$102</f>
        <v>2.3575197694757864E-6</v>
      </c>
      <c r="H76" s="448">
        <v>65</v>
      </c>
      <c r="I76" s="538" t="n">
        <v>151.0</v>
      </c>
      <c r="J76" s="628" t="n">
        <v>14.0</v>
      </c>
      <c r="K76" s="718" t="n">
        <v>12.0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49.4407933339119</v>
      </c>
      <c r="C77" s="8" t="n">
        <v>0.0</v>
      </c>
      <c r="D77" s="8" t="n">
        <v>12.21197863769531</v>
      </c>
      <c r="E77" s="8">
        <f si="4" t="shared"/>
        <v>0.61297712535597682</v>
      </c>
      <c r="F77" s="21">
        <f si="5" t="shared"/>
        <v>7.5211712270417435E-6</v>
      </c>
      <c r="H77" s="449">
        <v>66</v>
      </c>
      <c r="I77" s="539" t="n">
        <v>134.0</v>
      </c>
      <c r="J77" s="629" t="n">
        <v>10.0</v>
      </c>
      <c r="K77" s="719" t="n">
        <v>8.0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41.33760467290878</v>
      </c>
      <c r="C78" s="8" t="n">
        <v>0.0</v>
      </c>
      <c r="D78" s="8" t="n">
        <v>6.105989318847655</v>
      </c>
      <c r="E78" s="8">
        <f si="4" t="shared"/>
        <v>1.5323687774391725</v>
      </c>
      <c r="F78" s="21">
        <f si="5" t="shared"/>
        <v>1.8802019653505918E-5</v>
      </c>
      <c r="H78" s="450">
        <v>67</v>
      </c>
      <c r="I78" s="540" t="n">
        <v>168.0</v>
      </c>
      <c r="J78" s="630" t="n">
        <v>5.0</v>
      </c>
      <c r="K78" s="720" t="n">
        <v>7.0</v>
      </c>
      <c r="L78">
        <f si="6" t="shared"/>
        <v>5</v>
      </c>
      <c r="M78" s="21">
        <f si="7" t="shared"/>
        <v>5.725409366769724E-5</v>
      </c>
    </row>
    <row r="79" spans="1:13" x14ac:dyDescent="0.25">
      <c r="A79">
        <v>68</v>
      </c>
      <c r="B79" s="8" t="n">
        <v>31.854375535583497</v>
      </c>
      <c r="C79" s="8" t="n">
        <v>0.0</v>
      </c>
      <c r="D79" s="8" t="n">
        <v>2.442395727539062</v>
      </c>
      <c r="E79" s="8">
        <f si="4" t="shared"/>
        <v>3.0647375548783451</v>
      </c>
      <c r="F79" s="21">
        <f si="5" t="shared"/>
        <v>3.7604039307011836E-5</v>
      </c>
      <c r="H79" s="451">
        <v>68</v>
      </c>
      <c r="I79" s="541" t="n">
        <v>119.0</v>
      </c>
      <c r="J79" s="631" t="n">
        <v>10.0</v>
      </c>
      <c r="K79" s="721" t="n">
        <v>6.0</v>
      </c>
      <c r="L79">
        <f si="6" t="shared"/>
        <v>15</v>
      </c>
      <c r="M79" s="21">
        <f si="7" t="shared"/>
        <v>1.7176228100309173E-4</v>
      </c>
    </row>
    <row r="80" spans="1:13" x14ac:dyDescent="0.25">
      <c r="A80">
        <v>69</v>
      </c>
      <c r="B80" s="8" t="n">
        <v>26.417406942653656</v>
      </c>
      <c r="C80" s="8" t="n">
        <v>0.0</v>
      </c>
      <c r="D80" s="8" t="n">
        <v>0.7632486648559569</v>
      </c>
      <c r="E80" s="8">
        <f si="4" t="shared"/>
        <v>4.9801985266773103</v>
      </c>
      <c r="F80" s="21">
        <f si="5" t="shared"/>
        <v>6.1106563873894226E-5</v>
      </c>
      <c r="H80" s="452">
        <v>69</v>
      </c>
      <c r="I80" s="542" t="n">
        <v>80.0</v>
      </c>
      <c r="J80" s="632" t="n">
        <v>6.0</v>
      </c>
      <c r="K80" s="722" t="n">
        <v>7.0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29.55058185873031</v>
      </c>
      <c r="C81" s="8" t="n">
        <v>0.0</v>
      </c>
      <c r="D81" s="8" t="n">
        <v>0.1795879211425781</v>
      </c>
      <c r="E81" s="8">
        <f si="4" t="shared"/>
        <v>6.6402647022364132</v>
      </c>
      <c r="F81" s="21">
        <f si="5" t="shared"/>
        <v>8.1475418498525631E-5</v>
      </c>
      <c r="H81" s="453">
        <v>70</v>
      </c>
      <c r="I81" s="543" t="n">
        <v>84.0</v>
      </c>
      <c r="J81" s="633" t="n">
        <v>5.0</v>
      </c>
      <c r="K81" s="723" t="n">
        <v>5.0</v>
      </c>
      <c r="L81">
        <f si="6" t="shared"/>
        <v>5</v>
      </c>
      <c r="M81" s="21">
        <f si="7" t="shared"/>
        <v>5.725409366769724E-5</v>
      </c>
    </row>
    <row r="82" spans="1:13" x14ac:dyDescent="0.25">
      <c r="A82">
        <v>71</v>
      </c>
      <c r="B82" s="8" t="n">
        <v>42.33854928979873</v>
      </c>
      <c r="C82" s="8" t="n">
        <v>0.0</v>
      </c>
      <c r="D82" s="8" t="n">
        <v>0.029931320190429683</v>
      </c>
      <c r="E82" s="8">
        <f si="4" t="shared"/>
        <v>7.3042911724600543</v>
      </c>
      <c r="F82" s="21">
        <f si="5" t="shared"/>
        <v>8.962296034837819E-5</v>
      </c>
      <c r="H82" s="454">
        <v>71</v>
      </c>
      <c r="I82" s="544" t="n">
        <v>69.0</v>
      </c>
      <c r="J82" s="634" t="n">
        <v>6.0</v>
      </c>
      <c r="K82" s="72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60.873602446174615</v>
      </c>
      <c r="C83" s="8" t="n">
        <v>0.0</v>
      </c>
      <c r="D83" s="8" t="n">
        <v>0.003150665283203125</v>
      </c>
      <c r="E83" s="8">
        <f si="4" t="shared"/>
        <v>6.6402647022364132</v>
      </c>
      <c r="F83" s="21">
        <f si="5" t="shared"/>
        <v>8.1475418498525631E-5</v>
      </c>
      <c r="H83" s="455">
        <v>72</v>
      </c>
      <c r="I83" s="545" t="n">
        <v>90.0</v>
      </c>
      <c r="J83" s="635" t="n">
        <v>5.0</v>
      </c>
      <c r="K83" s="725" t="n">
        <v>4.0</v>
      </c>
      <c r="L83">
        <f si="6" t="shared"/>
        <v>5</v>
      </c>
      <c r="M83" s="21">
        <f si="7" t="shared"/>
        <v>5.725409366769724E-5</v>
      </c>
    </row>
    <row r="84" spans="1:13" x14ac:dyDescent="0.25">
      <c r="A84">
        <v>73</v>
      </c>
      <c r="B84" s="8" t="n">
        <v>77.07107862186432</v>
      </c>
      <c r="C84" s="8" t="n">
        <v>0.0</v>
      </c>
      <c r="D84" s="8" t="n">
        <v>1.5753326416015624E-4</v>
      </c>
      <c r="E84" s="8">
        <f si="4" t="shared"/>
        <v>4.9801985266773094</v>
      </c>
      <c r="F84" s="21">
        <f si="5" t="shared"/>
        <v>6.1106563873894213E-5</v>
      </c>
      <c r="H84" s="456">
        <v>73</v>
      </c>
      <c r="I84" s="546" t="n">
        <v>79.0</v>
      </c>
      <c r="J84" s="636" t="n">
        <v>7.0</v>
      </c>
      <c r="K84" s="726" t="n">
        <v>1.0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82.78389785499573</v>
      </c>
      <c r="C85" s="8" t="n">
        <v>0.0</v>
      </c>
      <c r="D85" s="8" t="n">
        <v>0.0</v>
      </c>
      <c r="E85" s="8">
        <f si="4" t="shared"/>
        <v>3.0647375548783442</v>
      </c>
      <c r="F85" s="21">
        <f si="5" t="shared"/>
        <v>3.7604039307011829E-5</v>
      </c>
      <c r="H85" s="457">
        <v>74</v>
      </c>
      <c r="I85" s="547" t="n">
        <v>59.0</v>
      </c>
      <c r="J85" s="637" t="n">
        <v>4.0</v>
      </c>
      <c r="K85" s="727" t="n">
        <v>1.0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75.12150269412994</v>
      </c>
      <c r="C86" s="8" t="n">
        <v>0.0</v>
      </c>
      <c r="D86" s="8" t="n">
        <v>0.0</v>
      </c>
      <c r="E86" s="8">
        <f si="4" t="shared"/>
        <v>1.5323687774391723</v>
      </c>
      <c r="F86" s="21">
        <f si="5" t="shared"/>
        <v>1.8802019653505915E-5</v>
      </c>
      <c r="H86" s="458">
        <v>75</v>
      </c>
      <c r="I86" s="548" t="n">
        <v>60.0</v>
      </c>
      <c r="J86" s="638" t="n">
        <v>5.0</v>
      </c>
      <c r="K86" s="728" t="n">
        <v>1.0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58.61556802082062</v>
      </c>
      <c r="C87" s="8" t="n">
        <v>0.0</v>
      </c>
      <c r="D87" s="8" t="n">
        <v>0.0</v>
      </c>
      <c r="E87" s="8">
        <f si="4" t="shared"/>
        <v>0.61294751097566902</v>
      </c>
      <c r="F87" s="21">
        <f si="5" t="shared"/>
        <v>7.5208078614023674E-6</v>
      </c>
      <c r="H87" s="459">
        <v>76</v>
      </c>
      <c r="I87" s="549" t="n">
        <v>69.0</v>
      </c>
      <c r="J87" s="639" t="n">
        <v>7.0</v>
      </c>
      <c r="K87" s="729" t="n">
        <v>1.0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42.30474198713302</v>
      </c>
      <c r="C88" s="8" t="n">
        <v>0.0</v>
      </c>
      <c r="D88" s="8" t="n">
        <v>0.0</v>
      </c>
      <c r="E88" s="8">
        <f si="4" t="shared"/>
        <v>0.19154609717989654</v>
      </c>
      <c r="F88" s="21">
        <f si="5" t="shared"/>
        <v>2.3502524566882393E-6</v>
      </c>
      <c r="H88" s="460">
        <v>77</v>
      </c>
      <c r="I88" s="550" t="n">
        <v>26.0</v>
      </c>
      <c r="J88" s="640" t="n">
        <v>2.0</v>
      </c>
      <c r="K88" s="73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34.643198914527886</v>
      </c>
      <c r="C89" s="8" t="n">
        <v>0.0</v>
      </c>
      <c r="D89" s="8" t="n">
        <v>0.0</v>
      </c>
      <c r="E89" s="8">
        <f si="4" t="shared"/>
        <v>4.5069669924681539E-2</v>
      </c>
      <c r="F89" s="21">
        <f si="5" t="shared"/>
        <v>5.5300057804429169E-7</v>
      </c>
      <c r="H89" s="461">
        <v>78</v>
      </c>
      <c r="I89" s="551" t="n">
        <v>59.0</v>
      </c>
      <c r="J89" s="641" t="n">
        <v>6.0</v>
      </c>
      <c r="K89" s="731" t="n">
        <v>1.0</v>
      </c>
      <c r="L89">
        <f si="6" t="shared"/>
        <v>0</v>
      </c>
      <c r="M89" s="21">
        <f si="7" t="shared"/>
        <v>0</v>
      </c>
    </row>
    <row r="90" spans="1:13" x14ac:dyDescent="0.25">
      <c r="A90">
        <v>79</v>
      </c>
      <c r="B90" s="8" t="n">
        <v>40.221416640090936</v>
      </c>
      <c r="C90" s="8" t="n">
        <v>0.0</v>
      </c>
      <c r="D90" s="8" t="n">
        <v>0.0</v>
      </c>
      <c r="E90" s="8">
        <f si="4" t="shared"/>
        <v>7.5116116541135902E-3</v>
      </c>
      <c r="F90" s="21">
        <f si="5" t="shared"/>
        <v>9.216676300738194E-8</v>
      </c>
      <c r="H90" s="462">
        <v>79</v>
      </c>
      <c r="I90" s="552" t="n">
        <v>22.0</v>
      </c>
      <c r="J90" s="642" t="n">
        <v>3.0</v>
      </c>
      <c r="K90" s="73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58.810902517318716</v>
      </c>
      <c r="C91" s="8" t="n">
        <v>0.0</v>
      </c>
      <c r="D91" s="8" t="n">
        <v>4.592199325561524E-5</v>
      </c>
      <c r="E91" s="8">
        <f si="4" t="shared"/>
        <v>7.9069596359090434E-4</v>
      </c>
      <c r="F91" s="21">
        <f si="5" t="shared"/>
        <v>9.7017645270928377E-9</v>
      </c>
      <c r="H91" s="463">
        <v>80</v>
      </c>
      <c r="I91" s="553" t="n">
        <v>45.0</v>
      </c>
      <c r="J91" s="643" t="n">
        <v>1.0</v>
      </c>
      <c r="K91" s="733" t="n">
        <v>1.0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85.02791858253477</v>
      </c>
      <c r="C92" s="8" t="n">
        <v>0.0</v>
      </c>
      <c r="D92" s="8" t="n">
        <v>0.001010283851623535</v>
      </c>
      <c r="E92" s="8">
        <f si="4" t="shared"/>
        <v>3.9534798179545209E-5</v>
      </c>
      <c r="F92" s="21">
        <f si="5" t="shared"/>
        <v>4.8508822635464182E-10</v>
      </c>
      <c r="H92" s="464">
        <v>81</v>
      </c>
      <c r="I92" s="554" t="n">
        <v>45.0</v>
      </c>
      <c r="J92" s="644" t="n">
        <v>6.0</v>
      </c>
      <c r="K92" s="734" t="n">
        <v>0.0</v>
      </c>
      <c r="L92">
        <f si="6" t="shared"/>
        <v>5</v>
      </c>
      <c r="M92" s="21">
        <f si="7" t="shared"/>
        <v>5.725409366769724E-5</v>
      </c>
    </row>
    <row r="93" spans="1:13" x14ac:dyDescent="0.25">
      <c r="A93">
        <v>82</v>
      </c>
      <c r="B93" s="8" t="n">
        <v>109.12795937900543</v>
      </c>
      <c r="C93" s="8" t="n">
        <v>0.0</v>
      </c>
      <c r="D93" s="8" t="n">
        <v>0.010653902435302735</v>
      </c>
      <c r="E93" s="8">
        <f si="4" t="shared"/>
        <v>0</v>
      </c>
      <c r="F93" s="21">
        <f si="5" t="shared"/>
        <v>0</v>
      </c>
      <c r="H93" s="465">
        <v>82</v>
      </c>
      <c r="I93" s="555" t="n">
        <v>10.0</v>
      </c>
      <c r="J93" s="645" t="n">
        <v>1.0</v>
      </c>
      <c r="K93" s="735" t="n">
        <v>2.0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121.68952976188658</v>
      </c>
      <c r="C94" s="8" t="n">
        <v>0.0</v>
      </c>
      <c r="D94" s="8" t="n">
        <v>0.07173015346527101</v>
      </c>
      <c r="E94" s="8">
        <f si="4" t="shared"/>
        <v>0</v>
      </c>
      <c r="F94" s="21">
        <f si="5" t="shared"/>
        <v>0</v>
      </c>
      <c r="H94" s="466">
        <v>83</v>
      </c>
      <c r="I94" s="556" t="n">
        <v>41.0</v>
      </c>
      <c r="J94" s="646" t="n">
        <v>2.0</v>
      </c>
      <c r="K94" s="736" t="n">
        <v>1.0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122.61358644561767</v>
      </c>
      <c r="C95" s="8" t="n">
        <v>0.0</v>
      </c>
      <c r="D95" s="8" t="n">
        <v>0.3465732831001282</v>
      </c>
      <c r="E95" s="8">
        <f si="4" t="shared"/>
        <v>0</v>
      </c>
      <c r="F95" s="21">
        <f si="5" t="shared"/>
        <v>0</v>
      </c>
      <c r="H95" s="467">
        <v>84</v>
      </c>
      <c r="I95" s="557" t="n">
        <v>13.0</v>
      </c>
      <c r="J95" s="647" t="n">
        <v>0.0</v>
      </c>
      <c r="K95" s="737" t="n">
        <v>1.0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130.31295529394149</v>
      </c>
      <c r="C96" s="8" t="n">
        <v>0.0</v>
      </c>
      <c r="D96" s="8" t="n">
        <v>1.2810399238586425</v>
      </c>
      <c r="E96" s="8">
        <f si="4" t="shared"/>
        <v>0</v>
      </c>
      <c r="F96" s="21">
        <f si="5" t="shared"/>
        <v>0</v>
      </c>
      <c r="H96" s="468">
        <v>85</v>
      </c>
      <c r="I96" s="558" t="n">
        <v>18.0</v>
      </c>
      <c r="J96" s="648" t="n">
        <v>1.0</v>
      </c>
      <c r="K96" s="738" t="n">
        <v>2.0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184.86524522972107</v>
      </c>
      <c r="C97" s="8" t="n">
        <v>0.0</v>
      </c>
      <c r="D97" s="8" t="n">
        <v>3.7729509658813476</v>
      </c>
      <c r="E97" s="8">
        <f si="4" t="shared"/>
        <v>0</v>
      </c>
      <c r="F97" s="21">
        <f si="5" t="shared"/>
        <v>0</v>
      </c>
      <c r="H97" s="469">
        <v>86</v>
      </c>
      <c r="I97" s="559" t="n">
        <v>9.0</v>
      </c>
      <c r="J97" s="649" t="n">
        <v>0.0</v>
      </c>
      <c r="K97" s="739" t="n">
        <v>1.0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339.49970060052874</v>
      </c>
      <c r="C98" s="8" t="n">
        <v>0.0</v>
      </c>
      <c r="D98" s="8" t="n">
        <v>9.112760341644288</v>
      </c>
      <c r="E98" s="8">
        <f si="4" t="shared"/>
        <v>0</v>
      </c>
      <c r="F98" s="21">
        <f si="5" t="shared"/>
        <v>0</v>
      </c>
      <c r="H98" s="470">
        <v>87</v>
      </c>
      <c r="I98" s="560" t="n">
        <v>13.0</v>
      </c>
      <c r="J98" s="650" t="n">
        <v>2.0</v>
      </c>
      <c r="K98" s="74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637.9511126579284</v>
      </c>
      <c r="C99" s="8" t="n">
        <v>0.0</v>
      </c>
      <c r="D99" s="8" t="n">
        <v>18.45742674922943</v>
      </c>
      <c r="E99" s="8">
        <f si="4" t="shared"/>
        <v>0</v>
      </c>
      <c r="F99" s="21">
        <f si="5" t="shared"/>
        <v>0</v>
      </c>
      <c r="H99" s="471">
        <v>88</v>
      </c>
      <c r="I99" s="561" t="n">
        <v>8.0</v>
      </c>
      <c r="J99" s="651" t="n">
        <v>0.0</v>
      </c>
      <c r="K99" s="741" t="n">
        <v>1.0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1084.5600916721344</v>
      </c>
      <c r="C100" s="8" t="n">
        <v>0.0</v>
      </c>
      <c r="D100" s="8" t="n">
        <v>31.955278226852418</v>
      </c>
      <c r="E100" s="8">
        <f si="4" t="shared"/>
        <v>0</v>
      </c>
      <c r="F100" s="21">
        <f si="5" t="shared"/>
        <v>0</v>
      </c>
      <c r="H100" s="472">
        <v>89</v>
      </c>
      <c r="I100" s="562" t="n">
        <v>8.0</v>
      </c>
      <c r="J100" s="652" t="n">
        <v>0.0</v>
      </c>
      <c r="K100" s="74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1626.6768</v>
      </c>
      <c r="C101" s="9" t="n">
        <v>0.0</v>
      </c>
      <c r="D101" s="9" t="n">
        <v>48.1527</v>
      </c>
      <c r="E101" s="9">
        <f si="4" t="shared"/>
        <v>0</v>
      </c>
      <c r="F101" s="21">
        <f si="5" t="shared"/>
        <v>0</v>
      </c>
      <c r="H101" s="745">
        <v>90</v>
      </c>
      <c r="I101" s="745" t="n">
        <v>84.0</v>
      </c>
      <c r="J101" s="745" t="n">
        <v>4.0</v>
      </c>
      <c r="K101" s="745" t="n">
        <v>4.0</v>
      </c>
      <c r="L101" s="1">
        <f si="6" t="shared"/>
        <v>5</v>
      </c>
      <c r="M101" s="21">
        <f si="7" t="shared"/>
        <v>5.725409366769724E-5</v>
      </c>
    </row>
    <row r="102" spans="1:13" x14ac:dyDescent="0.25">
      <c r="E102" s="8">
        <f>SUM(E11:E101)</f>
        <v>81500.222086696915</v>
      </c>
      <c r="F102" s="21">
        <f si="5" t="shared"/>
        <v>1</v>
      </c>
      <c r="L102" s="22">
        <f>SUM(L11:L101)</f>
        <v>87330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4" workbookViewId="0">
      <selection activeCell="A4" sqref="A4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55</v>
      </c>
    </row>
    <row r="3" spans="1:21" x14ac:dyDescent="0.25">
      <c r="A3" t="s">
        <v>21</v>
      </c>
    </row>
    <row ht="15.75" r="5" spans="1:21" thickBot="1" x14ac:dyDescent="0.3">
      <c r="A5" s="4" t="s">
        <v>56</v>
      </c>
      <c r="B5" s="1"/>
      <c r="C5" s="1"/>
      <c r="D5" s="1"/>
      <c r="E5" s="1"/>
      <c r="F5" s="1"/>
      <c r="G5" s="1"/>
      <c r="H5" s="1"/>
      <c r="I5" s="1"/>
      <c r="J5" s="1"/>
      <c r="L5" s="4" t="s">
        <v>41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19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20</v>
      </c>
      <c r="J6" s="3" t="s">
        <v>4</v>
      </c>
      <c r="L6" s="2" t="s">
        <v>19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20</v>
      </c>
      <c r="U6" s="3" t="s">
        <v>4</v>
      </c>
    </row>
    <row r="7" spans="1:21" x14ac:dyDescent="0.25">
      <c r="A7" s="747" t="s">
        <v>43</v>
      </c>
      <c r="B7" s="13" t="n">
        <v>4248.7331</v>
      </c>
      <c r="C7" s="13" t="n">
        <v>644.5527999999999</v>
      </c>
      <c r="D7" s="13" t="n">
        <v>0.0</v>
      </c>
      <c r="E7" s="13" t="n">
        <v>0.0</v>
      </c>
      <c r="F7" s="13" t="n">
        <v>0.0</v>
      </c>
      <c r="G7" s="13" t="n">
        <v>1673.5687</v>
      </c>
      <c r="H7" s="13" t="n">
        <v>0.0</v>
      </c>
      <c r="I7" s="13"/>
      <c r="J7" s="13">
        <f>SUM(B7:I7)</f>
        <v>15156.354931742542</v>
      </c>
      <c r="K7" s="13"/>
      <c r="L7" t="str">
        <f>$A$7</f>
        <v>Williamson</v>
      </c>
      <c r="M7" s="743" t="n">
        <v>21718.0</v>
      </c>
      <c r="N7" s="743" t="n">
        <v>5228.0</v>
      </c>
      <c r="O7" s="743" t="n">
        <v>1044.0</v>
      </c>
      <c r="P7" s="743" t="n">
        <v>295.0</v>
      </c>
      <c r="Q7" s="743" t="n">
        <v>213.0</v>
      </c>
      <c r="R7" s="743" t="n">
        <v>2719.0</v>
      </c>
      <c r="S7" s="743" t="n">
        <v>248.0</v>
      </c>
      <c r="T7" s="743"/>
      <c r="U7" s="13">
        <f>SUM(M7:T7)</f>
        <v>10780</v>
      </c>
    </row>
    <row r="8" spans="1:21" x14ac:dyDescent="0.25">
      <c r="A8" t="s">
        <v>44</v>
      </c>
      <c r="B8" s="13" t="n">
        <v>1164.5257</v>
      </c>
      <c r="C8" s="13" t="n">
        <v>11756.125399999999</v>
      </c>
      <c r="D8" s="13" t="n">
        <v>0.0</v>
      </c>
      <c r="E8" s="13" t="n">
        <v>0.0</v>
      </c>
      <c r="F8" s="13" t="n">
        <v>0.0</v>
      </c>
      <c r="G8" s="13" t="n">
        <v>0.0</v>
      </c>
      <c r="H8" s="13" t="n">
        <v>0.0</v>
      </c>
      <c r="I8" s="13"/>
      <c r="J8" s="13">
        <f ref="J8:J14" si="0" t="shared">SUM(B8:I8)</f>
        <v>8859.2963278769894</v>
      </c>
      <c r="K8" s="13"/>
      <c r="L8" t="str">
        <f>$A$8</f>
        <v>Rutherford</v>
      </c>
      <c r="M8" s="743" t="n">
        <v>4784.0</v>
      </c>
      <c r="N8" s="743" t="n">
        <v>36692.0</v>
      </c>
      <c r="O8" s="743" t="n">
        <v>2160.0</v>
      </c>
      <c r="P8" s="743" t="n">
        <v>574.0</v>
      </c>
      <c r="Q8" s="743" t="n">
        <v>351.0</v>
      </c>
      <c r="R8" s="743" t="n">
        <v>1668.0</v>
      </c>
      <c r="S8" s="743" t="n">
        <v>271.0</v>
      </c>
      <c r="T8" s="743"/>
      <c r="U8" s="13">
        <f ref="U8:U14" si="1" t="shared">SUM(M8:T8)</f>
        <v>11995</v>
      </c>
    </row>
    <row r="9" spans="1:21" x14ac:dyDescent="0.25">
      <c r="A9" t="s">
        <v>45</v>
      </c>
      <c r="B9" s="13" t="n">
        <v>0.0</v>
      </c>
      <c r="C9" s="13" t="n">
        <v>207.6521</v>
      </c>
      <c r="D9" s="13" t="n">
        <v>15379.0031</v>
      </c>
      <c r="E9" s="13" t="n">
        <v>814.5887</v>
      </c>
      <c r="F9" s="13" t="n">
        <v>51.6989</v>
      </c>
      <c r="G9" s="13" t="n">
        <v>0.0</v>
      </c>
      <c r="H9" s="13" t="n">
        <v>0.0</v>
      </c>
      <c r="I9" s="13"/>
      <c r="J9" s="13">
        <f si="0" t="shared"/>
        <v>2473.875455818918</v>
      </c>
      <c r="K9" s="14"/>
      <c r="L9" t="str">
        <f>$A$9</f>
        <v>Sumner</v>
      </c>
      <c r="M9" s="743" t="n">
        <v>879.0</v>
      </c>
      <c r="N9" s="743" t="n">
        <v>1505.0</v>
      </c>
      <c r="O9" s="743" t="n">
        <v>35865.0</v>
      </c>
      <c r="P9" s="743" t="n">
        <v>4093.0</v>
      </c>
      <c r="Q9" s="743" t="n">
        <v>1123.0</v>
      </c>
      <c r="R9" s="743" t="n">
        <v>2313.0</v>
      </c>
      <c r="S9" s="743" t="n">
        <v>699.0</v>
      </c>
      <c r="T9" s="743"/>
      <c r="U9" s="13">
        <f si="1" t="shared"/>
        <v>4550</v>
      </c>
    </row>
    <row r="10" spans="1:21" x14ac:dyDescent="0.25">
      <c r="A10" t="s">
        <v>46</v>
      </c>
      <c r="B10" s="13" t="n">
        <v>0.0</v>
      </c>
      <c r="C10" s="13" t="n">
        <v>56.2384</v>
      </c>
      <c r="D10" s="13" t="n">
        <v>947.0468</v>
      </c>
      <c r="E10" s="13" t="n">
        <v>29465.6875</v>
      </c>
      <c r="F10" s="13" t="n">
        <v>1642.5951</v>
      </c>
      <c r="G10" s="13" t="n">
        <v>211.5138</v>
      </c>
      <c r="H10" s="13" t="n">
        <v>0.0</v>
      </c>
      <c r="I10" s="13"/>
      <c r="J10" s="13">
        <f si="0" t="shared"/>
        <v>2076.3110547889864</v>
      </c>
      <c r="K10" s="14"/>
      <c r="L10" t="str">
        <f>$A$10</f>
        <v>Roberston</v>
      </c>
      <c r="M10" s="743" t="n">
        <v>781.0</v>
      </c>
      <c r="N10" s="743" t="n">
        <v>1114.0</v>
      </c>
      <c r="O10" s="743" t="n">
        <v>8597.0</v>
      </c>
      <c r="P10" s="743" t="n">
        <v>85692.0</v>
      </c>
      <c r="Q10" s="743" t="n">
        <v>6534.0</v>
      </c>
      <c r="R10" s="743" t="n">
        <v>4705.0</v>
      </c>
      <c r="S10" s="743" t="n">
        <v>2414.0</v>
      </c>
      <c r="T10" s="743"/>
      <c r="U10" s="13">
        <f si="1" t="shared"/>
        <v>2185</v>
      </c>
    </row>
    <row r="11" spans="1:21" x14ac:dyDescent="0.25">
      <c r="A11" t="s">
        <v>47</v>
      </c>
      <c r="B11" s="13" t="n">
        <v>0.0</v>
      </c>
      <c r="C11" s="13" t="n">
        <v>0.0</v>
      </c>
      <c r="D11" s="13" t="n">
        <v>181.53570000000002</v>
      </c>
      <c r="E11" s="13" t="n">
        <v>1748.3608</v>
      </c>
      <c r="F11" s="13" t="n">
        <v>5551.3217</v>
      </c>
      <c r="G11" s="13" t="n">
        <v>47.3611</v>
      </c>
      <c r="H11" s="13" t="n">
        <v>1682.7993000000001</v>
      </c>
      <c r="I11" s="13"/>
      <c r="J11" s="13">
        <f si="0" t="shared"/>
        <v>52019.636064227765</v>
      </c>
      <c r="K11" s="14"/>
      <c r="L11" t="str">
        <f>$A$11</f>
        <v>Davidson</v>
      </c>
      <c r="M11" s="743" t="n">
        <v>210.0</v>
      </c>
      <c r="N11" s="743" t="n">
        <v>317.0</v>
      </c>
      <c r="O11" s="743" t="n">
        <v>1671.0</v>
      </c>
      <c r="P11" s="743" t="n">
        <v>3683.0</v>
      </c>
      <c r="Q11" s="743" t="n">
        <v>28909.0</v>
      </c>
      <c r="R11" s="743" t="n">
        <v>1667.0</v>
      </c>
      <c r="S11" s="743" t="n">
        <v>4618.0</v>
      </c>
      <c r="T11" s="743"/>
      <c r="U11" s="13">
        <f si="1" t="shared"/>
        <v>49775</v>
      </c>
    </row>
    <row r="12" spans="1:21" x14ac:dyDescent="0.25">
      <c r="A12" t="s">
        <v>48</v>
      </c>
      <c r="B12" s="13" t="n">
        <v>456.3471</v>
      </c>
      <c r="C12" s="13" t="n">
        <v>0.0</v>
      </c>
      <c r="D12" s="13" t="n">
        <v>0.0</v>
      </c>
      <c r="E12" s="13" t="n">
        <v>1250.887</v>
      </c>
      <c r="F12" s="13" t="n">
        <v>280.314</v>
      </c>
      <c r="G12" s="13" t="n">
        <v>27372.2467</v>
      </c>
      <c r="H12" s="13" t="n">
        <v>2406.475</v>
      </c>
      <c r="I12" s="13"/>
      <c r="J12" s="13">
        <f si="0" t="shared"/>
        <v>2266.0600501248123</v>
      </c>
      <c r="K12" s="14"/>
      <c r="L12" t="str">
        <f>$A$12</f>
        <v>Maury</v>
      </c>
      <c r="M12" s="743" t="n">
        <v>2841.0</v>
      </c>
      <c r="N12" s="743" t="n">
        <v>1585.0</v>
      </c>
      <c r="O12" s="743" t="n">
        <v>3339.0</v>
      </c>
      <c r="P12" s="743" t="n">
        <v>2510.0</v>
      </c>
      <c r="Q12" s="743" t="n">
        <v>1866.0</v>
      </c>
      <c r="R12" s="743" t="n">
        <v>89624.0</v>
      </c>
      <c r="S12" s="743" t="n">
        <v>3169.0</v>
      </c>
      <c r="T12" s="743"/>
      <c r="U12" s="13">
        <f si="1" t="shared"/>
        <v>3555</v>
      </c>
    </row>
    <row r="13" spans="1:21" x14ac:dyDescent="0.25">
      <c r="A13" t="s">
        <v>49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335.1073</v>
      </c>
      <c r="G13" s="13" t="n">
        <v>250.6877</v>
      </c>
      <c r="H13" s="13" t="n">
        <v>10903.0829</v>
      </c>
      <c r="I13" s="13"/>
      <c r="J13" s="13">
        <f si="0" t="shared"/>
        <v>1411.8552647958256</v>
      </c>
      <c r="K13" s="14"/>
      <c r="L13" t="str">
        <f>$A$13</f>
        <v>Wilson</v>
      </c>
      <c r="M13" s="743" t="n">
        <v>193.0</v>
      </c>
      <c r="N13" s="743" t="n">
        <v>260.0</v>
      </c>
      <c r="O13" s="743" t="n">
        <v>1044.0</v>
      </c>
      <c r="P13" s="743" t="n">
        <v>1322.0</v>
      </c>
      <c r="Q13" s="743" t="n">
        <v>5120.0</v>
      </c>
      <c r="R13" s="743" t="n">
        <v>3580.0</v>
      </c>
      <c r="S13" s="743" t="n">
        <v>59652.0</v>
      </c>
      <c r="T13" s="743"/>
      <c r="U13" s="13">
        <f si="1" t="shared"/>
        <v>4490</v>
      </c>
    </row>
    <row r="14" spans="1:21" x14ac:dyDescent="0.25">
      <c r="A14" t="s">
        <v>20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746" t="s">
        <v>20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15537.898569335601</v>
      </c>
      <c r="C15" s="16">
        <f si="2" t="shared"/>
        <v>9275.2098086751575</v>
      </c>
      <c r="D15" s="16">
        <f si="2" t="shared"/>
        <v>3028.6953284421011</v>
      </c>
      <c r="E15" s="16">
        <f si="2" t="shared"/>
        <v>2407.0082586928615</v>
      </c>
      <c r="F15" s="16">
        <f si="2" t="shared"/>
        <v>49901.430993471651</v>
      </c>
      <c r="G15" s="16">
        <f si="2" t="shared"/>
        <v>2132.3347551805141</v>
      </c>
      <c r="H15" s="16">
        <f si="2" t="shared"/>
        <v>1980.8114355779535</v>
      </c>
      <c r="I15" s="16">
        <f si="2" t="shared"/>
        <v>0</v>
      </c>
      <c r="J15" s="16">
        <f si="2" t="shared"/>
        <v>84263.389149375842</v>
      </c>
      <c r="K15" s="13"/>
      <c r="L15" s="16" t="s">
        <v>4</v>
      </c>
      <c r="M15" s="16">
        <f ref="M15:U15" si="3" t="shared">SUM(M7:M14)</f>
        <v>10080</v>
      </c>
      <c r="N15" s="16">
        <f si="3" t="shared"/>
        <v>11510</v>
      </c>
      <c r="O15" s="16">
        <f si="3" t="shared"/>
        <v>4360</v>
      </c>
      <c r="P15" s="16">
        <f si="3" t="shared"/>
        <v>2045</v>
      </c>
      <c r="Q15" s="16">
        <f si="3" t="shared"/>
        <v>51800</v>
      </c>
      <c r="R15" s="16">
        <f si="3" t="shared"/>
        <v>3425</v>
      </c>
      <c r="S15" s="16">
        <f si="3" t="shared"/>
        <v>4110</v>
      </c>
      <c r="T15" s="16">
        <f si="3" t="shared"/>
        <v>0</v>
      </c>
      <c r="U15" s="16">
        <f si="3" t="shared"/>
        <v>87330</v>
      </c>
    </row>
    <row ht="15.75" r="18" spans="1:32" thickBot="1" x14ac:dyDescent="0.3">
      <c r="A18" s="4" t="s">
        <v>57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42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19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20</v>
      </c>
      <c r="J19" s="3" t="s">
        <v>4</v>
      </c>
      <c r="L19" s="2" t="s">
        <v>19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20</v>
      </c>
      <c r="U19" s="3" t="s">
        <v>4</v>
      </c>
    </row>
    <row r="20" spans="1:32" x14ac:dyDescent="0.25">
      <c r="A20" t="str">
        <f>$A$7</f>
        <v>Williamson</v>
      </c>
      <c r="B20" s="13">
        <f ref="B20:H20" si="4" t="shared">($U7/$J7)*B7</f>
        <v>9762.9383506761769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934.90409177637287</v>
      </c>
      <c r="G20" s="13">
        <f si="4" t="shared"/>
        <v>0</v>
      </c>
      <c r="H20" s="13">
        <f si="4" t="shared"/>
        <v>82.157557547450466</v>
      </c>
      <c r="I20" s="13"/>
      <c r="J20" s="13">
        <f>SUM(B20:I20)</f>
        <v>10780</v>
      </c>
      <c r="K20" s="13"/>
      <c r="L20" t="str">
        <f>$A$7</f>
        <v>Williamson</v>
      </c>
      <c r="M20" s="13">
        <f ref="M20:M26" si="5" t="shared">M7</f>
        <v>8625</v>
      </c>
      <c r="N20" s="13">
        <f ref="N20:U20" si="6" t="shared">N7</f>
        <v>60</v>
      </c>
      <c r="O20" s="13">
        <f si="6" t="shared"/>
        <v>5</v>
      </c>
      <c r="P20" s="13">
        <f si="6" t="shared"/>
        <v>5</v>
      </c>
      <c r="Q20" s="13">
        <f si="6" t="shared"/>
        <v>2025</v>
      </c>
      <c r="R20" s="13">
        <f si="6" t="shared"/>
        <v>55</v>
      </c>
      <c r="S20" s="13">
        <f si="6" t="shared"/>
        <v>5</v>
      </c>
      <c r="T20" s="13"/>
      <c r="U20" s="13">
        <f si="6" t="shared"/>
        <v>10780</v>
      </c>
    </row>
    <row r="21" spans="1:32" x14ac:dyDescent="0.25">
      <c r="A21" t="str">
        <f>$A$8</f>
        <v>Rutherford</v>
      </c>
      <c r="B21" s="13">
        <f ref="B21:G25" si="7" t="shared">($U8/$J8)*B8</f>
        <v>0</v>
      </c>
      <c r="C21" s="13">
        <f si="7" t="shared"/>
        <v>11410.622852917433</v>
      </c>
      <c r="D21" s="13">
        <f si="7" t="shared"/>
        <v>0</v>
      </c>
      <c r="E21" s="13">
        <f si="7" t="shared"/>
        <v>0</v>
      </c>
      <c r="F21" s="13">
        <f si="7" t="shared"/>
        <v>460.08914932374807</v>
      </c>
      <c r="G21" s="13">
        <f si="7" t="shared"/>
        <v>0</v>
      </c>
      <c r="H21" s="13">
        <f ref="H21:H26" si="8" t="shared">($U8/$J8)*H8</f>
        <v>124.28799775881889</v>
      </c>
      <c r="I21" s="13"/>
      <c r="J21" s="13">
        <f ref="J21:J27" si="9" t="shared">SUM(B21:I21)</f>
        <v>11995</v>
      </c>
      <c r="K21" s="13"/>
      <c r="L21" t="str">
        <f>$A$8</f>
        <v>Rutherford</v>
      </c>
      <c r="M21" s="13">
        <f si="5" t="shared"/>
        <v>170</v>
      </c>
      <c r="N21" s="13">
        <f ref="N21:S25" si="10" t="shared">N8</f>
        <v>11035</v>
      </c>
      <c r="O21" s="13">
        <f si="10" t="shared"/>
        <v>25</v>
      </c>
      <c r="P21" s="13">
        <f si="10" t="shared"/>
        <v>0</v>
      </c>
      <c r="Q21" s="13">
        <f si="10" t="shared"/>
        <v>705</v>
      </c>
      <c r="R21" s="13">
        <f si="10" t="shared"/>
        <v>0</v>
      </c>
      <c r="S21" s="13">
        <f si="10" t="shared"/>
        <v>60</v>
      </c>
      <c r="T21" s="13"/>
      <c r="U21" s="13">
        <f ref="U21:U26" si="11" t="shared">U8</f>
        <v>11995</v>
      </c>
    </row>
    <row r="22" spans="1:32" x14ac:dyDescent="0.25">
      <c r="A22" t="str">
        <f>$A$9</f>
        <v>Sumner</v>
      </c>
      <c r="B22" s="13">
        <f si="7" t="shared"/>
        <v>0</v>
      </c>
      <c r="C22" s="13">
        <f si="7" t="shared"/>
        <v>0</v>
      </c>
      <c r="D22" s="13">
        <f si="7" t="shared"/>
        <v>3343.0510100009396</v>
      </c>
      <c r="E22" s="13">
        <f si="7" t="shared"/>
        <v>537.69166237912032</v>
      </c>
      <c r="F22" s="13">
        <f si="7" t="shared"/>
        <v>669.25732761993947</v>
      </c>
      <c r="G22" s="13">
        <f si="7" t="shared"/>
        <v>0</v>
      </c>
      <c r="H22" s="13">
        <f si="8" t="shared"/>
        <v>0</v>
      </c>
      <c r="I22" s="13"/>
      <c r="J22" s="13">
        <f si="9" t="shared"/>
        <v>4549.9999999999991</v>
      </c>
      <c r="K22" s="14"/>
      <c r="L22" t="str">
        <f>$A$9</f>
        <v>Sumner</v>
      </c>
      <c r="M22" s="13">
        <f si="5" t="shared"/>
        <v>5</v>
      </c>
      <c r="N22" s="13">
        <f si="10" t="shared"/>
        <v>15</v>
      </c>
      <c r="O22" s="13">
        <f si="10" t="shared"/>
        <v>3720</v>
      </c>
      <c r="P22" s="13">
        <f si="10" t="shared"/>
        <v>115</v>
      </c>
      <c r="Q22" s="13">
        <f si="10" t="shared"/>
        <v>665</v>
      </c>
      <c r="R22" s="13">
        <f si="10" t="shared"/>
        <v>0</v>
      </c>
      <c r="S22" s="13">
        <f si="10" t="shared"/>
        <v>30</v>
      </c>
      <c r="T22" s="13"/>
      <c r="U22" s="13">
        <f si="11" t="shared"/>
        <v>4550</v>
      </c>
    </row>
    <row r="23" spans="1:32" x14ac:dyDescent="0.25">
      <c r="A23" t="str">
        <f>$A$10</f>
        <v>Roberston</v>
      </c>
      <c r="B23" s="13">
        <f si="7" t="shared"/>
        <v>0</v>
      </c>
      <c r="C23" s="13">
        <f si="7" t="shared"/>
        <v>0</v>
      </c>
      <c r="D23" s="13">
        <f si="7" t="shared"/>
        <v>292.19634956724616</v>
      </c>
      <c r="E23" s="13">
        <f si="7" t="shared"/>
        <v>1814.6284498613566</v>
      </c>
      <c r="F23" s="13">
        <f si="7" t="shared"/>
        <v>78.175200571397255</v>
      </c>
      <c r="G23" s="13">
        <f si="7" t="shared"/>
        <v>0</v>
      </c>
      <c r="H23" s="13">
        <f si="8" t="shared"/>
        <v>0</v>
      </c>
      <c r="I23" s="13"/>
      <c r="J23" s="13">
        <f>SUM(B23:I23)</f>
        <v>2185</v>
      </c>
      <c r="K23" s="14"/>
      <c r="L23" t="str">
        <f>$A$10</f>
        <v>Roberston</v>
      </c>
      <c r="M23" s="13">
        <f si="5" t="shared"/>
        <v>0</v>
      </c>
      <c r="N23" s="13">
        <f si="10" t="shared"/>
        <v>5</v>
      </c>
      <c r="O23" s="13">
        <f si="10" t="shared"/>
        <v>145</v>
      </c>
      <c r="P23" s="13">
        <f si="10" t="shared"/>
        <v>1900</v>
      </c>
      <c r="Q23" s="13">
        <f si="10" t="shared"/>
        <v>135</v>
      </c>
      <c r="R23" s="13">
        <f si="10" t="shared"/>
        <v>0</v>
      </c>
      <c r="S23" s="13">
        <f si="10" t="shared"/>
        <v>0</v>
      </c>
      <c r="T23" s="13"/>
      <c r="U23" s="13">
        <f si="11" t="shared"/>
        <v>2185</v>
      </c>
    </row>
    <row r="24" spans="1:32" x14ac:dyDescent="0.25">
      <c r="A24" t="str">
        <f>$A$11</f>
        <v>Davidson</v>
      </c>
      <c r="B24" s="13">
        <f si="7" t="shared"/>
        <v>1605.3806650103697</v>
      </c>
      <c r="C24" s="13">
        <f si="7" t="shared"/>
        <v>810.95369273905817</v>
      </c>
      <c r="D24" s="13">
        <f si="7" t="shared"/>
        <v>893.11175241138176</v>
      </c>
      <c r="E24" s="13">
        <f si="7" t="shared"/>
        <v>373.45628663518517</v>
      </c>
      <c r="F24" s="13">
        <f si="7" t="shared"/>
        <v>45746.054454442063</v>
      </c>
      <c r="G24" s="13">
        <f si="7" t="shared"/>
        <v>0</v>
      </c>
      <c r="H24" s="13">
        <f si="8" t="shared"/>
        <v>346.04314876194536</v>
      </c>
      <c r="I24" s="13"/>
      <c r="J24" s="13">
        <f si="9" t="shared"/>
        <v>49775</v>
      </c>
      <c r="K24" s="14"/>
      <c r="L24" t="str">
        <f>$A$11</f>
        <v>Davidson</v>
      </c>
      <c r="M24" s="13">
        <f si="5" t="shared"/>
        <v>1100</v>
      </c>
      <c r="N24" s="13">
        <f si="10" t="shared"/>
        <v>290</v>
      </c>
      <c r="O24" s="13">
        <f si="10" t="shared"/>
        <v>405</v>
      </c>
      <c r="P24" s="13">
        <f si="10" t="shared"/>
        <v>25</v>
      </c>
      <c r="Q24" s="13">
        <f si="10" t="shared"/>
        <v>47705</v>
      </c>
      <c r="R24" s="13">
        <f si="10" t="shared"/>
        <v>5</v>
      </c>
      <c r="S24" s="13">
        <f si="10" t="shared"/>
        <v>245</v>
      </c>
      <c r="T24" s="13"/>
      <c r="U24" s="13">
        <f si="11" t="shared"/>
        <v>49775</v>
      </c>
    </row>
    <row r="25" spans="1:32" x14ac:dyDescent="0.25">
      <c r="A25" t="str">
        <f>$A$12</f>
        <v>Maury</v>
      </c>
      <c r="B25" s="13">
        <f si="7" t="shared"/>
        <v>209.78853737825494</v>
      </c>
      <c r="C25" s="13">
        <f si="7" t="shared"/>
        <v>0</v>
      </c>
      <c r="D25" s="13">
        <f si="7" t="shared"/>
        <v>0</v>
      </c>
      <c r="E25" s="13">
        <f si="7" t="shared"/>
        <v>0</v>
      </c>
      <c r="F25" s="13">
        <f si="7" t="shared"/>
        <v>0</v>
      </c>
      <c r="G25" s="13">
        <f si="7" t="shared"/>
        <v>3345.2114626217449</v>
      </c>
      <c r="H25" s="13">
        <f si="8" t="shared"/>
        <v>0</v>
      </c>
      <c r="I25" s="13"/>
      <c r="J25" s="13">
        <f si="9" t="shared"/>
        <v>3555</v>
      </c>
      <c r="K25" s="14"/>
      <c r="L25" t="str">
        <f>$A$12</f>
        <v>Maury</v>
      </c>
      <c r="M25" s="13">
        <f si="5" t="shared"/>
        <v>160</v>
      </c>
      <c r="N25" s="13">
        <f si="10" t="shared"/>
        <v>15</v>
      </c>
      <c r="O25" s="13">
        <f si="10" t="shared"/>
        <v>0</v>
      </c>
      <c r="P25" s="13">
        <f si="10" t="shared"/>
        <v>0</v>
      </c>
      <c r="Q25" s="13">
        <f si="10" t="shared"/>
        <v>15</v>
      </c>
      <c r="R25" s="13">
        <f si="10" t="shared"/>
        <v>3365</v>
      </c>
      <c r="S25" s="13">
        <f si="10" t="shared"/>
        <v>0</v>
      </c>
      <c r="T25" s="13"/>
      <c r="U25" s="13">
        <f si="11" t="shared"/>
        <v>3555</v>
      </c>
    </row>
    <row r="26" spans="1:32" x14ac:dyDescent="0.25">
      <c r="A26" t="str">
        <f>$A$13</f>
        <v>Wilson</v>
      </c>
      <c r="B26" s="13">
        <f>($U13/$J13)*B13</f>
        <v>0</v>
      </c>
      <c r="C26" s="13">
        <f ref="C26:G26" si="12" t="shared">($U13/$J13)*C13</f>
        <v>0</v>
      </c>
      <c r="D26" s="13">
        <f si="12" t="shared"/>
        <v>0</v>
      </c>
      <c r="E26" s="13">
        <f si="12" t="shared"/>
        <v>0</v>
      </c>
      <c r="F26" s="13">
        <f si="12" t="shared"/>
        <v>0</v>
      </c>
      <c r="G26" s="13">
        <f si="12" t="shared"/>
        <v>0</v>
      </c>
      <c r="H26" s="13">
        <f si="8" t="shared"/>
        <v>4490</v>
      </c>
      <c r="I26" s="13"/>
      <c r="J26" s="13">
        <f si="9" t="shared"/>
        <v>4490</v>
      </c>
      <c r="K26" s="14"/>
      <c r="L26" t="str">
        <f>$A$13</f>
        <v>Wilson</v>
      </c>
      <c r="M26" s="13">
        <f si="5" t="shared"/>
        <v>20</v>
      </c>
      <c r="N26" s="13">
        <f ref="N26:S26" si="13" t="shared">N13</f>
        <v>90</v>
      </c>
      <c r="O26" s="13">
        <f si="13" t="shared"/>
        <v>60</v>
      </c>
      <c r="P26" s="13">
        <f si="13" t="shared"/>
        <v>0</v>
      </c>
      <c r="Q26" s="13">
        <f si="13" t="shared"/>
        <v>550</v>
      </c>
      <c r="R26" s="13">
        <f si="13" t="shared"/>
        <v>0</v>
      </c>
      <c r="S26" s="13">
        <f si="13" t="shared"/>
        <v>3770</v>
      </c>
      <c r="T26" s="13"/>
      <c r="U26" s="13">
        <f si="11" t="shared"/>
        <v>4490</v>
      </c>
    </row>
    <row r="27" spans="1:32" x14ac:dyDescent="0.25">
      <c r="A27" s="7" t="s">
        <v>20</v>
      </c>
      <c r="B27" s="15"/>
      <c r="C27" s="15"/>
      <c r="D27" s="15"/>
      <c r="E27" s="15"/>
      <c r="F27" s="15"/>
      <c r="G27" s="15"/>
      <c r="H27" s="15"/>
      <c r="I27" s="15"/>
      <c r="J27" s="15">
        <f si="9" t="shared"/>
        <v>0</v>
      </c>
      <c r="K27" s="13"/>
      <c r="L27" s="746" t="s">
        <v>20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14" t="shared">SUM(B20:B27)</f>
        <v>11578.107553064801</v>
      </c>
      <c r="C28" s="16">
        <f si="14" t="shared"/>
        <v>12221.576545656491</v>
      </c>
      <c r="D28" s="16">
        <f si="14" t="shared"/>
        <v>4528.3591119795674</v>
      </c>
      <c r="E28" s="16">
        <f si="14" t="shared"/>
        <v>2725.7763988756624</v>
      </c>
      <c r="F28" s="16">
        <f si="14" t="shared"/>
        <v>47888.480223733524</v>
      </c>
      <c r="G28" s="16">
        <f si="14" t="shared"/>
        <v>3345.2114626217449</v>
      </c>
      <c r="H28" s="16">
        <f si="14" t="shared"/>
        <v>5042.4887040682152</v>
      </c>
      <c r="I28" s="16">
        <f si="14" t="shared"/>
        <v>0</v>
      </c>
      <c r="J28" s="16">
        <f si="14" t="shared"/>
        <v>87330</v>
      </c>
      <c r="K28" s="13"/>
      <c r="L28" s="16" t="s">
        <v>4</v>
      </c>
      <c r="M28" s="16">
        <f ref="M28:U28" si="15" t="shared">M15</f>
        <v>10080</v>
      </c>
      <c r="N28" s="16">
        <f si="15" t="shared"/>
        <v>11510</v>
      </c>
      <c r="O28" s="16">
        <f si="15" t="shared"/>
        <v>4360</v>
      </c>
      <c r="P28" s="16">
        <f si="15" t="shared"/>
        <v>2045</v>
      </c>
      <c r="Q28" s="16">
        <f si="15" t="shared"/>
        <v>51800</v>
      </c>
      <c r="R28" s="16">
        <f si="15" t="shared"/>
        <v>3425</v>
      </c>
      <c r="S28" s="16">
        <f si="15" t="shared"/>
        <v>4110</v>
      </c>
      <c r="T28" s="16"/>
      <c r="U28" s="16">
        <f si="15" t="shared"/>
        <v>87330</v>
      </c>
    </row>
    <row ht="15.75" r="31" spans="1:32" thickBot="1" x14ac:dyDescent="0.3">
      <c r="A31" s="4" t="s">
        <v>58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41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41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19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20</v>
      </c>
      <c r="J32" s="3" t="s">
        <v>4</v>
      </c>
      <c r="L32" s="2" t="s">
        <v>19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20</v>
      </c>
      <c r="U32" s="3" t="s">
        <v>4</v>
      </c>
      <c r="W32" s="2" t="s">
        <v>19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20</v>
      </c>
      <c r="AF32" s="3" t="s">
        <v>4</v>
      </c>
    </row>
    <row r="33" spans="1:32" x14ac:dyDescent="0.25">
      <c r="A33" t="str">
        <f>$A$7</f>
        <v>Williamson</v>
      </c>
      <c r="B33" s="17">
        <f ref="B33:H33" si="16" t="shared">B20/$J$28</f>
        <v>0.11179363736031349</v>
      </c>
      <c r="C33" s="17">
        <f si="16" t="shared"/>
        <v>0</v>
      </c>
      <c r="D33" s="17">
        <f si="16" t="shared"/>
        <v>0</v>
      </c>
      <c r="E33" s="17">
        <f si="16" t="shared"/>
        <v>0</v>
      </c>
      <c r="F33" s="17">
        <f si="16" t="shared"/>
        <v>1.0705417288175574E-2</v>
      </c>
      <c r="G33" s="17">
        <f si="16" t="shared"/>
        <v>0</v>
      </c>
      <c r="H33" s="17">
        <f si="16" t="shared"/>
        <v>9.4077129906619105E-4</v>
      </c>
      <c r="I33" s="13"/>
      <c r="J33" s="17">
        <f ref="J33:J39" si="17" t="shared">J20/$J$28</f>
        <v>0.12343982594755525</v>
      </c>
      <c r="K33" s="13"/>
      <c r="L33" t="str">
        <f>$A$7</f>
        <v>Williamson</v>
      </c>
      <c r="M33" s="17">
        <f ref="M33:S33" si="18" t="shared">M20/$U$28</f>
        <v>9.8763311576777743E-2</v>
      </c>
      <c r="N33" s="17">
        <f si="18" t="shared"/>
        <v>6.8704912401236691E-4</v>
      </c>
      <c r="O33" s="17">
        <f si="18" t="shared"/>
        <v>5.725409366769724E-5</v>
      </c>
      <c r="P33" s="17">
        <f si="18" t="shared"/>
        <v>5.725409366769724E-5</v>
      </c>
      <c r="Q33" s="17">
        <f si="18" t="shared"/>
        <v>2.3187907935417383E-2</v>
      </c>
      <c r="R33" s="17">
        <f si="18" t="shared"/>
        <v>6.2979503034466964E-4</v>
      </c>
      <c r="S33" s="17">
        <f si="18" t="shared"/>
        <v>5.725409366769724E-5</v>
      </c>
      <c r="T33" s="17"/>
      <c r="U33" s="17">
        <f ref="U33:U39" si="19" t="shared">U20/$U$28</f>
        <v>0.12343982594755525</v>
      </c>
      <c r="W33" t="str">
        <f>$A$7</f>
        <v>Williamson</v>
      </c>
      <c r="X33" s="17">
        <f ref="X33:AD39" si="20" t="shared">M33-B33</f>
        <v>-1.3030325783535746E-2</v>
      </c>
      <c r="Y33" s="17">
        <f si="20" t="shared"/>
        <v>6.8704912401236691E-4</v>
      </c>
      <c r="Z33" s="17">
        <f si="20" t="shared"/>
        <v>5.725409366769724E-5</v>
      </c>
      <c r="AA33" s="17">
        <f si="20" t="shared"/>
        <v>5.725409366769724E-5</v>
      </c>
      <c r="AB33" s="17">
        <f si="20" t="shared"/>
        <v>1.2482490647241809E-2</v>
      </c>
      <c r="AC33" s="17">
        <f si="20" t="shared"/>
        <v>6.2979503034466964E-4</v>
      </c>
      <c r="AD33" s="17">
        <f si="20" t="shared"/>
        <v>-8.8351720539849379E-4</v>
      </c>
      <c r="AE33" s="17"/>
      <c r="AF33" s="17">
        <f ref="AF33:AF39" si="21" t="shared">U33-J33</f>
        <v>0</v>
      </c>
    </row>
    <row r="34" spans="1:32" x14ac:dyDescent="0.25">
      <c r="A34" t="str">
        <f>$A$8</f>
        <v>Rutherford</v>
      </c>
      <c r="B34" s="17">
        <f ref="B34:G38" si="22" t="shared">B21/$J$28</f>
        <v>0</v>
      </c>
      <c r="C34" s="17">
        <f si="22" t="shared"/>
        <v>0.1306609739255403</v>
      </c>
      <c r="D34" s="17">
        <f si="22" t="shared"/>
        <v>0</v>
      </c>
      <c r="E34" s="17">
        <f si="22" t="shared"/>
        <v>0</v>
      </c>
      <c r="F34" s="17">
        <f si="22" t="shared"/>
        <v>5.2683974501746026E-3</v>
      </c>
      <c r="G34" s="17">
        <f si="22" t="shared"/>
        <v>0</v>
      </c>
      <c r="H34" s="17">
        <f ref="H34:H39" si="23" t="shared">H21/$J$28</f>
        <v>1.4231993330907924E-3</v>
      </c>
      <c r="I34" s="13"/>
      <c r="J34" s="17">
        <f si="17" t="shared"/>
        <v>0.13735257070880569</v>
      </c>
      <c r="K34" s="13"/>
      <c r="L34" t="str">
        <f>$A$8</f>
        <v>Rutherford</v>
      </c>
      <c r="M34" s="17">
        <f ref="M34:R38" si="24" t="shared">M21/$U$28</f>
        <v>1.9466391847017062E-3</v>
      </c>
      <c r="N34" s="17">
        <f si="24" t="shared"/>
        <v>0.12635978472460782</v>
      </c>
      <c r="O34" s="17">
        <f si="24" t="shared"/>
        <v>2.8627046833848619E-4</v>
      </c>
      <c r="P34" s="17">
        <f si="24" t="shared"/>
        <v>0</v>
      </c>
      <c r="Q34" s="17">
        <f si="24" t="shared"/>
        <v>8.0728272071453108E-3</v>
      </c>
      <c r="R34" s="17">
        <f si="24" t="shared"/>
        <v>0</v>
      </c>
      <c r="S34" s="17">
        <f ref="S34:S39" si="25" t="shared">S21/$U$28</f>
        <v>6.8704912401236691E-4</v>
      </c>
      <c r="T34" s="17"/>
      <c r="U34" s="17">
        <f si="19" t="shared"/>
        <v>0.13735257070880569</v>
      </c>
      <c r="W34" t="str">
        <f>$A$8</f>
        <v>Rutherford</v>
      </c>
      <c r="X34" s="17">
        <f ref="X34:X39" si="26" t="shared">M34-B34</f>
        <v>1.9466391847017062E-3</v>
      </c>
      <c r="Y34" s="17">
        <f ref="Y34:AC39" si="27" t="shared">N34-C34</f>
        <v>-4.3011892009324759E-3</v>
      </c>
      <c r="Z34" s="17">
        <f si="27" t="shared"/>
        <v>2.8627046833848619E-4</v>
      </c>
      <c r="AA34" s="17">
        <f si="27" t="shared"/>
        <v>0</v>
      </c>
      <c r="AB34" s="17">
        <f si="27" t="shared"/>
        <v>2.8044297569707081E-3</v>
      </c>
      <c r="AC34" s="17">
        <f si="27" t="shared"/>
        <v>0</v>
      </c>
      <c r="AD34" s="17">
        <f si="20" t="shared"/>
        <v>-7.3615020907842545E-4</v>
      </c>
      <c r="AE34" s="17"/>
      <c r="AF34" s="17">
        <f si="21" t="shared"/>
        <v>0</v>
      </c>
    </row>
    <row r="35" spans="1:32" x14ac:dyDescent="0.25">
      <c r="A35" t="str">
        <f>$A$9</f>
        <v>Sumner</v>
      </c>
      <c r="B35" s="17">
        <f si="22" t="shared"/>
        <v>0</v>
      </c>
      <c r="C35" s="17">
        <f si="22" t="shared"/>
        <v>0</v>
      </c>
      <c r="D35" s="17">
        <f si="22" t="shared"/>
        <v>3.8280671132496731E-2</v>
      </c>
      <c r="E35" s="17">
        <f si="22" t="shared"/>
        <v>6.1570097604387993E-3</v>
      </c>
      <c r="F35" s="17">
        <f si="22" t="shared"/>
        <v>7.6635443446689509E-3</v>
      </c>
      <c r="G35" s="17">
        <f si="22" t="shared"/>
        <v>0</v>
      </c>
      <c r="H35" s="17">
        <f si="23" t="shared"/>
        <v>0</v>
      </c>
      <c r="I35" s="13"/>
      <c r="J35" s="17">
        <f si="17" t="shared"/>
        <v>5.2101225237604479E-2</v>
      </c>
      <c r="K35" s="14"/>
      <c r="L35" t="str">
        <f>$A$9</f>
        <v>Sumner</v>
      </c>
      <c r="M35" s="17">
        <f si="24" t="shared"/>
        <v>5.725409366769724E-5</v>
      </c>
      <c r="N35" s="17">
        <f si="24" t="shared"/>
        <v>1.7176228100309173E-4</v>
      </c>
      <c r="O35" s="17">
        <f si="24" t="shared"/>
        <v>4.2597045688766745E-2</v>
      </c>
      <c r="P35" s="17">
        <f si="24" t="shared"/>
        <v>1.3168441543570364E-3</v>
      </c>
      <c r="Q35" s="17">
        <f si="24" t="shared"/>
        <v>7.6147944578037327E-3</v>
      </c>
      <c r="R35" s="17">
        <f si="24" t="shared"/>
        <v>0</v>
      </c>
      <c r="S35" s="17">
        <f si="25" t="shared"/>
        <v>3.4352456200618345E-4</v>
      </c>
      <c r="T35" s="17"/>
      <c r="U35" s="17">
        <f si="19" t="shared"/>
        <v>5.2101225237604486E-2</v>
      </c>
      <c r="W35" t="str">
        <f>$A$9</f>
        <v>Sumner</v>
      </c>
      <c r="X35" s="17">
        <f si="26" t="shared"/>
        <v>5.725409366769724E-5</v>
      </c>
      <c r="Y35" s="17">
        <f si="27" t="shared"/>
        <v>1.7176228100309173E-4</v>
      </c>
      <c r="Z35" s="17">
        <f si="27" t="shared"/>
        <v>4.316374556270014E-3</v>
      </c>
      <c r="AA35" s="17">
        <f si="27" t="shared"/>
        <v>-4.8401656060817633E-3</v>
      </c>
      <c r="AB35" s="17">
        <f si="27" t="shared"/>
        <v>-4.8749886865218257E-5</v>
      </c>
      <c r="AC35" s="17">
        <f si="27" t="shared"/>
        <v>0</v>
      </c>
      <c r="AD35" s="17">
        <f si="20" t="shared"/>
        <v>3.4352456200618345E-4</v>
      </c>
      <c r="AE35" s="17"/>
      <c r="AF35" s="17">
        <f si="21" t="shared"/>
        <v>0</v>
      </c>
    </row>
    <row r="36" spans="1:32" x14ac:dyDescent="0.25">
      <c r="A36" t="str">
        <f>$A$10</f>
        <v>Roberston</v>
      </c>
      <c r="B36" s="17">
        <f si="22" t="shared"/>
        <v>0</v>
      </c>
      <c r="C36" s="17">
        <f si="22" t="shared"/>
        <v>0</v>
      </c>
      <c r="D36" s="17">
        <f si="22" t="shared"/>
        <v>3.3458874334964636E-3</v>
      </c>
      <c r="E36" s="17">
        <f si="22" t="shared"/>
        <v>2.077898144808607E-2</v>
      </c>
      <c r="F36" s="17">
        <f si="22" t="shared"/>
        <v>8.9517005120115945E-4</v>
      </c>
      <c r="G36" s="17">
        <f si="22" t="shared"/>
        <v>0</v>
      </c>
      <c r="H36" s="17">
        <f si="23" t="shared"/>
        <v>0</v>
      </c>
      <c r="I36" s="13"/>
      <c r="J36" s="17">
        <f si="17" t="shared"/>
        <v>2.5020038932783695E-2</v>
      </c>
      <c r="K36" s="14"/>
      <c r="L36" t="str">
        <f>$A$10</f>
        <v>Roberston</v>
      </c>
      <c r="M36" s="17">
        <f si="24" t="shared"/>
        <v>0</v>
      </c>
      <c r="N36" s="17">
        <f si="24" t="shared"/>
        <v>5.725409366769724E-5</v>
      </c>
      <c r="O36" s="17">
        <f si="24" t="shared"/>
        <v>1.66036871636322E-3</v>
      </c>
      <c r="P36" s="17">
        <f si="24" t="shared"/>
        <v>2.1756555593724951E-2</v>
      </c>
      <c r="Q36" s="17">
        <f si="24" t="shared"/>
        <v>1.5458605290278255E-3</v>
      </c>
      <c r="R36" s="17">
        <f si="24" t="shared"/>
        <v>0</v>
      </c>
      <c r="S36" s="17">
        <f si="25" t="shared"/>
        <v>0</v>
      </c>
      <c r="T36" s="17"/>
      <c r="U36" s="17">
        <f si="19" t="shared"/>
        <v>2.5020038932783695E-2</v>
      </c>
      <c r="W36" t="str">
        <f>$A$10</f>
        <v>Roberston</v>
      </c>
      <c r="X36" s="17">
        <f si="26" t="shared"/>
        <v>0</v>
      </c>
      <c r="Y36" s="17">
        <f si="27" t="shared"/>
        <v>5.725409366769724E-5</v>
      </c>
      <c r="Z36" s="17">
        <f si="27" t="shared"/>
        <v>-1.6855187171332436E-3</v>
      </c>
      <c r="AA36" s="17">
        <f si="27" t="shared"/>
        <v>9.7757414563888131E-4</v>
      </c>
      <c r="AB36" s="17">
        <f si="27" t="shared"/>
        <v>6.5069047782666603E-4</v>
      </c>
      <c r="AC36" s="17">
        <f si="27" t="shared"/>
        <v>0</v>
      </c>
      <c r="AD36" s="17">
        <f si="20" t="shared"/>
        <v>0</v>
      </c>
      <c r="AE36" s="17"/>
      <c r="AF36" s="17">
        <f si="21" t="shared"/>
        <v>0</v>
      </c>
    </row>
    <row r="37" spans="1:32" x14ac:dyDescent="0.25">
      <c r="A37" t="str">
        <f>$A$11</f>
        <v>Davidson</v>
      </c>
      <c r="B37" s="17">
        <f si="22" t="shared"/>
        <v>1.838292299336276E-2</v>
      </c>
      <c r="C37" s="17">
        <f si="22" t="shared"/>
        <v>9.2860837368494015E-3</v>
      </c>
      <c r="D37" s="17">
        <f si="22" t="shared"/>
        <v>1.0226860785656496E-2</v>
      </c>
      <c r="E37" s="17">
        <f si="22" t="shared"/>
        <v>4.2763802431602565E-3</v>
      </c>
      <c r="F37" s="17">
        <f si="22" t="shared"/>
        <v>0.52382977733244085</v>
      </c>
      <c r="G37" s="17">
        <f si="22" t="shared"/>
        <v>0</v>
      </c>
      <c r="H37" s="17">
        <f si="23" t="shared"/>
        <v>3.9624773704562619E-3</v>
      </c>
      <c r="I37" s="13"/>
      <c r="J37" s="17">
        <f si="17" t="shared"/>
        <v>0.56996450246192598</v>
      </c>
      <c r="K37" s="14"/>
      <c r="L37" t="str">
        <f>$A$11</f>
        <v>Davidson</v>
      </c>
      <c r="M37" s="17">
        <f si="24" t="shared"/>
        <v>1.2595900606893393E-2</v>
      </c>
      <c r="N37" s="17">
        <f si="24" t="shared"/>
        <v>3.32073743272644E-3</v>
      </c>
      <c r="O37" s="17">
        <f si="24" t="shared"/>
        <v>4.6375815870834764E-3</v>
      </c>
      <c r="P37" s="17">
        <f si="24" t="shared"/>
        <v>2.8627046833848619E-4</v>
      </c>
      <c r="Q37" s="17">
        <f si="24" t="shared"/>
        <v>0.54626130768349934</v>
      </c>
      <c r="R37" s="17">
        <f si="24" t="shared"/>
        <v>5.725409366769724E-5</v>
      </c>
      <c r="S37" s="17">
        <f si="25" t="shared"/>
        <v>2.805450589717165E-3</v>
      </c>
      <c r="T37" s="17"/>
      <c r="U37" s="17">
        <f si="19" t="shared"/>
        <v>0.56996450246192598</v>
      </c>
      <c r="W37" t="str">
        <f>$A$11</f>
        <v>Davidson</v>
      </c>
      <c r="X37" s="17">
        <f si="26" t="shared"/>
        <v>-5.7870223864693662E-3</v>
      </c>
      <c r="Y37" s="17">
        <f si="27" t="shared"/>
        <v>-5.965346304122961E-3</v>
      </c>
      <c r="Z37" s="17">
        <f si="27" t="shared"/>
        <v>-5.5892791985730191E-3</v>
      </c>
      <c r="AA37" s="17">
        <f si="27" t="shared"/>
        <v>-3.9901097748217705E-3</v>
      </c>
      <c r="AB37" s="17">
        <f si="27" t="shared"/>
        <v>2.2431530351058493E-2</v>
      </c>
      <c r="AC37" s="17">
        <f si="27" t="shared"/>
        <v>5.725409366769724E-5</v>
      </c>
      <c r="AD37" s="17">
        <f si="20" t="shared"/>
        <v>-1.1570267807390969E-3</v>
      </c>
      <c r="AE37" s="17"/>
      <c r="AF37" s="17">
        <f si="21" t="shared"/>
        <v>0</v>
      </c>
    </row>
    <row r="38" spans="1:32" x14ac:dyDescent="0.25">
      <c r="A38" t="str">
        <f>$A$12</f>
        <v>Maury</v>
      </c>
      <c r="B38" s="17">
        <f si="22" t="shared"/>
        <v>2.4022505138927624E-3</v>
      </c>
      <c r="C38" s="17">
        <f si="22" t="shared"/>
        <v>0</v>
      </c>
      <c r="D38" s="17">
        <f si="22" t="shared"/>
        <v>0</v>
      </c>
      <c r="E38" s="17">
        <f si="22" t="shared"/>
        <v>0</v>
      </c>
      <c r="F38" s="17">
        <f si="22" t="shared"/>
        <v>0</v>
      </c>
      <c r="G38" s="17">
        <f si="22" t="shared"/>
        <v>3.8305410083839975E-2</v>
      </c>
      <c r="H38" s="17">
        <f si="23" t="shared"/>
        <v>0</v>
      </c>
      <c r="I38" s="13"/>
      <c r="J38" s="17">
        <f si="17" t="shared"/>
        <v>4.0707660597732738E-2</v>
      </c>
      <c r="K38" s="14"/>
      <c r="L38" t="str">
        <f>$A$12</f>
        <v>Maury</v>
      </c>
      <c r="M38" s="17">
        <f si="24" t="shared"/>
        <v>1.8321309973663117E-3</v>
      </c>
      <c r="N38" s="17">
        <f si="24" t="shared"/>
        <v>1.7176228100309173E-4</v>
      </c>
      <c r="O38" s="17">
        <f si="24" t="shared"/>
        <v>0</v>
      </c>
      <c r="P38" s="17">
        <f si="24" t="shared"/>
        <v>0</v>
      </c>
      <c r="Q38" s="17">
        <f si="24" t="shared"/>
        <v>1.7176228100309173E-4</v>
      </c>
      <c r="R38" s="17">
        <f si="24" t="shared"/>
        <v>3.853200503836024E-2</v>
      </c>
      <c r="S38" s="17">
        <f si="25" t="shared"/>
        <v>0</v>
      </c>
      <c r="T38" s="17"/>
      <c r="U38" s="17">
        <f si="19" t="shared"/>
        <v>4.0707660597732738E-2</v>
      </c>
      <c r="W38" t="str">
        <f>$A$12</f>
        <v>Maury</v>
      </c>
      <c r="X38" s="17">
        <f si="26" t="shared"/>
        <v>-5.7011951652645074E-4</v>
      </c>
      <c r="Y38" s="17">
        <f si="27" t="shared"/>
        <v>1.7176228100309173E-4</v>
      </c>
      <c r="Z38" s="17">
        <f si="27" t="shared"/>
        <v>0</v>
      </c>
      <c r="AA38" s="17">
        <f si="27" t="shared"/>
        <v>0</v>
      </c>
      <c r="AB38" s="17">
        <f si="27" t="shared"/>
        <v>1.7176228100309173E-4</v>
      </c>
      <c r="AC38" s="17">
        <f si="27" t="shared"/>
        <v>2.2659495452026501E-4</v>
      </c>
      <c r="AD38" s="17">
        <f si="20" t="shared"/>
        <v>0</v>
      </c>
      <c r="AE38" s="17"/>
      <c r="AF38" s="17">
        <f si="21" t="shared"/>
        <v>0</v>
      </c>
    </row>
    <row r="39" spans="1:32" x14ac:dyDescent="0.25">
      <c r="A39" t="str">
        <f>$A$13</f>
        <v>Wilson</v>
      </c>
      <c r="B39" s="17">
        <f>B26/$J$28</f>
        <v>0</v>
      </c>
      <c r="C39" s="17">
        <f ref="C39:G39" si="28" t="shared">C26/$J$28</f>
        <v>0</v>
      </c>
      <c r="D39" s="17">
        <f si="28" t="shared"/>
        <v>0</v>
      </c>
      <c r="E39" s="17">
        <f si="28" t="shared"/>
        <v>0</v>
      </c>
      <c r="F39" s="17">
        <f si="28" t="shared"/>
        <v>0</v>
      </c>
      <c r="G39" s="17">
        <f si="28" t="shared"/>
        <v>0</v>
      </c>
      <c r="H39" s="17">
        <f si="23" t="shared"/>
        <v>5.1414176113592121E-2</v>
      </c>
      <c r="I39" s="13"/>
      <c r="J39" s="17">
        <f si="17" t="shared"/>
        <v>5.1414176113592121E-2</v>
      </c>
      <c r="K39" s="14"/>
      <c r="L39" t="str">
        <f>$A$13</f>
        <v>Wilson</v>
      </c>
      <c r="M39" s="17">
        <f>M26/$U$28</f>
        <v>2.2901637467078896E-4</v>
      </c>
      <c r="N39" s="17">
        <f ref="N39:R39" si="29" t="shared">N26/$U$28</f>
        <v>1.0305736860185502E-3</v>
      </c>
      <c r="O39" s="17">
        <f si="29" t="shared"/>
        <v>6.8704912401236691E-4</v>
      </c>
      <c r="P39" s="17">
        <f si="29" t="shared"/>
        <v>0</v>
      </c>
      <c r="Q39" s="17">
        <f si="29" t="shared"/>
        <v>6.2979503034466967E-3</v>
      </c>
      <c r="R39" s="17">
        <f si="29" t="shared"/>
        <v>0</v>
      </c>
      <c r="S39" s="17">
        <f si="25" t="shared"/>
        <v>4.316958662544372E-2</v>
      </c>
      <c r="T39" s="17"/>
      <c r="U39" s="17">
        <f si="19" t="shared"/>
        <v>5.1414176113592121E-2</v>
      </c>
      <c r="W39" t="str">
        <f>$A$13</f>
        <v>Wilson</v>
      </c>
      <c r="X39" s="17">
        <f si="26" t="shared"/>
        <v>2.2901637467078896E-4</v>
      </c>
      <c r="Y39" s="17">
        <f si="27" t="shared"/>
        <v>1.0305736860185502E-3</v>
      </c>
      <c r="Z39" s="17">
        <f si="27" t="shared"/>
        <v>6.8704912401236691E-4</v>
      </c>
      <c r="AA39" s="17">
        <f si="27" t="shared"/>
        <v>0</v>
      </c>
      <c r="AB39" s="17">
        <f si="27" t="shared"/>
        <v>6.2979503034466967E-3</v>
      </c>
      <c r="AC39" s="17">
        <f si="27" t="shared"/>
        <v>0</v>
      </c>
      <c r="AD39" s="17">
        <f si="20" t="shared"/>
        <v>-8.2445894881484003E-3</v>
      </c>
      <c r="AE39" s="17"/>
      <c r="AF39" s="17">
        <f si="21" t="shared"/>
        <v>0</v>
      </c>
    </row>
    <row r="40" spans="1:32" x14ac:dyDescent="0.25">
      <c r="A40" s="7" t="s">
        <v>20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20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20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30" t="shared">B28/$J$28</f>
        <v>0.13257881086756901</v>
      </c>
      <c r="C41" s="19">
        <f si="30" t="shared"/>
        <v>0.13994705766238968</v>
      </c>
      <c r="D41" s="19">
        <f si="30" t="shared"/>
        <v>5.1853419351649686E-2</v>
      </c>
      <c r="E41" s="19">
        <f si="30" t="shared"/>
        <v>3.1212371451685129E-2</v>
      </c>
      <c r="F41" s="19">
        <f si="30" t="shared"/>
        <v>0.54836230646666118</v>
      </c>
      <c r="G41" s="19">
        <f si="30" t="shared"/>
        <v>3.8305410083839975E-2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0.11542425283407763</v>
      </c>
      <c r="N41" s="19">
        <f>N28/$U$28</f>
        <v>0.13179892362303905</v>
      </c>
      <c r="O41" s="19">
        <f>O28/$U$28</f>
        <v>4.9925569678231994E-2</v>
      </c>
      <c r="P41" s="19">
        <f>P28/$U$28</f>
        <v>2.3416924310088173E-2</v>
      </c>
      <c r="Q41" s="19">
        <f ref="Q41:S41" si="31" t="shared">Q28/$U$28</f>
        <v>0.59315241039734345</v>
      </c>
      <c r="R41" s="19">
        <f si="31" t="shared"/>
        <v>3.9219054162372612E-2</v>
      </c>
      <c r="S41" s="19">
        <f si="31" t="shared"/>
        <v>4.7062864994847131E-2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32" t="shared">M41-B41</f>
        <v>-1.7154558033491377E-2</v>
      </c>
      <c r="Y41" s="19">
        <f si="32" t="shared"/>
        <v>-8.1481340393506352E-3</v>
      </c>
      <c r="Z41" s="19">
        <f si="32" t="shared"/>
        <v>-1.927849673417692E-3</v>
      </c>
      <c r="AA41" s="19">
        <f si="32" t="shared"/>
        <v>-7.7954471415969569E-3</v>
      </c>
      <c r="AB41" s="19">
        <f si="32" t="shared"/>
        <v>4.4790103930682279E-2</v>
      </c>
      <c r="AC41" s="19">
        <f si="32" t="shared"/>
        <v>9.1364407853263691E-4</v>
      </c>
      <c r="AD41" s="19">
        <f si="32" t="shared"/>
        <v>4.7062864994847131E-2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26</v>
      </c>
    </row>
    <row r="2" spans="1:3" x14ac:dyDescent="0.25">
      <c r="A2">
        <v>1</v>
      </c>
      <c r="B2" t="s">
        <v>27</v>
      </c>
    </row>
    <row r="3" spans="1:3" x14ac:dyDescent="0.25">
      <c r="B3" t="s">
        <v>28</v>
      </c>
      <c r="C3" t="s">
        <v>29</v>
      </c>
    </row>
    <row r="4" spans="1:3" x14ac:dyDescent="0.25">
      <c r="B4" t="s">
        <v>30</v>
      </c>
      <c r="C4" t="s">
        <v>31</v>
      </c>
    </row>
    <row r="5" spans="1:3" x14ac:dyDescent="0.25">
      <c r="B5" t="s">
        <v>32</v>
      </c>
      <c r="C5" t="s">
        <v>33</v>
      </c>
    </row>
    <row r="6" spans="1:3" x14ac:dyDescent="0.25">
      <c r="B6" t="s">
        <v>34</v>
      </c>
      <c r="C6" t="s">
        <v>35</v>
      </c>
    </row>
    <row r="8" spans="1:3" x14ac:dyDescent="0.25">
      <c r="A8">
        <v>2</v>
      </c>
      <c r="B8" t="s">
        <v>36</v>
      </c>
    </row>
    <row r="10" spans="1:3" x14ac:dyDescent="0.25">
      <c r="A10">
        <v>3</v>
      </c>
      <c r="B10" t="s">
        <v>37</v>
      </c>
    </row>
    <row r="12" spans="1:3" x14ac:dyDescent="0.25">
      <c r="A12">
        <v>4</v>
      </c>
      <c r="B12" t="s">
        <v>38</v>
      </c>
    </row>
    <row r="14" spans="1:3" x14ac:dyDescent="0.25">
      <c r="A14">
        <v>5</v>
      </c>
      <c r="B14" t="s">
        <v>39</v>
      </c>
    </row>
    <row r="15" spans="1:3" x14ac:dyDescent="0.25">
      <c r="B15" t="s">
        <v>40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K31" sqref="K31"/>
    </sheetView>
  </sheetViews>
  <sheetFormatPr defaultRowHeight="15" x14ac:dyDescent="0.25"/>
  <sheetData>
    <row r="1" spans="1:11" x14ac:dyDescent="0.25">
      <c r="A1" s="750" t="s">
        <v>248</v>
      </c>
      <c r="B1" s="775"/>
      <c r="C1" s="775"/>
      <c r="D1" s="775"/>
      <c r="E1" s="775"/>
      <c r="F1" s="775"/>
      <c r="G1" s="775"/>
      <c r="H1" s="775" t="s">
        <v>249</v>
      </c>
      <c r="I1" s="775"/>
      <c r="J1" s="775"/>
      <c r="K1" s="775"/>
    </row>
    <row r="2" spans="1:11" x14ac:dyDescent="0.25">
      <c r="A2" s="775">
        <v>1</v>
      </c>
      <c r="B2" s="775" t="s">
        <v>250</v>
      </c>
      <c r="C2" s="775"/>
      <c r="D2" s="775"/>
      <c r="E2" s="775"/>
      <c r="F2" s="775"/>
      <c r="G2" s="775"/>
      <c r="H2" s="775"/>
      <c r="I2" s="775"/>
      <c r="J2" s="775"/>
      <c r="K2" s="775"/>
    </row>
    <row r="3" spans="1:11" x14ac:dyDescent="0.25">
      <c r="A3" s="775">
        <v>2</v>
      </c>
      <c r="B3" s="775" t="s">
        <v>251</v>
      </c>
      <c r="C3" s="775"/>
      <c r="D3" s="775"/>
      <c r="E3" s="775"/>
      <c r="F3" s="775"/>
      <c r="G3" s="775"/>
      <c r="H3" s="775"/>
      <c r="I3" s="775"/>
      <c r="J3" s="775"/>
      <c r="K3" s="775"/>
    </row>
    <row r="4" spans="1:11" x14ac:dyDescent="0.25">
      <c r="A4" s="775">
        <v>3</v>
      </c>
      <c r="B4" s="775" t="s">
        <v>252</v>
      </c>
      <c r="C4" s="775"/>
      <c r="D4" s="775"/>
      <c r="E4" s="775"/>
      <c r="F4" s="775"/>
      <c r="G4" s="775"/>
      <c r="H4" s="775"/>
      <c r="I4" s="775"/>
      <c r="J4" s="775"/>
      <c r="K4" s="775"/>
    </row>
    <row r="5" spans="1:11" x14ac:dyDescent="0.25">
      <c r="A5" s="775">
        <v>4</v>
      </c>
      <c r="B5" s="775" t="s">
        <v>253</v>
      </c>
      <c r="C5" s="775"/>
      <c r="D5" s="775"/>
      <c r="E5" s="775"/>
      <c r="F5" s="775"/>
      <c r="G5" s="775"/>
      <c r="H5" s="775"/>
      <c r="I5" s="775"/>
      <c r="J5" s="775"/>
      <c r="K5" s="775"/>
    </row>
    <row r="8" spans="1:11" x14ac:dyDescent="0.25">
      <c r="B8" t="s">
        <v>254</v>
      </c>
      <c r="C8" t="s">
        <v>255</v>
      </c>
      <c r="D8" t="s">
        <v>256</v>
      </c>
      <c r="E8" t="s">
        <v>257</v>
      </c>
      <c r="F8" t="s">
        <v>258</v>
      </c>
      <c r="G8" t="s">
        <v>259</v>
      </c>
      <c r="H8" t="s">
        <v>260</v>
      </c>
    </row>
    <row r="9" spans="1:11" x14ac:dyDescent="0.25">
      <c r="A9" t="s">
        <v>261</v>
      </c>
      <c r="B9" t="s">
        <v>262</v>
      </c>
      <c r="C9" t="s">
        <v>263</v>
      </c>
      <c r="D9" t="s">
        <v>264</v>
      </c>
      <c r="E9">
        <v>4</v>
      </c>
      <c r="F9" s="790">
        <v>0.48607638888888888</v>
      </c>
      <c r="G9" t="s">
        <v>265</v>
      </c>
      <c r="H9">
        <v>24</v>
      </c>
      <c r="I9" t="s">
        <v>266</v>
      </c>
      <c r="J9">
        <v>12</v>
      </c>
    </row>
    <row r="10" spans="1:11" x14ac:dyDescent="0.25">
      <c r="A10" t="s">
        <v>267</v>
      </c>
    </row>
    <row r="11" spans="1:11" x14ac:dyDescent="0.25">
      <c r="B11">
        <v>1</v>
      </c>
      <c r="C11" t="s">
        <v>66</v>
      </c>
      <c r="D11" t="s">
        <v>268</v>
      </c>
      <c r="E11">
        <v>1</v>
      </c>
      <c r="F11">
        <v>0</v>
      </c>
    </row>
    <row r="12" spans="1:11" x14ac:dyDescent="0.25">
      <c r="B12">
        <v>2</v>
      </c>
      <c r="C12" t="s">
        <v>69</v>
      </c>
      <c r="D12" t="s">
        <v>269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72</v>
      </c>
      <c r="D13" t="s">
        <v>269</v>
      </c>
      <c r="E13" s="791">
        <v>7.0220312730799997E-2</v>
      </c>
      <c r="F13">
        <v>0.25869937796300002</v>
      </c>
    </row>
    <row r="14" spans="1:11" x14ac:dyDescent="0.25">
      <c r="B14">
        <v>4</v>
      </c>
      <c r="C14" t="s">
        <v>75</v>
      </c>
      <c r="D14" t="s">
        <v>269</v>
      </c>
      <c r="E14" s="791">
        <v>-3.3904088920700001E-2</v>
      </c>
      <c r="F14">
        <v>0.29717527652300002</v>
      </c>
    </row>
    <row r="15" spans="1:11" x14ac:dyDescent="0.25">
      <c r="B15">
        <v>5</v>
      </c>
      <c r="C15" t="s">
        <v>78</v>
      </c>
      <c r="D15" t="s">
        <v>269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80</v>
      </c>
      <c r="D16" t="s">
        <v>269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82</v>
      </c>
      <c r="D17" t="s">
        <v>269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85</v>
      </c>
      <c r="D18" t="s">
        <v>269</v>
      </c>
      <c r="E18">
        <v>1.39963442933</v>
      </c>
      <c r="F18">
        <v>0.219287303381</v>
      </c>
    </row>
    <row r="19" spans="2:6" x14ac:dyDescent="0.25">
      <c r="B19">
        <v>9</v>
      </c>
      <c r="C19" t="s">
        <v>87</v>
      </c>
      <c r="D19" t="s">
        <v>269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89</v>
      </c>
      <c r="D20" t="s">
        <v>269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91</v>
      </c>
      <c r="D21" t="s">
        <v>269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93</v>
      </c>
      <c r="D22" t="s">
        <v>269</v>
      </c>
      <c r="E22">
        <v>-0.913115187153</v>
      </c>
      <c r="F22">
        <v>0.28732544144</v>
      </c>
    </row>
    <row r="23" spans="2:6" x14ac:dyDescent="0.25">
      <c r="B23">
        <v>13</v>
      </c>
      <c r="C23" t="s">
        <v>95</v>
      </c>
      <c r="D23" t="s">
        <v>269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97</v>
      </c>
      <c r="D24" t="s">
        <v>269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99</v>
      </c>
      <c r="D25" t="s">
        <v>269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101</v>
      </c>
      <c r="D26" t="s">
        <v>269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104</v>
      </c>
      <c r="D27" t="s">
        <v>268</v>
      </c>
      <c r="E27">
        <v>0</v>
      </c>
      <c r="F27">
        <v>0</v>
      </c>
    </row>
    <row r="28" spans="2:6" x14ac:dyDescent="0.25">
      <c r="B28">
        <v>18</v>
      </c>
      <c r="C28" t="s">
        <v>107</v>
      </c>
      <c r="D28" t="s">
        <v>268</v>
      </c>
      <c r="E28">
        <v>0</v>
      </c>
      <c r="F28">
        <v>0</v>
      </c>
    </row>
    <row r="29" spans="2:6" x14ac:dyDescent="0.25">
      <c r="B29">
        <v>19</v>
      </c>
      <c r="C29" t="s">
        <v>110</v>
      </c>
      <c r="D29" t="s">
        <v>268</v>
      </c>
      <c r="E29">
        <v>0</v>
      </c>
      <c r="F29">
        <v>0</v>
      </c>
    </row>
    <row r="30" spans="2:6" x14ac:dyDescent="0.25">
      <c r="B30">
        <v>20</v>
      </c>
      <c r="C30" t="s">
        <v>113</v>
      </c>
      <c r="D30" t="s">
        <v>269</v>
      </c>
      <c r="E30">
        <v>0.55927220197000005</v>
      </c>
      <c r="F30" s="791">
        <v>6.3070773371999997E-2</v>
      </c>
    </row>
    <row r="31" spans="2:6" x14ac:dyDescent="0.25">
      <c r="B31">
        <v>21</v>
      </c>
      <c r="C31" t="s">
        <v>115</v>
      </c>
      <c r="D31" t="s">
        <v>269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117</v>
      </c>
      <c r="D32" t="s">
        <v>269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119</v>
      </c>
      <c r="D33" t="s">
        <v>269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270</v>
      </c>
      <c r="D34" t="s">
        <v>269</v>
      </c>
      <c r="E34">
        <v>-1.4293629385</v>
      </c>
      <c r="F34">
        <v>0</v>
      </c>
    </row>
    <row r="35" spans="2:6" x14ac:dyDescent="0.25">
      <c r="B35">
        <v>24</v>
      </c>
      <c r="C35" t="s">
        <v>121</v>
      </c>
      <c r="D35" t="s">
        <v>269</v>
      </c>
      <c r="E35">
        <v>0.21220129380800001</v>
      </c>
      <c r="F35" s="791">
        <v>2.3591368768600001E-2</v>
      </c>
    </row>
    <row r="36" spans="2:6" x14ac:dyDescent="0.25">
      <c r="B36">
        <v>25</v>
      </c>
      <c r="C36" t="s">
        <v>124</v>
      </c>
      <c r="D36" t="s">
        <v>269</v>
      </c>
      <c r="E36">
        <v>-0.156772126135</v>
      </c>
      <c r="F36" s="791">
        <v>2.5404206972699999E-2</v>
      </c>
    </row>
    <row r="37" spans="2:6" x14ac:dyDescent="0.25">
      <c r="B37">
        <v>26</v>
      </c>
      <c r="C37" t="s">
        <v>126</v>
      </c>
      <c r="D37" t="s">
        <v>269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127</v>
      </c>
      <c r="D38" t="s">
        <v>269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129</v>
      </c>
      <c r="D39" t="s">
        <v>269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130</v>
      </c>
      <c r="D40" t="s">
        <v>269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131</v>
      </c>
      <c r="D41" t="s">
        <v>269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133</v>
      </c>
      <c r="D42" t="s">
        <v>269</v>
      </c>
      <c r="E42">
        <v>0.161916660248</v>
      </c>
      <c r="F42" s="791">
        <v>2.4598246513100001E-2</v>
      </c>
    </row>
    <row r="43" spans="2:6" x14ac:dyDescent="0.25">
      <c r="B43">
        <v>32</v>
      </c>
      <c r="C43" t="s">
        <v>135</v>
      </c>
      <c r="D43" t="s">
        <v>269</v>
      </c>
      <c r="E43">
        <v>-0.164548260329</v>
      </c>
      <c r="F43" s="791">
        <v>3.0497321424399999E-2</v>
      </c>
    </row>
    <row r="44" spans="2:6" x14ac:dyDescent="0.25">
      <c r="B44">
        <v>33</v>
      </c>
      <c r="C44" t="s">
        <v>137</v>
      </c>
      <c r="D44" t="s">
        <v>269</v>
      </c>
      <c r="E44">
        <v>0.20498917376299999</v>
      </c>
      <c r="F44" s="791">
        <v>2.26070286041E-2</v>
      </c>
    </row>
    <row r="45" spans="2:6" x14ac:dyDescent="0.25">
      <c r="B45">
        <v>34</v>
      </c>
      <c r="C45" t="s">
        <v>139</v>
      </c>
      <c r="D45" t="s">
        <v>269</v>
      </c>
      <c r="E45">
        <v>-0.128001396233</v>
      </c>
      <c r="F45" s="791">
        <v>2.71057179313E-2</v>
      </c>
    </row>
    <row r="46" spans="2:6" x14ac:dyDescent="0.25">
      <c r="B46">
        <v>35</v>
      </c>
      <c r="C46" t="s">
        <v>142</v>
      </c>
      <c r="D46" t="s">
        <v>269</v>
      </c>
      <c r="E46" s="791">
        <v>6.1170505754699997E-2</v>
      </c>
      <c r="F46" s="791">
        <v>1.6417141522400001E-2</v>
      </c>
    </row>
    <row r="47" spans="2:6" x14ac:dyDescent="0.25">
      <c r="B47">
        <v>36</v>
      </c>
      <c r="C47" t="s">
        <v>144</v>
      </c>
      <c r="D47" t="s">
        <v>269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145</v>
      </c>
      <c r="D48" t="s">
        <v>269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147</v>
      </c>
      <c r="D49" t="s">
        <v>269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148</v>
      </c>
      <c r="D50" t="s">
        <v>269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149</v>
      </c>
      <c r="D51" t="s">
        <v>269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150</v>
      </c>
      <c r="D52" t="s">
        <v>269</v>
      </c>
      <c r="E52">
        <v>-0.149205194047</v>
      </c>
      <c r="F52" s="791">
        <v>2.2183697722899999E-2</v>
      </c>
    </row>
    <row r="53" spans="2:6" x14ac:dyDescent="0.25">
      <c r="B53">
        <v>42</v>
      </c>
      <c r="C53" t="s">
        <v>152</v>
      </c>
      <c r="D53" t="s">
        <v>269</v>
      </c>
      <c r="E53">
        <v>0.517393579278</v>
      </c>
      <c r="F53" s="791">
        <v>3.32158540558E-2</v>
      </c>
    </row>
    <row r="54" spans="2:6" x14ac:dyDescent="0.25">
      <c r="B54">
        <v>43</v>
      </c>
      <c r="C54" t="s">
        <v>154</v>
      </c>
      <c r="D54" t="s">
        <v>269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155</v>
      </c>
      <c r="D55" t="s">
        <v>269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157</v>
      </c>
      <c r="D56" t="s">
        <v>269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159</v>
      </c>
      <c r="D57" t="s">
        <v>269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161</v>
      </c>
      <c r="D58" t="s">
        <v>269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164</v>
      </c>
      <c r="D59" t="s">
        <v>269</v>
      </c>
      <c r="E59">
        <v>0.16683062839400001</v>
      </c>
      <c r="F59" s="791">
        <v>3.6092162993199998E-2</v>
      </c>
    </row>
    <row r="60" spans="2:6" x14ac:dyDescent="0.25">
      <c r="B60">
        <v>49</v>
      </c>
      <c r="C60" t="s">
        <v>166</v>
      </c>
      <c r="D60" t="s">
        <v>269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167</v>
      </c>
      <c r="D61" t="s">
        <v>269</v>
      </c>
      <c r="E61">
        <v>-10.275631588</v>
      </c>
      <c r="F61">
        <v>2.32184701625</v>
      </c>
    </row>
    <row r="62" spans="2:6" x14ac:dyDescent="0.25">
      <c r="B62">
        <v>51</v>
      </c>
      <c r="C62" t="s">
        <v>168</v>
      </c>
      <c r="D62" t="s">
        <v>269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169</v>
      </c>
      <c r="D63" t="s">
        <v>269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170</v>
      </c>
      <c r="D64" t="s">
        <v>269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171</v>
      </c>
      <c r="D65" t="s">
        <v>269</v>
      </c>
      <c r="E65">
        <v>0.21306405683599999</v>
      </c>
      <c r="F65" s="791">
        <v>4.0484886653700002E-2</v>
      </c>
    </row>
    <row r="66" spans="2:6" x14ac:dyDescent="0.25">
      <c r="B66">
        <v>55</v>
      </c>
      <c r="C66" t="s">
        <v>173</v>
      </c>
      <c r="D66" t="s">
        <v>269</v>
      </c>
      <c r="E66">
        <v>0.49322187999099998</v>
      </c>
      <c r="F66" s="791">
        <v>4.4144582285800003E-2</v>
      </c>
    </row>
    <row r="67" spans="2:6" x14ac:dyDescent="0.25">
      <c r="B67">
        <v>56</v>
      </c>
      <c r="C67" t="s">
        <v>174</v>
      </c>
      <c r="D67" t="s">
        <v>269</v>
      </c>
      <c r="E67">
        <v>-0.81297460986500003</v>
      </c>
      <c r="F67" s="791">
        <v>4.4146608637300001E-2</v>
      </c>
    </row>
    <row r="68" spans="2:6" x14ac:dyDescent="0.25">
      <c r="B68">
        <v>57</v>
      </c>
      <c r="C68" t="s">
        <v>175</v>
      </c>
      <c r="D68" t="s">
        <v>269</v>
      </c>
      <c r="E68" s="791">
        <v>8.0759501397E-2</v>
      </c>
      <c r="F68" s="791">
        <v>2.06933444566E-2</v>
      </c>
    </row>
    <row r="69" spans="2:6" x14ac:dyDescent="0.25">
      <c r="B69">
        <v>70</v>
      </c>
      <c r="C69" t="s">
        <v>176</v>
      </c>
      <c r="D69" t="s">
        <v>269</v>
      </c>
      <c r="E69">
        <v>0.29053029913700001</v>
      </c>
      <c r="F69" s="791">
        <v>1.13080873111E-2</v>
      </c>
    </row>
    <row r="70" spans="2:6" x14ac:dyDescent="0.25">
      <c r="B70">
        <v>71</v>
      </c>
      <c r="C70" t="s">
        <v>177</v>
      </c>
      <c r="D70" t="s">
        <v>268</v>
      </c>
      <c r="E70">
        <v>0</v>
      </c>
      <c r="F70">
        <v>0</v>
      </c>
    </row>
    <row r="71" spans="2:6" x14ac:dyDescent="0.25">
      <c r="B71">
        <v>72</v>
      </c>
      <c r="C71" t="s">
        <v>179</v>
      </c>
      <c r="D71" t="s">
        <v>269</v>
      </c>
      <c r="E71">
        <v>-3.51218611463</v>
      </c>
      <c r="F71">
        <v>1.10016104602</v>
      </c>
    </row>
    <row r="72" spans="2:6" x14ac:dyDescent="0.25">
      <c r="B72">
        <v>73</v>
      </c>
      <c r="C72" t="s">
        <v>181</v>
      </c>
      <c r="D72" t="s">
        <v>269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183</v>
      </c>
      <c r="D73" t="s">
        <v>269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185</v>
      </c>
      <c r="D74" t="s">
        <v>269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187</v>
      </c>
      <c r="D75" t="s">
        <v>269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189</v>
      </c>
      <c r="D76" t="s">
        <v>269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191</v>
      </c>
      <c r="D77" t="s">
        <v>269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193</v>
      </c>
      <c r="D78" t="s">
        <v>269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195</v>
      </c>
      <c r="D79" t="s">
        <v>269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197</v>
      </c>
      <c r="D80" t="s">
        <v>269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199</v>
      </c>
      <c r="D81" t="s">
        <v>269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200</v>
      </c>
      <c r="D82" t="s">
        <v>269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202</v>
      </c>
      <c r="D83" t="s">
        <v>269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204</v>
      </c>
      <c r="D84" t="s">
        <v>269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206</v>
      </c>
      <c r="D85" t="s">
        <v>269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208</v>
      </c>
      <c r="D86" t="s">
        <v>269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210</v>
      </c>
      <c r="D87" t="s">
        <v>268</v>
      </c>
      <c r="E87">
        <v>0</v>
      </c>
      <c r="F87">
        <v>0</v>
      </c>
    </row>
    <row r="88" spans="2:6" x14ac:dyDescent="0.25">
      <c r="B88">
        <v>89</v>
      </c>
      <c r="C88" t="s">
        <v>212</v>
      </c>
      <c r="D88" t="s">
        <v>269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214</v>
      </c>
      <c r="D89" t="s">
        <v>269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216</v>
      </c>
      <c r="D90" t="s">
        <v>269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218</v>
      </c>
      <c r="D91" t="s">
        <v>269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220</v>
      </c>
      <c r="D92" t="s">
        <v>269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222</v>
      </c>
      <c r="D93" t="s">
        <v>268</v>
      </c>
      <c r="E93">
        <v>0</v>
      </c>
      <c r="F93">
        <v>0</v>
      </c>
    </row>
    <row r="94" spans="2:6" x14ac:dyDescent="0.25">
      <c r="B94">
        <v>95</v>
      </c>
      <c r="C94" t="s">
        <v>224</v>
      </c>
      <c r="D94" t="s">
        <v>269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226</v>
      </c>
      <c r="D95" t="s">
        <v>269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228</v>
      </c>
      <c r="D96" t="s">
        <v>269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230</v>
      </c>
      <c r="D97" t="s">
        <v>269</v>
      </c>
      <c r="E97">
        <v>-10.7755348742</v>
      </c>
      <c r="F97">
        <v>1.10642531916</v>
      </c>
    </row>
    <row r="98" spans="2:6" x14ac:dyDescent="0.25">
      <c r="B98">
        <v>99</v>
      </c>
      <c r="C98" t="s">
        <v>231</v>
      </c>
      <c r="D98" t="s">
        <v>269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232</v>
      </c>
      <c r="D99" t="s">
        <v>268</v>
      </c>
      <c r="E99">
        <v>0</v>
      </c>
      <c r="F99">
        <v>0</v>
      </c>
    </row>
    <row r="100" spans="2:6" x14ac:dyDescent="0.25">
      <c r="B100">
        <v>101</v>
      </c>
      <c r="C100" t="s">
        <v>233</v>
      </c>
      <c r="D100" t="s">
        <v>269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234</v>
      </c>
      <c r="D101" t="s">
        <v>268</v>
      </c>
      <c r="E101">
        <v>0</v>
      </c>
      <c r="F101">
        <v>0</v>
      </c>
    </row>
    <row r="102" spans="2:6" x14ac:dyDescent="0.25">
      <c r="B102">
        <v>103</v>
      </c>
      <c r="C102" t="s">
        <v>235</v>
      </c>
      <c r="D102" t="s">
        <v>269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236</v>
      </c>
      <c r="D103" t="s">
        <v>269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237</v>
      </c>
      <c r="D104" t="s">
        <v>269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238</v>
      </c>
      <c r="D105" t="s">
        <v>269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239</v>
      </c>
      <c r="D106" t="s">
        <v>269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241</v>
      </c>
      <c r="D107" t="s">
        <v>269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242</v>
      </c>
      <c r="D108" t="s">
        <v>269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243</v>
      </c>
      <c r="D109" t="s">
        <v>269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244</v>
      </c>
      <c r="D110" t="s">
        <v>268</v>
      </c>
      <c r="E110">
        <v>0</v>
      </c>
      <c r="F110">
        <v>0</v>
      </c>
    </row>
    <row r="111" spans="2:6" x14ac:dyDescent="0.25">
      <c r="B111">
        <v>112</v>
      </c>
      <c r="C111" t="s">
        <v>245</v>
      </c>
      <c r="D111" t="s">
        <v>268</v>
      </c>
      <c r="E111">
        <v>0</v>
      </c>
      <c r="F111">
        <v>0</v>
      </c>
    </row>
    <row r="112" spans="2:6" x14ac:dyDescent="0.25">
      <c r="B112">
        <v>113</v>
      </c>
      <c r="C112" t="s">
        <v>247</v>
      </c>
      <c r="D112" t="s">
        <v>269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791">
        <v>-7713.1262757699997</v>
      </c>
      <c r="D114" s="791">
        <v>-24166.840237699998</v>
      </c>
      <c r="E114" s="791">
        <v>-15453.864181499999</v>
      </c>
    </row>
    <row r="115" spans="1:11" x14ac:dyDescent="0.25">
      <c r="B115">
        <v>5</v>
      </c>
      <c r="C115" t="s">
        <v>271</v>
      </c>
      <c r="D115" t="s">
        <v>265</v>
      </c>
      <c r="E115">
        <v>24</v>
      </c>
      <c r="F115" t="s">
        <v>266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Q103"/>
  <sheetViews>
    <sheetView tabSelected="1" workbookViewId="0">
      <selection activeCell="L7" sqref="L7"/>
    </sheetView>
  </sheetViews>
  <sheetFormatPr defaultRowHeight="15" x14ac:dyDescent="0.25"/>
  <cols>
    <col min="1" max="1" bestFit="true" customWidth="true" style="749" width="12.7109375" collapsed="true"/>
    <col min="2" max="2" customWidth="true" style="748" width="18.85546875" collapsed="true"/>
    <col min="3" max="3" customWidth="true" style="749" width="6.7109375" collapsed="true"/>
    <col min="4" max="4" customWidth="true" style="749" width="12.7109375" collapsed="true"/>
    <col min="5" max="5" customWidth="true" style="748" width="18.85546875" collapsed="true"/>
    <col min="6" max="8" style="749" width="9.140625" collapsed="true"/>
    <col min="9" max="9" customWidth="true" style="749" width="13.0" collapsed="true"/>
    <col min="10" max="10" bestFit="true" customWidth="true" style="751" width="19.5703125" collapsed="true"/>
    <col min="11" max="11" customWidth="true" style="751" width="19.5703125" collapsed="true"/>
    <col min="12" max="12" customWidth="true" style="749" width="92.42578125" collapsed="true"/>
    <col min="13" max="16384" style="749" width="9.140625" collapsed="true"/>
  </cols>
  <sheetData>
    <row r="1" spans="1:17" x14ac:dyDescent="0.25">
      <c r="A1" s="10" t="s">
        <v>59</v>
      </c>
      <c r="D1" s="10" t="s">
        <v>60</v>
      </c>
      <c r="H1" s="750" t="s">
        <v>61</v>
      </c>
      <c r="N1" s="750"/>
    </row>
    <row ht="15.75" r="2" spans="1:17" thickBot="1" x14ac:dyDescent="0.3">
      <c r="A2" s="750" t="s">
        <v>62</v>
      </c>
      <c r="J2" s="751" t="s">
        <v>63</v>
      </c>
      <c r="K2" s="751" t="s">
        <v>64</v>
      </c>
      <c r="P2" s="752"/>
      <c r="Q2" s="752"/>
    </row>
    <row r="3" spans="1:17" x14ac:dyDescent="0.25">
      <c r="A3" s="753" t="s">
        <v>3</v>
      </c>
      <c r="B3" s="754" t="s">
        <v>65</v>
      </c>
      <c r="D3" s="753" t="s">
        <v>3</v>
      </c>
      <c r="E3" s="754" t="s">
        <v>65</v>
      </c>
      <c r="F3" s="755"/>
      <c r="H3" s="749">
        <v>1</v>
      </c>
      <c r="I3" s="749" t="s">
        <v>66</v>
      </c>
      <c r="J3" s="751">
        <f>OtherTourDestination!E11</f>
        <v>1</v>
      </c>
      <c r="K3" s="792">
        <f>J3</f>
        <v>1</v>
      </c>
      <c r="L3" s="749" t="s">
        <v>67</v>
      </c>
    </row>
    <row r="4" spans="1:17" x14ac:dyDescent="0.25">
      <c r="A4" s="756" t="s">
        <v>68</v>
      </c>
      <c r="B4" s="757">
        <f>TLFD!E11</f>
        <v>22121.356603725137</v>
      </c>
      <c r="D4" s="756" t="s">
        <v>68</v>
      </c>
      <c r="E4" s="757">
        <f>TLFD!L11</f>
        <v>19440</v>
      </c>
      <c r="F4" s="758"/>
      <c r="H4" s="749">
        <v>2</v>
      </c>
      <c r="I4" s="749" t="s">
        <v>69</v>
      </c>
      <c r="J4" s="751">
        <f>OtherTourDestination!E12</f>
        <v>13.7073027249</v>
      </c>
      <c r="K4" s="792">
        <f ref="K4:K67" si="0" t="shared">J4</f>
        <v>13.7073027249</v>
      </c>
      <c r="L4" s="749" t="s">
        <v>70</v>
      </c>
    </row>
    <row r="5" spans="1:17" x14ac:dyDescent="0.25">
      <c r="A5" s="759" t="s">
        <v>71</v>
      </c>
      <c r="B5" s="760">
        <f>TLFD!E12+TLFD!E13+(TLFD!E14/2)</f>
        <v>36604.207082415734</v>
      </c>
      <c r="D5" s="759" t="s">
        <v>71</v>
      </c>
      <c r="E5" s="760">
        <f>TLFD!L12+TLFD!L13+(TLFD!L14/2)</f>
        <v>31427.5</v>
      </c>
      <c r="F5" s="758"/>
      <c r="H5" s="749">
        <v>3</v>
      </c>
      <c r="I5" s="749" t="s">
        <v>72</v>
      </c>
      <c r="J5" s="751">
        <f>OtherTourDestination!E13</f>
        <v>7.0220312730799997E-2</v>
      </c>
      <c r="K5" s="792">
        <f si="0" t="shared"/>
        <v>7.0220312730799997E-2</v>
      </c>
      <c r="L5" s="749" t="s">
        <v>73</v>
      </c>
    </row>
    <row r="6" spans="1:17" x14ac:dyDescent="0.25">
      <c r="A6" s="759" t="s">
        <v>74</v>
      </c>
      <c r="B6" s="760">
        <f>(TLFD!E14/2)+SUM(TLFD!E15:E20)</f>
        <v>27416.793270666887</v>
      </c>
      <c r="D6" s="759" t="s">
        <v>74</v>
      </c>
      <c r="E6" s="760">
        <f>(TLFD!L14/2)+SUM(TLFD!L15:L20)</f>
        <v>29077.5</v>
      </c>
      <c r="F6" s="761"/>
      <c r="H6" s="749">
        <v>4</v>
      </c>
      <c r="I6" s="749" t="s">
        <v>75</v>
      </c>
      <c r="J6" s="751">
        <f>OtherTourDestination!E14</f>
        <v>-3.3904088920700001E-2</v>
      </c>
      <c r="K6" s="792">
        <f si="0" t="shared"/>
        <v>-3.3904088920700001E-2</v>
      </c>
      <c r="L6" s="749" t="s">
        <v>76</v>
      </c>
    </row>
    <row r="7" spans="1:17" x14ac:dyDescent="0.25">
      <c r="A7" s="762" t="s">
        <v>77</v>
      </c>
      <c r="B7" s="763">
        <f>SUM(TLFD!E21:E101)</f>
        <v>7680.1979977336805</v>
      </c>
      <c r="D7" s="762" t="s">
        <v>77</v>
      </c>
      <c r="E7" s="763">
        <f>SUM(TLFD!L21:L101)</f>
        <v>7385</v>
      </c>
      <c r="F7" s="764"/>
      <c r="H7" s="749">
        <v>5</v>
      </c>
      <c r="I7" s="749" t="s">
        <v>78</v>
      </c>
      <c r="J7" s="751">
        <f>OtherTourDestination!E15</f>
        <v>0.14394271350499999</v>
      </c>
      <c r="K7" s="792">
        <f si="0" t="shared"/>
        <v>0.14394271350499999</v>
      </c>
      <c r="L7" s="749" t="s">
        <v>79</v>
      </c>
    </row>
    <row ht="15.75" r="8" spans="1:17" thickBot="1" x14ac:dyDescent="0.3">
      <c r="A8" s="765" t="s">
        <v>4</v>
      </c>
      <c r="B8" s="766">
        <f>SUM(B4:B7)</f>
        <v>93822.554954541425</v>
      </c>
      <c r="C8" s="767"/>
      <c r="D8" s="765" t="s">
        <v>4</v>
      </c>
      <c r="E8" s="766">
        <f>SUM(E4:E7)</f>
        <v>87330</v>
      </c>
      <c r="H8" s="749">
        <v>6</v>
      </c>
      <c r="I8" s="749" t="s">
        <v>80</v>
      </c>
      <c r="J8" s="751">
        <f>OtherTourDestination!E16</f>
        <v>0.36721258210199997</v>
      </c>
      <c r="K8" s="792">
        <f si="0" t="shared"/>
        <v>0.36721258210199997</v>
      </c>
      <c r="L8" s="749" t="s">
        <v>81</v>
      </c>
    </row>
    <row r="9" spans="1:17" x14ac:dyDescent="0.25">
      <c r="H9" s="749">
        <v>7</v>
      </c>
      <c r="I9" s="749" t="s">
        <v>82</v>
      </c>
      <c r="J9" s="751">
        <f>OtherTourDestination!E17</f>
        <v>-1.7918460355300001</v>
      </c>
      <c r="K9" s="792">
        <f si="0" t="shared"/>
        <v>-1.7918460355300001</v>
      </c>
      <c r="L9" s="749" t="s">
        <v>83</v>
      </c>
    </row>
    <row ht="15.75" r="10" spans="1:17" thickBot="1" x14ac:dyDescent="0.3">
      <c r="A10" s="768" t="s">
        <v>84</v>
      </c>
      <c r="F10" s="755"/>
      <c r="H10" s="749">
        <v>8</v>
      </c>
      <c r="I10" s="749" t="s">
        <v>85</v>
      </c>
      <c r="J10" s="751">
        <f>OtherTourDestination!E18</f>
        <v>1.39963442933</v>
      </c>
      <c r="K10" s="792">
        <f si="0" t="shared"/>
        <v>1.39963442933</v>
      </c>
      <c r="L10" s="749" t="s">
        <v>86</v>
      </c>
    </row>
    <row r="11" spans="1:17" x14ac:dyDescent="0.25">
      <c r="A11" s="753" t="s">
        <v>3</v>
      </c>
      <c r="B11" s="754" t="s">
        <v>65</v>
      </c>
      <c r="D11" s="753" t="s">
        <v>3</v>
      </c>
      <c r="E11" s="754" t="s">
        <v>65</v>
      </c>
      <c r="F11" s="769"/>
      <c r="H11" s="749">
        <v>9</v>
      </c>
      <c r="I11" s="749" t="s">
        <v>87</v>
      </c>
      <c r="J11" s="751">
        <f>OtherTourDestination!E19</f>
        <v>0.66317866364400002</v>
      </c>
      <c r="K11" s="792">
        <f si="0" t="shared"/>
        <v>0.66317866364400002</v>
      </c>
      <c r="L11" s="749" t="s">
        <v>88</v>
      </c>
    </row>
    <row r="12" spans="1:17" x14ac:dyDescent="0.25">
      <c r="A12" s="756" t="s">
        <v>68</v>
      </c>
      <c r="B12" s="770">
        <f>B4/B$8</f>
        <v>0.23577866339755188</v>
      </c>
      <c r="D12" s="756" t="s">
        <v>68</v>
      </c>
      <c r="E12" s="770">
        <f>E4/E$8</f>
        <v>0.22260391618000688</v>
      </c>
      <c r="F12" s="769"/>
      <c r="H12" s="749">
        <v>10</v>
      </c>
      <c r="I12" s="749" t="s">
        <v>89</v>
      </c>
      <c r="J12" s="751">
        <f>OtherTourDestination!E20</f>
        <v>-0.38108886824999999</v>
      </c>
      <c r="K12" s="792">
        <f si="0" t="shared"/>
        <v>-0.38108886824999999</v>
      </c>
      <c r="L12" s="749" t="s">
        <v>90</v>
      </c>
    </row>
    <row r="13" spans="1:17" x14ac:dyDescent="0.25">
      <c r="A13" s="759" t="s">
        <v>71</v>
      </c>
      <c r="B13" s="771">
        <f ref="B13:B16" si="1" t="shared">B5/B$8</f>
        <v>0.39014293631367292</v>
      </c>
      <c r="D13" s="759" t="s">
        <v>71</v>
      </c>
      <c r="E13" s="771">
        <f ref="E13:E16" si="2" t="shared">E5/E$8</f>
        <v>0.35987060574831098</v>
      </c>
      <c r="F13" s="769"/>
      <c r="H13" s="749">
        <v>11</v>
      </c>
      <c r="I13" s="749" t="s">
        <v>91</v>
      </c>
      <c r="J13" s="751">
        <f>OtherTourDestination!E21</f>
        <v>-0.73323034645999996</v>
      </c>
      <c r="K13" s="792">
        <f si="0" t="shared"/>
        <v>-0.73323034645999996</v>
      </c>
      <c r="L13" s="749" t="s">
        <v>92</v>
      </c>
    </row>
    <row r="14" spans="1:17" x14ac:dyDescent="0.25">
      <c r="A14" s="759" t="s">
        <v>74</v>
      </c>
      <c r="B14" s="771">
        <f si="1" t="shared"/>
        <v>0.29221964040470627</v>
      </c>
      <c r="D14" s="759" t="s">
        <v>74</v>
      </c>
      <c r="E14" s="771">
        <f si="2" t="shared"/>
        <v>0.33296118172449329</v>
      </c>
      <c r="F14" s="772"/>
      <c r="H14" s="749">
        <v>12</v>
      </c>
      <c r="I14" s="749" t="s">
        <v>93</v>
      </c>
      <c r="J14" s="751">
        <f>OtherTourDestination!E22</f>
        <v>-0.913115187153</v>
      </c>
      <c r="K14" s="792">
        <f si="0" t="shared"/>
        <v>-0.913115187153</v>
      </c>
      <c r="L14" s="749" t="s">
        <v>94</v>
      </c>
    </row>
    <row r="15" spans="1:17" x14ac:dyDescent="0.25">
      <c r="A15" s="762" t="s">
        <v>77</v>
      </c>
      <c r="B15" s="771">
        <f si="1" t="shared"/>
        <v>8.1858759884069057E-2</v>
      </c>
      <c r="D15" s="762" t="s">
        <v>77</v>
      </c>
      <c r="E15" s="771">
        <f si="2" t="shared"/>
        <v>8.456429634718883E-2</v>
      </c>
      <c r="H15" s="749">
        <v>13</v>
      </c>
      <c r="I15" s="749" t="s">
        <v>95</v>
      </c>
      <c r="J15" s="751">
        <f>OtherTourDestination!E23</f>
        <v>-0.56168035354400003</v>
      </c>
      <c r="K15" s="792">
        <f si="0" t="shared"/>
        <v>-0.56168035354400003</v>
      </c>
      <c r="L15" s="749" t="s">
        <v>96</v>
      </c>
    </row>
    <row ht="15.75" r="16" spans="1:17" thickBot="1" x14ac:dyDescent="0.3">
      <c r="A16" s="765" t="s">
        <v>4</v>
      </c>
      <c r="B16" s="773">
        <f si="1" t="shared"/>
        <v>1</v>
      </c>
      <c r="C16" s="767"/>
      <c r="D16" s="765" t="s">
        <v>4</v>
      </c>
      <c r="E16" s="773">
        <f si="2" t="shared"/>
        <v>1</v>
      </c>
      <c r="H16" s="749">
        <v>14</v>
      </c>
      <c r="I16" s="749" t="s">
        <v>97</v>
      </c>
      <c r="J16" s="751">
        <f>OtherTourDestination!E24</f>
        <v>-0.30132725845199998</v>
      </c>
      <c r="K16" s="792">
        <f si="0" t="shared"/>
        <v>-0.30132725845199998</v>
      </c>
      <c r="L16" s="749" t="s">
        <v>98</v>
      </c>
    </row>
    <row r="17" spans="1:12" x14ac:dyDescent="0.25">
      <c r="H17" s="749">
        <v>15</v>
      </c>
      <c r="I17" s="749" t="s">
        <v>99</v>
      </c>
      <c r="J17" s="751">
        <f>OtherTourDestination!E25</f>
        <v>1.97893419319</v>
      </c>
      <c r="K17" s="792">
        <f si="0" t="shared"/>
        <v>1.97893419319</v>
      </c>
      <c r="L17" s="749" t="s">
        <v>100</v>
      </c>
    </row>
    <row r="18" spans="1:12" x14ac:dyDescent="0.25">
      <c r="H18" s="749">
        <v>16</v>
      </c>
      <c r="I18" s="749" t="s">
        <v>101</v>
      </c>
      <c r="J18" s="751">
        <f>OtherTourDestination!E26</f>
        <v>0.89286126056000004</v>
      </c>
      <c r="K18" s="792">
        <f si="0" t="shared"/>
        <v>0.89286126056000004</v>
      </c>
      <c r="L18" s="749" t="s">
        <v>102</v>
      </c>
    </row>
    <row r="19" spans="1:12" x14ac:dyDescent="0.25">
      <c r="A19" s="774" t="s">
        <v>103</v>
      </c>
      <c r="H19" s="749">
        <v>17</v>
      </c>
      <c r="I19" s="749" t="s">
        <v>104</v>
      </c>
      <c r="J19" s="751">
        <f>OtherTourDestination!E27</f>
        <v>0</v>
      </c>
      <c r="K19" s="792">
        <f si="0" t="shared"/>
        <v>0</v>
      </c>
      <c r="L19" s="749" t="s">
        <v>105</v>
      </c>
    </row>
    <row r="20" spans="1:12" x14ac:dyDescent="0.25">
      <c r="A20" s="774" t="s">
        <v>106</v>
      </c>
      <c r="H20" s="749">
        <v>18</v>
      </c>
      <c r="I20" s="749" t="s">
        <v>107</v>
      </c>
      <c r="J20" s="751">
        <f>OtherTourDestination!E28</f>
        <v>0</v>
      </c>
      <c r="K20" s="792">
        <f si="0" t="shared"/>
        <v>0</v>
      </c>
      <c r="L20" s="749" t="s">
        <v>108</v>
      </c>
    </row>
    <row ht="15.75" r="21" spans="1:12" thickBot="1" x14ac:dyDescent="0.3">
      <c r="A21" s="775"/>
      <c r="G21" s="749" t="s">
        <v>109</v>
      </c>
      <c r="H21" s="749">
        <v>19</v>
      </c>
      <c r="I21" s="749" t="s">
        <v>110</v>
      </c>
      <c r="J21" s="751">
        <f>OtherTourDestination!E29</f>
        <v>0</v>
      </c>
      <c r="K21" s="792">
        <f si="0" t="shared"/>
        <v>0</v>
      </c>
      <c r="L21" s="749" t="s">
        <v>111</v>
      </c>
    </row>
    <row r="22" spans="1:12" x14ac:dyDescent="0.25">
      <c r="A22" s="776" t="s">
        <v>112</v>
      </c>
      <c r="B22" s="777"/>
      <c r="G22" s="749" t="s">
        <v>109</v>
      </c>
      <c r="H22" s="749">
        <v>20</v>
      </c>
      <c r="I22" s="749" t="s">
        <v>113</v>
      </c>
      <c r="J22" s="751">
        <f>OtherTourDestination!E30</f>
        <v>0.55927220197000005</v>
      </c>
      <c r="K22" s="792">
        <f si="0" t="shared"/>
        <v>0.55927220197000005</v>
      </c>
      <c r="L22" s="778" t="s">
        <v>114</v>
      </c>
    </row>
    <row r="23" spans="1:12" x14ac:dyDescent="0.25">
      <c r="A23" s="756" t="s">
        <v>68</v>
      </c>
      <c r="B23" s="779"/>
      <c r="G23" s="749" t="s">
        <v>109</v>
      </c>
      <c r="H23" s="749">
        <v>21</v>
      </c>
      <c r="I23" s="749" t="s">
        <v>115</v>
      </c>
      <c r="J23" s="751">
        <f>OtherTourDestination!E31</f>
        <v>-14.073533462</v>
      </c>
      <c r="K23" s="792">
        <f si="0" t="shared"/>
        <v>-14.073533462</v>
      </c>
      <c r="L23" s="749" t="s">
        <v>116</v>
      </c>
    </row>
    <row r="24" spans="1:12" x14ac:dyDescent="0.25">
      <c r="A24" s="759" t="s">
        <v>71</v>
      </c>
      <c r="B24" s="779"/>
      <c r="G24" s="749" t="s">
        <v>109</v>
      </c>
      <c r="H24" s="749">
        <v>22</v>
      </c>
      <c r="I24" s="749" t="s">
        <v>117</v>
      </c>
      <c r="J24" s="751">
        <f>OtherTourDestination!E32</f>
        <v>4.23561831E-2</v>
      </c>
      <c r="K24" s="792">
        <f si="0" t="shared"/>
        <v>4.23561831E-2</v>
      </c>
      <c r="L24" s="749" t="s">
        <v>118</v>
      </c>
    </row>
    <row r="25" spans="1:12" x14ac:dyDescent="0.25">
      <c r="A25" s="759" t="s">
        <v>74</v>
      </c>
      <c r="B25" s="779"/>
      <c r="G25" s="749" t="s">
        <v>109</v>
      </c>
      <c r="H25" s="749">
        <v>23</v>
      </c>
      <c r="I25" s="749" t="s">
        <v>119</v>
      </c>
      <c r="J25" s="751">
        <f>OtherTourDestination!E33</f>
        <v>-2.9413698566000002</v>
      </c>
      <c r="K25" s="792">
        <f si="0" t="shared"/>
        <v>-2.9413698566000002</v>
      </c>
      <c r="L25" s="749" t="s">
        <v>120</v>
      </c>
    </row>
    <row ht="15.75" r="26" spans="1:12" thickBot="1" x14ac:dyDescent="0.3">
      <c r="A26" s="780" t="s">
        <v>77</v>
      </c>
      <c r="B26" s="781"/>
      <c r="G26" s="749" t="s">
        <v>109</v>
      </c>
      <c r="H26" s="749">
        <v>24</v>
      </c>
      <c r="I26" s="749" t="s">
        <v>121</v>
      </c>
      <c r="J26" s="751">
        <f>OtherTourDestination!E34</f>
        <v>-1.4293629385</v>
      </c>
      <c r="K26" s="792">
        <f si="0" t="shared"/>
        <v>-1.4293629385</v>
      </c>
      <c r="L26" s="778" t="s">
        <v>122</v>
      </c>
    </row>
    <row r="27" spans="1:12" x14ac:dyDescent="0.25">
      <c r="A27" s="775"/>
      <c r="B27" s="782"/>
      <c r="G27" s="749" t="s">
        <v>123</v>
      </c>
      <c r="H27" s="749">
        <v>25</v>
      </c>
      <c r="I27" s="749" t="s">
        <v>124</v>
      </c>
      <c r="J27" s="751">
        <f>OtherTourDestination!E35</f>
        <v>0.21220129380800001</v>
      </c>
      <c r="K27" s="792">
        <f si="0" t="shared"/>
        <v>0.21220129380800001</v>
      </c>
      <c r="L27" s="778" t="s">
        <v>125</v>
      </c>
    </row>
    <row r="28" spans="1:12" x14ac:dyDescent="0.25">
      <c r="A28" s="775"/>
      <c r="B28" s="782"/>
      <c r="G28" s="749" t="s">
        <v>123</v>
      </c>
      <c r="H28" s="749">
        <v>26</v>
      </c>
      <c r="I28" s="749" t="s">
        <v>126</v>
      </c>
      <c r="J28" s="751">
        <f>OtherTourDestination!E36</f>
        <v>-0.156772126135</v>
      </c>
      <c r="K28" s="792">
        <f si="0" t="shared"/>
        <v>-0.156772126135</v>
      </c>
      <c r="L28" s="749" t="s">
        <v>114</v>
      </c>
    </row>
    <row r="29" spans="1:12" x14ac:dyDescent="0.25">
      <c r="A29" s="774" t="s">
        <v>103</v>
      </c>
      <c r="B29" s="783"/>
      <c r="G29" s="749" t="s">
        <v>123</v>
      </c>
      <c r="H29" s="749">
        <v>27</v>
      </c>
      <c r="I29" s="749" t="s">
        <v>127</v>
      </c>
      <c r="J29" s="751">
        <f>OtherTourDestination!E37</f>
        <v>0.78053827557199995</v>
      </c>
      <c r="K29" s="792">
        <f si="0" t="shared"/>
        <v>0.78053827557199995</v>
      </c>
      <c r="L29" s="749" t="s">
        <v>116</v>
      </c>
    </row>
    <row r="30" spans="1:12" x14ac:dyDescent="0.25">
      <c r="A30" s="774" t="s">
        <v>128</v>
      </c>
      <c r="B30" s="783"/>
      <c r="G30" s="749" t="s">
        <v>123</v>
      </c>
      <c r="H30" s="749">
        <v>28</v>
      </c>
      <c r="I30" s="749" t="s">
        <v>129</v>
      </c>
      <c r="J30" s="751">
        <f>OtherTourDestination!E38</f>
        <v>-12.632321361500001</v>
      </c>
      <c r="K30" s="792">
        <f si="0" t="shared"/>
        <v>-12.632321361500001</v>
      </c>
      <c r="L30" s="749" t="s">
        <v>118</v>
      </c>
    </row>
    <row ht="15.75" r="31" spans="1:12" thickBot="1" x14ac:dyDescent="0.3">
      <c r="A31" s="775"/>
      <c r="B31" s="782"/>
      <c r="G31" s="749" t="s">
        <v>123</v>
      </c>
      <c r="H31" s="749">
        <v>29</v>
      </c>
      <c r="I31" s="749" t="s">
        <v>130</v>
      </c>
      <c r="J31" s="751">
        <f>OtherTourDestination!E39</f>
        <v>-4.7373800512499997</v>
      </c>
      <c r="K31" s="792">
        <f si="0" t="shared"/>
        <v>-4.7373800512499997</v>
      </c>
      <c r="L31" s="749" t="s">
        <v>120</v>
      </c>
    </row>
    <row r="32" spans="1:12" x14ac:dyDescent="0.25">
      <c r="A32" s="776" t="s">
        <v>112</v>
      </c>
      <c r="B32" s="777"/>
      <c r="G32" s="749" t="s">
        <v>123</v>
      </c>
      <c r="H32" s="749">
        <v>30</v>
      </c>
      <c r="I32" s="749" t="s">
        <v>131</v>
      </c>
      <c r="J32" s="751">
        <f>OtherTourDestination!E40</f>
        <v>-3.8495864337499999</v>
      </c>
      <c r="K32" s="792">
        <f si="0" t="shared"/>
        <v>-3.8495864337499999</v>
      </c>
      <c r="L32" s="749" t="s">
        <v>132</v>
      </c>
    </row>
    <row r="33" spans="1:12" x14ac:dyDescent="0.25">
      <c r="A33" s="756" t="s">
        <v>68</v>
      </c>
      <c r="B33" s="779">
        <f>LN(B12/E12)-LN(B12/E12)</f>
        <v>0</v>
      </c>
      <c r="G33" s="749" t="s">
        <v>123</v>
      </c>
      <c r="H33" s="749">
        <v>31</v>
      </c>
      <c r="I33" s="749" t="s">
        <v>133</v>
      </c>
      <c r="J33" s="751">
        <f>OtherTourDestination!E41</f>
        <v>-0.55196399758000003</v>
      </c>
      <c r="K33" s="792">
        <f si="0" t="shared"/>
        <v>-0.55196399758000003</v>
      </c>
      <c r="L33" s="778" t="s">
        <v>134</v>
      </c>
    </row>
    <row r="34" spans="1:12" x14ac:dyDescent="0.25">
      <c r="A34" s="759" t="s">
        <v>71</v>
      </c>
      <c r="B34" s="779">
        <f>LN(B13/E13)-LN(B12/E12)</f>
        <v>2.3269170577881727E-2</v>
      </c>
      <c r="G34" s="749" t="s">
        <v>123</v>
      </c>
      <c r="H34" s="749">
        <v>32</v>
      </c>
      <c r="I34" s="749" t="s">
        <v>135</v>
      </c>
      <c r="J34" s="751">
        <f>OtherTourDestination!E42</f>
        <v>0.161916660248</v>
      </c>
      <c r="K34" s="792">
        <f si="0" t="shared"/>
        <v>0.161916660248</v>
      </c>
      <c r="L34" s="778" t="s">
        <v>136</v>
      </c>
    </row>
    <row r="35" spans="1:12" x14ac:dyDescent="0.25">
      <c r="A35" s="759" t="s">
        <v>74</v>
      </c>
      <c r="B35" s="779">
        <f>LN(B14/E14)-LN(B13/E13)-LN(B12/E12)</f>
        <v>-0.26878830249565627</v>
      </c>
      <c r="E35" s="784"/>
      <c r="G35" s="749" t="s">
        <v>123</v>
      </c>
      <c r="H35" s="749">
        <v>33</v>
      </c>
      <c r="I35" s="749" t="s">
        <v>137</v>
      </c>
      <c r="J35" s="751">
        <f>OtherTourDestination!E43</f>
        <v>-0.164548260329</v>
      </c>
      <c r="K35" s="792">
        <f si="0" t="shared"/>
        <v>-0.164548260329</v>
      </c>
      <c r="L35" s="778" t="s">
        <v>138</v>
      </c>
    </row>
    <row ht="15.75" r="36" spans="1:12" thickBot="1" x14ac:dyDescent="0.3">
      <c r="A36" s="780" t="s">
        <v>77</v>
      </c>
      <c r="B36" s="781">
        <f>LN(B15/E15)-LN(B14/E14)-LN(B13/E13)-LN(B12/E12)</f>
        <v>-4.0264731099606314E-2</v>
      </c>
      <c r="E36" s="785"/>
      <c r="G36" s="749" t="s">
        <v>123</v>
      </c>
      <c r="H36" s="749">
        <v>34</v>
      </c>
      <c r="I36" s="749" t="s">
        <v>139</v>
      </c>
      <c r="J36" s="751">
        <f>OtherTourDestination!E44</f>
        <v>0.20498917376299999</v>
      </c>
      <c r="K36" s="792">
        <f si="0" t="shared"/>
        <v>0.20498917376299999</v>
      </c>
      <c r="L36" s="778" t="s">
        <v>140</v>
      </c>
    </row>
    <row r="37" spans="1:12" x14ac:dyDescent="0.25">
      <c r="A37" s="775"/>
      <c r="B37" s="779"/>
      <c r="G37" s="749" t="s">
        <v>141</v>
      </c>
      <c r="H37" s="749">
        <v>35</v>
      </c>
      <c r="I37" s="749" t="s">
        <v>142</v>
      </c>
      <c r="J37" s="751">
        <f>OtherTourDestination!E45</f>
        <v>-0.128001396233</v>
      </c>
      <c r="K37" s="792">
        <f si="0" t="shared"/>
        <v>-0.128001396233</v>
      </c>
      <c r="L37" s="778" t="s">
        <v>143</v>
      </c>
    </row>
    <row r="38" spans="1:12" x14ac:dyDescent="0.25">
      <c r="A38" s="775"/>
      <c r="B38" s="779"/>
      <c r="G38" s="749" t="s">
        <v>141</v>
      </c>
      <c r="H38" s="749">
        <v>36</v>
      </c>
      <c r="I38" s="749" t="s">
        <v>144</v>
      </c>
      <c r="J38" s="751">
        <f>OtherTourDestination!E46</f>
        <v>6.1170505754699997E-2</v>
      </c>
      <c r="K38" s="792">
        <f si="0" t="shared"/>
        <v>6.1170505754699997E-2</v>
      </c>
      <c r="L38" s="778" t="s">
        <v>114</v>
      </c>
    </row>
    <row r="39" spans="1:12" x14ac:dyDescent="0.25">
      <c r="A39" s="774" t="s">
        <v>103</v>
      </c>
      <c r="B39" s="786"/>
      <c r="G39" s="749" t="s">
        <v>141</v>
      </c>
      <c r="H39" s="749">
        <v>37</v>
      </c>
      <c r="I39" s="749" t="s">
        <v>145</v>
      </c>
      <c r="J39" s="751">
        <f>OtherTourDestination!E47</f>
        <v>1.3253567635600001</v>
      </c>
      <c r="K39" s="792">
        <f si="0" t="shared"/>
        <v>1.3253567635600001</v>
      </c>
      <c r="L39" s="778" t="s">
        <v>116</v>
      </c>
    </row>
    <row r="40" spans="1:12" x14ac:dyDescent="0.25">
      <c r="A40" s="774" t="s">
        <v>146</v>
      </c>
      <c r="B40" s="786"/>
      <c r="G40" s="749" t="s">
        <v>141</v>
      </c>
      <c r="H40" s="749">
        <v>38</v>
      </c>
      <c r="I40" s="749" t="s">
        <v>147</v>
      </c>
      <c r="J40" s="751">
        <f>OtherTourDestination!E48</f>
        <v>-9.2010945905200003</v>
      </c>
      <c r="K40" s="792">
        <f si="0" t="shared"/>
        <v>-9.2010945905200003</v>
      </c>
      <c r="L40" s="778" t="s">
        <v>118</v>
      </c>
    </row>
    <row ht="15.75" r="41" spans="1:12" thickBot="1" x14ac:dyDescent="0.3">
      <c r="A41" s="775"/>
      <c r="B41" s="779"/>
      <c r="G41" s="749" t="s">
        <v>141</v>
      </c>
      <c r="H41" s="749">
        <v>39</v>
      </c>
      <c r="I41" s="749" t="s">
        <v>148</v>
      </c>
      <c r="J41" s="751">
        <f>OtherTourDestination!E49</f>
        <v>-2.1424454967800002</v>
      </c>
      <c r="K41" s="792">
        <f si="0" t="shared"/>
        <v>-2.1424454967800002</v>
      </c>
      <c r="L41" s="778" t="s">
        <v>120</v>
      </c>
    </row>
    <row r="42" spans="1:12" x14ac:dyDescent="0.25">
      <c r="A42" s="776" t="s">
        <v>112</v>
      </c>
      <c r="B42" s="787"/>
      <c r="G42" s="749" t="s">
        <v>141</v>
      </c>
      <c r="H42" s="749">
        <v>40</v>
      </c>
      <c r="I42" s="749" t="s">
        <v>149</v>
      </c>
      <c r="J42" s="751">
        <f>OtherTourDestination!E50</f>
        <v>-3.2698397693199999</v>
      </c>
      <c r="K42" s="792">
        <f si="0" t="shared"/>
        <v>-3.2698397693199999</v>
      </c>
      <c r="L42" s="778" t="s">
        <v>132</v>
      </c>
    </row>
    <row r="43" spans="1:12" x14ac:dyDescent="0.25">
      <c r="A43" s="756" t="s">
        <v>68</v>
      </c>
      <c r="B43" s="779">
        <f>B23+B33</f>
        <v>0</v>
      </c>
      <c r="G43" s="749" t="s">
        <v>141</v>
      </c>
      <c r="H43" s="749">
        <v>41</v>
      </c>
      <c r="I43" s="749" t="s">
        <v>150</v>
      </c>
      <c r="J43" s="751">
        <f>OtherTourDestination!E51</f>
        <v>-1.5387148017900001</v>
      </c>
      <c r="K43" s="792">
        <f si="0" t="shared"/>
        <v>-1.5387148017900001</v>
      </c>
      <c r="L43" s="778" t="s">
        <v>134</v>
      </c>
    </row>
    <row r="44" spans="1:12" x14ac:dyDescent="0.25">
      <c r="A44" s="759" t="s">
        <v>71</v>
      </c>
      <c r="B44" s="779">
        <f ref="B44:B46" si="3" t="shared">B24+B34</f>
        <v>2.3269170577881727E-2</v>
      </c>
      <c r="G44" s="749" t="s">
        <v>151</v>
      </c>
      <c r="H44" s="749">
        <v>42</v>
      </c>
      <c r="I44" s="749" t="s">
        <v>152</v>
      </c>
      <c r="J44" s="751">
        <f>OtherTourDestination!E52</f>
        <v>-0.149205194047</v>
      </c>
      <c r="K44" s="792">
        <f si="0" t="shared"/>
        <v>-0.149205194047</v>
      </c>
      <c r="L44" s="778" t="s">
        <v>153</v>
      </c>
    </row>
    <row r="45" spans="1:12" x14ac:dyDescent="0.25">
      <c r="A45" s="759" t="s">
        <v>74</v>
      </c>
      <c r="B45" s="779">
        <f si="3" t="shared"/>
        <v>-0.26878830249565627</v>
      </c>
      <c r="G45" s="788" t="s">
        <v>151</v>
      </c>
      <c r="H45" s="788">
        <v>43</v>
      </c>
      <c r="I45" s="788" t="s">
        <v>154</v>
      </c>
      <c r="J45" s="751">
        <f>OtherTourDestination!E53</f>
        <v>0.517393579278</v>
      </c>
      <c r="K45" s="792">
        <f si="0" t="shared"/>
        <v>0.517393579278</v>
      </c>
      <c r="L45" s="789" t="s">
        <v>114</v>
      </c>
    </row>
    <row ht="15.75" r="46" spans="1:12" thickBot="1" x14ac:dyDescent="0.3">
      <c r="A46" s="780" t="s">
        <v>77</v>
      </c>
      <c r="B46" s="781">
        <f si="3" t="shared"/>
        <v>-4.0264731099606314E-2</v>
      </c>
      <c r="G46" s="788" t="s">
        <v>151</v>
      </c>
      <c r="H46" s="788">
        <v>44</v>
      </c>
      <c r="I46" s="788" t="s">
        <v>155</v>
      </c>
      <c r="J46" s="751">
        <f>OtherTourDestination!E54</f>
        <v>0.84374741070500003</v>
      </c>
      <c r="K46" s="792">
        <f si="0" t="shared"/>
        <v>0.84374741070500003</v>
      </c>
      <c r="L46" s="789" t="s">
        <v>156</v>
      </c>
    </row>
    <row r="47" spans="1:12" x14ac:dyDescent="0.25">
      <c r="G47" s="788" t="s">
        <v>151</v>
      </c>
      <c r="H47" s="788">
        <v>45</v>
      </c>
      <c r="I47" s="788" t="s">
        <v>157</v>
      </c>
      <c r="J47" s="751">
        <f>OtherTourDestination!E55</f>
        <v>-16.440174024099999</v>
      </c>
      <c r="K47" s="792">
        <f si="0" t="shared"/>
        <v>-16.440174024099999</v>
      </c>
      <c r="L47" s="789" t="s">
        <v>158</v>
      </c>
    </row>
    <row r="48" spans="1:12" x14ac:dyDescent="0.25">
      <c r="G48" s="788" t="s">
        <v>151</v>
      </c>
      <c r="H48" s="788">
        <v>46</v>
      </c>
      <c r="I48" s="788" t="s">
        <v>159</v>
      </c>
      <c r="J48" s="751">
        <f>OtherTourDestination!E56</f>
        <v>0.38560809579999999</v>
      </c>
      <c r="K48" s="792">
        <f si="0" t="shared"/>
        <v>0.38560809579999999</v>
      </c>
      <c r="L48" s="789" t="s">
        <v>160</v>
      </c>
    </row>
    <row r="49" spans="7:12" x14ac:dyDescent="0.25">
      <c r="G49" s="788" t="s">
        <v>151</v>
      </c>
      <c r="H49" s="788">
        <v>47</v>
      </c>
      <c r="I49" s="788" t="s">
        <v>161</v>
      </c>
      <c r="J49" s="751">
        <f>OtherTourDestination!E57</f>
        <v>-2.4592819233999998</v>
      </c>
      <c r="K49" s="792">
        <f si="0" t="shared"/>
        <v>-2.4592819233999998</v>
      </c>
      <c r="L49" s="789" t="s">
        <v>162</v>
      </c>
    </row>
    <row r="50" spans="7:12" x14ac:dyDescent="0.25">
      <c r="G50" s="788" t="s">
        <v>163</v>
      </c>
      <c r="H50" s="788">
        <v>48</v>
      </c>
      <c r="I50" s="788" t="s">
        <v>164</v>
      </c>
      <c r="J50" s="751">
        <f>OtherTourDestination!E58</f>
        <v>-2.8909492550999998</v>
      </c>
      <c r="K50" s="792">
        <f si="0" t="shared"/>
        <v>-2.8909492550999998</v>
      </c>
      <c r="L50" s="789" t="s">
        <v>165</v>
      </c>
    </row>
    <row r="51" spans="7:12" x14ac:dyDescent="0.25">
      <c r="G51" s="749" t="s">
        <v>163</v>
      </c>
      <c r="H51" s="749">
        <v>49</v>
      </c>
      <c r="I51" s="749" t="s">
        <v>166</v>
      </c>
      <c r="J51" s="751">
        <f>OtherTourDestination!E59</f>
        <v>0.16683062839400001</v>
      </c>
      <c r="K51" s="792">
        <f si="0" t="shared"/>
        <v>0.16683062839400001</v>
      </c>
      <c r="L51" s="778" t="s">
        <v>114</v>
      </c>
    </row>
    <row r="52" spans="7:12" x14ac:dyDescent="0.25">
      <c r="G52" s="749" t="s">
        <v>163</v>
      </c>
      <c r="H52" s="749">
        <v>50</v>
      </c>
      <c r="I52" s="749" t="s">
        <v>167</v>
      </c>
      <c r="J52" s="751">
        <f>OtherTourDestination!E60</f>
        <v>0.80686039286800004</v>
      </c>
      <c r="K52" s="792">
        <f si="0" t="shared"/>
        <v>0.80686039286800004</v>
      </c>
      <c r="L52" s="778" t="s">
        <v>116</v>
      </c>
    </row>
    <row r="53" spans="7:12" x14ac:dyDescent="0.25">
      <c r="G53" s="749" t="s">
        <v>163</v>
      </c>
      <c r="H53" s="749">
        <v>51</v>
      </c>
      <c r="I53" s="749" t="s">
        <v>168</v>
      </c>
      <c r="J53" s="751">
        <f>OtherTourDestination!E61</f>
        <v>-10.275631588</v>
      </c>
      <c r="K53" s="792">
        <f si="0" t="shared"/>
        <v>-10.275631588</v>
      </c>
      <c r="L53" s="778" t="s">
        <v>118</v>
      </c>
    </row>
    <row r="54" spans="7:12" x14ac:dyDescent="0.25">
      <c r="G54" s="749" t="s">
        <v>163</v>
      </c>
      <c r="H54" s="749">
        <v>52</v>
      </c>
      <c r="I54" s="749" t="s">
        <v>169</v>
      </c>
      <c r="J54" s="751">
        <f>OtherTourDestination!E62</f>
        <v>-3.6378931021600001</v>
      </c>
      <c r="K54" s="792">
        <f si="0" t="shared"/>
        <v>-3.6378931021600001</v>
      </c>
      <c r="L54" s="778" t="s">
        <v>120</v>
      </c>
    </row>
    <row r="55" spans="7:12" x14ac:dyDescent="0.25">
      <c r="G55" s="749" t="s">
        <v>163</v>
      </c>
      <c r="H55" s="749">
        <v>53</v>
      </c>
      <c r="I55" s="749" t="s">
        <v>170</v>
      </c>
      <c r="J55" s="751">
        <f>OtherTourDestination!E63</f>
        <v>-4.0172263670700001</v>
      </c>
      <c r="K55" s="792">
        <f si="0" t="shared"/>
        <v>-4.0172263670700001</v>
      </c>
      <c r="L55" s="778" t="s">
        <v>132</v>
      </c>
    </row>
    <row r="56" spans="7:12" x14ac:dyDescent="0.25">
      <c r="G56" s="749" t="s">
        <v>163</v>
      </c>
      <c r="H56" s="749">
        <v>54</v>
      </c>
      <c r="I56" s="749" t="s">
        <v>171</v>
      </c>
      <c r="J56" s="751">
        <f>OtherTourDestination!E64</f>
        <v>-0.54205465260999997</v>
      </c>
      <c r="K56" s="792">
        <f si="0" t="shared"/>
        <v>-0.54205465260999997</v>
      </c>
      <c r="L56" s="778" t="s">
        <v>172</v>
      </c>
    </row>
    <row r="57" spans="7:12" x14ac:dyDescent="0.25">
      <c r="G57" s="749" t="s">
        <v>163</v>
      </c>
      <c r="H57" s="749">
        <v>55</v>
      </c>
      <c r="I57" s="749" t="s">
        <v>173</v>
      </c>
      <c r="J57" s="751">
        <f>OtherTourDestination!E65</f>
        <v>0.21306405683599999</v>
      </c>
      <c r="K57" s="792">
        <f si="0" t="shared"/>
        <v>0.21306405683599999</v>
      </c>
      <c r="L57" s="778" t="s">
        <v>136</v>
      </c>
    </row>
    <row r="58" spans="7:12" x14ac:dyDescent="0.25">
      <c r="G58" s="749" t="s">
        <v>163</v>
      </c>
      <c r="H58" s="749">
        <v>56</v>
      </c>
      <c r="I58" s="749" t="s">
        <v>174</v>
      </c>
      <c r="J58" s="751">
        <f>OtherTourDestination!E66</f>
        <v>0.49322187999099998</v>
      </c>
      <c r="K58" s="792">
        <f si="0" t="shared"/>
        <v>0.49322187999099998</v>
      </c>
      <c r="L58" s="778" t="s">
        <v>140</v>
      </c>
    </row>
    <row r="59" spans="7:12" x14ac:dyDescent="0.25">
      <c r="H59" s="749">
        <v>57</v>
      </c>
      <c r="I59" s="749" t="s">
        <v>175</v>
      </c>
      <c r="J59" s="751">
        <f>OtherTourDestination!E67</f>
        <v>-0.81297460986500003</v>
      </c>
      <c r="K59" s="792">
        <f si="0" t="shared"/>
        <v>-0.81297460986500003</v>
      </c>
      <c r="L59" s="778" t="s">
        <v>143</v>
      </c>
    </row>
    <row r="60" spans="7:12" x14ac:dyDescent="0.25">
      <c r="G60" s="749" t="s">
        <v>109</v>
      </c>
      <c r="H60" s="749">
        <v>70</v>
      </c>
      <c r="I60" s="749" t="s">
        <v>176</v>
      </c>
      <c r="J60" s="751">
        <f>OtherTourDestination!E68</f>
        <v>8.0759501397E-2</v>
      </c>
      <c r="K60" s="792">
        <f si="0" t="shared"/>
        <v>8.0759501397E-2</v>
      </c>
      <c r="L60" s="778"/>
    </row>
    <row r="61" spans="7:12" x14ac:dyDescent="0.25">
      <c r="G61" s="749" t="s">
        <v>109</v>
      </c>
      <c r="H61" s="749">
        <v>71</v>
      </c>
      <c r="I61" s="749" t="s">
        <v>177</v>
      </c>
      <c r="J61" s="751">
        <f>OtherTourDestination!E69</f>
        <v>0.29053029913700001</v>
      </c>
      <c r="K61" s="792">
        <f si="0" t="shared"/>
        <v>0.29053029913700001</v>
      </c>
      <c r="L61" s="749" t="s">
        <v>178</v>
      </c>
    </row>
    <row r="62" spans="7:12" x14ac:dyDescent="0.25">
      <c r="G62" s="749" t="s">
        <v>109</v>
      </c>
      <c r="H62" s="749">
        <v>72</v>
      </c>
      <c r="I62" s="749" t="s">
        <v>179</v>
      </c>
      <c r="J62" s="751">
        <f>OtherTourDestination!E70</f>
        <v>0</v>
      </c>
      <c r="K62" s="792">
        <f si="0" t="shared"/>
        <v>0</v>
      </c>
      <c r="L62" s="749" t="s">
        <v>180</v>
      </c>
    </row>
    <row r="63" spans="7:12" x14ac:dyDescent="0.25">
      <c r="G63" s="749" t="s">
        <v>109</v>
      </c>
      <c r="H63" s="749">
        <v>73</v>
      </c>
      <c r="I63" s="749" t="s">
        <v>181</v>
      </c>
      <c r="J63" s="751">
        <f>OtherTourDestination!E71</f>
        <v>-3.51218611463</v>
      </c>
      <c r="K63" s="792">
        <f si="0" t="shared"/>
        <v>-3.51218611463</v>
      </c>
      <c r="L63" s="749" t="s">
        <v>182</v>
      </c>
    </row>
    <row r="64" spans="7:12" x14ac:dyDescent="0.25">
      <c r="G64" s="749" t="s">
        <v>109</v>
      </c>
      <c r="H64" s="749">
        <v>74</v>
      </c>
      <c r="I64" s="749" t="s">
        <v>183</v>
      </c>
      <c r="J64" s="751">
        <f>OtherTourDestination!E72</f>
        <v>-1.9512398226400001</v>
      </c>
      <c r="K64" s="792">
        <f si="0" t="shared"/>
        <v>-1.9512398226400001</v>
      </c>
      <c r="L64" s="749" t="s">
        <v>184</v>
      </c>
    </row>
    <row r="65" spans="7:12" x14ac:dyDescent="0.25">
      <c r="G65" s="749" t="s">
        <v>109</v>
      </c>
      <c r="H65" s="749">
        <v>75</v>
      </c>
      <c r="I65" s="749" t="s">
        <v>185</v>
      </c>
      <c r="J65" s="751">
        <f>OtherTourDestination!E73</f>
        <v>-2.2875988415099999</v>
      </c>
      <c r="K65" s="792">
        <f si="0" t="shared"/>
        <v>-2.2875988415099999</v>
      </c>
      <c r="L65" s="749" t="s">
        <v>186</v>
      </c>
    </row>
    <row r="66" spans="7:12" x14ac:dyDescent="0.25">
      <c r="G66" s="749" t="s">
        <v>109</v>
      </c>
      <c r="H66" s="749">
        <v>76</v>
      </c>
      <c r="I66" s="749" t="s">
        <v>187</v>
      </c>
      <c r="J66" s="751">
        <f>OtherTourDestination!E74</f>
        <v>-2.97270473739</v>
      </c>
      <c r="K66" s="792">
        <f si="0" t="shared"/>
        <v>-2.97270473739</v>
      </c>
      <c r="L66" s="749" t="s">
        <v>188</v>
      </c>
    </row>
    <row r="67" spans="7:12" x14ac:dyDescent="0.25">
      <c r="G67" s="749" t="s">
        <v>109</v>
      </c>
      <c r="H67" s="749">
        <v>77</v>
      </c>
      <c r="I67" s="749" t="s">
        <v>189</v>
      </c>
      <c r="J67" s="751">
        <f>OtherTourDestination!E75</f>
        <v>-2.2065775626700002</v>
      </c>
      <c r="K67" s="792">
        <f si="0" t="shared"/>
        <v>-2.2065775626700002</v>
      </c>
      <c r="L67" s="749" t="s">
        <v>190</v>
      </c>
    </row>
    <row r="68" spans="7:12" x14ac:dyDescent="0.25">
      <c r="G68" s="749" t="s">
        <v>109</v>
      </c>
      <c r="H68" s="749">
        <v>78</v>
      </c>
      <c r="I68" s="749" t="s">
        <v>191</v>
      </c>
      <c r="J68" s="751">
        <f>OtherTourDestination!E76</f>
        <v>-1.91608314575</v>
      </c>
      <c r="K68" s="792">
        <f ref="K68:K103" si="4" t="shared">J68</f>
        <v>-1.91608314575</v>
      </c>
      <c r="L68" s="749" t="s">
        <v>192</v>
      </c>
    </row>
    <row r="69" spans="7:12" x14ac:dyDescent="0.25">
      <c r="G69" s="749" t="s">
        <v>109</v>
      </c>
      <c r="H69" s="749">
        <v>79</v>
      </c>
      <c r="I69" s="749" t="s">
        <v>193</v>
      </c>
      <c r="J69" s="751">
        <f>OtherTourDestination!E77</f>
        <v>-2.9941803696</v>
      </c>
      <c r="K69" s="792">
        <f si="4" t="shared"/>
        <v>-2.9941803696</v>
      </c>
      <c r="L69" s="749" t="s">
        <v>194</v>
      </c>
    </row>
    <row r="70" spans="7:12" x14ac:dyDescent="0.25">
      <c r="G70" s="749" t="s">
        <v>109</v>
      </c>
      <c r="H70" s="749">
        <v>80</v>
      </c>
      <c r="I70" s="749" t="s">
        <v>195</v>
      </c>
      <c r="J70" s="751">
        <f>OtherTourDestination!E78</f>
        <v>-20.893048808300001</v>
      </c>
      <c r="K70" s="792">
        <f si="4" t="shared"/>
        <v>-20.893048808300001</v>
      </c>
      <c r="L70" s="749" t="s">
        <v>196</v>
      </c>
    </row>
    <row r="71" spans="7:12" x14ac:dyDescent="0.25">
      <c r="G71" s="749" t="s">
        <v>109</v>
      </c>
      <c r="H71" s="749">
        <v>81</v>
      </c>
      <c r="I71" s="749" t="s">
        <v>197</v>
      </c>
      <c r="J71" s="751">
        <f>OtherTourDestination!E79</f>
        <v>-0.340851234339</v>
      </c>
      <c r="K71" s="792">
        <f si="4" t="shared"/>
        <v>-0.340851234339</v>
      </c>
      <c r="L71" s="749" t="s">
        <v>198</v>
      </c>
    </row>
    <row r="72" spans="7:12" x14ac:dyDescent="0.25">
      <c r="G72" s="749" t="s">
        <v>109</v>
      </c>
      <c r="H72" s="749">
        <v>82</v>
      </c>
      <c r="I72" s="749" t="s">
        <v>199</v>
      </c>
      <c r="J72" s="751">
        <f>OtherTourDestination!E80</f>
        <v>-3.5548804977600001</v>
      </c>
      <c r="K72" s="792">
        <f si="4" t="shared"/>
        <v>-3.5548804977600001</v>
      </c>
      <c r="L72" s="749" t="s">
        <v>198</v>
      </c>
    </row>
    <row r="73" spans="7:12" x14ac:dyDescent="0.25">
      <c r="G73" s="749" t="s">
        <v>109</v>
      </c>
      <c r="H73" s="749">
        <v>83</v>
      </c>
      <c r="I73" s="749" t="s">
        <v>200</v>
      </c>
      <c r="J73" s="751">
        <f>OtherTourDestination!E81</f>
        <v>-2.04042829643</v>
      </c>
      <c r="K73" s="792">
        <f si="4" t="shared"/>
        <v>-2.04042829643</v>
      </c>
      <c r="L73" s="749" t="s">
        <v>201</v>
      </c>
    </row>
    <row r="74" spans="7:12" x14ac:dyDescent="0.25">
      <c r="G74" s="749" t="s">
        <v>109</v>
      </c>
      <c r="H74" s="749">
        <v>84</v>
      </c>
      <c r="I74" s="749" t="s">
        <v>202</v>
      </c>
      <c r="J74" s="751">
        <f>OtherTourDestination!E82</f>
        <v>-3.1291070048599998</v>
      </c>
      <c r="K74" s="792">
        <f si="4" t="shared"/>
        <v>-3.1291070048599998</v>
      </c>
      <c r="L74" s="749" t="s">
        <v>203</v>
      </c>
    </row>
    <row r="75" spans="7:12" x14ac:dyDescent="0.25">
      <c r="G75" s="749" t="s">
        <v>109</v>
      </c>
      <c r="H75" s="749">
        <v>85</v>
      </c>
      <c r="I75" s="749" t="s">
        <v>204</v>
      </c>
      <c r="J75" s="751">
        <f>OtherTourDestination!E83</f>
        <v>-1.36058822067</v>
      </c>
      <c r="K75" s="792">
        <f si="4" t="shared"/>
        <v>-1.36058822067</v>
      </c>
      <c r="L75" s="749" t="s">
        <v>205</v>
      </c>
    </row>
    <row r="76" spans="7:12" x14ac:dyDescent="0.25">
      <c r="G76" s="749" t="s">
        <v>109</v>
      </c>
      <c r="H76" s="749">
        <v>86</v>
      </c>
      <c r="I76" s="749" t="s">
        <v>206</v>
      </c>
      <c r="J76" s="751">
        <f>OtherTourDestination!E84</f>
        <v>-3.7593502074299998</v>
      </c>
      <c r="K76" s="792">
        <f si="4" t="shared"/>
        <v>-3.7593502074299998</v>
      </c>
      <c r="L76" s="749" t="s">
        <v>207</v>
      </c>
    </row>
    <row r="77" spans="7:12" x14ac:dyDescent="0.25">
      <c r="G77" s="749" t="s">
        <v>109</v>
      </c>
      <c r="H77" s="749">
        <v>87</v>
      </c>
      <c r="I77" s="749" t="s">
        <v>208</v>
      </c>
      <c r="J77" s="751">
        <f>OtherTourDestination!E85</f>
        <v>-2.6162258391100002</v>
      </c>
      <c r="K77" s="792">
        <f si="4" t="shared"/>
        <v>-2.6162258391100002</v>
      </c>
      <c r="L77" s="749" t="s">
        <v>209</v>
      </c>
    </row>
    <row r="78" spans="7:12" x14ac:dyDescent="0.25">
      <c r="G78" s="749" t="s">
        <v>123</v>
      </c>
      <c r="H78" s="749">
        <v>88</v>
      </c>
      <c r="I78" s="749" t="s">
        <v>210</v>
      </c>
      <c r="J78" s="751">
        <f>OtherTourDestination!E86</f>
        <v>-18.920608679800001</v>
      </c>
      <c r="K78" s="792">
        <f si="4" t="shared"/>
        <v>-18.920608679800001</v>
      </c>
      <c r="L78" s="749" t="s">
        <v>211</v>
      </c>
    </row>
    <row r="79" spans="7:12" x14ac:dyDescent="0.25">
      <c r="G79" s="749" t="s">
        <v>123</v>
      </c>
      <c r="H79" s="749">
        <v>89</v>
      </c>
      <c r="I79" s="749" t="s">
        <v>212</v>
      </c>
      <c r="J79" s="751">
        <f>OtherTourDestination!E87</f>
        <v>0</v>
      </c>
      <c r="K79" s="792">
        <f si="4" t="shared"/>
        <v>0</v>
      </c>
      <c r="L79" s="749" t="s">
        <v>213</v>
      </c>
    </row>
    <row r="80" spans="7:12" x14ac:dyDescent="0.25">
      <c r="G80" s="749" t="s">
        <v>123</v>
      </c>
      <c r="H80" s="749">
        <v>90</v>
      </c>
      <c r="I80" s="749" t="s">
        <v>214</v>
      </c>
      <c r="J80" s="751">
        <f>OtherTourDestination!E88</f>
        <v>-6.14284833482</v>
      </c>
      <c r="K80" s="792">
        <f si="4" t="shared"/>
        <v>-6.14284833482</v>
      </c>
      <c r="L80" s="749" t="s">
        <v>215</v>
      </c>
    </row>
    <row r="81" spans="7:12" x14ac:dyDescent="0.25">
      <c r="G81" s="749" t="s">
        <v>123</v>
      </c>
      <c r="H81" s="749">
        <v>91</v>
      </c>
      <c r="I81" s="749" t="s">
        <v>216</v>
      </c>
      <c r="J81" s="751">
        <f>OtherTourDestination!E89</f>
        <v>-16.4745846271</v>
      </c>
      <c r="K81" s="792">
        <f si="4" t="shared"/>
        <v>-16.4745846271</v>
      </c>
      <c r="L81" s="749" t="s">
        <v>217</v>
      </c>
    </row>
    <row r="82" spans="7:12" x14ac:dyDescent="0.25">
      <c r="G82" s="749" t="s">
        <v>123</v>
      </c>
      <c r="H82" s="749">
        <v>92</v>
      </c>
      <c r="I82" s="749" t="s">
        <v>218</v>
      </c>
      <c r="J82" s="751">
        <f>OtherTourDestination!E90</f>
        <v>-9.3272520902899991</v>
      </c>
      <c r="K82" s="792">
        <f si="4" t="shared"/>
        <v>-9.3272520902899991</v>
      </c>
      <c r="L82" s="749" t="s">
        <v>219</v>
      </c>
    </row>
    <row r="83" spans="7:12" x14ac:dyDescent="0.25">
      <c r="G83" s="749" t="s">
        <v>123</v>
      </c>
      <c r="H83" s="749">
        <v>93</v>
      </c>
      <c r="I83" s="749" t="s">
        <v>220</v>
      </c>
      <c r="J83" s="751">
        <f>OtherTourDestination!E91</f>
        <v>-0.748114378523</v>
      </c>
      <c r="K83" s="792">
        <f si="4" t="shared"/>
        <v>-0.748114378523</v>
      </c>
      <c r="L83" s="749" t="s">
        <v>221</v>
      </c>
    </row>
    <row r="84" spans="7:12" x14ac:dyDescent="0.25">
      <c r="G84" s="749" t="s">
        <v>123</v>
      </c>
      <c r="H84" s="749">
        <v>94</v>
      </c>
      <c r="I84" s="749" t="s">
        <v>222</v>
      </c>
      <c r="J84" s="751">
        <f>OtherTourDestination!E92</f>
        <v>-0.29100107664500002</v>
      </c>
      <c r="K84" s="792">
        <f si="4" t="shared"/>
        <v>-0.29100107664500002</v>
      </c>
      <c r="L84" s="749" t="s">
        <v>223</v>
      </c>
    </row>
    <row r="85" spans="7:12" x14ac:dyDescent="0.25">
      <c r="G85" s="749" t="s">
        <v>123</v>
      </c>
      <c r="H85" s="749">
        <v>95</v>
      </c>
      <c r="I85" s="749" t="s">
        <v>224</v>
      </c>
      <c r="J85" s="751">
        <f>OtherTourDestination!E93</f>
        <v>0</v>
      </c>
      <c r="K85" s="792">
        <f si="4" t="shared"/>
        <v>0</v>
      </c>
      <c r="L85" s="749" t="s">
        <v>225</v>
      </c>
    </row>
    <row r="86" spans="7:12" x14ac:dyDescent="0.25">
      <c r="G86" s="749" t="s">
        <v>123</v>
      </c>
      <c r="H86" s="749">
        <v>96</v>
      </c>
      <c r="I86" s="749" t="s">
        <v>226</v>
      </c>
      <c r="J86" s="751">
        <f>OtherTourDestination!E94</f>
        <v>-10.3298280696</v>
      </c>
      <c r="K86" s="792">
        <f si="4" t="shared"/>
        <v>-10.3298280696</v>
      </c>
      <c r="L86" s="749" t="s">
        <v>227</v>
      </c>
    </row>
    <row r="87" spans="7:12" x14ac:dyDescent="0.25">
      <c r="G87" s="749" t="s">
        <v>141</v>
      </c>
      <c r="H87" s="749">
        <v>97</v>
      </c>
      <c r="I87" s="749" t="s">
        <v>228</v>
      </c>
      <c r="J87" s="751">
        <f>OtherTourDestination!E95</f>
        <v>-16.742935323400001</v>
      </c>
      <c r="K87" s="792">
        <f si="4" t="shared"/>
        <v>-16.742935323400001</v>
      </c>
      <c r="L87" s="749" t="s">
        <v>229</v>
      </c>
    </row>
    <row r="88" spans="7:12" x14ac:dyDescent="0.25">
      <c r="G88" s="749" t="s">
        <v>141</v>
      </c>
      <c r="H88" s="749">
        <v>98</v>
      </c>
      <c r="I88" s="749" t="s">
        <v>230</v>
      </c>
      <c r="J88" s="751">
        <f>OtherTourDestination!E96</f>
        <v>-6.97234539975</v>
      </c>
      <c r="K88" s="792">
        <f si="4" t="shared"/>
        <v>-6.97234539975</v>
      </c>
      <c r="L88" s="749" t="s">
        <v>215</v>
      </c>
    </row>
    <row r="89" spans="7:12" x14ac:dyDescent="0.25">
      <c r="G89" s="749" t="s">
        <v>141</v>
      </c>
      <c r="H89" s="749">
        <v>99</v>
      </c>
      <c r="I89" s="749" t="s">
        <v>231</v>
      </c>
      <c r="J89" s="751">
        <f>OtherTourDestination!E97</f>
        <v>-10.7755348742</v>
      </c>
      <c r="K89" s="792">
        <f si="4" t="shared"/>
        <v>-10.7755348742</v>
      </c>
      <c r="L89" s="749" t="s">
        <v>217</v>
      </c>
    </row>
    <row r="90" spans="7:12" x14ac:dyDescent="0.25">
      <c r="G90" s="749" t="s">
        <v>141</v>
      </c>
      <c r="H90" s="749">
        <v>100</v>
      </c>
      <c r="I90" s="749" t="s">
        <v>232</v>
      </c>
      <c r="J90" s="751">
        <f>OtherTourDestination!E98</f>
        <v>-11.547846395100001</v>
      </c>
      <c r="K90" s="792">
        <f si="4" t="shared"/>
        <v>-11.547846395100001</v>
      </c>
      <c r="L90" s="749" t="s">
        <v>219</v>
      </c>
    </row>
    <row r="91" spans="7:12" x14ac:dyDescent="0.25">
      <c r="G91" s="749" t="s">
        <v>151</v>
      </c>
      <c r="H91" s="749">
        <v>101</v>
      </c>
      <c r="I91" s="749" t="s">
        <v>233</v>
      </c>
      <c r="J91" s="751">
        <f>OtherTourDestination!E99</f>
        <v>0</v>
      </c>
      <c r="K91" s="792">
        <f si="4" t="shared"/>
        <v>0</v>
      </c>
      <c r="L91" s="749" t="s">
        <v>221</v>
      </c>
    </row>
    <row r="92" spans="7:12" x14ac:dyDescent="0.25">
      <c r="G92" s="749" t="s">
        <v>151</v>
      </c>
      <c r="H92" s="749">
        <v>102</v>
      </c>
      <c r="I92" s="749" t="s">
        <v>234</v>
      </c>
      <c r="J92" s="751">
        <f>OtherTourDestination!E100</f>
        <v>-11.0962758301</v>
      </c>
      <c r="K92" s="792">
        <f si="4" t="shared"/>
        <v>-11.0962758301</v>
      </c>
      <c r="L92" s="749" t="s">
        <v>215</v>
      </c>
    </row>
    <row r="93" spans="7:12" x14ac:dyDescent="0.25">
      <c r="G93" s="749" t="s">
        <v>151</v>
      </c>
      <c r="H93" s="749">
        <v>103</v>
      </c>
      <c r="I93" s="749" t="s">
        <v>235</v>
      </c>
      <c r="J93" s="751">
        <f>OtherTourDestination!E101</f>
        <v>0</v>
      </c>
      <c r="K93" s="792">
        <f si="4" t="shared"/>
        <v>0</v>
      </c>
      <c r="L93" s="749" t="s">
        <v>217</v>
      </c>
    </row>
    <row r="94" spans="7:12" x14ac:dyDescent="0.25">
      <c r="G94" s="749" t="s">
        <v>151</v>
      </c>
      <c r="H94" s="749">
        <v>104</v>
      </c>
      <c r="I94" s="749" t="s">
        <v>236</v>
      </c>
      <c r="J94" s="751">
        <f>OtherTourDestination!E102</f>
        <v>-12.7257909892</v>
      </c>
      <c r="K94" s="792">
        <f si="4" t="shared"/>
        <v>-12.7257909892</v>
      </c>
      <c r="L94" s="749" t="s">
        <v>219</v>
      </c>
    </row>
    <row r="95" spans="7:12" x14ac:dyDescent="0.25">
      <c r="G95" s="749" t="s">
        <v>163</v>
      </c>
      <c r="H95" s="749">
        <v>105</v>
      </c>
      <c r="I95" s="749" t="s">
        <v>237</v>
      </c>
      <c r="J95" s="751">
        <f>OtherTourDestination!E103</f>
        <v>-12.5271034041</v>
      </c>
      <c r="K95" s="792">
        <f si="4" t="shared"/>
        <v>-12.5271034041</v>
      </c>
      <c r="L95" s="749" t="s">
        <v>221</v>
      </c>
    </row>
    <row r="96" spans="7:12" x14ac:dyDescent="0.25">
      <c r="G96" s="749" t="s">
        <v>163</v>
      </c>
      <c r="H96" s="749">
        <v>106</v>
      </c>
      <c r="I96" s="749" t="s">
        <v>238</v>
      </c>
      <c r="J96" s="751">
        <f>OtherTourDestination!E104</f>
        <v>-21.008822510800002</v>
      </c>
      <c r="K96" s="792">
        <f si="4" t="shared"/>
        <v>-21.008822510800002</v>
      </c>
      <c r="L96" s="749" t="s">
        <v>215</v>
      </c>
    </row>
    <row r="97" spans="7:12" x14ac:dyDescent="0.25">
      <c r="G97" s="749" t="s">
        <v>163</v>
      </c>
      <c r="H97" s="749">
        <v>107</v>
      </c>
      <c r="I97" s="749" t="s">
        <v>239</v>
      </c>
      <c r="J97" s="751">
        <f>OtherTourDestination!E105</f>
        <v>-1.63176275226</v>
      </c>
      <c r="K97" s="792">
        <f si="4" t="shared"/>
        <v>-1.63176275226</v>
      </c>
      <c r="L97" s="749" t="s">
        <v>240</v>
      </c>
    </row>
    <row r="98" spans="7:12" x14ac:dyDescent="0.25">
      <c r="G98" s="749" t="s">
        <v>163</v>
      </c>
      <c r="H98" s="749">
        <v>108</v>
      </c>
      <c r="I98" s="749" t="s">
        <v>241</v>
      </c>
      <c r="J98" s="751">
        <f>OtherTourDestination!E106</f>
        <v>-4.6653914733199997</v>
      </c>
      <c r="K98" s="792">
        <f si="4" t="shared"/>
        <v>-4.6653914733199997</v>
      </c>
      <c r="L98" s="749" t="s">
        <v>217</v>
      </c>
    </row>
    <row r="99" spans="7:12" x14ac:dyDescent="0.25">
      <c r="G99" s="749" t="s">
        <v>163</v>
      </c>
      <c r="H99" s="749">
        <v>109</v>
      </c>
      <c r="I99" s="749" t="s">
        <v>242</v>
      </c>
      <c r="J99" s="751">
        <f>OtherTourDestination!E107</f>
        <v>-7.5050624753099999</v>
      </c>
      <c r="K99" s="792">
        <f si="4" t="shared"/>
        <v>-7.5050624753099999</v>
      </c>
      <c r="L99" s="749" t="s">
        <v>219</v>
      </c>
    </row>
    <row r="100" spans="7:12" x14ac:dyDescent="0.25">
      <c r="G100" s="749" t="s">
        <v>163</v>
      </c>
      <c r="H100" s="749">
        <v>110</v>
      </c>
      <c r="I100" s="749" t="s">
        <v>243</v>
      </c>
      <c r="J100" s="751">
        <f>OtherTourDestination!E108</f>
        <v>-7.2217481188799999</v>
      </c>
      <c r="K100" s="792">
        <f si="4" t="shared"/>
        <v>-7.2217481188799999</v>
      </c>
      <c r="L100" s="749" t="s">
        <v>221</v>
      </c>
    </row>
    <row r="101" spans="7:12" x14ac:dyDescent="0.25">
      <c r="G101" s="749" t="s">
        <v>163</v>
      </c>
      <c r="H101" s="749">
        <v>111</v>
      </c>
      <c r="I101" s="749" t="s">
        <v>244</v>
      </c>
      <c r="J101" s="751">
        <f>OtherTourDestination!E109</f>
        <v>-3.4793464222399999</v>
      </c>
      <c r="K101" s="792">
        <f si="4" t="shared"/>
        <v>-3.4793464222399999</v>
      </c>
      <c r="L101" s="749" t="s">
        <v>227</v>
      </c>
    </row>
    <row r="102" spans="7:12" x14ac:dyDescent="0.25">
      <c r="G102" s="749" t="s">
        <v>163</v>
      </c>
      <c r="H102" s="749">
        <v>112</v>
      </c>
      <c r="I102" s="749" t="s">
        <v>245</v>
      </c>
      <c r="J102" s="751">
        <f>OtherTourDestination!E110</f>
        <v>0</v>
      </c>
      <c r="K102" s="792">
        <f si="4" t="shared"/>
        <v>0</v>
      </c>
      <c r="L102" s="749" t="s">
        <v>246</v>
      </c>
    </row>
    <row r="103" spans="7:12" x14ac:dyDescent="0.25">
      <c r="G103" s="749" t="s">
        <v>163</v>
      </c>
      <c r="H103" s="749">
        <v>113</v>
      </c>
      <c r="I103" s="749" t="s">
        <v>247</v>
      </c>
      <c r="J103" s="751">
        <f>OtherTourDestination!E111</f>
        <v>0</v>
      </c>
      <c r="K103" s="792">
        <f si="4" t="shared"/>
        <v>0</v>
      </c>
      <c r="L103" s="749" t="s">
        <v>229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baseType="lpstr" size="21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2015-04-29T22:15:38Z</dcterms:modified>
</cp:coreProperties>
</file>