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activeTab="3" windowHeight="10695" windowWidth="14190" xWindow="10050" yWindow="-15"/>
  </bookViews>
  <sheets>
    <sheet name="TLFD" r:id="rId1" sheetId="3"/>
    <sheet name="TDFD" r:id="rId2" sheetId="4"/>
    <sheet name="TDFD_Agg" r:id="rId3" sheetId="10"/>
    <sheet name="County_Flow" r:id="rId4" sheetId="1"/>
    <sheet name="SchoolAtHome" r:id="rId5" sheetId="12"/>
    <sheet name="Documentation" r:id="rId6" sheetId="7"/>
    <sheet name="CoeffDef" r:id="rId7" sheetId="13"/>
    <sheet name="SchoolLocationCoefficient" r:id="rId8" sheetId="14"/>
    <sheet name="Calibration" r:id="rId9" sheetId="15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Sch_dist">TLFD!$H$11:$J$101</definedName>
    <definedName name="Sch_time">TDFD!$H$11:$J$101</definedName>
    <definedName name="tot">SchoolAtHome!$I$18:$K$23</definedName>
    <definedName name="out1">TLFD!$B$11:$D$101</definedName>
    <definedName name="out3">TDFD!$B$11:$D$101</definedName>
    <definedName name="out5">TLFD!$N$11:$N$14</definedName>
    <definedName name="out7">TDFD!$N$11:$N$14</definedName>
    <definedName name="out9">County_Flow!$B$7:$H$13</definedName>
    <definedName name="out11">SchoolAtHome!$B$18:$D$24</definedName>
    <definedName name="out13">SchoolAtHome!$B$7:$D$13</definedName>
    <definedName name="out2">TLFD!$H$11:$J$101</definedName>
    <definedName name="out4">TDFD!$H$11:$J$101</definedName>
    <definedName name="out6">TLFD!$O$11:$O$14</definedName>
    <definedName name="out8">TDFD!$O$11:$O$14</definedName>
    <definedName name="out10">County_Flow!$M$7:$S$13</definedName>
    <definedName name="out12">SchoolAtHome!$I$18:$K$24</definedName>
    <definedName name="out14">SchoolAtHome!$I$7:$K$13</definedName>
  </definedNames>
  <calcPr calcId="171027"/>
</workbook>
</file>

<file path=xl/calcChain.xml><?xml version="1.0" encoding="utf-8"?>
<calcChain xmlns="http://schemas.openxmlformats.org/spreadsheetml/2006/main">
  <c i="15" l="1" r="T4"/>
  <c i="15" r="T5"/>
  <c i="15" r="T6"/>
  <c i="15" r="T7"/>
  <c i="15" r="T8"/>
  <c i="15" r="T9"/>
  <c i="15" r="T10"/>
  <c i="15" r="T11"/>
  <c i="15" r="T12"/>
  <c i="15" r="L8" s="1"/>
  <c i="15" r="T13"/>
  <c i="15" r="L9" s="1"/>
  <c i="15" r="T14"/>
  <c i="15" r="L10" s="1"/>
  <c i="15" r="T15"/>
  <c i="15" r="T16"/>
  <c i="15" r="T17"/>
  <c i="15" r="T18"/>
  <c i="15" r="T19"/>
  <c i="15" r="T20"/>
  <c i="15" r="T21"/>
  <c i="15" r="T22"/>
  <c i="15" r="T23"/>
  <c i="15" r="T24"/>
  <c i="15" r="T25"/>
  <c i="15" r="T26"/>
  <c i="15" r="T27"/>
  <c i="15" r="T28"/>
  <c i="15" r="T29"/>
  <c i="15" r="T30"/>
  <c i="15" r="T31"/>
  <c i="15" r="T32"/>
  <c i="15" r="T33"/>
  <c i="15" r="T34"/>
  <c i="15" r="T35"/>
  <c i="15" r="T36"/>
  <c i="15" r="T37"/>
  <c i="15" r="T38"/>
  <c i="15" r="T39"/>
  <c i="15" r="T40"/>
  <c i="15" r="T41"/>
  <c i="15" r="T42"/>
  <c i="15" r="T43"/>
  <c i="15" r="T44"/>
  <c i="15" r="T45"/>
  <c i="15" r="T46"/>
  <c i="15" r="T47"/>
  <c i="15" r="T48"/>
  <c i="15" r="T49"/>
  <c i="15" r="T50"/>
  <c i="15" r="T51"/>
  <c i="15" r="T52"/>
  <c i="15" r="T53"/>
  <c i="15" r="T54"/>
  <c i="15" r="T55"/>
  <c i="15" r="T56"/>
  <c i="15" r="T57"/>
  <c i="15" r="T58"/>
  <c i="15" r="T59"/>
  <c i="15" r="T60"/>
  <c i="15" r="T61"/>
  <c i="15" r="T62"/>
  <c i="15" r="T3"/>
  <c i="15" l="1" r="L17"/>
  <c i="15" l="1" r="U4"/>
  <c i="15" r="U5"/>
  <c i="15" r="U6"/>
  <c i="15" r="U7"/>
  <c i="15" r="U8"/>
  <c i="15" r="U9"/>
  <c i="15" r="U10"/>
  <c i="15" r="U11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59"/>
  <c i="15" r="U60"/>
  <c i="15" r="U61"/>
  <c i="15" r="U62"/>
  <c i="15" r="U3"/>
  <c i="15" r="C10"/>
  <c i="15" r="B10"/>
  <c i="15" r="C9"/>
  <c i="15" r="B9"/>
  <c i="15" r="C8"/>
  <c i="15" r="B8"/>
  <c i="15" l="1" r="C11"/>
  <c i="15" r="G10" s="1"/>
  <c i="15" r="B11"/>
  <c i="15" r="F9" s="1"/>
  <c i="1" r="C27"/>
  <c i="1" r="D27"/>
  <c i="1" r="E27"/>
  <c i="1" r="F27"/>
  <c i="1" r="G27"/>
  <c i="1" r="H27"/>
  <c i="1" r="I27"/>
  <c i="1" r="J27"/>
  <c i="1" r="B27"/>
  <c i="1" r="S15"/>
  <c i="15" l="1" r="F10"/>
  <c i="15" r="J10" s="1"/>
  <c i="15" r="F8"/>
  <c i="15" r="G8"/>
  <c i="15" r="G9"/>
  <c i="15" r="J9" s="1"/>
  <c i="1" r="L13"/>
  <c i="1" r="A26"/>
  <c i="1" r="A39"/>
  <c i="1" r="W39"/>
  <c i="1" r="L39"/>
  <c i="15" l="1" r="J8"/>
  <c i="15" r="F11"/>
  <c i="15" r="G11"/>
  <c i="12" r="O35"/>
  <c i="12" r="H35"/>
  <c i="12" r="A35"/>
  <c i="12" r="A24"/>
  <c i="12" r="H24"/>
  <c i="12" r="O24"/>
  <c i="12" r="O13"/>
  <c i="12" r="H13"/>
  <c i="1" r="AD32"/>
  <c i="1" r="S32"/>
  <c i="1" r="H32"/>
  <c i="1" r="H19"/>
  <c i="1" r="S6"/>
  <c i="1" r="H6"/>
  <c i="15" l="1" r="K8"/>
  <c i="15" r="M8" s="1"/>
  <c i="15" r="U12" s="1"/>
  <c i="15" r="K10"/>
  <c i="15" r="M10" s="1"/>
  <c i="15" r="U14" s="1"/>
  <c i="15" r="K9"/>
  <c i="15" r="M9" s="1"/>
  <c i="15" r="U13" s="1"/>
  <c i="12" r="D25"/>
  <c i="12" r="C25"/>
  <c i="12" r="B25"/>
  <c i="12" r="K25"/>
  <c i="12" r="J25"/>
  <c i="12" r="I25"/>
  <c i="12" r="J14"/>
  <c i="12" r="K14"/>
  <c i="12" r="I14"/>
  <c i="12" l="1" r="I36"/>
  <c i="12" r="J36"/>
  <c i="12" r="K36"/>
  <c i="12" r="P25"/>
  <c i="12" r="R25"/>
  <c i="12" r="Q25"/>
  <c i="1" r="AC45"/>
  <c i="1" r="AB45"/>
  <c i="1" r="AA45"/>
  <c i="1" r="Z45"/>
  <c i="1" r="Y45"/>
  <c i="1" r="X45"/>
  <c i="1" r="R45"/>
  <c i="1" r="Q45"/>
  <c i="1" r="P45"/>
  <c i="1" r="O45"/>
  <c i="1" r="N45"/>
  <c i="1" r="M45"/>
  <c i="1" r="G45"/>
  <c i="1" r="F45"/>
  <c i="1" r="E45"/>
  <c i="1" r="D45"/>
  <c i="1" r="C45"/>
  <c i="1" r="B45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51"/>
  <c i="1" r="W50"/>
  <c i="1" r="W49"/>
  <c i="1" r="W48"/>
  <c i="1" r="W47"/>
  <c i="1" r="W46"/>
  <c i="1" r="L51"/>
  <c i="1" r="L50"/>
  <c i="1" r="L49"/>
  <c i="1" r="L48"/>
  <c i="1" r="L47"/>
  <c i="1" r="L46"/>
  <c i="1" r="A51"/>
  <c i="1" r="A50"/>
  <c i="1" r="A49"/>
  <c i="1" r="A48"/>
  <c i="1" r="A47"/>
  <c i="1" r="A4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r="L12"/>
  <c i="1" r="L11"/>
  <c i="1" r="L10"/>
  <c i="1" r="L9"/>
  <c i="1" r="L8"/>
  <c i="1" r="L7"/>
  <c i="12" r="O34"/>
  <c i="12" r="O33"/>
  <c i="12" r="O32"/>
  <c i="12" r="O31"/>
  <c i="12" r="O30"/>
  <c i="12" r="O29"/>
  <c i="12" r="H34"/>
  <c i="12" r="H33"/>
  <c i="12" r="H32"/>
  <c i="12" r="H31"/>
  <c i="12" r="H30"/>
  <c i="12" r="H29"/>
  <c i="12" r="A34"/>
  <c i="12" r="A33"/>
  <c i="12" r="A32"/>
  <c i="12" r="A31"/>
  <c i="12" r="A30"/>
  <c i="12" r="A29"/>
  <c i="12" r="O23"/>
  <c i="12" r="O22"/>
  <c i="12" r="O21"/>
  <c i="12" r="O20"/>
  <c i="12" r="O19"/>
  <c i="12" r="O18"/>
  <c i="12" r="H23"/>
  <c i="12" r="H22"/>
  <c i="12" r="H21"/>
  <c i="12" r="H20"/>
  <c i="12" r="H19"/>
  <c i="12" r="H18"/>
  <c i="12" r="A23"/>
  <c i="12" r="A22"/>
  <c i="12" r="A21"/>
  <c i="12" r="A20"/>
  <c i="12" r="A19"/>
  <c i="12" r="A18"/>
  <c i="12" r="O12"/>
  <c i="12" r="O11"/>
  <c i="12" r="O10"/>
  <c i="12" r="O9"/>
  <c i="12" r="O8"/>
  <c i="12" r="O7"/>
  <c i="12" r="H12"/>
  <c i="12" r="H11"/>
  <c i="12" r="H10"/>
  <c i="12" r="H9"/>
  <c i="12" r="H8"/>
  <c i="12" r="H7"/>
  <c i="1" l="1" r="P15"/>
  <c i="1" r="Q15"/>
  <c i="1" r="R15"/>
  <c i="1" r="E15"/>
  <c i="1" r="F15"/>
  <c i="1" r="G15"/>
  <c i="12" l="1" r="L20"/>
  <c i="12" r="L21"/>
  <c i="12" r="L22"/>
  <c i="12" r="L9"/>
  <c i="12" r="L10"/>
  <c i="12" r="L11"/>
  <c i="12" r="E20"/>
  <c i="12" r="E21"/>
  <c i="12" r="E22"/>
  <c i="12" r="E9"/>
  <c i="12" r="E10"/>
  <c i="12" r="E11"/>
  <c i="12" l="1" r="B30"/>
  <c i="12" r="C30"/>
  <c i="12" r="D30"/>
  <c i="12" r="B31"/>
  <c i="12" r="C31"/>
  <c i="12" r="D31"/>
  <c i="12" r="E31"/>
  <c i="12" r="B32"/>
  <c i="12" r="C32"/>
  <c i="12" r="D32"/>
  <c i="12" r="E32"/>
  <c i="12" r="B33"/>
  <c i="12" r="C33"/>
  <c i="12" r="D33"/>
  <c i="12" r="E33"/>
  <c i="12" r="I31"/>
  <c i="12" r="P31" s="1"/>
  <c i="12" r="J31"/>
  <c i="12" r="Q31" s="1"/>
  <c i="12" r="K31"/>
  <c i="12" r="R31" s="1"/>
  <c i="12" r="L31"/>
  <c i="12" r="S31" s="1"/>
  <c i="12" r="I32"/>
  <c i="12" r="J32"/>
  <c i="12" r="Q32" s="1"/>
  <c i="12" r="K32"/>
  <c i="12" r="R32" s="1"/>
  <c i="12" r="L32"/>
  <c i="12" r="I33"/>
  <c i="12" r="P33" s="1"/>
  <c i="12" r="J33"/>
  <c i="12" r="K33"/>
  <c i="12" r="L33"/>
  <c i="12" r="P20"/>
  <c i="12" r="Q20"/>
  <c i="12" r="R20"/>
  <c i="12" r="S20"/>
  <c i="12" r="P21"/>
  <c i="12" r="Q21"/>
  <c i="12" r="R21"/>
  <c i="12" r="S21"/>
  <c i="12" r="P22"/>
  <c i="12" r="Q22"/>
  <c i="12" r="R22"/>
  <c i="12" r="S22"/>
  <c i="12" r="P9"/>
  <c i="12" r="Q9"/>
  <c i="12" r="R9"/>
  <c i="12" r="S9"/>
  <c i="12" r="P10"/>
  <c i="12" r="Q10"/>
  <c i="12" r="R10"/>
  <c i="12" r="S10"/>
  <c i="12" r="P11"/>
  <c i="12" r="Q11"/>
  <c i="12" r="R11"/>
  <c i="12" r="S11"/>
  <c i="1" r="U10"/>
  <c i="1" r="U11"/>
  <c i="1" r="U12"/>
  <c i="1" r="U13"/>
  <c i="1" r="J8"/>
  <c i="1" r="J9"/>
  <c i="1" r="J10"/>
  <c i="1" r="J11"/>
  <c i="1" r="J12"/>
  <c i="1" l="1" r="H24"/>
  <c i="1" r="H23"/>
  <c i="1" r="H25"/>
  <c i="12" r="Q33"/>
  <c i="1" r="C24"/>
  <c i="12" r="S32"/>
  <c i="1" r="J24"/>
  <c i="1" r="I24"/>
  <c i="12" r="R33"/>
  <c i="12" r="P32"/>
  <c i="1" r="B24"/>
  <c i="1" r="B23"/>
  <c i="1" r="G24"/>
  <c i="1" r="F24"/>
  <c i="1" r="E24"/>
  <c i="1" r="D24"/>
  <c i="1" r="F23"/>
  <c i="1" r="J23"/>
  <c i="1" r="I23"/>
  <c i="1" r="G23"/>
  <c i="1" r="C23"/>
  <c i="1" r="J25"/>
  <c i="1" r="I25"/>
  <c i="1" r="G25"/>
  <c i="1" r="D25"/>
  <c i="1" r="C25"/>
  <c i="1" r="B25"/>
  <c i="1" r="F25"/>
  <c i="1" r="E25"/>
  <c i="12" r="S33"/>
  <c i="1" r="E23"/>
  <c i="1" r="D23"/>
  <c i="12" r="E23"/>
  <c i="12" r="E19"/>
  <c i="12" r="E18"/>
  <c i="12" r="R23"/>
  <c i="12" r="Q23"/>
  <c i="12" r="P23"/>
  <c i="12" r="R19"/>
  <c i="12" r="Q19"/>
  <c i="12" r="P19"/>
  <c i="12" r="R18"/>
  <c i="12" r="Q18"/>
  <c i="12" r="P18"/>
  <c i="12" r="L23"/>
  <c i="12" r="L19"/>
  <c i="12" r="L18"/>
  <c i="12" r="L7"/>
  <c i="12" r="L8"/>
  <c i="12" r="L12"/>
  <c i="1" r="T15"/>
  <c i="1" r="O15"/>
  <c i="1" r="N15"/>
  <c i="1" r="M15"/>
  <c i="1" r="I15"/>
  <c i="1" r="D15"/>
  <c i="1" r="C15"/>
  <c i="1" r="B15"/>
  <c i="1" r="J13"/>
  <c i="1" r="B26" s="1"/>
  <c i="1" r="U9"/>
  <c i="1" r="H22" s="1"/>
  <c i="1" r="U8"/>
  <c i="1" r="H21" s="1"/>
  <c i="1" r="U7"/>
  <c i="1" r="J7"/>
  <c i="1" l="1" r="I26"/>
  <c i="1" r="G26"/>
  <c i="1" r="E26"/>
  <c i="1" r="D26"/>
  <c i="1" r="C26"/>
  <c i="1" r="H26"/>
  <c i="1" r="F26"/>
  <c i="1" r="H20"/>
  <c i="1" r="J26"/>
  <c i="1" r="C22"/>
  <c i="1" r="D22"/>
  <c i="1" r="E22"/>
  <c i="1" r="G22"/>
  <c i="1" r="I22"/>
  <c i="1" r="B22"/>
  <c i="1" r="F22"/>
  <c i="1" r="J22"/>
  <c i="1" r="D20"/>
  <c i="1" r="G20"/>
  <c i="1" r="E20"/>
  <c i="1" r="C20"/>
  <c i="1" r="F20"/>
  <c i="1" r="E21"/>
  <c i="1" r="F21"/>
  <c i="1" r="B21"/>
  <c i="1" r="C21"/>
  <c i="1" r="D21"/>
  <c i="1" r="G21"/>
  <c i="1" r="I21"/>
  <c i="1" r="J21"/>
  <c i="12" r="S18"/>
  <c i="12" r="E24"/>
  <c i="12" r="E25" s="1"/>
  <c i="15" r="B18" s="1"/>
  <c i="15" r="F18" s="1"/>
  <c i="12" r="P24"/>
  <c i="12" r="S19"/>
  <c i="12" r="Q24"/>
  <c i="12" r="S23"/>
  <c i="12" r="R24"/>
  <c i="12" r="L13"/>
  <c i="12" r="L14" s="1"/>
  <c i="15" r="C17" s="1"/>
  <c i="12" r="L24"/>
  <c i="12" r="L25" s="1"/>
  <c i="15" r="C18" s="1"/>
  <c i="15" r="G18" s="1"/>
  <c i="1" r="U15"/>
  <c i="1" r="J15"/>
  <c i="1" r="J20"/>
  <c i="1" r="B20"/>
  <c i="1" r="I20"/>
  <c i="1" l="1" r="Q39"/>
  <c i="1" r="S33"/>
  <c i="1" r="N39"/>
  <c i="1" r="P39"/>
  <c i="1" r="R39"/>
  <c i="1" r="S37"/>
  <c i="1" r="S36"/>
  <c i="1" r="S39"/>
  <c i="1" r="S35"/>
  <c i="1" r="S38"/>
  <c i="1" r="M39"/>
  <c i="1" r="O39"/>
  <c i="1" r="S34"/>
  <c i="1" r="G39"/>
  <c i="15" r="G17"/>
  <c i="1" r="H28"/>
  <c i="1" r="T40"/>
  <c i="1" r="N40"/>
  <c i="1" r="Q40"/>
  <c i="1" r="U40"/>
  <c i="1" r="T39"/>
  <c i="1" r="P40"/>
  <c i="1" r="M40"/>
  <c i="1" r="R40"/>
  <c i="1" r="O40"/>
  <c i="1" r="S40"/>
  <c i="1" r="S41"/>
  <c i="1" r="U39"/>
  <c i="12" r="L36"/>
  <c i="12" r="S25"/>
  <c i="1" r="R34"/>
  <c i="1" r="P35"/>
  <c i="1" r="M36"/>
  <c i="1" r="N36"/>
  <c i="1" r="P36"/>
  <c i="1" r="Q41"/>
  <c i="1" r="P37"/>
  <c i="1" r="Q38"/>
  <c i="1" r="I28"/>
  <c i="1" r="T36"/>
  <c i="1" r="R41"/>
  <c i="1" r="P33"/>
  <c i="1" r="R38"/>
  <c i="1" r="T38"/>
  <c i="1" r="Q33"/>
  <c i="1" r="M38"/>
  <c i="1" r="E28"/>
  <c i="1" r="P38"/>
  <c i="1" r="R33"/>
  <c i="1" r="P34"/>
  <c i="1" r="Q34"/>
  <c i="1" r="Q35"/>
  <c i="1" r="R35"/>
  <c i="1" r="O36"/>
  <c i="1" r="Q36"/>
  <c i="1" r="R36"/>
  <c i="1" r="M37"/>
  <c i="1" r="N37"/>
  <c i="1" r="Q37"/>
  <c i="1" r="P41"/>
  <c i="1" r="O37"/>
  <c i="1" r="R37"/>
  <c i="1" r="T37"/>
  <c i="1" r="C28"/>
  <c i="1" r="U37"/>
  <c i="1" r="D28"/>
  <c i="1" r="N38"/>
  <c i="1" r="F28"/>
  <c i="1" r="O38"/>
  <c i="1" r="G28"/>
  <c i="1" r="U38"/>
  <c i="1" r="U36"/>
  <c i="12" r="S24"/>
  <c i="1" r="N33"/>
  <c i="1" r="T34"/>
  <c i="1" r="M34"/>
  <c i="1" r="M33"/>
  <c i="1" r="U35"/>
  <c i="1" r="M35"/>
  <c i="1" r="U34"/>
  <c i="1" r="J28"/>
  <c i="1" r="H33" s="1"/>
  <c i="1" r="T35"/>
  <c i="1" r="N35"/>
  <c i="1" r="N41"/>
  <c i="1" r="O35"/>
  <c i="1" r="T33"/>
  <c i="1" r="U33"/>
  <c i="1" r="N34"/>
  <c i="1" r="M41"/>
  <c i="1" r="O33"/>
  <c i="1" r="U41"/>
  <c i="1" r="O34"/>
  <c i="1" r="O41"/>
  <c i="1" r="T41"/>
  <c i="1" r="B28"/>
  <c i="1" l="1" r="D39"/>
  <c i="1" r="E39"/>
  <c i="1" r="C39"/>
  <c i="1" r="I39"/>
  <c i="1" r="Z39"/>
  <c i="1" r="H39"/>
  <c i="1" r="AD39" s="1"/>
  <c i="1" r="AC39"/>
  <c i="1" r="B39"/>
  <c i="1" r="X39" s="1"/>
  <c i="1" r="H38"/>
  <c i="1" r="AD38" s="1"/>
  <c i="1" r="H35"/>
  <c i="1" r="AD35" s="1"/>
  <c i="1" r="H37"/>
  <c i="1" r="AD37" s="1"/>
  <c i="1" r="H34"/>
  <c i="1" r="AD34" s="1"/>
  <c i="1" r="H36"/>
  <c i="1" r="AD36" s="1"/>
  <c i="1" r="AA39"/>
  <c i="1" r="Y39"/>
  <c i="1" r="AD33"/>
  <c i="1" r="F39"/>
  <c i="1" r="AB39" s="1"/>
  <c i="1" r="F35"/>
  <c i="1" r="AB35" s="1"/>
  <c i="1" r="H40"/>
  <c i="1" r="AD40" s="1"/>
  <c i="1" r="J39"/>
  <c i="1" r="AF39" s="1"/>
  <c i="1" r="H41"/>
  <c i="1" r="AD41" s="1"/>
  <c i="1" r="AE39"/>
  <c i="1" r="G35"/>
  <c i="1" r="AC35" s="1"/>
  <c i="1" r="G41"/>
  <c i="1" r="AC41" s="1"/>
  <c i="1" r="F40"/>
  <c i="1" r="AB40" s="1"/>
  <c i="1" r="E35"/>
  <c i="1" r="AA35" s="1"/>
  <c i="1" r="E41"/>
  <c i="1" r="AA41" s="1"/>
  <c i="1" r="E34"/>
  <c i="1" r="AA34" s="1"/>
  <c i="1" r="F41"/>
  <c i="1" r="AB41" s="1"/>
  <c i="1" r="F34"/>
  <c i="1" r="AB34" s="1"/>
  <c i="1" r="G33"/>
  <c i="1" r="AC33" s="1"/>
  <c i="1" r="B37"/>
  <c i="1" r="X37" s="1"/>
  <c i="1" r="B36"/>
  <c i="1" r="X36" s="1"/>
  <c i="1" r="I37"/>
  <c i="1" r="AE37" s="1"/>
  <c i="1" r="C37"/>
  <c i="1" r="Y37" s="1"/>
  <c i="1" r="J37"/>
  <c i="1" r="AF37" s="1"/>
  <c i="1" r="F38"/>
  <c i="1" r="AB38" s="1"/>
  <c i="1" r="F36"/>
  <c i="1" r="AB36" s="1"/>
  <c i="1" r="D37"/>
  <c i="1" r="Z37" s="1"/>
  <c i="1" r="E40"/>
  <c i="1" r="AA40" s="1"/>
  <c i="1" r="E36"/>
  <c i="1" r="AA36" s="1"/>
  <c i="1" r="I36"/>
  <c i="1" r="AE36" s="1"/>
  <c i="1" r="G36"/>
  <c i="1" r="AC36" s="1"/>
  <c i="1" r="J38"/>
  <c i="1" r="AF38" s="1"/>
  <c i="1" r="G40"/>
  <c i="1" r="AC40" s="1"/>
  <c i="1" r="C38"/>
  <c i="1" r="Y38" s="1"/>
  <c i="1" r="J36"/>
  <c i="1" r="AF36" s="1"/>
  <c i="1" r="I38"/>
  <c i="1" r="AE38" s="1"/>
  <c i="1" r="G37"/>
  <c i="1" r="AC37" s="1"/>
  <c i="1" r="F37"/>
  <c i="1" r="AB37" s="1"/>
  <c i="1" r="D36"/>
  <c i="1" r="Z36" s="1"/>
  <c i="1" r="E38"/>
  <c i="1" r="AA38" s="1"/>
  <c i="1" r="D38"/>
  <c i="1" r="Z38" s="1"/>
  <c i="1" r="G38"/>
  <c i="1" r="AC38" s="1"/>
  <c i="1" r="C36"/>
  <c i="1" r="Y36" s="1"/>
  <c i="1" r="E37"/>
  <c i="1" r="AA37" s="1"/>
  <c i="1" r="B38"/>
  <c i="1" r="X38" s="1"/>
  <c i="1" r="G34"/>
  <c i="1" r="AC34" s="1"/>
  <c i="1" r="F33"/>
  <c i="1" r="AB33" s="1"/>
  <c i="1" r="E33"/>
  <c i="1" r="AA33" s="1"/>
  <c i="1" r="D33"/>
  <c i="1" r="Z33" s="1"/>
  <c i="1" r="C33"/>
  <c i="1" r="Y33" s="1"/>
  <c i="1" r="D40"/>
  <c i="1" r="Z40" s="1"/>
  <c i="1" r="D35"/>
  <c i="1" r="Z35" s="1"/>
  <c i="1" r="J40"/>
  <c i="1" r="AF40" s="1"/>
  <c i="1" r="D41"/>
  <c i="1" r="Z41" s="1"/>
  <c i="1" r="B34"/>
  <c i="1" r="X34" s="1"/>
  <c i="1" r="I34"/>
  <c i="1" r="AE34" s="1"/>
  <c i="1" r="I35"/>
  <c i="1" r="AE35" s="1"/>
  <c i="1" r="C34"/>
  <c i="1" r="Y34" s="1"/>
  <c i="1" r="I41"/>
  <c i="1" r="AE41" s="1"/>
  <c i="1" r="B41"/>
  <c i="1" r="X41" s="1"/>
  <c i="1" r="C40"/>
  <c i="1" r="Y40" s="1"/>
  <c i="1" r="I40"/>
  <c i="1" r="AE40" s="1"/>
  <c i="1" r="J33"/>
  <c i="1" r="AF33" s="1"/>
  <c i="1" r="B33"/>
  <c i="1" r="X33" s="1"/>
  <c i="1" r="J34"/>
  <c i="1" r="AF34" s="1"/>
  <c i="1" r="B35"/>
  <c i="1" r="X35" s="1"/>
  <c i="1" r="J35"/>
  <c i="1" r="AF35" s="1"/>
  <c i="1" r="B40"/>
  <c i="1" r="X40" s="1"/>
  <c i="1" r="D34"/>
  <c i="1" r="Z34" s="1"/>
  <c i="1" r="I33"/>
  <c i="1" r="AE33" s="1"/>
  <c i="1" r="C35"/>
  <c i="1" r="Y35" s="1"/>
  <c i="1" r="J41"/>
  <c i="1" r="AF41" s="1"/>
  <c i="1" r="C41"/>
  <c i="1" r="Y41" s="1"/>
  <c i="12" r="R12"/>
  <c i="12" r="Q12"/>
  <c i="12" r="P12"/>
  <c i="12" r="R8"/>
  <c i="12" r="Q8"/>
  <c i="12" r="P8"/>
  <c i="12" r="R7"/>
  <c i="12" r="Q7"/>
  <c i="12" r="P7"/>
  <c i="12" l="1" r="K34"/>
  <c i="12" r="J34"/>
  <c i="12" r="I34"/>
  <c i="12" r="D34"/>
  <c i="12" r="C34"/>
  <c i="12" r="B34"/>
  <c i="12" r="K30"/>
  <c i="12" r="J30"/>
  <c i="12" r="I30"/>
  <c i="12" r="K29"/>
  <c i="12" r="J29"/>
  <c i="12" r="I29"/>
  <c i="12" r="D29"/>
  <c i="12" r="C29"/>
  <c i="12" r="B29"/>
  <c i="12" r="E12"/>
  <c i="12" r="S12" s="1"/>
  <c i="12" r="E8"/>
  <c i="12" r="E7"/>
  <c i="12" r="S7" s="1"/>
  <c i="10" r="J22"/>
  <c i="10" r="J21"/>
  <c i="10" r="J20"/>
  <c i="10" r="J19"/>
  <c i="10" r="J18"/>
  <c i="10" r="J17"/>
  <c i="10" r="J16"/>
  <c i="10" r="J15"/>
  <c i="10" r="J14"/>
  <c i="10" r="J13"/>
  <c i="10" r="J12"/>
  <c i="10" r="I11"/>
  <c i="10" r="J11"/>
  <c i="10" r="K11"/>
  <c i="10" r="B22"/>
  <c i="10" r="C22"/>
  <c i="10" r="D22"/>
  <c i="10" r="B21"/>
  <c i="10" r="C21"/>
  <c i="10" r="D21"/>
  <c i="10" r="B20"/>
  <c i="10" r="C20"/>
  <c i="10" r="D20"/>
  <c i="10" r="B19"/>
  <c i="10" r="C19"/>
  <c i="10" r="D19"/>
  <c i="10" r="B18"/>
  <c i="10" r="C18"/>
  <c i="10" r="D18"/>
  <c i="10" r="B17"/>
  <c i="10" r="C17"/>
  <c i="10" r="D17"/>
  <c i="10" r="B16"/>
  <c i="10" r="C16"/>
  <c i="10" r="D16"/>
  <c i="10" r="B15"/>
  <c i="10" r="C15"/>
  <c i="10" r="D15"/>
  <c i="10" r="B14"/>
  <c i="10" r="C14"/>
  <c i="10" r="D14"/>
  <c i="10" r="B13"/>
  <c i="10" r="C13"/>
  <c i="10" r="D13"/>
  <c i="10" r="B12"/>
  <c i="10" r="C12"/>
  <c i="10" r="D12"/>
  <c i="10" r="B11"/>
  <c i="10" r="C11"/>
  <c i="10" r="D11"/>
  <c i="3" r="E92"/>
  <c i="3" r="E93"/>
  <c i="3" r="E94"/>
  <c i="3" r="E95"/>
  <c i="3" r="E96"/>
  <c i="3" r="E97"/>
  <c i="3" r="E98"/>
  <c i="3" r="E99"/>
  <c i="3" r="E100"/>
  <c i="3" r="E38"/>
  <c i="3" r="E39"/>
  <c i="3" r="E40"/>
  <c i="3" r="E41"/>
  <c i="3" r="E42"/>
  <c i="3" r="E43"/>
  <c i="3" r="E44"/>
  <c i="3" r="E45"/>
  <c i="3" r="E46"/>
  <c i="3" r="E47"/>
  <c i="3" r="E48"/>
  <c i="3" r="E49"/>
  <c i="3" r="E50"/>
  <c i="3" r="E51"/>
  <c i="3" r="E52"/>
  <c i="3" r="E53"/>
  <c i="3" r="E54"/>
  <c i="3" r="E55"/>
  <c i="3" r="E56"/>
  <c i="3" r="E57"/>
  <c i="3" r="E58"/>
  <c i="3" r="E59"/>
  <c i="3" r="E60"/>
  <c i="3" r="E61"/>
  <c i="3" r="E62"/>
  <c i="3" r="E63"/>
  <c i="3" r="E64"/>
  <c i="3" r="E65"/>
  <c i="3" r="E66"/>
  <c i="3" r="E67"/>
  <c i="3" r="E68"/>
  <c i="3" r="E69"/>
  <c i="3" r="E70"/>
  <c i="3" r="E71"/>
  <c i="3" r="E72"/>
  <c i="3" r="E73"/>
  <c i="3" r="E74"/>
  <c i="3" r="E75"/>
  <c i="3" r="E76"/>
  <c i="3" r="E77"/>
  <c i="3" r="E78"/>
  <c i="3" r="E79"/>
  <c i="3" r="E80"/>
  <c i="3" r="E81"/>
  <c i="3" r="E82"/>
  <c i="3" r="E83"/>
  <c i="3" r="E84"/>
  <c i="3" r="E85"/>
  <c i="3" r="E86"/>
  <c i="3" r="E87"/>
  <c i="3" r="E88"/>
  <c i="3" r="E89"/>
  <c i="3" r="E90"/>
  <c i="3" r="E91"/>
  <c i="3" r="E23"/>
  <c i="3" r="E24"/>
  <c i="3" r="E25"/>
  <c i="3" r="E26"/>
  <c i="3" r="E27"/>
  <c i="3" r="E28"/>
  <c i="3" r="E29"/>
  <c i="3" r="E30"/>
  <c i="3" r="E31"/>
  <c i="3" r="E32"/>
  <c i="3" r="E33"/>
  <c i="3" r="E34"/>
  <c i="3" r="E35"/>
  <c i="3" r="E36"/>
  <c i="3" r="E37"/>
  <c i="3" r="E12"/>
  <c i="3" r="E13"/>
  <c i="3" r="E14"/>
  <c i="3" r="E15"/>
  <c i="3" r="E16"/>
  <c i="3" r="E17"/>
  <c i="3" r="E18"/>
  <c i="3" r="E19"/>
  <c i="3" r="E20"/>
  <c i="3" r="E21"/>
  <c i="3" r="E22"/>
  <c i="3" r="E11"/>
  <c i="12" l="1" r="P13"/>
  <c i="12" r="B14"/>
  <c i="12" r="Q13"/>
  <c i="12" r="C14"/>
  <c i="12" r="R13"/>
  <c i="12" r="D14"/>
  <c i="12" r="S8"/>
  <c i="12" r="E30"/>
  <c i="12" r="P29"/>
  <c i="12" r="R30"/>
  <c i="12" r="R34"/>
  <c i="12" r="Q30"/>
  <c i="12" r="Q34"/>
  <c i="12" r="Q29"/>
  <c i="12" r="R29"/>
  <c i="12" r="P30"/>
  <c i="12" r="P34"/>
  <c i="12" r="I35"/>
  <c i="12" r="L30"/>
  <c i="12" r="L34"/>
  <c i="12" r="D35"/>
  <c i="12" r="K35"/>
  <c i="12" r="E34"/>
  <c i="12" r="C35"/>
  <c i="12" r="J35"/>
  <c i="12" r="L29"/>
  <c i="12" r="B35"/>
  <c i="12" r="E13"/>
  <c i="12" r="E29"/>
  <c i="12" r="L35"/>
  <c i="12" l="1" r="D36"/>
  <c i="12" r="R36" s="1"/>
  <c i="12" r="R14"/>
  <c i="12" r="Q14"/>
  <c i="12" r="C36"/>
  <c i="12" r="Q36" s="1"/>
  <c i="12" r="B36"/>
  <c i="12" r="P36" s="1"/>
  <c i="12" r="P14"/>
  <c i="12" r="S13"/>
  <c i="12" r="E14"/>
  <c i="15" r="B17" s="1"/>
  <c i="15" r="F17" s="1"/>
  <c i="15" r="J17" s="1"/>
  <c i="15" r="K17" s="1"/>
  <c i="15" r="M17" s="1"/>
  <c i="15" r="U33" s="1"/>
  <c i="12" r="Q35"/>
  <c i="12" r="R35"/>
  <c i="12" r="P35"/>
  <c i="12" r="S29"/>
  <c i="12" r="S30"/>
  <c i="12" r="S34"/>
  <c i="12" r="E35"/>
  <c i="12" r="S35" s="1"/>
  <c i="4" r="K11"/>
  <c i="4" r="K101"/>
  <c i="4" r="K100"/>
  <c i="4" r="K99"/>
  <c i="4" r="K98"/>
  <c i="4" r="K97"/>
  <c i="4" r="K96"/>
  <c i="4" r="K95"/>
  <c i="4" r="K94"/>
  <c i="4" r="K93"/>
  <c i="4" r="K92"/>
  <c i="4" r="K91"/>
  <c i="4" r="K90"/>
  <c i="4" r="K89"/>
  <c i="4" r="K88"/>
  <c i="4" r="K87"/>
  <c i="4" r="K86"/>
  <c i="4" r="K85"/>
  <c i="4" r="K84"/>
  <c i="4" r="K83"/>
  <c i="4" r="K82"/>
  <c i="4" r="K81"/>
  <c i="4" r="K80"/>
  <c i="4" r="K79"/>
  <c i="4" r="K78"/>
  <c i="4" r="K77"/>
  <c i="4" r="K76"/>
  <c i="4" r="K75"/>
  <c i="4" r="K74"/>
  <c i="4" r="K73"/>
  <c i="4" r="K72"/>
  <c i="4" r="K71"/>
  <c i="4" r="K70"/>
  <c i="4" r="K69"/>
  <c i="4" r="K68"/>
  <c i="4" r="K67"/>
  <c i="4" r="K66"/>
  <c i="4" r="K65"/>
  <c i="4" r="K64"/>
  <c i="4" r="K63"/>
  <c i="4" r="K62"/>
  <c i="4" r="K61"/>
  <c i="4" r="K60"/>
  <c i="4" r="K59"/>
  <c i="4" r="K58"/>
  <c i="4" r="K57"/>
  <c i="4" r="K56"/>
  <c i="4" r="K55"/>
  <c i="4" r="K54"/>
  <c i="4" r="K53"/>
  <c i="4" r="K52"/>
  <c i="4" r="K51"/>
  <c i="4" r="K50"/>
  <c i="4" r="K49"/>
  <c i="4" r="K48"/>
  <c i="4" r="K47"/>
  <c i="4" r="K46"/>
  <c i="4" r="K45"/>
  <c i="4" r="K44"/>
  <c i="4" r="K43"/>
  <c i="4" r="K42"/>
  <c i="4" r="K41"/>
  <c i="4" r="K40"/>
  <c i="4" r="K39"/>
  <c i="4" r="K38"/>
  <c i="4" r="K37"/>
  <c i="4" r="K36"/>
  <c i="4" r="K35"/>
  <c i="4" r="K34"/>
  <c i="4" r="K33"/>
  <c i="4" r="K32"/>
  <c i="4" r="K31"/>
  <c i="4" r="K30"/>
  <c i="4" r="K29"/>
  <c i="4" r="K28"/>
  <c i="4" r="K27"/>
  <c i="4" r="K26"/>
  <c i="4" r="K25"/>
  <c i="4" r="K24"/>
  <c i="4" r="K23"/>
  <c i="4" r="K22"/>
  <c i="4" r="K21"/>
  <c i="4" r="K20"/>
  <c i="4" r="K19"/>
  <c i="4" r="K18"/>
  <c i="4" r="K17"/>
  <c i="4" r="K16"/>
  <c i="4" r="K15"/>
  <c i="4" r="K14"/>
  <c i="4" r="K13"/>
  <c i="4" r="K12"/>
  <c i="3" r="K10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1"/>
  <c i="12" l="1" r="S14"/>
  <c i="12" r="E36"/>
  <c i="12" r="S36" s="1"/>
  <c i="10" r="L11"/>
  <c i="10" l="1" r="I22"/>
  <c i="10" r="K22"/>
  <c i="10" r="I21"/>
  <c i="10" r="K21"/>
  <c i="10" r="I20"/>
  <c i="10" r="K20"/>
  <c i="10" r="I19"/>
  <c i="10" r="K19"/>
  <c i="10" r="I18"/>
  <c i="10" r="K18"/>
  <c i="10" r="I17"/>
  <c i="10" r="K17"/>
  <c i="10" r="I16"/>
  <c i="10" r="K16"/>
  <c i="10" r="I15"/>
  <c i="10" r="K15"/>
  <c i="10" r="I14"/>
  <c i="10" r="K14"/>
  <c i="10" r="I13"/>
  <c i="10" r="K13"/>
  <c i="10" r="I12"/>
  <c i="10" r="K12"/>
  <c i="10" r="L22"/>
  <c i="10" l="1" r="L15"/>
  <c i="10" r="L21"/>
  <c i="10" r="L19"/>
  <c i="10" r="L20"/>
  <c i="10" r="L17"/>
  <c i="10" r="L16"/>
  <c i="10" r="L13"/>
  <c i="10" r="L12"/>
  <c i="10" r="L18"/>
  <c i="10" r="L14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10" r="E22" s="1"/>
  <c i="4" r="E11"/>
  <c i="3" r="E101"/>
  <c i="10" l="1" r="E11"/>
  <c i="10" r="E20"/>
  <c i="10" r="E21"/>
  <c i="10" r="E19"/>
  <c i="10" r="E15"/>
  <c i="10" r="E16"/>
  <c i="10" r="E12"/>
  <c i="10" r="E17"/>
  <c i="10" r="E13"/>
  <c i="10" r="E18"/>
  <c i="10" r="E14"/>
</calcChain>
</file>

<file path=xl/sharedStrings.xml><?xml version="1.0" encoding="utf-8"?>
<sst xmlns="http://schemas.openxmlformats.org/spreadsheetml/2006/main" count="673" uniqueCount="260">
  <si>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</si>
  <si>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</si>
  <si>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</si>
  <si>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</si>
  <si>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</si>
  <si>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</si>
  <si>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</si>
  <si>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</si>
  <si>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</si>
  <si>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</si>
  <si>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</si>
  <si>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</si>
  <si>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</si>
  <si>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</si>
  <si>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</si>
  <si>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</si>
  <si>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</si>
  <si>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</si>
  <si>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</si>
  <si>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</si>
  <si>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</si>
  <si>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</si>
  <si>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</si>
  <si>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</si>
  <si>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</si>
  <si>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</si>
  <si>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</si>
  <si>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County-level School Flows</t>
  </si>
  <si>
    <t>Table X. Estimated Student Flows by County</t>
  </si>
  <si>
    <t>County-level Work at Home Shares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</si>
  <si>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</si>
  <si>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</si>
  <si>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</si>
  <si>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</si>
  <si>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</si>
  <si>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DaySim</t>
  </si>
  <si>
    <t>Table X. Average Trip Duration</t>
  </si>
  <si>
    <t>Table X. Estimated-Observed Student Flows by County</t>
  </si>
  <si>
    <t>ESTIMATED STUDENT FLOWS</t>
  </si>
  <si>
    <t>EST-OBS STUDENT FLOWS</t>
  </si>
  <si>
    <t>AVG TRIP LENGTH</t>
  </si>
  <si>
    <t>Ch515</t>
  </si>
  <si>
    <t>Stu16</t>
  </si>
  <si>
    <t>Unistu</t>
  </si>
  <si>
    <t>NHTS Preparation</t>
  </si>
  <si>
    <t>Steps for generating distributions of commute time and distance</t>
  </si>
  <si>
    <t>AM Auto skims (time and distance) were merged into person file using origin (HH) and destination (school) TAZ ids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</si>
  <si>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</si>
  <si>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</si>
  <si>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</si>
  <si>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</si>
  <si>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</si>
  <si>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</si>
  <si>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</si>
  <si>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</si>
  <si>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</si>
  <si>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</si>
  <si>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</si>
  <si>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</si>
  <si>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</si>
  <si>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</si>
  <si>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</si>
  <si>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</si>
  <si>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</si>
  <si>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</si>
  <si>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</si>
  <si>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</si>
  <si>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</si>
  <si>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Table X. Difference School at Home Counts by County</t>
  </si>
  <si>
    <t>Table X. Difference Counts by County</t>
  </si>
  <si>
    <t>Table X. Difference School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</si>
  <si>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</si>
  <si>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</si>
  <si>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</si>
  <si>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</si>
  <si>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</si>
  <si>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</si>
  <si>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</si>
  <si>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</si>
  <si>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</si>
  <si>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</si>
  <si>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</si>
  <si>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</si>
  <si>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</si>
  <si>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</si>
  <si>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</si>
  <si>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</si>
  <si>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</si>
  <si>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</si>
  <si>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</si>
  <si>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</si>
  <si>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</si>
  <si>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</si>
  <si>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</si>
  <si>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</si>
  <si>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</si>
  <si>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</si>
  <si>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</si>
  <si>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</si>
  <si>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</si>
  <si>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</si>
  <si>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</si>
  <si>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</si>
  <si>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</si>
  <si>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</si>
  <si>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</si>
  <si>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</si>
  <si>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</si>
  <si>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</si>
  <si>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</si>
  <si>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</si>
  <si>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</si>
  <si>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</si>
  <si>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</si>
  <si>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</si>
  <si>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</si>
  <si>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</si>
  <si>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</si>
  <si>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</si>
  <si>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</si>
  <si>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</si>
  <si>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</si>
  <si>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</si>
  <si>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</si>
  <si>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</si>
  <si>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</si>
  <si>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</si>
  <si>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</si>
  <si>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</si>
  <si>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</si>
  <si>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</si>
  <si>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</si>
  <si>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</si>
  <si>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</si>
  <si>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</si>
  <si>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</si>
  <si>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</si>
  <si>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</si>
  <si>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</si>
  <si>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</si>
  <si>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</si>
  <si>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</si>
  <si>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</si>
  <si>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</si>
  <si>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</si>
  <si>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</si>
  <si>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</si>
  <si>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</si>
  <si>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</si>
  <si>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</si>
  <si>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</si>
  <si>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</si>
  <si>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</si>
  <si>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</si>
  <si>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</si>
  <si>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</si>
  <si>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</si>
  <si>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</si>
  <si>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</si>
  <si>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</si>
  <si>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</si>
  <si>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</si>
  <si>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</si>
  <si>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</si>
  <si>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</si>
  <si>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</si>
  <si>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</si>
  <si>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</si>
  <si>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</si>
  <si>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</si>
  <si>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</si>
  <si>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</si>
  <si>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</si>
  <si>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</si>
  <si>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</si>
  <si>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</si>
  <si>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</si>
  <si>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</si>
  <si>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</si>
  <si>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</si>
  <si>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</si>
  <si>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</si>
  <si>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</si>
  <si>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</si>
  <si>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</si>
  <si>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</si>
  <si>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</si>
  <si>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</si>
  <si>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</si>
  <si>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</si>
  <si>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</si>
  <si>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</si>
  <si>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</si>
  <si>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</si>
  <si>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Observed Student Flows by County: Survey</t>
  </si>
  <si>
    <t>Table X. Observed Student Flows by County: Survey (Adjusted)</t>
  </si>
  <si>
    <t>ADJ OBS STUDENT FLOWS: Survey</t>
  </si>
  <si>
    <t>Table X. Weighted Counts by County: Survey</t>
  </si>
  <si>
    <t>Table X. Weighted School at Home Shares by County: Survey</t>
  </si>
  <si>
    <t>Table X. Weighted School at Home Counts by County: Survey</t>
  </si>
  <si>
    <t>Survey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</si>
  <si>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</si>
  <si>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</si>
  <si>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</si>
  <si>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</si>
  <si>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</si>
  <si>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SchoolLocation</t>
  </si>
  <si>
    <t>(svn</t>
  </si>
  <si>
    <t>v1801;</t>
  </si>
  <si>
    <t>SACOG2000</t>
  </si>
  <si>
    <t>MNL</t>
  </si>
  <si>
    <t>v1902,</t>
  </si>
  <si>
    <t>NL</t>
  </si>
  <si>
    <t>v2001)</t>
  </si>
  <si>
    <t>Created</t>
  </si>
  <si>
    <t>by</t>
  </si>
  <si>
    <t>ALOGIT</t>
  </si>
  <si>
    <t>version</t>
  </si>
  <si>
    <t>on</t>
  </si>
  <si>
    <t>May</t>
  </si>
  <si>
    <t>END</t>
  </si>
  <si>
    <t>012:08:36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</si>
  <si>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</si>
  <si>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</si>
  <si>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</si>
  <si>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</si>
  <si>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</si>
  <si>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</si>
  <si>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</si>
  <si>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</si>
  <si>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</si>
  <si>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</si>
  <si>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</si>
  <si>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</si>
  <si>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</si>
  <si>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SchoolLocationCoefficients_SACOG-v1.8.F12</t>
  </si>
  <si>
    <t>(Do the paste in UltraEdit, in column mode from 20-38)</t>
  </si>
  <si>
    <t>Paste in the "SchoolLocationCoefficients_SACOG-v1.8.F12"</t>
  </si>
  <si>
    <t>School At Home</t>
  </si>
  <si>
    <t>Copy cells U3:U62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</si>
  <si>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</si>
  <si>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</si>
  <si>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</si>
  <si>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</si>
  <si>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</si>
  <si>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</si>
  <si>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</si>
  <si>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Observed Sources: Survey</t>
  </si>
  <si>
    <t>Observed distance (in miles) based on joining AM peak SOV skim values to HH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</si>
  <si>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</si>
  <si>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</si>
  <si>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</si>
  <si>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BKRCast (LODES)</t>
  </si>
  <si>
    <t>Seattle</t>
  </si>
  <si>
    <t>Bellevue</t>
  </si>
  <si>
    <t>Bellevue Downtown</t>
  </si>
  <si>
    <t>Kirkland</t>
  </si>
  <si>
    <t>Redmond</t>
  </si>
  <si>
    <t>Seattle Downtown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</si>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</sst>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"/>
    <numFmt numFmtId="168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  <xf applyAlignment="0" applyBorder="0" applyFill="0" applyFont="0" applyProtection="0" borderId="0" fillId="0" fontId="4" numFmtId="43"/>
  </cellStyleXfs>
  <cellXfs count="88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borderId="4" fillId="0" fontId="0" numFmtId="0" xfId="0"/>
    <xf applyNumberFormat="1" borderId="0" fillId="0" fontId="0" numFmtId="1" xfId="0"/>
    <xf applyBorder="1" applyNumberFormat="1" borderId="1" fillId="0" fontId="0" numFmtId="1" xfId="0"/>
    <xf applyBorder="1" applyFill="1" borderId="0" fillId="0" fontId="0" numFmtId="0" xfId="0"/>
    <xf applyNumberFormat="1" borderId="0" fillId="0" fontId="0" numFmtId="10" xfId="0"/>
    <xf applyBorder="1" applyNumberFormat="1" borderId="4" fillId="0" fontId="0" numFmtId="1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Border="1" applyFill="1" applyNumberFormat="1" borderId="0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Border="1" applyFill="1" applyFont="1" borderId="2" fillId="2" fontId="3" numFmtId="0" xfId="0"/>
    <xf applyAlignment="1" applyBorder="1" applyFill="1" applyFont="1" borderId="2" fillId="2" fontId="3" numFmtId="0" xfId="0">
      <alignment horizontal="center"/>
    </xf>
    <xf applyFill="1" borderId="0" fillId="3" fontId="0" numFmtId="0" xfId="0"/>
    <xf applyFill="1" applyNumberFormat="1" borderId="0" fillId="3" fontId="0" numFmtId="164" xfId="0"/>
    <xf applyBorder="1" applyNumberFormat="1" borderId="0" fillId="0" fontId="0" numFmtId="2" xfId="0"/>
    <xf applyAlignment="1" applyBorder="1" applyFill="1" applyFont="1" borderId="2" fillId="2" fontId="3" numFmtId="0" xfId="0">
      <alignment horizontal="center" vertical="top"/>
    </xf>
    <xf applyFill="1" borderId="0" fillId="4" fontId="0" numFmtId="0" xfId="0"/>
    <xf applyFill="1" applyNumberFormat="1" borderId="0" fillId="4" fontId="0" numFmtId="164" xfId="0"/>
    <xf applyBorder="1" applyFill="1" borderId="1" fillId="4" fontId="0" numFmtId="0" xfId="0"/>
    <xf applyBorder="1" applyFill="1" applyNumberFormat="1" borderId="1" fillId="4" fontId="0" numFmtId="164" xfId="0"/>
    <xf applyBorder="1" applyFill="1" applyFont="1" borderId="1" fillId="4" fontId="1" numFmtId="0" xfId="0"/>
    <xf applyBorder="1" applyFill="1" applyNumberFormat="1" borderId="1" fillId="4" fontId="0" numFmtId="3" xfId="0"/>
    <xf applyFont="1" borderId="0" fillId="0" fontId="0" numFmtId="0" xfId="0"/>
    <xf applyBorder="1" applyFont="1" applyNumberFormat="1" borderId="1" fillId="0" fontId="1" numFmtId="3" xfId="0"/>
    <xf applyBorder="1" applyNumberFormat="1" borderId="2" fillId="0" fontId="0" numFmtId="3" xfId="0"/>
    <xf applyAlignment="1" applyBorder="1" applyNumberFormat="1" borderId="2" fillId="0" fontId="0" numFmtId="3" xfId="0">
      <alignment horizontal="center"/>
    </xf>
    <xf applyBorder="1" applyNumberFormat="1" borderId="4" fillId="0" fontId="0" numFmtId="164" xfId="0"/>
    <xf applyBorder="1" applyFont="1" borderId="0" fillId="0" fontId="1" numFmtId="0" xfId="0"/>
    <xf applyAlignment="1" applyBorder="1" borderId="0" fillId="0" fontId="0" numFmtId="0" xfId="0">
      <alignment horizontal="center"/>
    </xf>
    <xf applyBorder="1" applyFill="1" borderId="3" fillId="4" fontId="0" numFmtId="0" xfId="0"/>
    <xf applyBorder="1" applyFill="1" applyNumberFormat="1" borderId="3" fillId="4" fontId="0" numFmtId="164" xfId="0"/>
    <xf applyBorder="1" applyNumberFormat="1" borderId="0" fillId="0" fontId="0" numFmtId="10" xfId="0"/>
    <xf applyBorder="1" applyNumberFormat="1" borderId="0" fillId="0" fontId="0" numFmtId="164" xfId="0"/>
    <xf applyFont="1" borderId="0" fillId="0" fontId="5" numFmtId="0" xfId="0"/>
    <xf applyBorder="1" applyNumberFormat="1" borderId="4" fillId="0" fontId="0" numFmtId="3" xfId="0"/>
    <xf applyNumberFormat="1" borderId="0" fillId="0" fontId="0" numFmtId="11" xfId="0"/>
    <xf applyFont="1" borderId="0" fillId="0" fontId="6" numFmtId="0" xfId="0"/>
    <xf applyNumberFormat="1" borderId="0" fillId="0" fontId="0" numFmtId="21" xfId="0"/>
    <xf applyFont="1" applyNumberFormat="1" borderId="0" fillId="0" fontId="0" numFmtId="3" xfId="0"/>
    <xf applyAlignment="1" applyBorder="1" applyFill="1" borderId="0" fillId="0" fontId="0" numFmtId="0" xfId="0">
      <alignment horizontal="center" vertical="top"/>
    </xf>
    <xf applyNumberFormat="1" borderId="0" fillId="0" fontId="0" numFmtId="166" xfId="0"/>
    <xf applyFill="1" applyNumberFormat="1" borderId="0" fillId="6" fontId="0" numFmtId="166" xfId="0"/>
    <xf applyFill="1" borderId="0" fillId="7" fontId="0" numFmtId="0" xfId="0"/>
    <xf applyFill="1" applyNumberFormat="1" borderId="0" fillId="7" fontId="0" numFmtId="166" xfId="0"/>
    <xf applyFont="1" applyNumberFormat="1" borderId="0" fillId="0" fontId="6" numFmtId="3" xfId="0"/>
    <xf applyBorder="1" applyFont="1" applyNumberFormat="1" borderId="5" fillId="0" fontId="0" numFmtId="3" xfId="0"/>
    <xf applyBorder="1" borderId="5" fillId="0" fontId="0" numFmtId="0" xfId="0"/>
    <xf applyBorder="1" applyNumberFormat="1" borderId="5" fillId="0" fontId="0" numFmtId="2" xfId="0"/>
    <xf applyBorder="1" applyFont="1" applyNumberFormat="1" borderId="0" fillId="0" fontId="0" numFmtId="3" xfId="0"/>
    <xf applyBorder="1" applyNumberFormat="1" borderId="0" fillId="0" fontId="0" numFmtId="1" xfId="0"/>
    <xf applyBorder="1" applyFont="1" applyNumberFormat="1" borderId="3" fillId="0" fontId="0" numFmtId="3" xfId="0"/>
    <xf applyAlignment="1" applyBorder="1" borderId="0" fillId="0" fontId="0" numFmtId="0" xfId="0">
      <alignment horizontal="center" vertical="top"/>
    </xf>
    <xf applyBorder="1" applyFont="1" applyNumberFormat="1" borderId="4" fillId="0" fontId="0" numFmtId="3" xfId="0"/>
    <xf applyNumberFormat="1" borderId="0" fillId="0" fontId="0" numFmtId="9" xfId="0"/>
    <xf applyBorder="1" applyNumberFormat="1" borderId="1" fillId="0" fontId="0" numFmtId="9" xfId="0"/>
    <xf applyBorder="1" applyNumberFormat="1" borderId="3" fillId="0" fontId="0" numFmtId="166" xfId="0"/>
    <xf applyBorder="1" applyNumberFormat="1" borderId="3" fillId="0" fontId="0" numFmtId="9" xfId="0"/>
    <xf applyBorder="1" applyFont="1" borderId="0" fillId="0" fontId="6" numFmtId="0" xfId="0"/>
    <xf applyBorder="1" applyNumberFormat="1" borderId="5" fillId="0" fontId="0" numFmtId="164" xfId="0"/>
    <xf applyBorder="1" applyNumberFormat="1" borderId="3" fillId="0" fontId="0" numFmtId="167" xfId="0"/>
    <xf applyBorder="1" applyNumberFormat="1" borderId="5" fillId="0" fontId="0" numFmtId="167" xfId="0"/>
    <xf applyBorder="1" applyFont="1" borderId="0" fillId="0" fontId="7" numFmtId="0" xfId="0"/>
    <xf applyBorder="1" applyFont="1" applyNumberFormat="1" borderId="5" fillId="0" fontId="0" numFmtId="168" xfId="8"/>
    <xf applyBorder="1" applyFont="1" applyNumberFormat="1" borderId="4" fillId="0" fontId="0" numFmtId="168" xfId="8"/>
    <xf applyFont="1" applyNumberFormat="1" borderId="0" fillId="0" fontId="0" numFmtId="168" xfId="8"/>
    <xf applyBorder="1" applyFont="1" applyNumberFormat="1" borderId="1" fillId="0" fontId="0" numFmtId="168" xfId="8"/>
    <xf applyAlignment="1" applyFont="1" applyNumberFormat="1" borderId="0" fillId="0" fontId="2" numFmtId="168" xfId="8"/>
    <xf applyBorder="1" applyFont="1" applyNumberFormat="1" borderId="3" fillId="0" fontId="0" numFmtId="168" xfId="8"/>
    <xf applyBorder="1" applyFont="1" applyNumberFormat="1" borderId="0" fillId="0" fontId="0" numFmtId="168" xfId="8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theme/theme1.xml" Type="http://schemas.openxmlformats.org/officeDocument/2006/relationships/theme"/>
<Relationship Id="rId11" Target="styles.xml" Type="http://schemas.openxmlformats.org/officeDocument/2006/relationships/styles"/>
<Relationship Id="rId12" Target="sharedStrings.xml" Type="http://schemas.openxmlformats.org/officeDocument/2006/relationships/sharedStrings"/>
<Relationship Id="rId13" Target="calcChain.xml" Type="http://schemas.openxmlformats.org/officeDocument/2006/relationships/calcChain"/>
<Relationship Id="rId14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TLFD!$E$11:$E$71</c:f>
              <c:numCache>
                <c:formatCode>_(* #,##0_);_(* \(#,##0\);_(* "-"??_);_(@_)</c:formatCode>
                <c:ptCount val="61"/>
                <c:pt idx="0">
                  <c:v>28283.803500000002</c:v>
                </c:pt>
                <c:pt idx="1">
                  <c:v>37057.117700000003</c:v>
                </c:pt>
                <c:pt idx="2">
                  <c:v>41808.894600000007</c:v>
                </c:pt>
                <c:pt idx="3">
                  <c:v>61176.952599999997</c:v>
                </c:pt>
                <c:pt idx="4">
                  <c:v>124119.2781</c:v>
                </c:pt>
                <c:pt idx="5">
                  <c:v>55653.2886</c:v>
                </c:pt>
                <c:pt idx="6">
                  <c:v>93708.412800000006</c:v>
                </c:pt>
                <c:pt idx="7">
                  <c:v>28200.5867</c:v>
                </c:pt>
                <c:pt idx="8">
                  <c:v>23643.332900000001</c:v>
                </c:pt>
                <c:pt idx="9">
                  <c:v>13889.3331</c:v>
                </c:pt>
                <c:pt idx="10">
                  <c:v>28697.0995</c:v>
                </c:pt>
                <c:pt idx="11">
                  <c:v>11390.559899999998</c:v>
                </c:pt>
                <c:pt idx="12">
                  <c:v>6652.1427999999996</c:v>
                </c:pt>
                <c:pt idx="13">
                  <c:v>2205.5441999999998</c:v>
                </c:pt>
                <c:pt idx="14">
                  <c:v>3804.7914999999998</c:v>
                </c:pt>
                <c:pt idx="15">
                  <c:v>3020.4777000000004</c:v>
                </c:pt>
                <c:pt idx="16">
                  <c:v>6187.3109999999997</c:v>
                </c:pt>
                <c:pt idx="17">
                  <c:v>1403.6229999999998</c:v>
                </c:pt>
                <c:pt idx="18">
                  <c:v>3288.2235000000001</c:v>
                </c:pt>
                <c:pt idx="19">
                  <c:v>1865.4735000000001</c:v>
                </c:pt>
                <c:pt idx="20">
                  <c:v>326.2987</c:v>
                </c:pt>
                <c:pt idx="21">
                  <c:v>6190.7829000000002</c:v>
                </c:pt>
                <c:pt idx="22">
                  <c:v>266.13509999999997</c:v>
                </c:pt>
                <c:pt idx="23">
                  <c:v>3070.7799</c:v>
                </c:pt>
                <c:pt idx="24">
                  <c:v>458.12399999999997</c:v>
                </c:pt>
                <c:pt idx="25">
                  <c:v>87.069000000000003</c:v>
                </c:pt>
                <c:pt idx="26">
                  <c:v>1621.4752000000001</c:v>
                </c:pt>
                <c:pt idx="27">
                  <c:v>569.28390000000002</c:v>
                </c:pt>
                <c:pt idx="28">
                  <c:v>1297.2364</c:v>
                </c:pt>
                <c:pt idx="29">
                  <c:v>31.814</c:v>
                </c:pt>
                <c:pt idx="30">
                  <c:v>13.398999999999999</c:v>
                </c:pt>
                <c:pt idx="31">
                  <c:v>0</c:v>
                </c:pt>
                <c:pt idx="32">
                  <c:v>12.739000000000001</c:v>
                </c:pt>
                <c:pt idx="33">
                  <c:v>10.791</c:v>
                </c:pt>
                <c:pt idx="34">
                  <c:v>78.963099999999997</c:v>
                </c:pt>
                <c:pt idx="35">
                  <c:v>25.786000000000001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4.1280000000000001</c:v>
                </c:pt>
                <c:pt idx="40">
                  <c:v>860.37009999999998</c:v>
                </c:pt>
                <c:pt idx="41">
                  <c:v>0</c:v>
                </c:pt>
                <c:pt idx="42">
                  <c:v>286.72039999999998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468.98939999999999</c:v>
                </c:pt>
                <c:pt idx="49">
                  <c:v>0</c:v>
                </c:pt>
                <c:pt idx="50">
                  <c:v>249.3058</c:v>
                </c:pt>
                <c:pt idx="51">
                  <c:v>0</c:v>
                </c:pt>
                <c:pt idx="52">
                  <c:v>0</c:v>
                </c:pt>
                <c:pt idx="53">
                  <c:v>13.487</c:v>
                </c:pt>
                <c:pt idx="54">
                  <c:v>0</c:v>
                </c:pt>
                <c:pt idx="55">
                  <c:v>3.6749999999999998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E-4F40-9812-74309F060F03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TLFD!$K$11:$K$71</c:f>
              <c:numCache>
                <c:formatCode>_(* #,##0_);_(* \(#,##0\);_(* "-"??_);_(@_)</c:formatCode>
                <c:ptCount val="61"/>
                <c:pt idx="0">
                  <c:v>156503.16499377409</c:v>
                </c:pt>
                <c:pt idx="1">
                  <c:v>108358.98270018575</c:v>
                </c:pt>
                <c:pt idx="2">
                  <c:v>60292.265115857321</c:v>
                </c:pt>
                <c:pt idx="3">
                  <c:v>36628.124117600681</c:v>
                </c:pt>
                <c:pt idx="4">
                  <c:v>131259.80543741511</c:v>
                </c:pt>
                <c:pt idx="5">
                  <c:v>61156.839327392896</c:v>
                </c:pt>
                <c:pt idx="6">
                  <c:v>59292.381385680201</c:v>
                </c:pt>
                <c:pt idx="7">
                  <c:v>29165.370718823575</c:v>
                </c:pt>
                <c:pt idx="8">
                  <c:v>30368.014785054555</c:v>
                </c:pt>
                <c:pt idx="9">
                  <c:v>25417.623367281391</c:v>
                </c:pt>
                <c:pt idx="10">
                  <c:v>11702.352364764349</c:v>
                </c:pt>
                <c:pt idx="11">
                  <c:v>11505.277540967701</c:v>
                </c:pt>
                <c:pt idx="12">
                  <c:v>11811.241446042452</c:v>
                </c:pt>
                <c:pt idx="13">
                  <c:v>6617.9745532859488</c:v>
                </c:pt>
                <c:pt idx="14">
                  <c:v>7056.780532874207</c:v>
                </c:pt>
                <c:pt idx="15">
                  <c:v>4732.0263830155363</c:v>
                </c:pt>
                <c:pt idx="16">
                  <c:v>5454.2148916536062</c:v>
                </c:pt>
                <c:pt idx="17">
                  <c:v>3700.3929935071083</c:v>
                </c:pt>
                <c:pt idx="18">
                  <c:v>2734.1899530738865</c:v>
                </c:pt>
                <c:pt idx="19">
                  <c:v>1984.2092738953736</c:v>
                </c:pt>
                <c:pt idx="20">
                  <c:v>1392.5427172354573</c:v>
                </c:pt>
                <c:pt idx="21">
                  <c:v>980.92952315325499</c:v>
                </c:pt>
                <c:pt idx="22">
                  <c:v>1116.4026369600924</c:v>
                </c:pt>
                <c:pt idx="23">
                  <c:v>1672.9357356902688</c:v>
                </c:pt>
                <c:pt idx="24">
                  <c:v>830.6957079578458</c:v>
                </c:pt>
                <c:pt idx="25">
                  <c:v>794.624100663901</c:v>
                </c:pt>
                <c:pt idx="26">
                  <c:v>625.84448312443453</c:v>
                </c:pt>
                <c:pt idx="27">
                  <c:v>765.17570748675564</c:v>
                </c:pt>
                <c:pt idx="28">
                  <c:v>294.42323490691336</c:v>
                </c:pt>
                <c:pt idx="29">
                  <c:v>615.60676842039311</c:v>
                </c:pt>
                <c:pt idx="30">
                  <c:v>290.97418981329162</c:v>
                </c:pt>
                <c:pt idx="31">
                  <c:v>272.28084960303823</c:v>
                </c:pt>
                <c:pt idx="32">
                  <c:v>189.79014908290696</c:v>
                </c:pt>
                <c:pt idx="33">
                  <c:v>297.01836362420329</c:v>
                </c:pt>
                <c:pt idx="34">
                  <c:v>505.31028014083836</c:v>
                </c:pt>
                <c:pt idx="35">
                  <c:v>482.78204242593256</c:v>
                </c:pt>
                <c:pt idx="36">
                  <c:v>81.203746919729724</c:v>
                </c:pt>
                <c:pt idx="37">
                  <c:v>116.04802466708576</c:v>
                </c:pt>
                <c:pt idx="38">
                  <c:v>42.691310260475689</c:v>
                </c:pt>
                <c:pt idx="39">
                  <c:v>238.60405122049212</c:v>
                </c:pt>
                <c:pt idx="40">
                  <c:v>17.505312703094599</c:v>
                </c:pt>
                <c:pt idx="41">
                  <c:v>31.987224625155658</c:v>
                </c:pt>
                <c:pt idx="42">
                  <c:v>3.5</c:v>
                </c:pt>
                <c:pt idx="43">
                  <c:v>18.719825738514579</c:v>
                </c:pt>
                <c:pt idx="44">
                  <c:v>35.727112615048561</c:v>
                </c:pt>
                <c:pt idx="45">
                  <c:v>88.24435742764372</c:v>
                </c:pt>
                <c:pt idx="46">
                  <c:v>125.89534390432262</c:v>
                </c:pt>
                <c:pt idx="47">
                  <c:v>84.722150561200124</c:v>
                </c:pt>
                <c:pt idx="48">
                  <c:v>42.63795598126508</c:v>
                </c:pt>
                <c:pt idx="49">
                  <c:v>60.026427190692182</c:v>
                </c:pt>
                <c:pt idx="50">
                  <c:v>20.226303933460407</c:v>
                </c:pt>
                <c:pt idx="51">
                  <c:v>10.25</c:v>
                </c:pt>
                <c:pt idx="52">
                  <c:v>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25.235857254748201</c:v>
                </c:pt>
                <c:pt idx="57">
                  <c:v>0.25</c:v>
                </c:pt>
                <c:pt idx="58">
                  <c:v>10.016666666666699</c:v>
                </c:pt>
                <c:pt idx="59">
                  <c:v>0</c:v>
                </c:pt>
                <c:pt idx="60">
                  <c:v>9.9770642201834896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E-4F40-9812-74309F06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6811520"/>
        <c:axId val="215547904"/>
      </c:lineChart>
      <c:catAx>
        <c:axId val="216811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215547904"/>
        <c:crosses val="autoZero"/>
        <c:auto val="1"/>
        <c:lblAlgn val="ctr"/>
        <c:lblOffset val="100"/>
        <c:noMultiLvlLbl val="0"/>
      </c:catAx>
      <c:valAx>
        <c:axId val="215547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168115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TDFD!$E$11:$E$71</c:f>
              <c:numCache>
                <c:formatCode>_(* #,##0_);_(* \(#,##0\);_(* "-"??_);_(@_)</c:formatCode>
                <c:ptCount val="61"/>
                <c:pt idx="0">
                  <c:v>0</c:v>
                </c:pt>
                <c:pt idx="1">
                  <c:v>6745.1783000000005</c:v>
                </c:pt>
                <c:pt idx="2">
                  <c:v>6033.2902999999997</c:v>
                </c:pt>
                <c:pt idx="3">
                  <c:v>8226.0259000000005</c:v>
                </c:pt>
                <c:pt idx="4">
                  <c:v>11133.814400000001</c:v>
                </c:pt>
                <c:pt idx="5">
                  <c:v>13429.1803</c:v>
                </c:pt>
                <c:pt idx="6">
                  <c:v>7461.1718000000001</c:v>
                </c:pt>
                <c:pt idx="7">
                  <c:v>10962.8501</c:v>
                </c:pt>
                <c:pt idx="8">
                  <c:v>3418.5214999999998</c:v>
                </c:pt>
                <c:pt idx="9">
                  <c:v>11882.283399999998</c:v>
                </c:pt>
                <c:pt idx="10">
                  <c:v>5144.3666000000003</c:v>
                </c:pt>
                <c:pt idx="11">
                  <c:v>9585.0202000000008</c:v>
                </c:pt>
                <c:pt idx="12">
                  <c:v>22760.1551</c:v>
                </c:pt>
                <c:pt idx="13">
                  <c:v>8704.3775999999998</c:v>
                </c:pt>
                <c:pt idx="14">
                  <c:v>13748.096600000001</c:v>
                </c:pt>
                <c:pt idx="15">
                  <c:v>1540.0192</c:v>
                </c:pt>
                <c:pt idx="16">
                  <c:v>29645.162799999998</c:v>
                </c:pt>
                <c:pt idx="17">
                  <c:v>11738.621099999998</c:v>
                </c:pt>
                <c:pt idx="18">
                  <c:v>48306.394099999998</c:v>
                </c:pt>
                <c:pt idx="19">
                  <c:v>29028.595399999998</c:v>
                </c:pt>
                <c:pt idx="20">
                  <c:v>46657.832900000009</c:v>
                </c:pt>
                <c:pt idx="21">
                  <c:v>26928.785100000001</c:v>
                </c:pt>
                <c:pt idx="22">
                  <c:v>27811.2425</c:v>
                </c:pt>
                <c:pt idx="23">
                  <c:v>6255.8771999999999</c:v>
                </c:pt>
                <c:pt idx="24">
                  <c:v>21119.6397</c:v>
                </c:pt>
                <c:pt idx="25">
                  <c:v>15741.9714</c:v>
                </c:pt>
                <c:pt idx="26">
                  <c:v>41901.392099999997</c:v>
                </c:pt>
                <c:pt idx="27">
                  <c:v>6237.0288999999993</c:v>
                </c:pt>
                <c:pt idx="28">
                  <c:v>14996.461899999998</c:v>
                </c:pt>
                <c:pt idx="29">
                  <c:v>8498.5537000000004</c:v>
                </c:pt>
                <c:pt idx="30">
                  <c:v>19811.379900000004</c:v>
                </c:pt>
                <c:pt idx="31">
                  <c:v>8290.7476000000006</c:v>
                </c:pt>
                <c:pt idx="32">
                  <c:v>5669.9252000000006</c:v>
                </c:pt>
                <c:pt idx="33">
                  <c:v>5997.2613999999994</c:v>
                </c:pt>
                <c:pt idx="34">
                  <c:v>14736.835499999999</c:v>
                </c:pt>
                <c:pt idx="35">
                  <c:v>826.43970000000002</c:v>
                </c:pt>
                <c:pt idx="36">
                  <c:v>1609.7055</c:v>
                </c:pt>
                <c:pt idx="37">
                  <c:v>6643.0817999999999</c:v>
                </c:pt>
                <c:pt idx="38">
                  <c:v>6114.2946999999995</c:v>
                </c:pt>
                <c:pt idx="39">
                  <c:v>2063.2050999999997</c:v>
                </c:pt>
                <c:pt idx="40">
                  <c:v>201.06739999999999</c:v>
                </c:pt>
                <c:pt idx="41">
                  <c:v>5718.7871999999998</c:v>
                </c:pt>
                <c:pt idx="42">
                  <c:v>214.2046</c:v>
                </c:pt>
                <c:pt idx="43">
                  <c:v>1068.8702000000001</c:v>
                </c:pt>
                <c:pt idx="44">
                  <c:v>1276.2198000000001</c:v>
                </c:pt>
                <c:pt idx="45">
                  <c:v>21000.450500000003</c:v>
                </c:pt>
                <c:pt idx="46">
                  <c:v>1472.4092000000001</c:v>
                </c:pt>
                <c:pt idx="47">
                  <c:v>988.41480000000001</c:v>
                </c:pt>
                <c:pt idx="48">
                  <c:v>82.013999999999996</c:v>
                </c:pt>
                <c:pt idx="49">
                  <c:v>1436.174</c:v>
                </c:pt>
                <c:pt idx="50">
                  <c:v>742.70370000000003</c:v>
                </c:pt>
                <c:pt idx="51">
                  <c:v>27.320999999999998</c:v>
                </c:pt>
                <c:pt idx="52">
                  <c:v>775.44090000000006</c:v>
                </c:pt>
                <c:pt idx="53">
                  <c:v>227.03720000000001</c:v>
                </c:pt>
                <c:pt idx="54">
                  <c:v>0</c:v>
                </c:pt>
                <c:pt idx="55">
                  <c:v>2513.8201999999997</c:v>
                </c:pt>
                <c:pt idx="56">
                  <c:v>0</c:v>
                </c:pt>
                <c:pt idx="57">
                  <c:v>16.64</c:v>
                </c:pt>
                <c:pt idx="58">
                  <c:v>16.385000000000002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B-4827-B648-084AD791BE23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TDFD!$K$11:$K$71</c:f>
              <c:numCache>
                <c:formatCode>_(* #,##0_);_(* \(#,##0\);_(* "-"??_);_(@_)</c:formatCode>
                <c:ptCount val="61"/>
                <c:pt idx="0">
                  <c:v>54203.662076806329</c:v>
                </c:pt>
                <c:pt idx="1">
                  <c:v>21984.841780534949</c:v>
                </c:pt>
                <c:pt idx="2">
                  <c:v>29178.083043148399</c:v>
                </c:pt>
                <c:pt idx="3">
                  <c:v>31362.092487504789</c:v>
                </c:pt>
                <c:pt idx="4">
                  <c:v>33002.553559172287</c:v>
                </c:pt>
                <c:pt idx="5">
                  <c:v>32058.61705036955</c:v>
                </c:pt>
                <c:pt idx="6">
                  <c:v>29460.426345592667</c:v>
                </c:pt>
                <c:pt idx="7">
                  <c:v>26240.363054229252</c:v>
                </c:pt>
                <c:pt idx="8">
                  <c:v>22379.177803837672</c:v>
                </c:pt>
                <c:pt idx="9">
                  <c:v>20655.027206350711</c:v>
                </c:pt>
                <c:pt idx="10">
                  <c:v>17183.004151702295</c:v>
                </c:pt>
                <c:pt idx="11">
                  <c:v>14143.307734248734</c:v>
                </c:pt>
                <c:pt idx="12">
                  <c:v>13245.47509417135</c:v>
                </c:pt>
                <c:pt idx="13">
                  <c:v>10155.769801408083</c:v>
                </c:pt>
                <c:pt idx="14">
                  <c:v>9049.5077063565805</c:v>
                </c:pt>
                <c:pt idx="15">
                  <c:v>8777.7664728540894</c:v>
                </c:pt>
                <c:pt idx="16">
                  <c:v>7249.6522427960608</c:v>
                </c:pt>
                <c:pt idx="17">
                  <c:v>7678.0417173733467</c:v>
                </c:pt>
                <c:pt idx="18">
                  <c:v>94195.585955309129</c:v>
                </c:pt>
                <c:pt idx="19">
                  <c:v>23228.933675264801</c:v>
                </c:pt>
                <c:pt idx="20">
                  <c:v>18499.787507477311</c:v>
                </c:pt>
                <c:pt idx="21">
                  <c:v>28771.962660419729</c:v>
                </c:pt>
                <c:pt idx="22">
                  <c:v>32326.518646658336</c:v>
                </c:pt>
                <c:pt idx="23">
                  <c:v>21492.904137785554</c:v>
                </c:pt>
                <c:pt idx="24">
                  <c:v>22157.779250714368</c:v>
                </c:pt>
                <c:pt idx="25">
                  <c:v>13770.173090018208</c:v>
                </c:pt>
                <c:pt idx="26">
                  <c:v>22218.867830053314</c:v>
                </c:pt>
                <c:pt idx="27">
                  <c:v>15686.537692539519</c:v>
                </c:pt>
                <c:pt idx="28">
                  <c:v>10665.489326759103</c:v>
                </c:pt>
                <c:pt idx="29">
                  <c:v>10299.558840296584</c:v>
                </c:pt>
                <c:pt idx="30">
                  <c:v>6693.145993110953</c:v>
                </c:pt>
                <c:pt idx="31">
                  <c:v>8749.900334260672</c:v>
                </c:pt>
                <c:pt idx="32">
                  <c:v>6605.1816009802969</c:v>
                </c:pt>
                <c:pt idx="33">
                  <c:v>13261.835680925826</c:v>
                </c:pt>
                <c:pt idx="34">
                  <c:v>3390.8831619083348</c:v>
                </c:pt>
                <c:pt idx="35">
                  <c:v>6693.3467084075101</c:v>
                </c:pt>
                <c:pt idx="36">
                  <c:v>3293.3586695914646</c:v>
                </c:pt>
                <c:pt idx="37">
                  <c:v>3966.184815905372</c:v>
                </c:pt>
                <c:pt idx="38">
                  <c:v>2159.2126223767082</c:v>
                </c:pt>
                <c:pt idx="39">
                  <c:v>1978.5490520919964</c:v>
                </c:pt>
                <c:pt idx="40">
                  <c:v>2772.7535847175163</c:v>
                </c:pt>
                <c:pt idx="41">
                  <c:v>2966.3591775747063</c:v>
                </c:pt>
                <c:pt idx="42">
                  <c:v>1808.0504573551793</c:v>
                </c:pt>
                <c:pt idx="43">
                  <c:v>1817.1171212715476</c:v>
                </c:pt>
                <c:pt idx="44">
                  <c:v>635.40273532396554</c:v>
                </c:pt>
                <c:pt idx="45">
                  <c:v>714.15665996057896</c:v>
                </c:pt>
                <c:pt idx="46">
                  <c:v>895.44555851155133</c:v>
                </c:pt>
                <c:pt idx="47">
                  <c:v>707.3432170696899</c:v>
                </c:pt>
                <c:pt idx="48">
                  <c:v>672.54129594137294</c:v>
                </c:pt>
                <c:pt idx="49">
                  <c:v>632.12357914472886</c:v>
                </c:pt>
                <c:pt idx="50">
                  <c:v>506.0162725617057</c:v>
                </c:pt>
                <c:pt idx="51">
                  <c:v>671.91483921010524</c:v>
                </c:pt>
                <c:pt idx="52">
                  <c:v>829.03128484652962</c:v>
                </c:pt>
                <c:pt idx="53">
                  <c:v>952.67570738658912</c:v>
                </c:pt>
                <c:pt idx="54">
                  <c:v>444.98198430530039</c:v>
                </c:pt>
                <c:pt idx="55">
                  <c:v>340.02561644578816</c:v>
                </c:pt>
                <c:pt idx="56">
                  <c:v>224.58060160681902</c:v>
                </c:pt>
                <c:pt idx="57">
                  <c:v>346.7002620730417</c:v>
                </c:pt>
                <c:pt idx="58">
                  <c:v>110.09591695332543</c:v>
                </c:pt>
                <c:pt idx="59">
                  <c:v>201.84186474729171</c:v>
                </c:pt>
                <c:pt idx="60">
                  <c:v>79.464442793022357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B-4827-B648-084AD791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8872320"/>
        <c:axId val="215549632"/>
      </c:lineChart>
      <c:catAx>
        <c:axId val="218872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215549632"/>
        <c:crosses val="autoZero"/>
        <c:auto val="1"/>
        <c:lblAlgn val="ctr"/>
        <c:lblOffset val="100"/>
        <c:noMultiLvlLbl val="0"/>
      </c:catAx>
      <c:valAx>
        <c:axId val="215549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18872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19049</xdr:colOff>
      <xdr:row>15</xdr:row>
      <xdr:rowOff>152400</xdr:rowOff>
    </xdr:from>
    <xdr:to>
      <xdr:col>21</xdr:col>
      <xdr:colOff>104774</xdr:colOff>
      <xdr:row>32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11</xdr:col>
      <xdr:colOff>590550</xdr:colOff>
      <xdr:row>16</xdr:row>
      <xdr:rowOff>28574</xdr:rowOff>
    </xdr:from>
    <xdr:to>
      <xdr:col>22</xdr:col>
      <xdr:colOff>19050</xdr:colOff>
      <xdr:row>32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S101"/>
  <sheetViews>
    <sheetView workbookViewId="0">
      <selection activeCell="L21" sqref="L2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7" max="7" customWidth="true" width="13.1406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9" x14ac:dyDescent="0.25">
      <c r="A1" t="s">
        <v>1</v>
      </c>
    </row>
    <row r="2" spans="1:19" x14ac:dyDescent="0.25">
      <c r="A2" t="s">
        <v>247</v>
      </c>
    </row>
    <row r="3" spans="1:19" x14ac:dyDescent="0.25">
      <c r="A3" t="s">
        <v>248</v>
      </c>
    </row>
    <row r="4" spans="1:19" x14ac:dyDescent="0.25">
      <c r="A4" t="s">
        <v>4</v>
      </c>
    </row>
    <row r="5" spans="1:19" x14ac:dyDescent="0.25">
      <c r="A5" t="s">
        <v>5</v>
      </c>
    </row>
    <row r="7" spans="1:19" x14ac:dyDescent="0.25">
      <c r="A7" t="s">
        <v>8</v>
      </c>
    </row>
    <row ht="15.75" r="9" spans="1:19" thickBot="1" x14ac:dyDescent="0.3">
      <c r="A9" s="4" t="s">
        <v>192</v>
      </c>
      <c r="B9" s="1"/>
      <c r="C9" s="1"/>
      <c r="D9" s="1"/>
      <c r="E9" s="1"/>
      <c r="G9" s="4" t="s">
        <v>9</v>
      </c>
      <c r="H9" s="1"/>
      <c r="I9" s="1"/>
      <c r="J9" s="1"/>
      <c r="K9" s="1"/>
      <c r="L9" s="7"/>
      <c r="M9" s="11" t="s">
        <v>34</v>
      </c>
      <c r="Q9" s="11" t="s">
        <v>40</v>
      </c>
    </row>
    <row r="10" spans="1:19" x14ac:dyDescent="0.25">
      <c r="A10" s="2" t="s">
        <v>2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2</v>
      </c>
      <c r="H10" s="5" t="s">
        <v>41</v>
      </c>
      <c r="I10" s="5" t="s">
        <v>42</v>
      </c>
      <c r="J10" s="5" t="s">
        <v>43</v>
      </c>
      <c r="K10" s="5" t="s">
        <v>252</v>
      </c>
      <c r="L10" s="5"/>
      <c r="M10" s="2"/>
      <c r="N10" s="5" t="s">
        <v>200</v>
      </c>
      <c r="O10" s="5" t="s">
        <v>252</v>
      </c>
      <c r="Q10" s="29"/>
      <c r="R10" s="34" t="s">
        <v>200</v>
      </c>
      <c r="S10" s="34" t="s">
        <v>35</v>
      </c>
    </row>
    <row ht="15.75" r="11" spans="1:19" thickBot="1" x14ac:dyDescent="0.3">
      <c r="A11">
        <v>0</v>
      </c>
      <c r="B11" s="83" t="n">
        <v>20622.8836</v>
      </c>
      <c r="C11" s="83" t="n">
        <v>0.0</v>
      </c>
      <c r="D11" s="83" t="n">
        <v>7660.9199</v>
      </c>
      <c r="E11" s="83">
        <f ref="E11:E42" si="0" t="shared">SUM(B11:D11)</f>
        <v>28283.803500000002</v>
      </c>
      <c r="G11">
        <v>0</v>
      </c>
      <c r="H11" s="83" t="n">
        <v>123954.79206395964</v>
      </c>
      <c r="I11" s="83" t="n">
        <v>20296.35496154168</v>
      </c>
      <c r="J11" s="85" t="n">
        <v>19579.323764173845</v>
      </c>
      <c r="K11" s="83">
        <f ref="K11:K42" si="1" t="shared">SUM(H11:J11)</f>
        <v>156503.16499377409</v>
      </c>
      <c r="M11" t="s">
        <v>41</v>
      </c>
      <c r="N11" s="9" t="n">
        <v>5.295586660763182</v>
      </c>
      <c r="O11" s="9" t="n">
        <v>3.693764113555755</v>
      </c>
      <c r="Q11" s="1" t="s">
        <v>3</v>
      </c>
      <c r="R11" s="10"/>
      <c r="S11" s="10"/>
    </row>
    <row r="12" spans="1:19" x14ac:dyDescent="0.25">
      <c r="A12">
        <v>1</v>
      </c>
      <c r="B12" s="83" t="n">
        <v>32911.2192</v>
      </c>
      <c r="C12" s="83" t="n">
        <v>3301.3162</v>
      </c>
      <c r="D12" s="83" t="n">
        <v>844.5823</v>
      </c>
      <c r="E12" s="83">
        <f si="0" t="shared"/>
        <v>37057.117700000003</v>
      </c>
      <c r="G12">
        <v>1</v>
      </c>
      <c r="H12" s="83" t="n">
        <v>90243.18322593193</v>
      </c>
      <c r="I12" s="83" t="n">
        <v>13377.46103341654</v>
      </c>
      <c r="J12" s="85" t="n">
        <v>9927.429378655872</v>
      </c>
      <c r="K12" s="83">
        <f si="1" t="shared"/>
        <v>108358.98270018575</v>
      </c>
      <c r="M12" t="s">
        <v>42</v>
      </c>
      <c r="N12" s="9" t="n">
        <v>6.415557529988825</v>
      </c>
      <c r="O12" s="9" t="n">
        <v>5.290847166490098</v>
      </c>
      <c r="R12" s="9"/>
      <c r="S12" s="9"/>
    </row>
    <row r="13" spans="1:19" x14ac:dyDescent="0.25">
      <c r="A13">
        <v>2</v>
      </c>
      <c r="B13" s="83" t="n">
        <v>37425.1108</v>
      </c>
      <c r="C13" s="83" t="n">
        <v>2652.9</v>
      </c>
      <c r="D13" s="83" t="n">
        <v>1730.8838</v>
      </c>
      <c r="E13" s="83">
        <f si="0" t="shared"/>
        <v>41808.894600000007</v>
      </c>
      <c r="G13">
        <v>2</v>
      </c>
      <c r="H13" s="83" t="n">
        <v>49752.2769866485</v>
      </c>
      <c r="I13" s="83" t="n">
        <v>8984.618780428582</v>
      </c>
      <c r="J13" s="85" t="n">
        <v>5391.4762258183955</v>
      </c>
      <c r="K13" s="83">
        <f si="1" t="shared"/>
        <v>60292.265115857321</v>
      </c>
      <c r="M13" s="6" t="s">
        <v>43</v>
      </c>
      <c r="N13" s="18" t="n">
        <v>8.10780648759595</v>
      </c>
      <c r="O13" s="18" t="n">
        <v>7.360462816834429</v>
      </c>
      <c r="Q13" s="7"/>
      <c r="R13" s="33"/>
      <c r="S13" s="33"/>
    </row>
    <row ht="15.75" r="14" spans="1:19" thickBot="1" x14ac:dyDescent="0.3">
      <c r="A14">
        <v>3</v>
      </c>
      <c r="B14" s="83" t="n">
        <v>52295.9745</v>
      </c>
      <c r="C14" s="83" t="n">
        <v>5458.6975</v>
      </c>
      <c r="D14" s="83" t="n">
        <v>3422.2806</v>
      </c>
      <c r="E14" s="83">
        <f si="0" t="shared"/>
        <v>61176.952599999997</v>
      </c>
      <c r="G14">
        <v>3</v>
      </c>
      <c r="H14" s="83" t="n">
        <v>27818.37317853239</v>
      </c>
      <c r="I14" s="83" t="n">
        <v>6334.109893199237</v>
      </c>
      <c r="J14" s="85" t="n">
        <v>4684.663380640326</v>
      </c>
      <c r="K14" s="83">
        <f si="1" t="shared"/>
        <v>36628.124117600681</v>
      </c>
      <c r="M14" s="1" t="s">
        <v>3</v>
      </c>
      <c r="N14" s="10" t="n">
        <v>5.739509620086852</v>
      </c>
      <c r="O14" s="10" t="n">
        <v>4.65213355420496</v>
      </c>
    </row>
    <row r="15" spans="1:19" x14ac:dyDescent="0.25">
      <c r="A15">
        <v>4</v>
      </c>
      <c r="B15" s="83" t="n">
        <v>99648.9129</v>
      </c>
      <c r="C15" s="83" t="n">
        <v>12602.233</v>
      </c>
      <c r="D15" s="83" t="n">
        <v>11868.1322</v>
      </c>
      <c r="E15" s="83">
        <f si="0" t="shared"/>
        <v>124119.2781</v>
      </c>
      <c r="G15">
        <v>4</v>
      </c>
      <c r="H15" s="83" t="n">
        <v>92919.52270739226</v>
      </c>
      <c r="I15" s="83" t="n">
        <v>23884.914128020988</v>
      </c>
      <c r="J15" s="85" t="n">
        <v>20702.051043645104</v>
      </c>
      <c r="K15" s="83">
        <f si="1" t="shared"/>
        <v>131259.80543741511</v>
      </c>
    </row>
    <row r="16" spans="1:19" x14ac:dyDescent="0.25">
      <c r="A16">
        <v>5</v>
      </c>
      <c r="B16" s="83" t="n">
        <v>41873.7112</v>
      </c>
      <c r="C16" s="83" t="n">
        <v>8814.9107</v>
      </c>
      <c r="D16" s="83" t="n">
        <v>4964.6667</v>
      </c>
      <c r="E16" s="83">
        <f si="0" t="shared"/>
        <v>55653.2886</v>
      </c>
      <c r="G16">
        <v>5</v>
      </c>
      <c r="H16" s="83" t="n">
        <v>33858.474032503196</v>
      </c>
      <c r="I16" s="83" t="n">
        <v>11992.741661976715</v>
      </c>
      <c r="J16" s="85" t="n">
        <v>18198.77636778907</v>
      </c>
      <c r="K16" s="83">
        <f si="1" t="shared"/>
        <v>61156.839327392896</v>
      </c>
    </row>
    <row r="17" spans="1:11" x14ac:dyDescent="0.25">
      <c r="A17">
        <v>6</v>
      </c>
      <c r="B17" s="83" t="n">
        <v>72254.489</v>
      </c>
      <c r="C17" s="83" t="n">
        <v>13808.6239</v>
      </c>
      <c r="D17" s="83" t="n">
        <v>7645.2999</v>
      </c>
      <c r="E17" s="83">
        <f si="0" t="shared"/>
        <v>93708.412800000006</v>
      </c>
      <c r="G17">
        <v>6</v>
      </c>
      <c r="H17" s="83" t="n">
        <v>35185.141694039376</v>
      </c>
      <c r="I17" s="83" t="n">
        <v>11973.018256319006</v>
      </c>
      <c r="J17" s="85" t="n">
        <v>14186.476966829341</v>
      </c>
      <c r="K17" s="83">
        <f si="1" t="shared"/>
        <v>59292.381385680201</v>
      </c>
    </row>
    <row r="18" spans="1:11" x14ac:dyDescent="0.25">
      <c r="A18">
        <v>7</v>
      </c>
      <c r="B18" s="83" t="n">
        <v>20062.4445</v>
      </c>
      <c r="C18" s="83" t="n">
        <v>2110.6226</v>
      </c>
      <c r="D18" s="83" t="n">
        <v>6027.5196</v>
      </c>
      <c r="E18" s="83">
        <f si="0" t="shared"/>
        <v>28200.5867</v>
      </c>
      <c r="G18">
        <v>7</v>
      </c>
      <c r="H18" s="83" t="n">
        <v>14191.160188870763</v>
      </c>
      <c r="I18" s="83" t="n">
        <v>5314.151547801662</v>
      </c>
      <c r="J18" s="85" t="n">
        <v>9677.385429536453</v>
      </c>
      <c r="K18" s="83">
        <f si="1" t="shared"/>
        <v>29165.370718823575</v>
      </c>
    </row>
    <row r="19" spans="1:11" x14ac:dyDescent="0.25">
      <c r="A19">
        <v>8</v>
      </c>
      <c r="B19" s="83" t="n">
        <v>16886.6081</v>
      </c>
      <c r="C19" s="83" t="n">
        <v>5540.8172</v>
      </c>
      <c r="D19" s="83" t="n">
        <v>1215.9076</v>
      </c>
      <c r="E19" s="83">
        <f si="0" t="shared"/>
        <v>23643.332900000001</v>
      </c>
      <c r="G19">
        <v>8</v>
      </c>
      <c r="H19" s="83" t="n">
        <v>19230.725385995436</v>
      </c>
      <c r="I19" s="83" t="n">
        <v>6467.758892177777</v>
      </c>
      <c r="J19" s="85" t="n">
        <v>11136.977888824602</v>
      </c>
      <c r="K19" s="83">
        <f si="1" t="shared"/>
        <v>30368.014785054555</v>
      </c>
    </row>
    <row r="20" spans="1:11" x14ac:dyDescent="0.25">
      <c r="A20">
        <v>9</v>
      </c>
      <c r="B20" s="83" t="n">
        <v>9186.5568</v>
      </c>
      <c r="C20" s="83" t="n">
        <v>3760.0686</v>
      </c>
      <c r="D20" s="83" t="n">
        <v>942.7076999999999</v>
      </c>
      <c r="E20" s="83">
        <f si="0" t="shared"/>
        <v>13889.3331</v>
      </c>
      <c r="G20">
        <v>9</v>
      </c>
      <c r="H20" s="83" t="n">
        <v>10342.149149174522</v>
      </c>
      <c r="I20" s="83" t="n">
        <v>3957.7777945669577</v>
      </c>
      <c r="J20" s="85" t="n">
        <v>8561.883700347209</v>
      </c>
      <c r="K20" s="83">
        <f si="1" t="shared"/>
        <v>25417.623367281391</v>
      </c>
    </row>
    <row r="21" spans="1:11" x14ac:dyDescent="0.25">
      <c r="A21">
        <v>10</v>
      </c>
      <c r="B21" s="83" t="n">
        <v>20560.6374</v>
      </c>
      <c r="C21" s="83" t="n">
        <v>3606.0438</v>
      </c>
      <c r="D21" s="83" t="n">
        <v>4530.4183</v>
      </c>
      <c r="E21" s="83">
        <f si="0" t="shared"/>
        <v>28697.0995</v>
      </c>
      <c r="G21">
        <v>10</v>
      </c>
      <c r="H21" s="83" t="n">
        <v>5856.6733313731465</v>
      </c>
      <c r="I21" s="83" t="n">
        <v>2237.45137405377</v>
      </c>
      <c r="J21" s="85" t="n">
        <v>2741.8016762664206</v>
      </c>
      <c r="K21" s="83">
        <f si="1" t="shared"/>
        <v>11702.352364764349</v>
      </c>
    </row>
    <row r="22" spans="1:11" x14ac:dyDescent="0.25">
      <c r="A22">
        <v>11</v>
      </c>
      <c r="B22" s="83" t="n">
        <v>9027.6644</v>
      </c>
      <c r="C22" s="83" t="n">
        <v>1609.5451</v>
      </c>
      <c r="D22" s="83" t="n">
        <v>753.3503999999999</v>
      </c>
      <c r="E22" s="83">
        <f si="0" t="shared"/>
        <v>11390.559899999998</v>
      </c>
      <c r="G22">
        <v>11</v>
      </c>
      <c r="H22" s="83" t="n">
        <v>4832.183730651716</v>
      </c>
      <c r="I22" s="83" t="n">
        <v>2080.847377823284</v>
      </c>
      <c r="J22" s="85" t="n">
        <v>5081.2300578465165</v>
      </c>
      <c r="K22" s="83">
        <f si="1" t="shared"/>
        <v>11505.277540967701</v>
      </c>
    </row>
    <row r="23" spans="1:11" x14ac:dyDescent="0.25">
      <c r="A23">
        <v>12</v>
      </c>
      <c r="B23" s="83" t="n">
        <v>2878.1041</v>
      </c>
      <c r="C23" s="83" t="n">
        <v>1171.11</v>
      </c>
      <c r="D23" s="83" t="n">
        <v>2602.9287</v>
      </c>
      <c r="E23" s="83">
        <f si="0" t="shared"/>
        <v>6652.1427999999996</v>
      </c>
      <c r="G23">
        <v>12</v>
      </c>
      <c r="H23" s="83" t="n">
        <v>4733.705492912673</v>
      </c>
      <c r="I23" s="83" t="n">
        <v>1929.0219848491722</v>
      </c>
      <c r="J23" s="85" t="n">
        <v>3994.19968969077</v>
      </c>
      <c r="K23" s="83">
        <f si="1" t="shared"/>
        <v>11811.241446042452</v>
      </c>
    </row>
    <row r="24" spans="1:11" x14ac:dyDescent="0.25">
      <c r="A24">
        <v>13</v>
      </c>
      <c r="B24" s="83" t="n">
        <v>1833.3625</v>
      </c>
      <c r="C24" s="83" t="n">
        <v>0.0</v>
      </c>
      <c r="D24" s="83" t="n">
        <v>372.1817</v>
      </c>
      <c r="E24" s="83">
        <f si="0" t="shared"/>
        <v>2205.5441999999998</v>
      </c>
      <c r="G24">
        <v>13</v>
      </c>
      <c r="H24" s="83" t="n">
        <v>2366.9952217108716</v>
      </c>
      <c r="I24" s="83" t="n">
        <v>1372.895918620683</v>
      </c>
      <c r="J24" s="85" t="n">
        <v>3101.9782150272968</v>
      </c>
      <c r="K24" s="83">
        <f si="1" t="shared"/>
        <v>6617.9745532859488</v>
      </c>
    </row>
    <row r="25" spans="1:11" x14ac:dyDescent="0.25">
      <c r="A25">
        <v>14</v>
      </c>
      <c r="B25" s="83" t="n">
        <v>1492.6572999999999</v>
      </c>
      <c r="C25" s="83" t="n">
        <v>0.0</v>
      </c>
      <c r="D25" s="83" t="n">
        <v>2312.1342</v>
      </c>
      <c r="E25" s="83">
        <f si="0" t="shared"/>
        <v>3804.7914999999998</v>
      </c>
      <c r="G25">
        <v>14</v>
      </c>
      <c r="H25" s="83" t="n">
        <v>2168.6518264679407</v>
      </c>
      <c r="I25" s="83" t="n">
        <v>1178.5791365809466</v>
      </c>
      <c r="J25" s="85" t="n">
        <v>3161.7318264251767</v>
      </c>
      <c r="K25" s="83">
        <f si="1" t="shared"/>
        <v>7056.780532874207</v>
      </c>
    </row>
    <row r="26" spans="1:11" x14ac:dyDescent="0.25">
      <c r="A26">
        <v>15</v>
      </c>
      <c r="B26" s="83" t="n">
        <v>1031.4047</v>
      </c>
      <c r="C26" s="83" t="n">
        <v>0.0</v>
      </c>
      <c r="D26" s="83" t="n">
        <v>1989.073</v>
      </c>
      <c r="E26" s="83">
        <f si="0" t="shared"/>
        <v>3020.4777000000004</v>
      </c>
      <c r="G26">
        <v>15</v>
      </c>
      <c r="H26" s="83" t="n">
        <v>1340.3832321563568</v>
      </c>
      <c r="I26" s="83" t="n">
        <v>969.1492511465221</v>
      </c>
      <c r="J26" s="85" t="n">
        <v>2048.0004724997607</v>
      </c>
      <c r="K26" s="83">
        <f si="1" t="shared"/>
        <v>4732.0263830155363</v>
      </c>
    </row>
    <row r="27" spans="1:11" x14ac:dyDescent="0.25">
      <c r="A27">
        <v>16</v>
      </c>
      <c r="B27" s="83" t="n">
        <v>4675.1829</v>
      </c>
      <c r="C27" s="83" t="n">
        <v>644.3417</v>
      </c>
      <c r="D27" s="83" t="n">
        <v>867.7864</v>
      </c>
      <c r="E27" s="83">
        <f si="0" t="shared"/>
        <v>6187.3109999999997</v>
      </c>
      <c r="G27">
        <v>16</v>
      </c>
      <c r="H27" s="83" t="n">
        <v>1375.5565426299252</v>
      </c>
      <c r="I27" s="83" t="n">
        <v>987.4871423350014</v>
      </c>
      <c r="J27" s="85" t="n">
        <v>1860.3894032211977</v>
      </c>
      <c r="K27" s="83">
        <f si="1" t="shared"/>
        <v>5454.2148916536062</v>
      </c>
    </row>
    <row r="28" spans="1:11" x14ac:dyDescent="0.25">
      <c r="A28">
        <v>17</v>
      </c>
      <c r="B28" s="83" t="n">
        <v>476.72499999999997</v>
      </c>
      <c r="C28" s="83" t="n">
        <v>542.7239</v>
      </c>
      <c r="D28" s="83" t="n">
        <v>384.1741</v>
      </c>
      <c r="E28" s="83">
        <f si="0" t="shared"/>
        <v>1403.6229999999998</v>
      </c>
      <c r="G28">
        <v>17</v>
      </c>
      <c r="H28" s="83" t="n">
        <v>902.6039362546973</v>
      </c>
      <c r="I28" s="83" t="n">
        <v>696.7947507328829</v>
      </c>
      <c r="J28" s="85" t="n">
        <v>1856.0894051968628</v>
      </c>
      <c r="K28" s="83">
        <f si="1" t="shared"/>
        <v>3700.3929935071083</v>
      </c>
    </row>
    <row r="29" spans="1:11" x14ac:dyDescent="0.25">
      <c r="A29">
        <v>18</v>
      </c>
      <c r="B29" s="83" t="n">
        <v>1154.3296</v>
      </c>
      <c r="C29" s="83" t="n">
        <v>522.3251</v>
      </c>
      <c r="D29" s="83" t="n">
        <v>1611.5688</v>
      </c>
      <c r="E29" s="83">
        <f si="0" t="shared"/>
        <v>3288.2235000000001</v>
      </c>
      <c r="G29">
        <v>18</v>
      </c>
      <c r="H29" s="83" t="n">
        <v>604.4684143066808</v>
      </c>
      <c r="I29" s="83" t="n">
        <v>507.93165321834783</v>
      </c>
      <c r="J29" s="85" t="n">
        <v>1522.7105900371048</v>
      </c>
      <c r="K29" s="83">
        <f si="1" t="shared"/>
        <v>2734.1899530738865</v>
      </c>
    </row>
    <row r="30" spans="1:11" x14ac:dyDescent="0.25">
      <c r="A30">
        <v>19</v>
      </c>
      <c r="B30" s="83" t="n">
        <v>279.8517</v>
      </c>
      <c r="C30" s="83" t="n">
        <v>438.0688</v>
      </c>
      <c r="D30" s="83" t="n">
        <v>1147.553</v>
      </c>
      <c r="E30" s="83">
        <f si="0" t="shared"/>
        <v>1865.4735000000001</v>
      </c>
      <c r="G30">
        <v>19</v>
      </c>
      <c r="H30" s="83" t="n">
        <v>623.4690216216991</v>
      </c>
      <c r="I30" s="83" t="n">
        <v>449.4458024627469</v>
      </c>
      <c r="J30" s="85" t="n">
        <v>777.7442439057305</v>
      </c>
      <c r="K30" s="83">
        <f si="1" t="shared"/>
        <v>1984.2092738953736</v>
      </c>
    </row>
    <row r="31" spans="1:11" x14ac:dyDescent="0.25">
      <c r="A31">
        <v>20</v>
      </c>
      <c r="B31" s="83" t="n">
        <v>0.0</v>
      </c>
      <c r="C31" s="83" t="n">
        <v>262.7907</v>
      </c>
      <c r="D31" s="83" t="n">
        <v>63.507999999999996</v>
      </c>
      <c r="E31" s="83">
        <f si="0" t="shared"/>
        <v>326.2987</v>
      </c>
      <c r="G31">
        <v>20</v>
      </c>
      <c r="H31" s="83" t="n">
        <v>247.98754483096707</v>
      </c>
      <c r="I31" s="83" t="n">
        <v>299.08557398708047</v>
      </c>
      <c r="J31" s="85" t="n">
        <v>549.564391993186</v>
      </c>
      <c r="K31" s="83">
        <f si="1" t="shared"/>
        <v>1392.5427172354573</v>
      </c>
    </row>
    <row r="32" spans="1:11" x14ac:dyDescent="0.25">
      <c r="A32">
        <v>21</v>
      </c>
      <c r="B32" s="83" t="n">
        <v>5789.6123</v>
      </c>
      <c r="C32" s="83" t="n">
        <v>309.8473</v>
      </c>
      <c r="D32" s="83" t="n">
        <v>91.32329999999999</v>
      </c>
      <c r="E32" s="83">
        <f si="0" t="shared"/>
        <v>6190.7829000000002</v>
      </c>
      <c r="G32">
        <v>21</v>
      </c>
      <c r="H32" s="83" t="n">
        <v>200.2691691164362</v>
      </c>
      <c r="I32" s="83" t="n">
        <v>233.684373576487</v>
      </c>
      <c r="J32" s="85" t="n">
        <v>1080.7608579762477</v>
      </c>
      <c r="K32" s="83">
        <f si="1" t="shared"/>
        <v>980.92952315325499</v>
      </c>
    </row>
    <row r="33" spans="1:11" x14ac:dyDescent="0.25">
      <c r="A33">
        <v>22</v>
      </c>
      <c r="B33" s="83" t="n">
        <v>212.6231</v>
      </c>
      <c r="C33" s="83" t="n">
        <v>0.0</v>
      </c>
      <c r="D33" s="83" t="n">
        <v>53.512</v>
      </c>
      <c r="E33" s="83">
        <f si="0" t="shared"/>
        <v>266.13509999999997</v>
      </c>
      <c r="G33">
        <v>22</v>
      </c>
      <c r="H33" s="83" t="n">
        <v>124.0613933841865</v>
      </c>
      <c r="I33" s="83" t="n">
        <v>215.26942478741995</v>
      </c>
      <c r="J33" s="85" t="n">
        <v>386.43617064452883</v>
      </c>
      <c r="K33" s="83">
        <f si="1" t="shared"/>
        <v>1116.4026369600924</v>
      </c>
    </row>
    <row r="34" spans="1:11" x14ac:dyDescent="0.25">
      <c r="A34">
        <v>23</v>
      </c>
      <c r="B34" s="83" t="n">
        <v>2931.9003</v>
      </c>
      <c r="C34" s="83" t="n">
        <v>0.0</v>
      </c>
      <c r="D34" s="83" t="n">
        <v>138.8796</v>
      </c>
      <c r="E34" s="83">
        <f si="0" t="shared"/>
        <v>3070.7799</v>
      </c>
      <c r="G34">
        <v>23</v>
      </c>
      <c r="H34" s="83" t="n">
        <v>100.03868344659269</v>
      </c>
      <c r="I34" s="83" t="n">
        <v>207.46575135031864</v>
      </c>
      <c r="J34" s="85" t="n">
        <v>906.6486779672392</v>
      </c>
      <c r="K34" s="83">
        <f si="1" t="shared"/>
        <v>1672.9357356902688</v>
      </c>
    </row>
    <row r="35" spans="1:11" x14ac:dyDescent="0.25">
      <c r="A35">
        <v>24</v>
      </c>
      <c r="B35" s="83" t="n">
        <v>0.0</v>
      </c>
      <c r="C35" s="83" t="n">
        <v>0.0</v>
      </c>
      <c r="D35" s="83" t="n">
        <v>458.12399999999997</v>
      </c>
      <c r="E35" s="83">
        <f si="0" t="shared"/>
        <v>458.12399999999997</v>
      </c>
      <c r="G35">
        <v>24</v>
      </c>
      <c r="H35" s="83" t="n">
        <v>69.19799977525557</v>
      </c>
      <c r="I35" s="83" t="n">
        <v>209.70751478047012</v>
      </c>
      <c r="J35" s="85" t="n">
        <v>409.47556603041176</v>
      </c>
      <c r="K35" s="83">
        <f si="1" t="shared"/>
        <v>830.6957079578458</v>
      </c>
    </row>
    <row r="36" spans="1:11" x14ac:dyDescent="0.25">
      <c r="A36">
        <v>25</v>
      </c>
      <c r="B36" s="83" t="n">
        <v>0.0</v>
      </c>
      <c r="C36" s="83" t="n">
        <v>0.0</v>
      </c>
      <c r="D36" s="83" t="n">
        <v>87.069</v>
      </c>
      <c r="E36" s="83">
        <f si="0" t="shared"/>
        <v>87.069000000000003</v>
      </c>
      <c r="G36">
        <v>25</v>
      </c>
      <c r="H36" s="83" t="n">
        <v>111.01953074591431</v>
      </c>
      <c r="I36" s="83" t="n">
        <v>126.53671310964683</v>
      </c>
      <c r="J36" s="85" t="n">
        <v>365.2583190235675</v>
      </c>
      <c r="K36" s="83">
        <f si="1" t="shared"/>
        <v>794.624100663901</v>
      </c>
    </row>
    <row r="37" spans="1:11" x14ac:dyDescent="0.25">
      <c r="A37">
        <v>26</v>
      </c>
      <c r="B37" s="83" t="n">
        <v>775.4409</v>
      </c>
      <c r="C37" s="83" t="n">
        <v>846.0343</v>
      </c>
      <c r="D37" s="83" t="n">
        <v>0.0</v>
      </c>
      <c r="E37" s="83">
        <f si="0" t="shared"/>
        <v>1621.4752000000001</v>
      </c>
      <c r="G37">
        <v>26</v>
      </c>
      <c r="H37" s="83" t="n">
        <v>87.08430980914153</v>
      </c>
      <c r="I37" s="83" t="n">
        <v>106.24822460911847</v>
      </c>
      <c r="J37" s="85" t="n">
        <v>238.89217676840778</v>
      </c>
      <c r="K37" s="83">
        <f si="1" t="shared"/>
        <v>625.84448312443453</v>
      </c>
    </row>
    <row r="38" spans="1:11" x14ac:dyDescent="0.25">
      <c r="A38">
        <v>27</v>
      </c>
      <c r="B38" s="83" t="n">
        <v>0.0</v>
      </c>
      <c r="C38" s="83" t="n">
        <v>0.0</v>
      </c>
      <c r="D38" s="83" t="n">
        <v>569.2839</v>
      </c>
      <c r="E38" s="83">
        <f si="0" t="shared"/>
        <v>569.28390000000002</v>
      </c>
      <c r="G38">
        <v>27</v>
      </c>
      <c r="H38" s="83" t="n">
        <v>36.33995391157009</v>
      </c>
      <c r="I38" s="83" t="n">
        <v>83.56151929195823</v>
      </c>
      <c r="J38" s="85" t="n">
        <v>356.6699666593604</v>
      </c>
      <c r="K38" s="83">
        <f si="1" t="shared"/>
        <v>765.17570748675564</v>
      </c>
    </row>
    <row r="39" spans="1:11" x14ac:dyDescent="0.25">
      <c r="A39">
        <v>28</v>
      </c>
      <c r="B39" s="83" t="n">
        <v>1297.2364</v>
      </c>
      <c r="C39" s="83" t="n">
        <v>0.0</v>
      </c>
      <c r="D39" s="83" t="n">
        <v>0.0</v>
      </c>
      <c r="E39" s="83">
        <f si="0" t="shared"/>
        <v>1297.2364</v>
      </c>
      <c r="G39">
        <v>28</v>
      </c>
      <c r="H39" s="83" t="n">
        <v>10.734706959706925</v>
      </c>
      <c r="I39" s="83" t="n">
        <v>67.85</v>
      </c>
      <c r="J39" s="85" t="n">
        <v>289.4181975374508</v>
      </c>
      <c r="K39" s="83">
        <f si="1" t="shared"/>
        <v>294.42323490691336</v>
      </c>
    </row>
    <row r="40" spans="1:11" x14ac:dyDescent="0.25">
      <c r="A40">
        <v>29</v>
      </c>
      <c r="B40" s="83" t="n">
        <v>0.0</v>
      </c>
      <c r="C40" s="83" t="n">
        <v>0.0</v>
      </c>
      <c r="D40" s="83" t="n">
        <v>31.814</v>
      </c>
      <c r="E40" s="83">
        <f si="0" t="shared"/>
        <v>31.814</v>
      </c>
      <c r="G40">
        <v>29</v>
      </c>
      <c r="H40" s="83" t="n">
        <v>51.48389489191273</v>
      </c>
      <c r="I40" s="83" t="n">
        <v>75.17835263105238</v>
      </c>
      <c r="J40" s="85" t="n">
        <v>212.14691781860512</v>
      </c>
      <c r="K40" s="83">
        <f si="1" t="shared"/>
        <v>615.60676842039311</v>
      </c>
    </row>
    <row r="41" spans="1:11" x14ac:dyDescent="0.25">
      <c r="A41">
        <v>30</v>
      </c>
      <c r="B41" s="83" t="n">
        <v>0.0</v>
      </c>
      <c r="C41" s="83" t="n">
        <v>0.0</v>
      </c>
      <c r="D41" s="83" t="n">
        <v>13.399</v>
      </c>
      <c r="E41" s="83">
        <f si="0" t="shared"/>
        <v>13.398999999999999</v>
      </c>
      <c r="G41">
        <v>30</v>
      </c>
      <c r="H41" s="83" t="n">
        <v>14.69551708832615</v>
      </c>
      <c r="I41" s="83" t="n">
        <v>42.649795869499854</v>
      </c>
      <c r="J41" s="85" t="n">
        <v>108.92609750286897</v>
      </c>
      <c r="K41" s="83">
        <f si="1" t="shared"/>
        <v>290.97418981329162</v>
      </c>
    </row>
    <row r="42" spans="1:11" x14ac:dyDescent="0.25">
      <c r="A42">
        <v>31</v>
      </c>
      <c r="B42" s="83" t="n">
        <v>0.0</v>
      </c>
      <c r="C42" s="83" t="n">
        <v>0.0</v>
      </c>
      <c r="D42" s="83" t="n">
        <v>0.0</v>
      </c>
      <c r="E42" s="83">
        <f si="0" t="shared"/>
        <v>0</v>
      </c>
      <c r="G42">
        <v>31</v>
      </c>
      <c r="H42" s="83" t="n">
        <v>45.56505299341041</v>
      </c>
      <c r="I42" s="83" t="n">
        <v>71.15360928100743</v>
      </c>
      <c r="J42" s="85" t="n">
        <v>140.08072825015185</v>
      </c>
      <c r="K42" s="83">
        <f si="1" t="shared"/>
        <v>272.28084960303823</v>
      </c>
    </row>
    <row r="43" spans="1:11" x14ac:dyDescent="0.25">
      <c r="A43">
        <v>32</v>
      </c>
      <c r="B43" s="83" t="n">
        <v>0.0</v>
      </c>
      <c r="C43" s="83" t="n">
        <v>0.0</v>
      </c>
      <c r="D43" s="83" t="n">
        <v>12.739</v>
      </c>
      <c r="E43" s="83">
        <f ref="E43:E74" si="2" t="shared">SUM(B43:D43)</f>
        <v>12.739000000000001</v>
      </c>
      <c r="G43">
        <v>32</v>
      </c>
      <c r="H43" s="83" t="n">
        <v>16.526255113425094</v>
      </c>
      <c r="I43" s="83" t="n">
        <v>43.13839547549235</v>
      </c>
      <c r="J43" s="85" t="n">
        <v>52.75404632022734</v>
      </c>
      <c r="K43" s="83">
        <f ref="K43:K74" si="3" t="shared">SUM(H43:J43)</f>
        <v>189.79014908290696</v>
      </c>
    </row>
    <row r="44" spans="1:11" x14ac:dyDescent="0.25">
      <c r="A44">
        <v>33</v>
      </c>
      <c r="B44" s="83" t="n">
        <v>0.0</v>
      </c>
      <c r="C44" s="83" t="n">
        <v>0.0</v>
      </c>
      <c r="D44" s="83" t="n">
        <v>10.791</v>
      </c>
      <c r="E44" s="83">
        <f si="2" t="shared"/>
        <v>10.791</v>
      </c>
      <c r="G44">
        <v>33</v>
      </c>
      <c r="H44" s="83" t="n">
        <v>53.446511478942206</v>
      </c>
      <c r="I44" s="83" t="n">
        <v>40.76008833100857</v>
      </c>
      <c r="J44" s="85" t="n">
        <v>599.5697014137218</v>
      </c>
      <c r="K44" s="83">
        <f si="3" t="shared"/>
        <v>297.01836362420329</v>
      </c>
    </row>
    <row r="45" spans="1:11" x14ac:dyDescent="0.25">
      <c r="A45">
        <v>34</v>
      </c>
      <c r="B45" s="83" t="n">
        <v>0.0</v>
      </c>
      <c r="C45" s="83" t="n">
        <v>78.9631</v>
      </c>
      <c r="D45" s="83" t="n">
        <v>0.0</v>
      </c>
      <c r="E45" s="83">
        <f si="2" t="shared"/>
        <v>78.963099999999997</v>
      </c>
      <c r="G45">
        <v>34</v>
      </c>
      <c r="H45" s="83" t="n">
        <v>25.299999999999997</v>
      </c>
      <c r="I45" s="83" t="n">
        <v>41.71478463329451</v>
      </c>
      <c r="J45" s="85" t="n">
        <v>510.41191884913843</v>
      </c>
      <c r="K45" s="83">
        <f si="3" t="shared"/>
        <v>505.31028014083836</v>
      </c>
    </row>
    <row r="46" spans="1:11" x14ac:dyDescent="0.25">
      <c r="A46">
        <v>35</v>
      </c>
      <c r="B46" s="83" t="n">
        <v>0.0</v>
      </c>
      <c r="C46" s="83" t="n">
        <v>0.0</v>
      </c>
      <c r="D46" s="83" t="n">
        <v>25.786</v>
      </c>
      <c r="E46" s="83">
        <f si="2" t="shared"/>
        <v>25.786000000000001</v>
      </c>
      <c r="G46">
        <v>35</v>
      </c>
      <c r="H46" s="83" t="n">
        <v>1.15</v>
      </c>
      <c r="I46" s="83" t="n">
        <v>12.649999999999999</v>
      </c>
      <c r="J46" s="85" t="n">
        <v>31.652183834747813</v>
      </c>
      <c r="K46" s="83">
        <f si="3" t="shared"/>
        <v>482.78204242593256</v>
      </c>
    </row>
    <row r="47" spans="1:11" x14ac:dyDescent="0.25">
      <c r="A47">
        <v>36</v>
      </c>
      <c r="B47" s="83" t="n">
        <v>0.0</v>
      </c>
      <c r="C47" s="83" t="n">
        <v>0.0</v>
      </c>
      <c r="D47" s="83" t="n">
        <v>0.0</v>
      </c>
      <c r="E47" s="83">
        <f si="2" t="shared"/>
        <v>0</v>
      </c>
      <c r="G47">
        <v>36</v>
      </c>
      <c r="H47" s="83" t="n">
        <v>5.75</v>
      </c>
      <c r="I47" s="83" t="n">
        <v>22.728480400364564</v>
      </c>
      <c r="J47" s="85" t="n">
        <v>41.11110002016188</v>
      </c>
      <c r="K47" s="83">
        <f si="3" t="shared"/>
        <v>81.203746919729724</v>
      </c>
    </row>
    <row r="48" spans="1:11" x14ac:dyDescent="0.25">
      <c r="A48">
        <v>37</v>
      </c>
      <c r="B48" s="83" t="n">
        <v>0.0</v>
      </c>
      <c r="C48" s="83" t="n">
        <v>0.0</v>
      </c>
      <c r="D48" s="83" t="n">
        <v>0.0</v>
      </c>
      <c r="E48" s="83">
        <f si="2" t="shared"/>
        <v>0</v>
      </c>
      <c r="G48">
        <v>37</v>
      </c>
      <c r="H48" s="83" t="n">
        <v>10.35</v>
      </c>
      <c r="I48" s="83" t="n">
        <v>10.780721856201486</v>
      </c>
      <c r="J48" s="85" t="n">
        <v>46.578597889912736</v>
      </c>
      <c r="K48" s="83">
        <f si="3" t="shared"/>
        <v>116.04802466708576</v>
      </c>
    </row>
    <row r="49" spans="1:11" x14ac:dyDescent="0.25">
      <c r="A49">
        <v>38</v>
      </c>
      <c r="B49" s="83" t="n">
        <v>0.0</v>
      </c>
      <c r="C49" s="83" t="n">
        <v>0.0</v>
      </c>
      <c r="D49" s="83" t="n">
        <v>0.0</v>
      </c>
      <c r="E49" s="83">
        <f si="2" t="shared"/>
        <v>0</v>
      </c>
      <c r="G49">
        <v>38</v>
      </c>
      <c r="H49" s="83" t="n">
        <v>13.799999999999999</v>
      </c>
      <c r="I49" s="83" t="n">
        <v>16.099999999999998</v>
      </c>
      <c r="J49" s="85" t="n">
        <v>132.46740183578098</v>
      </c>
      <c r="K49" s="83">
        <f si="3" t="shared"/>
        <v>42.691310260475689</v>
      </c>
    </row>
    <row r="50" spans="1:11" x14ac:dyDescent="0.25">
      <c r="A50">
        <v>39</v>
      </c>
      <c r="B50" s="83" t="n">
        <v>0.0</v>
      </c>
      <c r="C50" s="83" t="n">
        <v>0.0</v>
      </c>
      <c r="D50" s="83" t="n">
        <v>4.128</v>
      </c>
      <c r="E50" s="83">
        <f si="2" t="shared"/>
        <v>4.1280000000000001</v>
      </c>
      <c r="G50">
        <v>39</v>
      </c>
      <c r="H50" s="83" t="n">
        <v>2.3</v>
      </c>
      <c r="I50" s="83" t="n">
        <v>11.5</v>
      </c>
      <c r="J50" s="85" t="n">
        <v>36.340223743423174</v>
      </c>
      <c r="K50" s="83">
        <f si="3" t="shared"/>
        <v>238.60405122049212</v>
      </c>
    </row>
    <row r="51" spans="1:11" x14ac:dyDescent="0.25">
      <c r="A51">
        <v>40</v>
      </c>
      <c r="B51" s="83" t="n">
        <v>0.0</v>
      </c>
      <c r="C51" s="83" t="n">
        <v>0.0</v>
      </c>
      <c r="D51" s="83" t="n">
        <v>860.3701</v>
      </c>
      <c r="E51" s="83">
        <f si="2" t="shared"/>
        <v>860.37009999999998</v>
      </c>
      <c r="G51">
        <v>40</v>
      </c>
      <c r="H51" s="83" t="n">
        <v>1.550497195308028</v>
      </c>
      <c r="I51" s="83" t="n">
        <v>11.5</v>
      </c>
      <c r="J51" s="85" t="n">
        <v>15.253540053905422</v>
      </c>
      <c r="K51" s="83">
        <f si="3" t="shared"/>
        <v>17.505312703094599</v>
      </c>
    </row>
    <row r="52" spans="1:11" x14ac:dyDescent="0.25">
      <c r="A52">
        <v>41</v>
      </c>
      <c r="B52" s="83" t="n">
        <v>0.0</v>
      </c>
      <c r="C52" s="83" t="n">
        <v>0.0</v>
      </c>
      <c r="D52" s="83" t="n">
        <v>0.0</v>
      </c>
      <c r="E52" s="83">
        <f si="2" t="shared"/>
        <v>0</v>
      </c>
      <c r="G52">
        <v>41</v>
      </c>
      <c r="H52" s="83" t="n">
        <v>3.4499999999999997</v>
      </c>
      <c r="I52" s="83" t="n">
        <v>4.6</v>
      </c>
      <c r="J52" s="85" t="n">
        <v>32.512191735593746</v>
      </c>
      <c r="K52" s="83">
        <f si="3" t="shared"/>
        <v>31.987224625155658</v>
      </c>
    </row>
    <row r="53" spans="1:11" x14ac:dyDescent="0.25">
      <c r="A53">
        <v>42</v>
      </c>
      <c r="B53" s="83" t="n">
        <v>0.0</v>
      </c>
      <c r="C53" s="83" t="n">
        <v>0.0</v>
      </c>
      <c r="D53" s="83" t="n">
        <v>286.7204</v>
      </c>
      <c r="E53" s="83">
        <f si="2" t="shared"/>
        <v>286.72039999999998</v>
      </c>
      <c r="G53">
        <v>42</v>
      </c>
      <c r="H53" s="83" t="n">
        <v>1.15</v>
      </c>
      <c r="I53" s="83" t="n">
        <v>3.4499999999999997</v>
      </c>
      <c r="J53" s="85" t="n">
        <v>11.056750302982975</v>
      </c>
      <c r="K53" s="83">
        <f si="3" t="shared"/>
        <v>3.5</v>
      </c>
    </row>
    <row r="54" spans="1:11" x14ac:dyDescent="0.25">
      <c r="A54">
        <v>43</v>
      </c>
      <c r="B54" s="83" t="n">
        <v>0.0</v>
      </c>
      <c r="C54" s="83" t="n">
        <v>0.0</v>
      </c>
      <c r="D54" s="83" t="n">
        <v>0.0</v>
      </c>
      <c r="E54" s="83">
        <f si="2" t="shared"/>
        <v>0</v>
      </c>
      <c r="G54">
        <v>43</v>
      </c>
      <c r="H54" s="83" t="n">
        <v>4.6</v>
      </c>
      <c r="I54" s="83" t="n">
        <v>9.600497195308026</v>
      </c>
      <c r="J54" s="85" t="n">
        <v>103.51143549208464</v>
      </c>
      <c r="K54" s="83">
        <f si="3" t="shared"/>
        <v>18.719825738514579</v>
      </c>
    </row>
    <row r="55" spans="1:11" x14ac:dyDescent="0.25">
      <c r="A55">
        <v>44</v>
      </c>
      <c r="B55" s="83" t="n">
        <v>0.0</v>
      </c>
      <c r="C55" s="83" t="n">
        <v>0.0</v>
      </c>
      <c r="D55" s="83" t="n">
        <v>0.0</v>
      </c>
      <c r="E55" s="83">
        <f si="2" t="shared"/>
        <v>0</v>
      </c>
      <c r="G55">
        <v>44</v>
      </c>
      <c r="H55" s="83" t="n">
        <v>1.597758544163076</v>
      </c>
      <c r="I55" s="83" t="n">
        <v>10.799674796748008</v>
      </c>
      <c r="J55" s="85" t="n">
        <v>27.454900334184504</v>
      </c>
      <c r="K55" s="83">
        <f si="3" t="shared"/>
        <v>35.727112615048561</v>
      </c>
    </row>
    <row r="56" spans="1:11" x14ac:dyDescent="0.25">
      <c r="A56">
        <v>45</v>
      </c>
      <c r="B56" s="83" t="n">
        <v>0.0</v>
      </c>
      <c r="C56" s="83" t="n">
        <v>0.0</v>
      </c>
      <c r="D56" s="83" t="n">
        <v>0.0</v>
      </c>
      <c r="E56" s="83">
        <f si="2" t="shared"/>
        <v>0</v>
      </c>
      <c r="G56">
        <v>45</v>
      </c>
      <c r="H56" s="83" t="n">
        <v>1.580721856201488</v>
      </c>
      <c r="I56" s="83" t="n">
        <v>18.098255739471103</v>
      </c>
      <c r="J56" s="85" t="n">
        <v>126.15939296642895</v>
      </c>
      <c r="K56" s="83">
        <f si="3" t="shared"/>
        <v>88.24435742764372</v>
      </c>
    </row>
    <row r="57" spans="1:11" x14ac:dyDescent="0.25">
      <c r="A57">
        <v>46</v>
      </c>
      <c r="B57" s="83" t="n">
        <v>0.0</v>
      </c>
      <c r="C57" s="83" t="n">
        <v>0.0</v>
      </c>
      <c r="D57" s="83" t="n">
        <v>0.0</v>
      </c>
      <c r="E57" s="83">
        <f si="2" t="shared"/>
        <v>0</v>
      </c>
      <c r="G57">
        <v>46</v>
      </c>
      <c r="H57" s="83" t="n">
        <v>4.6</v>
      </c>
      <c r="I57" s="83" t="n">
        <v>18.4</v>
      </c>
      <c r="J57" s="85" t="n">
        <v>39.400537542026534</v>
      </c>
      <c r="K57" s="83">
        <f si="3" t="shared"/>
        <v>125.89534390432262</v>
      </c>
    </row>
    <row r="58" spans="1:11" x14ac:dyDescent="0.25">
      <c r="A58">
        <v>47</v>
      </c>
      <c r="B58" s="83" t="n">
        <v>0.0</v>
      </c>
      <c r="C58" s="83" t="n">
        <v>0.0</v>
      </c>
      <c r="D58" s="83" t="n">
        <v>0.0</v>
      </c>
      <c r="E58" s="83">
        <f si="2" t="shared"/>
        <v>0</v>
      </c>
      <c r="G58">
        <v>47</v>
      </c>
      <c r="H58" s="83" t="n">
        <v>0.0</v>
      </c>
      <c r="I58" s="83" t="n">
        <v>8.049999999999999</v>
      </c>
      <c r="J58" s="85" t="n">
        <v>58.80331653988999</v>
      </c>
      <c r="K58" s="83">
        <f si="3" t="shared"/>
        <v>84.722150561200124</v>
      </c>
    </row>
    <row r="59" spans="1:11" x14ac:dyDescent="0.25">
      <c r="A59">
        <v>48</v>
      </c>
      <c r="B59" s="83" t="n">
        <v>0.0</v>
      </c>
      <c r="C59" s="83" t="n">
        <v>0.0</v>
      </c>
      <c r="D59" s="83" t="n">
        <v>468.9894</v>
      </c>
      <c r="E59" s="83">
        <f si="2" t="shared"/>
        <v>468.98939999999999</v>
      </c>
      <c r="G59">
        <v>48</v>
      </c>
      <c r="H59" s="83" t="n">
        <v>0.0</v>
      </c>
      <c r="I59" s="83" t="n">
        <v>1.15</v>
      </c>
      <c r="J59" s="85" t="n">
        <v>23.386551264978454</v>
      </c>
      <c r="K59" s="83">
        <f si="3" t="shared"/>
        <v>42.63795598126508</v>
      </c>
    </row>
    <row r="60" spans="1:11" x14ac:dyDescent="0.25">
      <c r="A60">
        <v>49</v>
      </c>
      <c r="B60" s="83" t="n">
        <v>0.0</v>
      </c>
      <c r="C60" s="83" t="n">
        <v>0.0</v>
      </c>
      <c r="D60" s="83" t="n">
        <v>0.0</v>
      </c>
      <c r="E60" s="83">
        <f si="2" t="shared"/>
        <v>0</v>
      </c>
      <c r="G60">
        <v>49</v>
      </c>
      <c r="H60" s="83" t="n">
        <v>0.0</v>
      </c>
      <c r="I60" s="83" t="n">
        <v>6.8999999999999995</v>
      </c>
      <c r="J60" s="85" t="n">
        <v>85.81189525077228</v>
      </c>
      <c r="K60" s="83">
        <f si="3" t="shared"/>
        <v>60.026427190692182</v>
      </c>
    </row>
    <row r="61" spans="1:11" x14ac:dyDescent="0.25">
      <c r="A61">
        <v>50</v>
      </c>
      <c r="B61" s="83" t="n">
        <v>0.0</v>
      </c>
      <c r="C61" s="83" t="n">
        <v>0.0</v>
      </c>
      <c r="D61" s="83" t="n">
        <v>249.3058</v>
      </c>
      <c r="E61" s="83">
        <f si="2" t="shared"/>
        <v>249.3058</v>
      </c>
      <c r="G61">
        <v>50</v>
      </c>
      <c r="H61" s="83" t="n">
        <v>1.15</v>
      </c>
      <c r="I61" s="83" t="n">
        <v>6.8999999999999995</v>
      </c>
      <c r="J61" s="85" t="n">
        <v>6.8999999999999995</v>
      </c>
      <c r="K61" s="83">
        <f si="3" t="shared"/>
        <v>20.226303933460407</v>
      </c>
    </row>
    <row r="62" spans="1:11" x14ac:dyDescent="0.25">
      <c r="A62">
        <v>51</v>
      </c>
      <c r="B62" s="83" t="n">
        <v>0.0</v>
      </c>
      <c r="C62" s="83" t="n">
        <v>0.0</v>
      </c>
      <c r="D62" s="83" t="n">
        <v>0.0</v>
      </c>
      <c r="E62" s="83">
        <f si="2" t="shared"/>
        <v>0</v>
      </c>
      <c r="G62">
        <v>51</v>
      </c>
      <c r="H62" s="83" t="n">
        <v>1.15</v>
      </c>
      <c r="I62" s="83" t="n">
        <v>5.75</v>
      </c>
      <c r="J62" s="85" t="n">
        <v>23.598027315176342</v>
      </c>
      <c r="K62" s="83">
        <f si="3" t="shared"/>
        <v>10.25</v>
      </c>
    </row>
    <row r="63" spans="1:11" x14ac:dyDescent="0.25">
      <c r="A63">
        <v>52</v>
      </c>
      <c r="B63" s="83" t="n">
        <v>0.0</v>
      </c>
      <c r="C63" s="83" t="n">
        <v>0.0</v>
      </c>
      <c r="D63" s="83" t="n">
        <v>0.0</v>
      </c>
      <c r="E63" s="83">
        <f si="2" t="shared"/>
        <v>0</v>
      </c>
      <c r="G63">
        <v>52</v>
      </c>
      <c r="H63" s="83" t="n">
        <v>0.0</v>
      </c>
      <c r="I63" s="83" t="n">
        <v>0.0</v>
      </c>
      <c r="J63" s="85" t="n">
        <v>5.0477585441630755</v>
      </c>
      <c r="K63" s="83">
        <f si="3" t="shared"/>
        <v>5</v>
      </c>
    </row>
    <row r="64" spans="1:11" x14ac:dyDescent="0.25">
      <c r="A64">
        <v>53</v>
      </c>
      <c r="B64" s="83" t="n">
        <v>0.0</v>
      </c>
      <c r="C64" s="83" t="n">
        <v>0.0</v>
      </c>
      <c r="D64" s="83" t="n">
        <v>13.487</v>
      </c>
      <c r="E64" s="83">
        <f si="2" t="shared"/>
        <v>13.487</v>
      </c>
      <c r="G64">
        <v>53</v>
      </c>
      <c r="H64" s="83" t="n">
        <v>0.0</v>
      </c>
      <c r="I64" s="83" t="n">
        <v>3.4499999999999997</v>
      </c>
      <c r="J64" s="85" t="n">
        <v>16.900994390616056</v>
      </c>
      <c r="K64" s="83">
        <f si="3" t="shared"/>
        <v>0</v>
      </c>
    </row>
    <row r="65" spans="1:11" x14ac:dyDescent="0.25">
      <c r="A65">
        <v>54</v>
      </c>
      <c r="B65" s="83" t="n">
        <v>0.0</v>
      </c>
      <c r="C65" s="83" t="n">
        <v>0.0</v>
      </c>
      <c r="D65" s="83" t="n">
        <v>0.0</v>
      </c>
      <c r="E65" s="83">
        <f si="2" t="shared"/>
        <v>0</v>
      </c>
      <c r="G65">
        <v>54</v>
      </c>
      <c r="H65" s="83" t="n">
        <v>0.0</v>
      </c>
      <c r="I65" s="83" t="n">
        <v>2.3</v>
      </c>
      <c r="J65" s="85" t="n">
        <v>0.0</v>
      </c>
      <c r="K65" s="83">
        <f si="3" t="shared"/>
        <v>0</v>
      </c>
    </row>
    <row r="66" spans="1:11" x14ac:dyDescent="0.25">
      <c r="A66">
        <v>55</v>
      </c>
      <c r="B66" s="83" t="n">
        <v>0.0</v>
      </c>
      <c r="C66" s="83" t="n">
        <v>0.0</v>
      </c>
      <c r="D66" s="83" t="n">
        <v>3.675</v>
      </c>
      <c r="E66" s="83">
        <f si="2" t="shared"/>
        <v>3.6749999999999998</v>
      </c>
      <c r="G66">
        <v>55</v>
      </c>
      <c r="H66" s="83" t="n">
        <v>0.0</v>
      </c>
      <c r="I66" s="83" t="n">
        <v>1.15</v>
      </c>
      <c r="J66" s="85" t="n">
        <v>4.345517088326152</v>
      </c>
      <c r="K66" s="83">
        <f si="3" t="shared"/>
        <v>0</v>
      </c>
    </row>
    <row r="67" spans="1:11" x14ac:dyDescent="0.25">
      <c r="A67">
        <v>56</v>
      </c>
      <c r="B67" s="83" t="n">
        <v>0.0</v>
      </c>
      <c r="C67" s="83" t="n">
        <v>0.0</v>
      </c>
      <c r="D67" s="83" t="n">
        <v>0.0</v>
      </c>
      <c r="E67" s="83">
        <f si="2" t="shared"/>
        <v>0</v>
      </c>
      <c r="G67">
        <v>56</v>
      </c>
      <c r="H67" s="83" t="n">
        <v>0.0</v>
      </c>
      <c r="I67" s="83" t="n">
        <v>2.3</v>
      </c>
      <c r="J67" s="85" t="n">
        <v>6.8999999999999995</v>
      </c>
      <c r="K67" s="83">
        <f si="3" t="shared"/>
        <v>25.235857254748201</v>
      </c>
    </row>
    <row r="68" spans="1:11" x14ac:dyDescent="0.25">
      <c r="A68">
        <v>57</v>
      </c>
      <c r="B68" s="83" t="n">
        <v>0.0</v>
      </c>
      <c r="C68" s="83" t="n">
        <v>0.0</v>
      </c>
      <c r="D68" s="83" t="n">
        <v>0.0</v>
      </c>
      <c r="E68" s="83">
        <f si="2" t="shared"/>
        <v>0</v>
      </c>
      <c r="G68">
        <v>57</v>
      </c>
      <c r="H68" s="83" t="n">
        <v>0.0</v>
      </c>
      <c r="I68" s="83" t="n">
        <v>3.4499999999999997</v>
      </c>
      <c r="J68" s="85" t="n">
        <v>1.15</v>
      </c>
      <c r="K68" s="83">
        <f si="3" t="shared"/>
        <v>0.25</v>
      </c>
    </row>
    <row r="69" spans="1:11" x14ac:dyDescent="0.25">
      <c r="A69">
        <v>58</v>
      </c>
      <c r="B69" s="83" t="n">
        <v>0.0</v>
      </c>
      <c r="C69" s="83" t="n">
        <v>0.0</v>
      </c>
      <c r="D69" s="83" t="n">
        <v>0.0</v>
      </c>
      <c r="E69" s="83">
        <f si="2" t="shared"/>
        <v>0</v>
      </c>
      <c r="G69">
        <v>58</v>
      </c>
      <c r="H69" s="83" t="n">
        <v>0.0</v>
      </c>
      <c r="I69" s="83" t="n">
        <v>2.700497195308028</v>
      </c>
      <c r="J69" s="85" t="n">
        <v>1.15</v>
      </c>
      <c r="K69" s="83">
        <f si="3" t="shared"/>
        <v>10.016666666666699</v>
      </c>
    </row>
    <row r="70" spans="1:11" x14ac:dyDescent="0.25">
      <c r="A70">
        <v>59</v>
      </c>
      <c r="B70" s="83" t="n">
        <v>0.0</v>
      </c>
      <c r="C70" s="83" t="n">
        <v>0.0</v>
      </c>
      <c r="D70" s="83" t="n">
        <v>0.0</v>
      </c>
      <c r="E70" s="83">
        <f si="2" t="shared"/>
        <v>0</v>
      </c>
      <c r="G70">
        <v>59</v>
      </c>
      <c r="H70" s="83" t="n">
        <v>0.0</v>
      </c>
      <c r="I70" s="83" t="n">
        <v>5.049674796748008</v>
      </c>
      <c r="J70" s="85" t="n">
        <v>0.0</v>
      </c>
      <c r="K70" s="83">
        <f si="3" t="shared"/>
        <v>0</v>
      </c>
    </row>
    <row r="71" spans="1:11" x14ac:dyDescent="0.25">
      <c r="A71">
        <v>60</v>
      </c>
      <c r="B71" s="83" t="n">
        <v>0.0</v>
      </c>
      <c r="C71" s="83" t="n">
        <v>0.0</v>
      </c>
      <c r="D71" s="83" t="n">
        <v>0.0</v>
      </c>
      <c r="E71" s="83">
        <f si="2" t="shared"/>
        <v>0</v>
      </c>
      <c r="G71">
        <v>60</v>
      </c>
      <c r="H71" s="83" t="n">
        <v>0.0</v>
      </c>
      <c r="I71" s="83" t="n">
        <v>0.0</v>
      </c>
      <c r="J71" s="85" t="n">
        <v>5.75</v>
      </c>
      <c r="K71" s="83">
        <f si="3" t="shared"/>
        <v>9.9770642201834896</v>
      </c>
    </row>
    <row r="72" spans="1:11" x14ac:dyDescent="0.25">
      <c r="A72">
        <v>61</v>
      </c>
      <c r="B72" s="83" t="n">
        <v>0.0</v>
      </c>
      <c r="C72" s="83" t="n">
        <v>0.0</v>
      </c>
      <c r="D72" s="83" t="n">
        <v>0.0</v>
      </c>
      <c r="E72" s="83">
        <f si="2" t="shared"/>
        <v>0</v>
      </c>
      <c r="G72">
        <v>61</v>
      </c>
      <c r="H72" s="83" t="n">
        <v>0.0</v>
      </c>
      <c r="I72" s="83" t="n">
        <v>0.447758544163076</v>
      </c>
      <c r="J72" s="85" t="n">
        <v>0.0</v>
      </c>
      <c r="K72" s="83">
        <f si="3" t="shared"/>
        <v>0</v>
      </c>
    </row>
    <row r="73" spans="1:11" x14ac:dyDescent="0.25">
      <c r="A73">
        <v>62</v>
      </c>
      <c r="B73" s="83" t="n">
        <v>0.0</v>
      </c>
      <c r="C73" s="83" t="n">
        <v>0.0</v>
      </c>
      <c r="D73" s="83" t="n">
        <v>0.0</v>
      </c>
      <c r="E73" s="83">
        <f si="2" t="shared"/>
        <v>0</v>
      </c>
      <c r="G73">
        <v>62</v>
      </c>
      <c r="H73" s="83" t="n">
        <v>0.0</v>
      </c>
      <c r="I73" s="83" t="n">
        <v>0.0</v>
      </c>
      <c r="J73" s="85" t="n">
        <v>1.15</v>
      </c>
      <c r="K73" s="83">
        <f si="3" t="shared"/>
        <v>0</v>
      </c>
    </row>
    <row r="74" spans="1:11" x14ac:dyDescent="0.25">
      <c r="A74">
        <v>63</v>
      </c>
      <c r="B74" s="83" t="n">
        <v>0.0</v>
      </c>
      <c r="C74" s="83" t="n">
        <v>0.0</v>
      </c>
      <c r="D74" s="83" t="n">
        <v>0.0</v>
      </c>
      <c r="E74" s="83">
        <f si="2" t="shared"/>
        <v>0</v>
      </c>
      <c r="G74">
        <v>63</v>
      </c>
      <c r="H74" s="83" t="n">
        <v>0.0</v>
      </c>
      <c r="I74" s="83" t="n">
        <v>0.0</v>
      </c>
      <c r="J74" s="85" t="n">
        <v>0.0</v>
      </c>
      <c r="K74" s="83">
        <f si="3" t="shared"/>
        <v>0</v>
      </c>
    </row>
    <row r="75" spans="1:11" x14ac:dyDescent="0.25">
      <c r="A75">
        <v>64</v>
      </c>
      <c r="B75" s="83" t="n">
        <v>0.0</v>
      </c>
      <c r="C75" s="83" t="n">
        <v>0.0</v>
      </c>
      <c r="D75" s="83" t="n">
        <v>0.0</v>
      </c>
      <c r="E75" s="83">
        <f ref="E75:E101" si="4" t="shared">SUM(B75:D75)</f>
        <v>0</v>
      </c>
      <c r="G75">
        <v>64</v>
      </c>
      <c r="H75" s="83" t="n">
        <v>0.0</v>
      </c>
      <c r="I75" s="83" t="n">
        <v>0.0</v>
      </c>
      <c r="J75" s="85" t="n">
        <v>3.4499999999999997</v>
      </c>
      <c r="K75" s="83">
        <f ref="K75:K101" si="5" t="shared">SUM(H75:J75)</f>
        <v>10.0032154340836</v>
      </c>
    </row>
    <row r="76" spans="1:11" x14ac:dyDescent="0.25">
      <c r="A76">
        <v>65</v>
      </c>
      <c r="B76" s="83" t="n">
        <v>0.0</v>
      </c>
      <c r="C76" s="83" t="n">
        <v>0.0</v>
      </c>
      <c r="D76" s="83" t="n">
        <v>0.0</v>
      </c>
      <c r="E76" s="83">
        <f si="4" t="shared"/>
        <v>0</v>
      </c>
      <c r="G76">
        <v>65</v>
      </c>
      <c r="H76" s="83" t="n">
        <v>0.0</v>
      </c>
      <c r="I76" s="83" t="n">
        <v>0.0</v>
      </c>
      <c r="J76" s="85" t="n">
        <v>2.3</v>
      </c>
      <c r="K76" s="83">
        <f si="5" t="shared"/>
        <v>0</v>
      </c>
    </row>
    <row r="77" spans="1:11" x14ac:dyDescent="0.25">
      <c r="A77">
        <v>66</v>
      </c>
      <c r="B77" s="83" t="n">
        <v>0.0</v>
      </c>
      <c r="C77" s="83" t="n">
        <v>0.0</v>
      </c>
      <c r="D77" s="83" t="n">
        <v>0.0</v>
      </c>
      <c r="E77" s="83">
        <f si="4" t="shared"/>
        <v>0</v>
      </c>
      <c r="G77">
        <v>66</v>
      </c>
      <c r="H77" s="83" t="n">
        <v>0.0</v>
      </c>
      <c r="I77" s="83" t="n">
        <v>2.3</v>
      </c>
      <c r="J77" s="83" t="n">
        <v>0.0</v>
      </c>
      <c r="K77" s="83">
        <f si="5" t="shared"/>
        <v>0</v>
      </c>
    </row>
    <row r="78" spans="1:11" x14ac:dyDescent="0.25">
      <c r="A78">
        <v>67</v>
      </c>
      <c r="B78" s="83" t="n">
        <v>0.0</v>
      </c>
      <c r="C78" s="83" t="n">
        <v>0.0</v>
      </c>
      <c r="D78" s="83" t="n">
        <v>0.0</v>
      </c>
      <c r="E78" s="83">
        <f si="4" t="shared"/>
        <v>0</v>
      </c>
      <c r="G78">
        <v>67</v>
      </c>
      <c r="H78" s="83" t="n">
        <v>0.0</v>
      </c>
      <c r="I78" s="83" t="n">
        <v>1.15</v>
      </c>
      <c r="J78" s="83" t="n">
        <v>0.0</v>
      </c>
      <c r="K78" s="83">
        <f si="5" t="shared"/>
        <v>0</v>
      </c>
    </row>
    <row r="79" spans="1:11" x14ac:dyDescent="0.25">
      <c r="A79">
        <v>68</v>
      </c>
      <c r="B79" s="83" t="n">
        <v>0.0</v>
      </c>
      <c r="C79" s="83" t="n">
        <v>0.0</v>
      </c>
      <c r="D79" s="83" t="n">
        <v>0.0</v>
      </c>
      <c r="E79" s="83">
        <f si="4" t="shared"/>
        <v>0</v>
      </c>
      <c r="G79">
        <v>68</v>
      </c>
      <c r="H79" s="83" t="n">
        <v>0.0</v>
      </c>
      <c r="I79" s="83" t="n">
        <v>0.0</v>
      </c>
      <c r="J79" s="85" t="n">
        <v>2.730721856201488</v>
      </c>
      <c r="K79" s="83">
        <f si="5" t="shared"/>
        <v>0</v>
      </c>
    </row>
    <row r="80" spans="1:11" x14ac:dyDescent="0.25">
      <c r="A80">
        <v>69</v>
      </c>
      <c r="B80" s="83" t="n">
        <v>0.0</v>
      </c>
      <c r="C80" s="83" t="n">
        <v>0.0</v>
      </c>
      <c r="D80" s="83" t="n">
        <v>0.0</v>
      </c>
      <c r="E80" s="83">
        <f si="4" t="shared"/>
        <v>0</v>
      </c>
      <c r="G80">
        <v>69</v>
      </c>
      <c r="H80" s="83" t="n">
        <v>0.0</v>
      </c>
      <c r="I80" s="83" t="n">
        <v>0.0</v>
      </c>
      <c r="J80" s="83" t="n">
        <v>0.0</v>
      </c>
      <c r="K80" s="83">
        <f si="5" t="shared"/>
        <v>0</v>
      </c>
    </row>
    <row r="81" spans="1:11" x14ac:dyDescent="0.25">
      <c r="A81">
        <v>70</v>
      </c>
      <c r="B81" s="83" t="n">
        <v>0.0</v>
      </c>
      <c r="C81" s="83" t="n">
        <v>0.0</v>
      </c>
      <c r="D81" s="83" t="n">
        <v>0.0</v>
      </c>
      <c r="E81" s="83">
        <f si="4" t="shared"/>
        <v>0</v>
      </c>
      <c r="G81">
        <v>70</v>
      </c>
      <c r="H81" s="83" t="n">
        <v>0.0</v>
      </c>
      <c r="I81" s="83" t="n">
        <v>0.0</v>
      </c>
      <c r="J81" s="85" t="n">
        <v>3.4499999999999997</v>
      </c>
      <c r="K81" s="83">
        <f si="5" t="shared"/>
        <v>0</v>
      </c>
    </row>
    <row r="82" spans="1:11" x14ac:dyDescent="0.25">
      <c r="A82">
        <v>71</v>
      </c>
      <c r="B82" s="83" t="n">
        <v>0.0</v>
      </c>
      <c r="C82" s="83" t="n">
        <v>0.0</v>
      </c>
      <c r="D82" s="83" t="n">
        <v>0.0</v>
      </c>
      <c r="E82" s="83">
        <f si="4" t="shared"/>
        <v>0</v>
      </c>
      <c r="G82">
        <v>71</v>
      </c>
      <c r="H82" s="83" t="n">
        <v>0.0</v>
      </c>
      <c r="I82" s="83" t="n">
        <v>0.0</v>
      </c>
      <c r="J82" s="85" t="n">
        <v>0.0</v>
      </c>
      <c r="K82" s="83">
        <f si="5" t="shared"/>
        <v>0</v>
      </c>
    </row>
    <row r="83" spans="1:11" x14ac:dyDescent="0.25">
      <c r="A83">
        <v>72</v>
      </c>
      <c r="B83" s="83" t="n">
        <v>0.0</v>
      </c>
      <c r="C83" s="83" t="n">
        <v>0.0</v>
      </c>
      <c r="D83" s="83" t="n">
        <v>0.0</v>
      </c>
      <c r="E83" s="83">
        <f si="4" t="shared"/>
        <v>0</v>
      </c>
      <c r="G83">
        <v>72</v>
      </c>
      <c r="H83" s="83" t="n">
        <v>0.0</v>
      </c>
      <c r="I83" s="83" t="n">
        <v>0.0</v>
      </c>
      <c r="J83" s="83" t="n">
        <v>0.0</v>
      </c>
      <c r="K83" s="83">
        <f si="5" t="shared"/>
        <v>0</v>
      </c>
    </row>
    <row r="84" spans="1:11" x14ac:dyDescent="0.25">
      <c r="A84">
        <v>73</v>
      </c>
      <c r="B84" s="83" t="n">
        <v>0.0</v>
      </c>
      <c r="C84" s="83" t="n">
        <v>0.0</v>
      </c>
      <c r="D84" s="83" t="n">
        <v>0.0</v>
      </c>
      <c r="E84" s="83">
        <f si="4" t="shared"/>
        <v>0</v>
      </c>
      <c r="G84">
        <v>73</v>
      </c>
      <c r="H84" s="83" t="n">
        <v>0.0</v>
      </c>
      <c r="I84" s="83" t="n">
        <v>0.0</v>
      </c>
      <c r="J84" s="83" t="n">
        <v>1.15</v>
      </c>
      <c r="K84" s="83">
        <f si="5" t="shared"/>
        <v>0</v>
      </c>
    </row>
    <row r="85" spans="1:11" x14ac:dyDescent="0.25">
      <c r="A85">
        <v>74</v>
      </c>
      <c r="B85" s="83" t="n">
        <v>0.0</v>
      </c>
      <c r="C85" s="83" t="n">
        <v>0.0</v>
      </c>
      <c r="D85" s="83" t="n">
        <v>0.0</v>
      </c>
      <c r="E85" s="83">
        <f si="4" t="shared"/>
        <v>0</v>
      </c>
      <c r="G85">
        <v>74</v>
      </c>
      <c r="H85" s="83" t="n">
        <v>0.0</v>
      </c>
      <c r="I85" s="83" t="n">
        <v>0.0</v>
      </c>
      <c r="J85" s="83" t="n">
        <v>1.15</v>
      </c>
      <c r="K85" s="83">
        <f si="5" t="shared"/>
        <v>0</v>
      </c>
    </row>
    <row r="86" spans="1:11" x14ac:dyDescent="0.25">
      <c r="A86">
        <v>75</v>
      </c>
      <c r="B86" s="83" t="n">
        <v>0.0</v>
      </c>
      <c r="C86" s="83" t="n">
        <v>0.0</v>
      </c>
      <c r="D86" s="83" t="n">
        <v>0.0</v>
      </c>
      <c r="E86" s="83">
        <f si="4" t="shared"/>
        <v>0</v>
      </c>
      <c r="G86">
        <v>75</v>
      </c>
      <c r="H86" s="83" t="n">
        <v>0.0</v>
      </c>
      <c r="I86" s="83" t="n">
        <v>0.0</v>
      </c>
      <c r="J86" s="83" t="n">
        <v>0.0</v>
      </c>
      <c r="K86" s="83">
        <f si="5" t="shared"/>
        <v>0</v>
      </c>
    </row>
    <row r="87" spans="1:11" x14ac:dyDescent="0.25">
      <c r="A87">
        <v>76</v>
      </c>
      <c r="B87" s="83" t="n">
        <v>0.0</v>
      </c>
      <c r="C87" s="83" t="n">
        <v>0.0</v>
      </c>
      <c r="D87" s="83" t="n">
        <v>0.0</v>
      </c>
      <c r="E87" s="83">
        <f si="4" t="shared"/>
        <v>0</v>
      </c>
      <c r="G87">
        <v>76</v>
      </c>
      <c r="H87" s="83" t="n">
        <v>0.0</v>
      </c>
      <c r="I87" s="83" t="n">
        <v>0.0</v>
      </c>
      <c r="J87" s="85" t="n">
        <v>0.0</v>
      </c>
      <c r="K87" s="83">
        <f si="5" t="shared"/>
        <v>0</v>
      </c>
    </row>
    <row r="88" spans="1:11" x14ac:dyDescent="0.25">
      <c r="A88">
        <v>77</v>
      </c>
      <c r="B88" s="83" t="n">
        <v>0.0</v>
      </c>
      <c r="C88" s="83" t="n">
        <v>0.0</v>
      </c>
      <c r="D88" s="83" t="n">
        <v>0.0</v>
      </c>
      <c r="E88" s="83">
        <f si="4" t="shared"/>
        <v>0</v>
      </c>
      <c r="G88">
        <v>77</v>
      </c>
      <c r="H88" s="83" t="n">
        <v>0.0</v>
      </c>
      <c r="I88" s="83" t="n">
        <v>0.0</v>
      </c>
      <c r="J88" s="83" t="n">
        <v>0.0</v>
      </c>
      <c r="K88" s="83">
        <f si="5" t="shared"/>
        <v>0</v>
      </c>
    </row>
    <row r="89" spans="1:11" x14ac:dyDescent="0.25">
      <c r="A89">
        <v>78</v>
      </c>
      <c r="B89" s="83" t="n">
        <v>0.0</v>
      </c>
      <c r="C89" s="83" t="n">
        <v>0.0</v>
      </c>
      <c r="D89" s="83" t="n">
        <v>0.0</v>
      </c>
      <c r="E89" s="83">
        <f si="4" t="shared"/>
        <v>0</v>
      </c>
      <c r="G89">
        <v>78</v>
      </c>
      <c r="H89" s="83" t="n">
        <v>0.0</v>
      </c>
      <c r="I89" s="83" t="n">
        <v>0.0</v>
      </c>
      <c r="J89" s="85" t="n">
        <v>0.0</v>
      </c>
      <c r="K89" s="83">
        <f si="5" t="shared"/>
        <v>0</v>
      </c>
    </row>
    <row r="90" spans="1:11" x14ac:dyDescent="0.25">
      <c r="A90">
        <v>79</v>
      </c>
      <c r="B90" s="83" t="n">
        <v>0.0</v>
      </c>
      <c r="C90" s="83" t="n">
        <v>0.0</v>
      </c>
      <c r="D90" s="83" t="n">
        <v>0.0</v>
      </c>
      <c r="E90" s="83">
        <f si="4" t="shared"/>
        <v>0</v>
      </c>
      <c r="G90">
        <v>79</v>
      </c>
      <c r="H90" s="83" t="n">
        <v>0.0</v>
      </c>
      <c r="I90" s="83" t="n">
        <v>0.0</v>
      </c>
      <c r="J90" s="83" t="n">
        <v>0.0</v>
      </c>
      <c r="K90" s="83">
        <f si="5" t="shared"/>
        <v>0</v>
      </c>
    </row>
    <row r="91" spans="1:11" x14ac:dyDescent="0.25">
      <c r="A91">
        <v>80</v>
      </c>
      <c r="B91" s="83" t="n">
        <v>0.0</v>
      </c>
      <c r="C91" s="83" t="n">
        <v>0.0</v>
      </c>
      <c r="D91" s="83" t="n">
        <v>0.0</v>
      </c>
      <c r="E91" s="83">
        <f si="4" t="shared"/>
        <v>0</v>
      </c>
      <c r="G91">
        <v>80</v>
      </c>
      <c r="H91" s="83" t="n">
        <v>0.0</v>
      </c>
      <c r="I91" s="83" t="n">
        <v>0.0</v>
      </c>
      <c r="J91" s="83" t="n">
        <v>0.0</v>
      </c>
      <c r="K91" s="83">
        <f si="5" t="shared"/>
        <v>0</v>
      </c>
    </row>
    <row r="92" spans="1:11" x14ac:dyDescent="0.25">
      <c r="A92">
        <v>81</v>
      </c>
      <c r="B92" s="83" t="n">
        <v>0.0</v>
      </c>
      <c r="C92" s="83" t="n">
        <v>0.0</v>
      </c>
      <c r="D92" s="83" t="n">
        <v>0.0</v>
      </c>
      <c r="E92" s="83">
        <f si="4" t="shared"/>
        <v>0</v>
      </c>
      <c r="G92">
        <v>81</v>
      </c>
      <c r="H92" s="83" t="n">
        <v>0.0</v>
      </c>
      <c r="I92" s="83" t="n">
        <v>0.0</v>
      </c>
      <c r="J92" s="85" t="n">
        <v>0.0</v>
      </c>
      <c r="K92" s="83">
        <f si="5" t="shared"/>
        <v>0</v>
      </c>
    </row>
    <row r="93" spans="1:11" x14ac:dyDescent="0.25">
      <c r="A93">
        <v>82</v>
      </c>
      <c r="B93" s="83" t="n">
        <v>0.0</v>
      </c>
      <c r="C93" s="83" t="n">
        <v>0.0</v>
      </c>
      <c r="D93" s="83" t="n">
        <v>0.0</v>
      </c>
      <c r="E93" s="83">
        <f si="4" t="shared"/>
        <v>0</v>
      </c>
      <c r="G93">
        <v>82</v>
      </c>
      <c r="H93" s="83" t="n">
        <v>0.0</v>
      </c>
      <c r="I93" s="83" t="n">
        <v>0.0</v>
      </c>
      <c r="J93" s="83" t="n">
        <v>0.0</v>
      </c>
      <c r="K93" s="83">
        <f si="5" t="shared"/>
        <v>0</v>
      </c>
    </row>
    <row r="94" spans="1:11" x14ac:dyDescent="0.25">
      <c r="A94">
        <v>83</v>
      </c>
      <c r="B94" s="83" t="n">
        <v>0.0</v>
      </c>
      <c r="C94" s="83" t="n">
        <v>0.0</v>
      </c>
      <c r="D94" s="83" t="n">
        <v>0.0</v>
      </c>
      <c r="E94" s="83">
        <f si="4" t="shared"/>
        <v>0</v>
      </c>
      <c r="G94">
        <v>83</v>
      </c>
      <c r="H94" s="83" t="n">
        <v>0.0</v>
      </c>
      <c r="I94" s="83" t="n">
        <v>0.0</v>
      </c>
      <c r="J94" s="83" t="n">
        <v>0.0</v>
      </c>
      <c r="K94" s="83">
        <f si="5" t="shared"/>
        <v>0</v>
      </c>
    </row>
    <row r="95" spans="1:11" x14ac:dyDescent="0.25">
      <c r="A95">
        <v>84</v>
      </c>
      <c r="B95" s="83" t="n">
        <v>0.0</v>
      </c>
      <c r="C95" s="83" t="n">
        <v>0.0</v>
      </c>
      <c r="D95" s="83" t="n">
        <v>0.0</v>
      </c>
      <c r="E95" s="83">
        <f si="4" t="shared"/>
        <v>0</v>
      </c>
      <c r="G95">
        <v>84</v>
      </c>
      <c r="H95" s="83" t="n">
        <v>0.0</v>
      </c>
      <c r="I95" s="83" t="n">
        <v>0.0</v>
      </c>
      <c r="J95" s="83" t="n">
        <v>0.0</v>
      </c>
      <c r="K95" s="83">
        <f si="5" t="shared"/>
        <v>0</v>
      </c>
    </row>
    <row r="96" spans="1:11" x14ac:dyDescent="0.25">
      <c r="A96">
        <v>85</v>
      </c>
      <c r="B96" s="83" t="n">
        <v>0.0</v>
      </c>
      <c r="C96" s="83" t="n">
        <v>0.0</v>
      </c>
      <c r="D96" s="83" t="n">
        <v>0.0</v>
      </c>
      <c r="E96" s="83">
        <f si="4" t="shared"/>
        <v>0</v>
      </c>
      <c r="G96">
        <v>85</v>
      </c>
      <c r="H96" s="83" t="n">
        <v>0.0</v>
      </c>
      <c r="I96" s="83" t="n">
        <v>0.0</v>
      </c>
      <c r="J96" s="83" t="n">
        <v>0.0</v>
      </c>
      <c r="K96" s="83">
        <f si="5" t="shared"/>
        <v>0</v>
      </c>
    </row>
    <row r="97" spans="1:12" x14ac:dyDescent="0.25">
      <c r="A97">
        <v>86</v>
      </c>
      <c r="B97" s="83" t="n">
        <v>0.0</v>
      </c>
      <c r="C97" s="83" t="n">
        <v>0.0</v>
      </c>
      <c r="D97" s="83" t="n">
        <v>0.0</v>
      </c>
      <c r="E97" s="83">
        <f si="4" t="shared"/>
        <v>0</v>
      </c>
      <c r="G97">
        <v>86</v>
      </c>
      <c r="H97" s="83" t="n">
        <v>0.0</v>
      </c>
      <c r="I97" s="83" t="n">
        <v>0.0</v>
      </c>
      <c r="J97" s="83" t="n">
        <v>0.0</v>
      </c>
      <c r="K97" s="83">
        <f si="5" t="shared"/>
        <v>0</v>
      </c>
    </row>
    <row r="98" spans="1:12" x14ac:dyDescent="0.25">
      <c r="A98">
        <v>87</v>
      </c>
      <c r="B98" s="83" t="n">
        <v>0.0</v>
      </c>
      <c r="C98" s="83" t="n">
        <v>0.0</v>
      </c>
      <c r="D98" s="83" t="n">
        <v>0.0</v>
      </c>
      <c r="E98" s="83">
        <f si="4" t="shared"/>
        <v>0</v>
      </c>
      <c r="G98">
        <v>87</v>
      </c>
      <c r="H98" s="83" t="n">
        <v>0.0</v>
      </c>
      <c r="I98" s="83" t="n">
        <v>0.0</v>
      </c>
      <c r="J98" s="83" t="n">
        <v>0.0</v>
      </c>
      <c r="K98" s="83">
        <f si="5" t="shared"/>
        <v>0</v>
      </c>
    </row>
    <row r="99" spans="1:12" x14ac:dyDescent="0.25">
      <c r="A99">
        <v>88</v>
      </c>
      <c r="B99" s="83" t="n">
        <v>0.0</v>
      </c>
      <c r="C99" s="83" t="n">
        <v>0.0</v>
      </c>
      <c r="D99" s="83" t="n">
        <v>0.0</v>
      </c>
      <c r="E99" s="83">
        <f si="4" t="shared"/>
        <v>0</v>
      </c>
      <c r="G99">
        <v>88</v>
      </c>
      <c r="H99" s="83" t="n">
        <v>0.0</v>
      </c>
      <c r="I99" s="83" t="n">
        <v>0.0</v>
      </c>
      <c r="J99" s="83" t="n">
        <v>0.0</v>
      </c>
      <c r="K99" s="83">
        <f si="5" t="shared"/>
        <v>0</v>
      </c>
    </row>
    <row r="100" spans="1:12" x14ac:dyDescent="0.25">
      <c r="A100">
        <v>89</v>
      </c>
      <c r="B100" s="83" t="n">
        <v>0.0</v>
      </c>
      <c r="C100" s="83" t="n">
        <v>0.0</v>
      </c>
      <c r="D100" s="83" t="n">
        <v>0.0</v>
      </c>
      <c r="E100" s="83">
        <f si="4" t="shared"/>
        <v>0</v>
      </c>
      <c r="G100">
        <v>89</v>
      </c>
      <c r="H100" s="83" t="n">
        <v>0.0</v>
      </c>
      <c r="I100" s="83" t="n">
        <v>0.0</v>
      </c>
      <c r="J100" s="83" t="n">
        <v>0.0</v>
      </c>
      <c r="K100" s="83">
        <f si="5" t="shared"/>
        <v>0</v>
      </c>
    </row>
    <row ht="15.75" r="101" spans="1:12" thickBot="1" x14ac:dyDescent="0.3">
      <c r="A101" s="1">
        <v>90</v>
      </c>
      <c r="B101" s="84" t="n">
        <v>56177.1072</v>
      </c>
      <c r="C101" s="84" t="n">
        <v>10417.5607</v>
      </c>
      <c r="D101" s="84" t="n">
        <v>42483.8395</v>
      </c>
      <c r="E101" s="84">
        <f si="4" t="shared"/>
        <v>109078.5074</v>
      </c>
      <c r="G101" s="1">
        <v>90</v>
      </c>
      <c r="H101" s="84" t="n">
        <v>22965.932292305723</v>
      </c>
      <c r="I101" s="84" t="n">
        <v>0.0</v>
      </c>
      <c r="J101" s="84" t="n">
        <v>0.0</v>
      </c>
      <c r="K101" s="84">
        <f si="5" t="shared"/>
        <v>21047.425647261214</v>
      </c>
      <c r="L101" s="7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O101"/>
  <sheetViews>
    <sheetView workbookViewId="0">
      <selection activeCell="P12" sqref="P12"/>
    </sheetView>
  </sheetViews>
  <sheetFormatPr defaultRowHeight="15" x14ac:dyDescent="0.25"/>
  <cols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5" x14ac:dyDescent="0.25">
      <c r="A1" t="s">
        <v>0</v>
      </c>
    </row>
    <row r="2" spans="1:15" x14ac:dyDescent="0.25">
      <c r="A2" t="s">
        <v>247</v>
      </c>
    </row>
    <row r="3" spans="1:15" x14ac:dyDescent="0.25">
      <c r="A3" t="s">
        <v>249</v>
      </c>
    </row>
    <row r="4" spans="1:15" x14ac:dyDescent="0.25">
      <c r="A4" t="s">
        <v>6</v>
      </c>
    </row>
    <row r="5" spans="1:15" x14ac:dyDescent="0.25">
      <c r="A5" t="s">
        <v>7</v>
      </c>
    </row>
    <row ht="15.75" r="9" spans="1:15" thickBot="1" x14ac:dyDescent="0.3">
      <c r="A9" s="4" t="s">
        <v>193</v>
      </c>
      <c r="B9" s="1"/>
      <c r="C9" s="1"/>
      <c r="D9" s="1"/>
      <c r="E9" s="1"/>
      <c r="G9" s="4" t="s">
        <v>10</v>
      </c>
      <c r="H9" s="1"/>
      <c r="I9" s="1"/>
      <c r="J9" s="1"/>
      <c r="K9" s="1"/>
      <c r="M9" s="11" t="s">
        <v>36</v>
      </c>
    </row>
    <row r="10" spans="1:15" x14ac:dyDescent="0.25">
      <c r="A10" s="2" t="s">
        <v>13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13</v>
      </c>
      <c r="H10" s="5" t="s">
        <v>41</v>
      </c>
      <c r="I10" s="5" t="s">
        <v>42</v>
      </c>
      <c r="J10" s="5" t="s">
        <v>43</v>
      </c>
      <c r="K10" s="5" t="s">
        <v>252</v>
      </c>
      <c r="M10" s="2"/>
      <c r="N10" s="5" t="s">
        <v>200</v>
      </c>
      <c r="O10" s="5" t="s">
        <v>252</v>
      </c>
    </row>
    <row r="11" spans="1:15" x14ac:dyDescent="0.25">
      <c r="A11">
        <v>0</v>
      </c>
      <c r="B11" s="83" t="n">
        <v>0.0</v>
      </c>
      <c r="C11" s="83" t="n">
        <v>0.0</v>
      </c>
      <c r="D11" s="83" t="n">
        <v>0.0</v>
      </c>
      <c r="E11" s="83">
        <f ref="E11:E42" si="0" t="shared">SUM(B11:D11)</f>
        <v>0</v>
      </c>
      <c r="G11">
        <v>0</v>
      </c>
      <c r="H11" s="83" t="n">
        <v>36185.22795573114</v>
      </c>
      <c r="I11" s="83" t="n">
        <v>8882.812478047543</v>
      </c>
      <c r="J11" s="85" t="n">
        <v>10993.562353289393</v>
      </c>
      <c r="K11" s="83">
        <f ref="K11:K42" si="1" t="shared">SUM(H11:J11)</f>
        <v>54203.662076806329</v>
      </c>
      <c r="M11" t="s">
        <v>41</v>
      </c>
      <c r="N11" s="9" t="n">
        <v>21.087312209213582</v>
      </c>
      <c r="O11" s="9" t="n">
        <v>13.362288394611001</v>
      </c>
    </row>
    <row r="12" spans="1:15" x14ac:dyDescent="0.25">
      <c r="A12">
        <v>1</v>
      </c>
      <c r="B12" s="83" t="n">
        <v>6745.1783000000005</v>
      </c>
      <c r="C12" s="83" t="n">
        <v>0.0</v>
      </c>
      <c r="D12" s="83" t="n">
        <v>0.0</v>
      </c>
      <c r="E12" s="83">
        <f si="0" t="shared"/>
        <v>6745.1783000000005</v>
      </c>
      <c r="G12">
        <v>1</v>
      </c>
      <c r="H12" s="83" t="n">
        <v>20194.821737788934</v>
      </c>
      <c r="I12" s="83" t="n">
        <v>2568.490029170282</v>
      </c>
      <c r="J12" s="85" t="n">
        <v>1042.1334696657589</v>
      </c>
      <c r="K12" s="83">
        <f si="1" t="shared"/>
        <v>21984.841780534949</v>
      </c>
      <c r="M12" t="s">
        <v>42</v>
      </c>
      <c r="N12" s="9" t="n">
        <v>24.505741344918366</v>
      </c>
      <c r="O12" s="9" t="n">
        <v>17.18329719425253</v>
      </c>
    </row>
    <row r="13" spans="1:15" x14ac:dyDescent="0.25">
      <c r="A13">
        <v>2</v>
      </c>
      <c r="B13" s="83" t="n">
        <v>6033.2903</v>
      </c>
      <c r="C13" s="83" t="n">
        <v>0.0</v>
      </c>
      <c r="D13" s="83" t="n">
        <v>0.0</v>
      </c>
      <c r="E13" s="83">
        <f si="0" t="shared"/>
        <v>6033.2902999999997</v>
      </c>
      <c r="G13">
        <v>2</v>
      </c>
      <c r="H13" s="83" t="n">
        <v>25657.41209626975</v>
      </c>
      <c r="I13" s="83" t="n">
        <v>3298.6695344300188</v>
      </c>
      <c r="J13" s="85" t="n">
        <v>1872.5920544148876</v>
      </c>
      <c r="K13" s="83">
        <f si="1" t="shared"/>
        <v>29178.083043148399</v>
      </c>
      <c r="M13" s="6" t="s">
        <v>43</v>
      </c>
      <c r="N13" s="18" t="n">
        <v>25.487335023638565</v>
      </c>
      <c r="O13" s="18" t="n">
        <v>20.937595504484367</v>
      </c>
    </row>
    <row ht="15.75" r="14" spans="1:15" thickBot="1" x14ac:dyDescent="0.3">
      <c r="A14">
        <v>3</v>
      </c>
      <c r="B14" s="83" t="n">
        <v>7285.3036</v>
      </c>
      <c r="C14" s="83" t="n">
        <v>827.7403</v>
      </c>
      <c r="D14" s="83" t="n">
        <v>112.982</v>
      </c>
      <c r="E14" s="83">
        <f si="0" t="shared"/>
        <v>8226.0259000000005</v>
      </c>
      <c r="G14">
        <v>3</v>
      </c>
      <c r="H14" s="83" t="n">
        <v>27485.17531029032</v>
      </c>
      <c r="I14" s="83" t="n">
        <v>3766.477181516431</v>
      </c>
      <c r="J14" s="85" t="n">
        <v>2352.81794352254</v>
      </c>
      <c r="K14" s="83">
        <f si="1" t="shared"/>
        <v>31362.092487504789</v>
      </c>
      <c r="M14" s="1" t="s">
        <v>3</v>
      </c>
      <c r="N14" s="19" t="n">
        <v>21.973485253303615</v>
      </c>
      <c r="O14" s="19" t="n">
        <v>15.424471720335546</v>
      </c>
    </row>
    <row r="15" spans="1:15" x14ac:dyDescent="0.25">
      <c r="A15">
        <v>4</v>
      </c>
      <c r="B15" s="83" t="n">
        <v>10392.5259</v>
      </c>
      <c r="C15" s="83" t="n">
        <v>728.3605</v>
      </c>
      <c r="D15" s="83" t="n">
        <v>12.928</v>
      </c>
      <c r="E15" s="83">
        <f si="0" t="shared"/>
        <v>11133.814400000001</v>
      </c>
      <c r="G15">
        <v>4</v>
      </c>
      <c r="H15" s="83" t="n">
        <v>27201.7460238449</v>
      </c>
      <c r="I15" s="83" t="n">
        <v>3856.4016690851126</v>
      </c>
      <c r="J15" s="85" t="n">
        <v>2705.2361132926585</v>
      </c>
      <c r="K15" s="83">
        <f si="1" t="shared"/>
        <v>33002.553559172287</v>
      </c>
    </row>
    <row r="16" spans="1:15" x14ac:dyDescent="0.25">
      <c r="A16">
        <v>5</v>
      </c>
      <c r="B16" s="83" t="n">
        <v>5646.9799</v>
      </c>
      <c r="C16" s="83" t="n">
        <v>329.5046</v>
      </c>
      <c r="D16" s="83" t="n">
        <v>7452.6958</v>
      </c>
      <c r="E16" s="83">
        <f si="0" t="shared"/>
        <v>13429.1803</v>
      </c>
      <c r="G16">
        <v>5</v>
      </c>
      <c r="H16" s="83" t="n">
        <v>25672.24760950828</v>
      </c>
      <c r="I16" s="83" t="n">
        <v>3836.900021754432</v>
      </c>
      <c r="J16" s="85" t="n">
        <v>3223.776458338445</v>
      </c>
      <c r="K16" s="83">
        <f si="1" t="shared"/>
        <v>32058.61705036955</v>
      </c>
    </row>
    <row r="17" spans="1:11" x14ac:dyDescent="0.25">
      <c r="A17">
        <v>6</v>
      </c>
      <c r="B17" s="83" t="n">
        <v>5830.5565</v>
      </c>
      <c r="C17" s="83" t="n">
        <v>1405.8463</v>
      </c>
      <c r="D17" s="83" t="n">
        <v>224.76899999999998</v>
      </c>
      <c r="E17" s="83">
        <f si="0" t="shared"/>
        <v>7461.1718000000001</v>
      </c>
      <c r="G17">
        <v>6</v>
      </c>
      <c r="H17" s="83" t="n">
        <v>23531.47412864701</v>
      </c>
      <c r="I17" s="83" t="n">
        <v>3672.221681855814</v>
      </c>
      <c r="J17" s="85" t="n">
        <v>3782.741034853487</v>
      </c>
      <c r="K17" s="83">
        <f si="1" t="shared"/>
        <v>29460.426345592667</v>
      </c>
    </row>
    <row r="18" spans="1:11" x14ac:dyDescent="0.25">
      <c r="A18">
        <v>7</v>
      </c>
      <c r="B18" s="83" t="n">
        <v>9951.9981</v>
      </c>
      <c r="C18" s="83" t="n">
        <v>795.16</v>
      </c>
      <c r="D18" s="83" t="n">
        <v>215.69199999999998</v>
      </c>
      <c r="E18" s="83">
        <f si="0" t="shared"/>
        <v>10962.8501</v>
      </c>
      <c r="G18">
        <v>7</v>
      </c>
      <c r="H18" s="83" t="n">
        <v>21165.2218577901</v>
      </c>
      <c r="I18" s="83" t="n">
        <v>3517.019758073033</v>
      </c>
      <c r="J18" s="85" t="n">
        <v>2956.7459992320223</v>
      </c>
      <c r="K18" s="83">
        <f si="1" t="shared"/>
        <v>26240.363054229252</v>
      </c>
    </row>
    <row r="19" spans="1:11" x14ac:dyDescent="0.25">
      <c r="A19">
        <v>8</v>
      </c>
      <c r="B19" s="83" t="n">
        <v>2651.7325</v>
      </c>
      <c r="C19" s="83" t="n">
        <v>0.0</v>
      </c>
      <c r="D19" s="83" t="n">
        <v>766.789</v>
      </c>
      <c r="E19" s="83">
        <f si="0" t="shared"/>
        <v>3418.5214999999998</v>
      </c>
      <c r="G19">
        <v>8</v>
      </c>
      <c r="H19" s="83" t="n">
        <v>18089.988637929575</v>
      </c>
      <c r="I19" s="83" t="n">
        <v>3114.774128832907</v>
      </c>
      <c r="J19" s="85" t="n">
        <v>2768.773038964056</v>
      </c>
      <c r="K19" s="83">
        <f si="1" t="shared"/>
        <v>22379.177803837672</v>
      </c>
    </row>
    <row r="20" spans="1:11" x14ac:dyDescent="0.25">
      <c r="A20">
        <v>9</v>
      </c>
      <c r="B20" s="83" t="n">
        <v>10667.088099999999</v>
      </c>
      <c r="C20" s="83" t="n">
        <v>1134.9396</v>
      </c>
      <c r="D20" s="83" t="n">
        <v>80.25569999999999</v>
      </c>
      <c r="E20" s="83">
        <f si="0" t="shared"/>
        <v>11882.283399999998</v>
      </c>
      <c r="G20">
        <v>9</v>
      </c>
      <c r="H20" s="83" t="n">
        <v>15895.300579436858</v>
      </c>
      <c r="I20" s="83" t="n">
        <v>2958.562510727525</v>
      </c>
      <c r="J20" s="85" t="n">
        <v>2459.9079290298946</v>
      </c>
      <c r="K20" s="83">
        <f si="1" t="shared"/>
        <v>20655.027206350711</v>
      </c>
    </row>
    <row r="21" spans="1:11" x14ac:dyDescent="0.25">
      <c r="A21">
        <v>10</v>
      </c>
      <c r="B21" s="83" t="n">
        <v>4602.3874000000005</v>
      </c>
      <c r="C21" s="83" t="n">
        <v>541.9792</v>
      </c>
      <c r="D21" s="83" t="n">
        <v>0.0</v>
      </c>
      <c r="E21" s="83">
        <f si="0" t="shared"/>
        <v>5144.3666000000003</v>
      </c>
      <c r="G21">
        <v>10</v>
      </c>
      <c r="H21" s="83" t="n">
        <v>13037.480776184382</v>
      </c>
      <c r="I21" s="83" t="n">
        <v>2524.602461121218</v>
      </c>
      <c r="J21" s="85" t="n">
        <v>2479.8100494944606</v>
      </c>
      <c r="K21" s="83">
        <f si="1" t="shared"/>
        <v>17183.004151702295</v>
      </c>
    </row>
    <row r="22" spans="1:11" x14ac:dyDescent="0.25">
      <c r="A22">
        <v>11</v>
      </c>
      <c r="B22" s="83" t="n">
        <v>8116.9631</v>
      </c>
      <c r="C22" s="83" t="n">
        <v>1022.1395</v>
      </c>
      <c r="D22" s="83" t="n">
        <v>445.9176</v>
      </c>
      <c r="E22" s="83">
        <f si="0" t="shared"/>
        <v>9585.0202000000008</v>
      </c>
      <c r="G22">
        <v>11</v>
      </c>
      <c r="H22" s="83" t="n">
        <v>11162.351977798253</v>
      </c>
      <c r="I22" s="83" t="n">
        <v>2356.0425390134355</v>
      </c>
      <c r="J22" s="85" t="n">
        <v>1894.6195310433045</v>
      </c>
      <c r="K22" s="83">
        <f si="1" t="shared"/>
        <v>14143.307734248734</v>
      </c>
    </row>
    <row r="23" spans="1:11" x14ac:dyDescent="0.25">
      <c r="A23">
        <v>12</v>
      </c>
      <c r="B23" s="83" t="n">
        <v>20061.9584</v>
      </c>
      <c r="C23" s="83" t="n">
        <v>2444.9375999999997</v>
      </c>
      <c r="D23" s="83" t="n">
        <v>253.2591</v>
      </c>
      <c r="E23" s="83">
        <f si="0" t="shared"/>
        <v>22760.1551</v>
      </c>
      <c r="G23">
        <v>12</v>
      </c>
      <c r="H23" s="83" t="n">
        <v>9807.9368801178</v>
      </c>
      <c r="I23" s="83" t="n">
        <v>2187.551391217827</v>
      </c>
      <c r="J23" s="85" t="n">
        <v>2104.8865001543913</v>
      </c>
      <c r="K23" s="83">
        <f si="1" t="shared"/>
        <v>13245.47509417135</v>
      </c>
    </row>
    <row r="24" spans="1:11" x14ac:dyDescent="0.25">
      <c r="A24">
        <v>13</v>
      </c>
      <c r="B24" s="83" t="n">
        <v>7538.7794</v>
      </c>
      <c r="C24" s="83" t="n">
        <v>241.2413</v>
      </c>
      <c r="D24" s="83" t="n">
        <v>924.3569</v>
      </c>
      <c r="E24" s="83">
        <f si="0" t="shared"/>
        <v>8704.3775999999998</v>
      </c>
      <c r="G24">
        <v>13</v>
      </c>
      <c r="H24" s="83" t="n">
        <v>8055.235914296465</v>
      </c>
      <c r="I24" s="83" t="n">
        <v>1715.7781105681524</v>
      </c>
      <c r="J24" s="85" t="n">
        <v>1252.7496707328316</v>
      </c>
      <c r="K24" s="83">
        <f si="1" t="shared"/>
        <v>10155.769801408083</v>
      </c>
    </row>
    <row r="25" spans="1:11" x14ac:dyDescent="0.25">
      <c r="A25">
        <v>14</v>
      </c>
      <c r="B25" s="83" t="n">
        <v>11279.2145</v>
      </c>
      <c r="C25" s="83" t="n">
        <v>834.1784</v>
      </c>
      <c r="D25" s="83" t="n">
        <v>1634.7037</v>
      </c>
      <c r="E25" s="83">
        <f si="0" t="shared"/>
        <v>13748.096600000001</v>
      </c>
      <c r="G25">
        <v>14</v>
      </c>
      <c r="H25" s="83" t="n">
        <v>6924.944483134392</v>
      </c>
      <c r="I25" s="83" t="n">
        <v>1689.1633061603857</v>
      </c>
      <c r="J25" s="85" t="n">
        <v>1309.8490900205718</v>
      </c>
      <c r="K25" s="83">
        <f si="1" t="shared"/>
        <v>9049.5077063565805</v>
      </c>
    </row>
    <row r="26" spans="1:11" x14ac:dyDescent="0.25">
      <c r="A26">
        <v>15</v>
      </c>
      <c r="B26" s="83" t="n">
        <v>1343.0692</v>
      </c>
      <c r="C26" s="83" t="n">
        <v>0.0</v>
      </c>
      <c r="D26" s="83" t="n">
        <v>196.95</v>
      </c>
      <c r="E26" s="83">
        <f si="0" t="shared"/>
        <v>1540.0192</v>
      </c>
      <c r="G26">
        <v>15</v>
      </c>
      <c r="H26" s="83" t="n">
        <v>6667.000112431127</v>
      </c>
      <c r="I26" s="83" t="n">
        <v>1494.4875915445696</v>
      </c>
      <c r="J26" s="85" t="n">
        <v>923.8030485116234</v>
      </c>
      <c r="K26" s="83">
        <f si="1" t="shared"/>
        <v>8777.7664728540894</v>
      </c>
    </row>
    <row r="27" spans="1:11" x14ac:dyDescent="0.25">
      <c r="A27">
        <v>16</v>
      </c>
      <c r="B27" s="83" t="n">
        <v>25742.3075</v>
      </c>
      <c r="C27" s="83" t="n">
        <v>2312.2284</v>
      </c>
      <c r="D27" s="83" t="n">
        <v>1590.6269</v>
      </c>
      <c r="E27" s="83">
        <f si="0" t="shared"/>
        <v>29645.162799999998</v>
      </c>
      <c r="G27">
        <v>16</v>
      </c>
      <c r="H27" s="83" t="n">
        <v>5785.383859992166</v>
      </c>
      <c r="I27" s="83" t="n">
        <v>1345.9015017593024</v>
      </c>
      <c r="J27" s="85" t="n">
        <v>794.9619699086677</v>
      </c>
      <c r="K27" s="83">
        <f si="1" t="shared"/>
        <v>7249.6522427960608</v>
      </c>
    </row>
    <row r="28" spans="1:11" x14ac:dyDescent="0.25">
      <c r="A28">
        <v>17</v>
      </c>
      <c r="B28" s="83" t="n">
        <v>11071.6979</v>
      </c>
      <c r="C28" s="83" t="n">
        <v>666.9232</v>
      </c>
      <c r="D28" s="83" t="n">
        <v>0.0</v>
      </c>
      <c r="E28" s="83">
        <f si="0" t="shared"/>
        <v>11738.621099999998</v>
      </c>
      <c r="G28">
        <v>17</v>
      </c>
      <c r="H28" s="83" t="n">
        <v>5034.763479042027</v>
      </c>
      <c r="I28" s="83" t="n">
        <v>1507.3371947532783</v>
      </c>
      <c r="J28" s="85" t="n">
        <v>1748.4484450077198</v>
      </c>
      <c r="K28" s="83">
        <f si="1" t="shared"/>
        <v>7678.0417173733467</v>
      </c>
    </row>
    <row r="29" spans="1:11" x14ac:dyDescent="0.25">
      <c r="A29">
        <v>18</v>
      </c>
      <c r="B29" s="83" t="n">
        <v>37230.7892</v>
      </c>
      <c r="C29" s="83" t="n">
        <v>5722.6717</v>
      </c>
      <c r="D29" s="83" t="n">
        <v>5352.9331999999995</v>
      </c>
      <c r="E29" s="83">
        <f si="0" t="shared"/>
        <v>48306.394099999998</v>
      </c>
      <c r="G29">
        <v>18</v>
      </c>
      <c r="H29" s="83" t="n">
        <v>68263.50968414679</v>
      </c>
      <c r="I29" s="83" t="n">
        <v>16938.5879051913</v>
      </c>
      <c r="J29" s="85" t="n">
        <v>13586.471620728891</v>
      </c>
      <c r="K29" s="83">
        <f si="1" t="shared"/>
        <v>94195.585955309129</v>
      </c>
    </row>
    <row r="30" spans="1:11" x14ac:dyDescent="0.25">
      <c r="A30">
        <v>19</v>
      </c>
      <c r="B30" s="83" t="n">
        <v>19208.2896</v>
      </c>
      <c r="C30" s="83" t="n">
        <v>5036.694</v>
      </c>
      <c r="D30" s="83" t="n">
        <v>4783.6118</v>
      </c>
      <c r="E30" s="83">
        <f si="0" t="shared"/>
        <v>29028.595399999998</v>
      </c>
      <c r="G30">
        <v>19</v>
      </c>
      <c r="H30" s="83" t="n">
        <v>14422.967336345742</v>
      </c>
      <c r="I30" s="83" t="n">
        <v>4240.201575820219</v>
      </c>
      <c r="J30" s="85" t="n">
        <v>6011.61294032397</v>
      </c>
      <c r="K30" s="83">
        <f si="1" t="shared"/>
        <v>23228.933675264801</v>
      </c>
    </row>
    <row r="31" spans="1:11" x14ac:dyDescent="0.25">
      <c r="A31">
        <v>20</v>
      </c>
      <c r="B31" s="83" t="n">
        <v>41266.0244</v>
      </c>
      <c r="C31" s="83" t="n">
        <v>2008.2398</v>
      </c>
      <c r="D31" s="83" t="n">
        <v>3383.5687</v>
      </c>
      <c r="E31" s="83">
        <f si="0" t="shared"/>
        <v>46657.832900000009</v>
      </c>
      <c r="G31">
        <v>20</v>
      </c>
      <c r="H31" s="83" t="n">
        <v>10113.69068641477</v>
      </c>
      <c r="I31" s="83" t="n">
        <v>3389.618004039656</v>
      </c>
      <c r="J31" s="85" t="n">
        <v>4395.488419870255</v>
      </c>
      <c r="K31" s="83">
        <f si="1" t="shared"/>
        <v>18499.787507477311</v>
      </c>
    </row>
    <row r="32" spans="1:11" x14ac:dyDescent="0.25">
      <c r="A32">
        <v>21</v>
      </c>
      <c r="B32" s="83" t="n">
        <v>20348.6981</v>
      </c>
      <c r="C32" s="83" t="n">
        <v>3177.5144</v>
      </c>
      <c r="D32" s="83" t="n">
        <v>3402.5726</v>
      </c>
      <c r="E32" s="83">
        <f si="0" t="shared"/>
        <v>26928.785100000001</v>
      </c>
      <c r="G32">
        <v>21</v>
      </c>
      <c r="H32" s="83" t="n">
        <v>15767.768068366846</v>
      </c>
      <c r="I32" s="83" t="n">
        <v>5756.293862782622</v>
      </c>
      <c r="J32" s="85" t="n">
        <v>8872.860259652965</v>
      </c>
      <c r="K32" s="83">
        <f si="1" t="shared"/>
        <v>28771.962660419729</v>
      </c>
    </row>
    <row r="33" spans="1:11" x14ac:dyDescent="0.25">
      <c r="A33">
        <v>22</v>
      </c>
      <c r="B33" s="83" t="n">
        <v>21622.0733</v>
      </c>
      <c r="C33" s="83" t="n">
        <v>2015.7887</v>
      </c>
      <c r="D33" s="83" t="n">
        <v>4173.3805</v>
      </c>
      <c r="E33" s="83">
        <f si="0" t="shared"/>
        <v>27811.2425</v>
      </c>
      <c r="G33">
        <v>22</v>
      </c>
      <c r="H33" s="83" t="n">
        <v>18955.8463815038</v>
      </c>
      <c r="I33" s="83" t="n">
        <v>6803.362208135602</v>
      </c>
      <c r="J33" s="85" t="n">
        <v>7132.894741058236</v>
      </c>
      <c r="K33" s="83">
        <f si="1" t="shared"/>
        <v>32326.518646658336</v>
      </c>
    </row>
    <row r="34" spans="1:11" x14ac:dyDescent="0.25">
      <c r="A34">
        <v>23</v>
      </c>
      <c r="B34" s="83" t="n">
        <v>3476.5962</v>
      </c>
      <c r="C34" s="83" t="n">
        <v>87.1083</v>
      </c>
      <c r="D34" s="83" t="n">
        <v>2692.1727</v>
      </c>
      <c r="E34" s="83">
        <f si="0" t="shared"/>
        <v>6255.8771999999999</v>
      </c>
      <c r="G34">
        <v>23</v>
      </c>
      <c r="H34" s="83" t="n">
        <v>15566.124300388403</v>
      </c>
      <c r="I34" s="83" t="n">
        <v>4536.869942213739</v>
      </c>
      <c r="J34" s="85" t="n">
        <v>5707.287479343052</v>
      </c>
      <c r="K34" s="83">
        <f si="1" t="shared"/>
        <v>21492.904137785554</v>
      </c>
    </row>
    <row r="35" spans="1:11" x14ac:dyDescent="0.25">
      <c r="A35">
        <v>24</v>
      </c>
      <c r="B35" s="83" t="n">
        <v>14231.0566</v>
      </c>
      <c r="C35" s="83" t="n">
        <v>5333.9229000000005</v>
      </c>
      <c r="D35" s="83" t="n">
        <v>1554.6602</v>
      </c>
      <c r="E35" s="83">
        <f si="0" t="shared"/>
        <v>21119.6397</v>
      </c>
      <c r="G35">
        <v>24</v>
      </c>
      <c r="H35" s="83" t="n">
        <v>11464.16801928419</v>
      </c>
      <c r="I35" s="83" t="n">
        <v>4397.912758833041</v>
      </c>
      <c r="J35" s="85" t="n">
        <v>8787.2252086595</v>
      </c>
      <c r="K35" s="83">
        <f si="1" t="shared"/>
        <v>22157.779250714368</v>
      </c>
    </row>
    <row r="36" spans="1:11" x14ac:dyDescent="0.25">
      <c r="A36">
        <v>25</v>
      </c>
      <c r="B36" s="83" t="n">
        <v>14298.2394</v>
      </c>
      <c r="C36" s="83" t="n">
        <v>294.7741</v>
      </c>
      <c r="D36" s="83" t="n">
        <v>1148.9579</v>
      </c>
      <c r="E36" s="83">
        <f si="0" t="shared"/>
        <v>15741.9714</v>
      </c>
      <c r="G36">
        <v>25</v>
      </c>
      <c r="H36" s="83" t="n">
        <v>6811.068929169557</v>
      </c>
      <c r="I36" s="83" t="n">
        <v>2439.025322234897</v>
      </c>
      <c r="J36" s="85" t="n">
        <v>3557.7214258309314</v>
      </c>
      <c r="K36" s="83">
        <f si="1" t="shared"/>
        <v>13770.173090018208</v>
      </c>
    </row>
    <row r="37" spans="1:11" x14ac:dyDescent="0.25">
      <c r="A37">
        <v>26</v>
      </c>
      <c r="B37" s="83" t="n">
        <v>33839.3131</v>
      </c>
      <c r="C37" s="83" t="n">
        <v>7174.651</v>
      </c>
      <c r="D37" s="83" t="n">
        <v>887.428</v>
      </c>
      <c r="E37" s="83">
        <f si="0" t="shared"/>
        <v>41901.392099999997</v>
      </c>
      <c r="G37">
        <v>26</v>
      </c>
      <c r="H37" s="83" t="n">
        <v>9498.865049270973</v>
      </c>
      <c r="I37" s="83" t="n">
        <v>3701.616543329089</v>
      </c>
      <c r="J37" s="85" t="n">
        <v>9284.72897952511</v>
      </c>
      <c r="K37" s="83">
        <f si="1" t="shared"/>
        <v>22218.867830053314</v>
      </c>
    </row>
    <row r="38" spans="1:11" x14ac:dyDescent="0.25">
      <c r="A38">
        <v>27</v>
      </c>
      <c r="B38" s="83" t="n">
        <v>3780.4168</v>
      </c>
      <c r="C38" s="83" t="n">
        <v>2004.8523</v>
      </c>
      <c r="D38" s="83" t="n">
        <v>451.7598</v>
      </c>
      <c r="E38" s="83">
        <f si="0" t="shared"/>
        <v>6237.0288999999993</v>
      </c>
      <c r="G38">
        <v>27</v>
      </c>
      <c r="H38" s="83" t="n">
        <v>7545.5865826920235</v>
      </c>
      <c r="I38" s="83" t="n">
        <v>2928.381254762193</v>
      </c>
      <c r="J38" s="85" t="n">
        <v>6830.453618367214</v>
      </c>
      <c r="K38" s="83">
        <f si="1" t="shared"/>
        <v>15686.537692539519</v>
      </c>
    </row>
    <row r="39" spans="1:11" x14ac:dyDescent="0.25">
      <c r="A39">
        <v>28</v>
      </c>
      <c r="B39" s="83" t="n">
        <v>11328.2202</v>
      </c>
      <c r="C39" s="83" t="n">
        <v>1681.9155</v>
      </c>
      <c r="D39" s="83" t="n">
        <v>1986.3262</v>
      </c>
      <c r="E39" s="83">
        <f si="0" t="shared"/>
        <v>14996.461899999998</v>
      </c>
      <c r="G39">
        <v>28</v>
      </c>
      <c r="H39" s="83" t="n">
        <v>4195.679923129118</v>
      </c>
      <c r="I39" s="83" t="n">
        <v>1700.7001204660487</v>
      </c>
      <c r="J39" s="85" t="n">
        <v>3704.9851016640014</v>
      </c>
      <c r="K39" s="83">
        <f si="1" t="shared"/>
        <v>10665.489326759103</v>
      </c>
    </row>
    <row r="40" spans="1:11" x14ac:dyDescent="0.25">
      <c r="A40">
        <v>29</v>
      </c>
      <c r="B40" s="83" t="n">
        <v>4032.5270000000005</v>
      </c>
      <c r="C40" s="83" t="n">
        <v>2926.6144000000004</v>
      </c>
      <c r="D40" s="83" t="n">
        <v>1539.4123</v>
      </c>
      <c r="E40" s="83">
        <f si="0" t="shared"/>
        <v>8498.5537000000004</v>
      </c>
      <c r="G40">
        <v>29</v>
      </c>
      <c r="H40" s="83" t="n">
        <v>4087.943294991243</v>
      </c>
      <c r="I40" s="83" t="n">
        <v>1858.5680005695283</v>
      </c>
      <c r="J40" s="85" t="n">
        <v>2568.105741589193</v>
      </c>
      <c r="K40" s="83">
        <f si="1" t="shared"/>
        <v>10299.558840296584</v>
      </c>
    </row>
    <row r="41" spans="1:11" x14ac:dyDescent="0.25">
      <c r="A41">
        <v>30</v>
      </c>
      <c r="B41" s="83" t="n">
        <v>14496.886</v>
      </c>
      <c r="C41" s="83" t="n">
        <v>3870.1862</v>
      </c>
      <c r="D41" s="83" t="n">
        <v>1444.3077</v>
      </c>
      <c r="E41" s="83">
        <f si="0" t="shared"/>
        <v>19811.379900000004</v>
      </c>
      <c r="G41">
        <v>30</v>
      </c>
      <c r="H41" s="83" t="n">
        <v>2567.906842550463</v>
      </c>
      <c r="I41" s="83" t="n">
        <v>1298.4556758771412</v>
      </c>
      <c r="J41" s="85" t="n">
        <v>2480.3023130502393</v>
      </c>
      <c r="K41" s="83">
        <f si="1" t="shared"/>
        <v>6693.145993110953</v>
      </c>
    </row>
    <row r="42" spans="1:11" x14ac:dyDescent="0.25">
      <c r="A42">
        <v>31</v>
      </c>
      <c r="B42" s="83" t="n">
        <v>4371.8631</v>
      </c>
      <c r="C42" s="83" t="n">
        <v>2765.5991</v>
      </c>
      <c r="D42" s="83" t="n">
        <v>1153.2854</v>
      </c>
      <c r="E42" s="83">
        <f si="0" t="shared"/>
        <v>8290.7476000000006</v>
      </c>
      <c r="G42">
        <v>31</v>
      </c>
      <c r="H42" s="83" t="n">
        <v>8670.323410158519</v>
      </c>
      <c r="I42" s="83" t="n">
        <v>2863.630648742424</v>
      </c>
      <c r="J42" s="85" t="n">
        <v>2961.338822693809</v>
      </c>
      <c r="K42" s="83">
        <f si="1" t="shared"/>
        <v>8749.900334260672</v>
      </c>
    </row>
    <row r="43" spans="1:11" x14ac:dyDescent="0.25">
      <c r="A43">
        <v>32</v>
      </c>
      <c r="B43" s="83" t="n">
        <v>4797.0135</v>
      </c>
      <c r="C43" s="83" t="n">
        <v>679.5339</v>
      </c>
      <c r="D43" s="83" t="n">
        <v>193.3778</v>
      </c>
      <c r="E43" s="83">
        <f ref="E43:E74" si="2" t="shared">SUM(B43:D43)</f>
        <v>5669.9252000000006</v>
      </c>
      <c r="G43">
        <v>32</v>
      </c>
      <c r="H43" s="83" t="n">
        <v>2160.254639906966</v>
      </c>
      <c r="I43" s="83" t="n">
        <v>1068.9676413063635</v>
      </c>
      <c r="J43" s="85" t="n">
        <v>2586.1094308690654</v>
      </c>
      <c r="K43" s="83">
        <f ref="K43:K74" si="3" t="shared">SUM(H43:J43)</f>
        <v>6605.1816009802969</v>
      </c>
    </row>
    <row r="44" spans="1:11" x14ac:dyDescent="0.25">
      <c r="A44">
        <v>33</v>
      </c>
      <c r="B44" s="83" t="n">
        <v>3526.8323</v>
      </c>
      <c r="C44" s="83" t="n">
        <v>0.0</v>
      </c>
      <c r="D44" s="83" t="n">
        <v>2470.4291</v>
      </c>
      <c r="E44" s="83">
        <f si="2" t="shared"/>
        <v>5997.2613999999994</v>
      </c>
      <c r="G44">
        <v>33</v>
      </c>
      <c r="H44" s="83" t="n">
        <v>3077.312074686392</v>
      </c>
      <c r="I44" s="83" t="n">
        <v>1148.1235051301312</v>
      </c>
      <c r="J44" s="85" t="n">
        <v>3227.416847067133</v>
      </c>
      <c r="K44" s="83">
        <f si="3" t="shared"/>
        <v>13261.835680925826</v>
      </c>
    </row>
    <row r="45" spans="1:11" x14ac:dyDescent="0.25">
      <c r="A45">
        <v>34</v>
      </c>
      <c r="B45" s="83" t="n">
        <v>12890.1114</v>
      </c>
      <c r="C45" s="83" t="n">
        <v>645.0735999999999</v>
      </c>
      <c r="D45" s="83" t="n">
        <v>1201.6505</v>
      </c>
      <c r="E45" s="83">
        <f si="2" t="shared"/>
        <v>14736.835499999999</v>
      </c>
      <c r="G45">
        <v>34</v>
      </c>
      <c r="H45" s="83" t="n">
        <v>1908.3512878771314</v>
      </c>
      <c r="I45" s="83" t="n">
        <v>990.1358613722451</v>
      </c>
      <c r="J45" s="85" t="n">
        <v>2726.5567879742284</v>
      </c>
      <c r="K45" s="83">
        <f si="3" t="shared"/>
        <v>3390.8831619083348</v>
      </c>
    </row>
    <row r="46" spans="1:11" x14ac:dyDescent="0.25">
      <c r="A46">
        <v>35</v>
      </c>
      <c r="B46" s="83" t="n">
        <v>0.0</v>
      </c>
      <c r="C46" s="83" t="n">
        <v>438.0688</v>
      </c>
      <c r="D46" s="83" t="n">
        <v>388.3709</v>
      </c>
      <c r="E46" s="83">
        <f si="2" t="shared"/>
        <v>826.43970000000002</v>
      </c>
      <c r="G46">
        <v>35</v>
      </c>
      <c r="H46" s="83" t="n">
        <v>1962.3956432515042</v>
      </c>
      <c r="I46" s="83" t="n">
        <v>822.6157441106499</v>
      </c>
      <c r="J46" s="85" t="n">
        <v>1289.8365634520947</v>
      </c>
      <c r="K46" s="83">
        <f si="3" t="shared"/>
        <v>6693.3467084075101</v>
      </c>
    </row>
    <row r="47" spans="1:11" x14ac:dyDescent="0.25">
      <c r="A47">
        <v>36</v>
      </c>
      <c r="B47" s="83" t="n">
        <v>264.5087</v>
      </c>
      <c r="C47" s="83" t="n">
        <v>0.0</v>
      </c>
      <c r="D47" s="83" t="n">
        <v>1345.1968</v>
      </c>
      <c r="E47" s="83">
        <f si="2" t="shared"/>
        <v>1609.7055</v>
      </c>
      <c r="G47">
        <v>36</v>
      </c>
      <c r="H47" s="83" t="n">
        <v>2121.6617189140457</v>
      </c>
      <c r="I47" s="83" t="n">
        <v>791.8433205343686</v>
      </c>
      <c r="J47" s="85" t="n">
        <v>1489.5519906239522</v>
      </c>
      <c r="K47" s="83">
        <f si="3" t="shared"/>
        <v>3293.3586695914646</v>
      </c>
    </row>
    <row r="48" spans="1:11" x14ac:dyDescent="0.25">
      <c r="A48">
        <v>37</v>
      </c>
      <c r="B48" s="83" t="n">
        <v>4936.4268</v>
      </c>
      <c r="C48" s="83" t="n">
        <v>1379.2523</v>
      </c>
      <c r="D48" s="83" t="n">
        <v>327.4027</v>
      </c>
      <c r="E48" s="83">
        <f si="2" t="shared"/>
        <v>6643.0817999999999</v>
      </c>
      <c r="G48">
        <v>37</v>
      </c>
      <c r="H48" s="83" t="n">
        <v>1621.1117194671024</v>
      </c>
      <c r="I48" s="83" t="n">
        <v>917.789319704157</v>
      </c>
      <c r="J48" s="85" t="n">
        <v>846.8951352966301</v>
      </c>
      <c r="K48" s="83">
        <f si="3" t="shared"/>
        <v>3966.184815905372</v>
      </c>
    </row>
    <row r="49" spans="1:11" x14ac:dyDescent="0.25">
      <c r="A49">
        <v>38</v>
      </c>
      <c r="B49" s="83" t="n">
        <v>3535.002</v>
      </c>
      <c r="C49" s="83" t="n">
        <v>1625.885</v>
      </c>
      <c r="D49" s="83" t="n">
        <v>953.4077</v>
      </c>
      <c r="E49" s="83">
        <f si="2" t="shared"/>
        <v>6114.2946999999995</v>
      </c>
      <c r="G49">
        <v>38</v>
      </c>
      <c r="H49" s="83" t="n">
        <v>479.9163695991364</v>
      </c>
      <c r="I49" s="83" t="n">
        <v>430.10202382052745</v>
      </c>
      <c r="J49" s="85" t="n">
        <v>1048.169689023941</v>
      </c>
      <c r="K49" s="83">
        <f si="3" t="shared"/>
        <v>2159.2126223767082</v>
      </c>
    </row>
    <row r="50" spans="1:11" x14ac:dyDescent="0.25">
      <c r="A50">
        <v>39</v>
      </c>
      <c r="B50" s="83" t="n">
        <v>551.8249999999999</v>
      </c>
      <c r="C50" s="83" t="n">
        <v>0.0</v>
      </c>
      <c r="D50" s="83" t="n">
        <v>1511.3800999999999</v>
      </c>
      <c r="E50" s="83">
        <f si="2" t="shared"/>
        <v>2063.2050999999997</v>
      </c>
      <c r="G50">
        <v>39</v>
      </c>
      <c r="H50" s="83" t="n">
        <v>406.3866391397442</v>
      </c>
      <c r="I50" s="83" t="n">
        <v>394.700189988597</v>
      </c>
      <c r="J50" s="85" t="n">
        <v>662.8525566477202</v>
      </c>
      <c r="K50" s="83">
        <f si="3" t="shared"/>
        <v>1978.5490520919964</v>
      </c>
    </row>
    <row r="51" spans="1:11" x14ac:dyDescent="0.25">
      <c r="A51">
        <v>40</v>
      </c>
      <c r="B51" s="83" t="n">
        <v>0.0</v>
      </c>
      <c r="C51" s="83" t="n">
        <v>55.7339</v>
      </c>
      <c r="D51" s="83" t="n">
        <v>145.3335</v>
      </c>
      <c r="E51" s="83">
        <f si="2" t="shared"/>
        <v>201.06739999999999</v>
      </c>
      <c r="G51">
        <v>40</v>
      </c>
      <c r="H51" s="83" t="n">
        <v>1669.2998323660374</v>
      </c>
      <c r="I51" s="83" t="n">
        <v>799.4535220673401</v>
      </c>
      <c r="J51" s="85" t="n">
        <v>1359.409521141578</v>
      </c>
      <c r="K51" s="83">
        <f si="3" t="shared"/>
        <v>2772.7535847175163</v>
      </c>
    </row>
    <row r="52" spans="1:11" x14ac:dyDescent="0.25">
      <c r="A52">
        <v>41</v>
      </c>
      <c r="B52" s="83" t="n">
        <v>5402.1254</v>
      </c>
      <c r="C52" s="83" t="n">
        <v>0.0</v>
      </c>
      <c r="D52" s="83" t="n">
        <v>316.6618</v>
      </c>
      <c r="E52" s="83">
        <f si="2" t="shared"/>
        <v>5718.7871999999998</v>
      </c>
      <c r="G52">
        <v>41</v>
      </c>
      <c r="H52" s="83" t="n">
        <v>970.4906509649431</v>
      </c>
      <c r="I52" s="83" t="n">
        <v>486.5027081799368</v>
      </c>
      <c r="J52" s="85" t="n">
        <v>1085.5983131945247</v>
      </c>
      <c r="K52" s="83">
        <f si="3" t="shared"/>
        <v>2966.3591775747063</v>
      </c>
    </row>
    <row r="53" spans="1:11" x14ac:dyDescent="0.25">
      <c r="A53">
        <v>42</v>
      </c>
      <c r="B53" s="83" t="n">
        <v>0.0</v>
      </c>
      <c r="C53" s="83" t="n">
        <v>0.0</v>
      </c>
      <c r="D53" s="83" t="n">
        <v>214.2046</v>
      </c>
      <c r="E53" s="83">
        <f si="2" t="shared"/>
        <v>214.2046</v>
      </c>
      <c r="G53">
        <v>42</v>
      </c>
      <c r="H53" s="83" t="n">
        <v>221.81986650335787</v>
      </c>
      <c r="I53" s="83" t="n">
        <v>200.73205187912606</v>
      </c>
      <c r="J53" s="85" t="n">
        <v>337.1080037178231</v>
      </c>
      <c r="K53" s="83">
        <f si="3" t="shared"/>
        <v>1808.0504573551793</v>
      </c>
    </row>
    <row r="54" spans="1:11" x14ac:dyDescent="0.25">
      <c r="A54">
        <v>43</v>
      </c>
      <c r="B54" s="83" t="n">
        <v>353.8466</v>
      </c>
      <c r="C54" s="83" t="n">
        <v>254.1134</v>
      </c>
      <c r="D54" s="83" t="n">
        <v>460.9102</v>
      </c>
      <c r="E54" s="83">
        <f si="2" t="shared"/>
        <v>1068.8702000000001</v>
      </c>
      <c r="G54">
        <v>43</v>
      </c>
      <c r="H54" s="83" t="n">
        <v>177.825544118004</v>
      </c>
      <c r="I54" s="83" t="n">
        <v>180.54143215057618</v>
      </c>
      <c r="J54" s="85" t="n">
        <v>607.2997490608827</v>
      </c>
      <c r="K54" s="83">
        <f si="3" t="shared"/>
        <v>1817.1171212715476</v>
      </c>
    </row>
    <row r="55" spans="1:11" x14ac:dyDescent="0.25">
      <c r="A55">
        <v>44</v>
      </c>
      <c r="B55" s="83" t="n">
        <v>0.0</v>
      </c>
      <c r="C55" s="83" t="n">
        <v>262.7907</v>
      </c>
      <c r="D55" s="83" t="n">
        <v>1013.4291000000001</v>
      </c>
      <c r="E55" s="83">
        <f si="2" t="shared"/>
        <v>1276.2198000000001</v>
      </c>
      <c r="G55">
        <v>44</v>
      </c>
      <c r="H55" s="83" t="n">
        <v>159.95962875266076</v>
      </c>
      <c r="I55" s="83" t="n">
        <v>166.7864811949552</v>
      </c>
      <c r="J55" s="85" t="n">
        <v>349.42794421262715</v>
      </c>
      <c r="K55" s="83">
        <f si="3" t="shared"/>
        <v>635.40273532396554</v>
      </c>
    </row>
    <row r="56" spans="1:11" x14ac:dyDescent="0.25">
      <c r="A56">
        <v>45</v>
      </c>
      <c r="B56" s="83" t="n">
        <v>14075.8714</v>
      </c>
      <c r="C56" s="83" t="n">
        <v>3017.0855</v>
      </c>
      <c r="D56" s="83" t="n">
        <v>3907.4936000000002</v>
      </c>
      <c r="E56" s="83">
        <f si="2" t="shared"/>
        <v>21000.450500000003</v>
      </c>
      <c r="G56">
        <v>45</v>
      </c>
      <c r="H56" s="83" t="n">
        <v>177.68256492256663</v>
      </c>
      <c r="I56" s="83" t="n">
        <v>155.98904463973602</v>
      </c>
      <c r="J56" s="85" t="n">
        <v>439.70416892000685</v>
      </c>
      <c r="K56" s="83">
        <f si="3" t="shared"/>
        <v>714.15665996057896</v>
      </c>
    </row>
    <row r="57" spans="1:11" x14ac:dyDescent="0.25">
      <c r="A57">
        <v>46</v>
      </c>
      <c r="B57" s="83" t="n">
        <v>522.3251</v>
      </c>
      <c r="C57" s="83" t="n">
        <v>522.3251</v>
      </c>
      <c r="D57" s="83" t="n">
        <v>427.759</v>
      </c>
      <c r="E57" s="83">
        <f si="2" t="shared"/>
        <v>1472.4092000000001</v>
      </c>
      <c r="G57">
        <v>46</v>
      </c>
      <c r="H57" s="83" t="n">
        <v>157.62238710532822</v>
      </c>
      <c r="I57" s="83" t="n">
        <v>152.09309490373275</v>
      </c>
      <c r="J57" s="85" t="n">
        <v>263.4661671970431</v>
      </c>
      <c r="K57" s="83">
        <f si="3" t="shared"/>
        <v>895.44555851155133</v>
      </c>
    </row>
    <row r="58" spans="1:11" x14ac:dyDescent="0.25">
      <c r="A58">
        <v>47</v>
      </c>
      <c r="B58" s="83" t="n">
        <v>321.005</v>
      </c>
      <c r="C58" s="83" t="n">
        <v>0.0</v>
      </c>
      <c r="D58" s="83" t="n">
        <v>667.4098</v>
      </c>
      <c r="E58" s="83">
        <f si="2" t="shared"/>
        <v>988.41480000000001</v>
      </c>
      <c r="G58">
        <v>47</v>
      </c>
      <c r="H58" s="83" t="n">
        <v>153.90190301829207</v>
      </c>
      <c r="I58" s="83" t="n">
        <v>179.95420534466294</v>
      </c>
      <c r="J58" s="85" t="n">
        <v>334.34495642223646</v>
      </c>
      <c r="K58" s="83">
        <f si="3" t="shared"/>
        <v>707.3432170696899</v>
      </c>
    </row>
    <row r="59" spans="1:11" x14ac:dyDescent="0.25">
      <c r="A59">
        <v>48</v>
      </c>
      <c r="B59" s="83" t="n">
        <v>0.0</v>
      </c>
      <c r="C59" s="83" t="n">
        <v>0.0</v>
      </c>
      <c r="D59" s="83" t="n">
        <v>82.014</v>
      </c>
      <c r="E59" s="83">
        <f si="2" t="shared"/>
        <v>82.013999999999996</v>
      </c>
      <c r="G59">
        <v>48</v>
      </c>
      <c r="H59" s="83" t="n">
        <v>75.76690753096712</v>
      </c>
      <c r="I59" s="83" t="n">
        <v>81.51563446965879</v>
      </c>
      <c r="J59" s="85" t="n">
        <v>472.9587907299462</v>
      </c>
      <c r="K59" s="83">
        <f si="3" t="shared"/>
        <v>672.54129594137294</v>
      </c>
    </row>
    <row r="60" spans="1:11" x14ac:dyDescent="0.25">
      <c r="A60">
        <v>49</v>
      </c>
      <c r="B60" s="83" t="n">
        <v>1297.2364</v>
      </c>
      <c r="C60" s="83" t="n">
        <v>0.0</v>
      </c>
      <c r="D60" s="83" t="n">
        <v>138.9376</v>
      </c>
      <c r="E60" s="83">
        <f si="2" t="shared"/>
        <v>1436.174</v>
      </c>
      <c r="G60">
        <v>49</v>
      </c>
      <c r="H60" s="83" t="n">
        <v>87.76396041767582</v>
      </c>
      <c r="I60" s="83" t="n">
        <v>109.2206125522346</v>
      </c>
      <c r="J60" s="85" t="n">
        <v>171.70483227860592</v>
      </c>
      <c r="K60" s="83">
        <f si="3" t="shared"/>
        <v>632.12357914472886</v>
      </c>
    </row>
    <row r="61" spans="1:11" x14ac:dyDescent="0.25">
      <c r="A61">
        <v>50</v>
      </c>
      <c r="B61" s="83" t="n">
        <v>279.8517</v>
      </c>
      <c r="C61" s="83" t="n">
        <v>0.0</v>
      </c>
      <c r="D61" s="83" t="n">
        <v>462.852</v>
      </c>
      <c r="E61" s="83">
        <f si="2" t="shared"/>
        <v>742.70370000000003</v>
      </c>
      <c r="G61">
        <v>50</v>
      </c>
      <c r="H61" s="83" t="n">
        <v>49.397226555717324</v>
      </c>
      <c r="I61" s="83" t="n">
        <v>92.8554420706945</v>
      </c>
      <c r="J61" s="85" t="n">
        <v>206.84422540159557</v>
      </c>
      <c r="K61" s="83">
        <f si="3" t="shared"/>
        <v>506.0162725617057</v>
      </c>
    </row>
    <row r="62" spans="1:11" x14ac:dyDescent="0.25">
      <c r="A62">
        <v>51</v>
      </c>
      <c r="B62" s="83" t="n">
        <v>0.0</v>
      </c>
      <c r="C62" s="83" t="n">
        <v>0.0</v>
      </c>
      <c r="D62" s="83" t="n">
        <v>27.320999999999998</v>
      </c>
      <c r="E62" s="83">
        <f si="2" t="shared"/>
        <v>27.320999999999998</v>
      </c>
      <c r="G62">
        <v>51</v>
      </c>
      <c r="H62" s="83" t="n">
        <v>84.74322090923235</v>
      </c>
      <c r="I62" s="83" t="n">
        <v>98.54649674581917</v>
      </c>
      <c r="J62" s="85" t="n">
        <v>819.278961923052</v>
      </c>
      <c r="K62" s="83">
        <f si="3" t="shared"/>
        <v>671.91483921010524</v>
      </c>
    </row>
    <row r="63" spans="1:11" x14ac:dyDescent="0.25">
      <c r="A63">
        <v>52</v>
      </c>
      <c r="B63" s="83" t="n">
        <v>775.4409</v>
      </c>
      <c r="C63" s="83" t="n">
        <v>0.0</v>
      </c>
      <c r="D63" s="83" t="n">
        <v>0.0</v>
      </c>
      <c r="E63" s="83">
        <f si="2" t="shared"/>
        <v>775.44090000000006</v>
      </c>
      <c r="G63">
        <v>52</v>
      </c>
      <c r="H63" s="83" t="n">
        <v>68.04327563248923</v>
      </c>
      <c r="I63" s="83" t="n">
        <v>90.73139357093066</v>
      </c>
      <c r="J63" s="85" t="n">
        <v>518.7098755072147</v>
      </c>
      <c r="K63" s="83">
        <f si="3" t="shared"/>
        <v>829.03128484652962</v>
      </c>
    </row>
    <row r="64" spans="1:11" x14ac:dyDescent="0.25">
      <c r="A64">
        <v>53</v>
      </c>
      <c r="B64" s="83" t="n">
        <v>0.0</v>
      </c>
      <c r="C64" s="83" t="n">
        <v>0.0</v>
      </c>
      <c r="D64" s="83" t="n">
        <v>227.0372</v>
      </c>
      <c r="E64" s="83">
        <f si="2" t="shared"/>
        <v>227.03720000000001</v>
      </c>
      <c r="G64">
        <v>53</v>
      </c>
      <c r="H64" s="83" t="n">
        <v>25.53378741366108</v>
      </c>
      <c r="I64" s="83" t="n">
        <v>42.55</v>
      </c>
      <c r="J64" s="85" t="n">
        <v>356.33360115085475</v>
      </c>
      <c r="K64" s="83">
        <f si="3" t="shared"/>
        <v>952.67570738658912</v>
      </c>
    </row>
    <row r="65" spans="1:11" x14ac:dyDescent="0.25">
      <c r="A65">
        <v>54</v>
      </c>
      <c r="B65" s="83" t="n">
        <v>0.0</v>
      </c>
      <c r="C65" s="83" t="n">
        <v>0.0</v>
      </c>
      <c r="D65" s="83" t="n">
        <v>0.0</v>
      </c>
      <c r="E65" s="83">
        <f si="2" t="shared"/>
        <v>0</v>
      </c>
      <c r="G65">
        <v>54</v>
      </c>
      <c r="H65" s="83" t="n">
        <v>30.808473679076833</v>
      </c>
      <c r="I65" s="83" t="n">
        <v>57.50698599562385</v>
      </c>
      <c r="J65" s="85" t="n">
        <v>191.94680477364756</v>
      </c>
      <c r="K65" s="83">
        <f si="3" t="shared"/>
        <v>444.98198430530039</v>
      </c>
    </row>
    <row r="66" spans="1:11" x14ac:dyDescent="0.25">
      <c r="A66">
        <v>55</v>
      </c>
      <c r="B66" s="83" t="n">
        <v>1287.2831999999999</v>
      </c>
      <c r="C66" s="83" t="n">
        <v>1194.723</v>
      </c>
      <c r="D66" s="83" t="n">
        <v>31.814</v>
      </c>
      <c r="E66" s="83">
        <f si="2" t="shared"/>
        <v>2513.8201999999997</v>
      </c>
      <c r="G66">
        <v>55</v>
      </c>
      <c r="H66" s="83" t="n">
        <v>28.749999999999996</v>
      </c>
      <c r="I66" s="83" t="n">
        <v>33.643286788017036</v>
      </c>
      <c r="J66" s="85" t="n">
        <v>67.60273604288645</v>
      </c>
      <c r="K66" s="83">
        <f si="3" t="shared"/>
        <v>340.02561644578816</v>
      </c>
    </row>
    <row r="67" spans="1:11" x14ac:dyDescent="0.25">
      <c r="A67">
        <v>56</v>
      </c>
      <c r="B67" s="83" t="n">
        <v>0.0</v>
      </c>
      <c r="C67" s="83" t="n">
        <v>0.0</v>
      </c>
      <c r="D67" s="83" t="n">
        <v>0.0</v>
      </c>
      <c r="E67" s="83">
        <f si="2" t="shared"/>
        <v>0</v>
      </c>
      <c r="G67">
        <v>56</v>
      </c>
      <c r="H67" s="83" t="n">
        <v>16.547758544163074</v>
      </c>
      <c r="I67" s="83" t="n">
        <v>47.59775854416307</v>
      </c>
      <c r="J67" s="85" t="n">
        <v>53.99649399310162</v>
      </c>
      <c r="K67" s="83">
        <f si="3" t="shared"/>
        <v>224.58060160681902</v>
      </c>
    </row>
    <row r="68" spans="1:11" x14ac:dyDescent="0.25">
      <c r="A68">
        <v>57</v>
      </c>
      <c r="B68" s="83" t="n">
        <v>0.0</v>
      </c>
      <c r="C68" s="83" t="n">
        <v>0.0</v>
      </c>
      <c r="D68" s="83" t="n">
        <v>16.64</v>
      </c>
      <c r="E68" s="83">
        <f si="2" t="shared"/>
        <v>16.64</v>
      </c>
      <c r="G68">
        <v>57</v>
      </c>
      <c r="H68" s="83" t="n">
        <v>25.920907980455976</v>
      </c>
      <c r="I68" s="83" t="n">
        <v>44.36219282957559</v>
      </c>
      <c r="J68" s="85" t="n">
        <v>180.7654652727154</v>
      </c>
      <c r="K68" s="83">
        <f si="3" t="shared"/>
        <v>346.7002620730417</v>
      </c>
    </row>
    <row r="69" spans="1:11" x14ac:dyDescent="0.25">
      <c r="A69">
        <v>58</v>
      </c>
      <c r="B69" s="83" t="n">
        <v>0.0</v>
      </c>
      <c r="C69" s="83" t="n">
        <v>0.0</v>
      </c>
      <c r="D69" s="83" t="n">
        <v>16.385</v>
      </c>
      <c r="E69" s="83">
        <f si="2" t="shared"/>
        <v>16.385000000000002</v>
      </c>
      <c r="G69">
        <v>58</v>
      </c>
      <c r="H69" s="83" t="n">
        <v>10.35</v>
      </c>
      <c r="I69" s="83" t="n">
        <v>29.495506489495998</v>
      </c>
      <c r="J69" s="85" t="n">
        <v>121.78600144731476</v>
      </c>
      <c r="K69" s="83">
        <f si="3" t="shared"/>
        <v>110.09591695332543</v>
      </c>
    </row>
    <row r="70" spans="1:11" x14ac:dyDescent="0.25">
      <c r="A70">
        <v>59</v>
      </c>
      <c r="B70" s="83" t="n">
        <v>0.0</v>
      </c>
      <c r="C70" s="83" t="n">
        <v>0.0</v>
      </c>
      <c r="D70" s="83" t="n">
        <v>0.0</v>
      </c>
      <c r="E70" s="83">
        <f si="2" t="shared"/>
        <v>0</v>
      </c>
      <c r="G70">
        <v>59</v>
      </c>
      <c r="H70" s="83" t="n">
        <v>17.414335937499967</v>
      </c>
      <c r="I70" s="83" t="n">
        <v>25.299999999999997</v>
      </c>
      <c r="J70" s="85" t="n">
        <v>25.467045557742143</v>
      </c>
      <c r="K70" s="83">
        <f si="3" t="shared"/>
        <v>201.84186474729171</v>
      </c>
    </row>
    <row r="71" spans="1:11" x14ac:dyDescent="0.25">
      <c r="A71">
        <v>60</v>
      </c>
      <c r="B71" s="83" t="n">
        <v>0.0</v>
      </c>
      <c r="C71" s="83" t="n">
        <v>0.0</v>
      </c>
      <c r="D71" s="83" t="n">
        <v>0.0</v>
      </c>
      <c r="E71" s="83">
        <f si="2" t="shared"/>
        <v>0</v>
      </c>
      <c r="G71">
        <v>60</v>
      </c>
      <c r="H71" s="83" t="n">
        <v>2.700497195308028</v>
      </c>
      <c r="I71" s="83" t="n">
        <v>23.0</v>
      </c>
      <c r="J71" s="85" t="n">
        <v>75.21727468338166</v>
      </c>
      <c r="K71" s="83">
        <f si="3" t="shared"/>
        <v>79.464442793022357</v>
      </c>
    </row>
    <row r="72" spans="1:11" x14ac:dyDescent="0.25">
      <c r="A72">
        <v>61</v>
      </c>
      <c r="B72" s="83" t="n">
        <v>0.0</v>
      </c>
      <c r="C72" s="83" t="n">
        <v>0.0</v>
      </c>
      <c r="D72" s="83" t="n">
        <v>0.0</v>
      </c>
      <c r="E72" s="83">
        <f si="2" t="shared"/>
        <v>0</v>
      </c>
      <c r="G72">
        <v>61</v>
      </c>
      <c r="H72" s="83" t="n">
        <v>13.799999999999999</v>
      </c>
      <c r="I72" s="83" t="n">
        <v>21.149674796748005</v>
      </c>
      <c r="J72" s="85" t="n">
        <v>39.33378741366108</v>
      </c>
      <c r="K72" s="83">
        <f si="3" t="shared"/>
        <v>144.47885287890819</v>
      </c>
    </row>
    <row r="73" spans="1:11" x14ac:dyDescent="0.25">
      <c r="A73">
        <v>62</v>
      </c>
      <c r="B73" s="83" t="n">
        <v>0.0</v>
      </c>
      <c r="C73" s="83" t="n">
        <v>0.0</v>
      </c>
      <c r="D73" s="83" t="n">
        <v>21.709000000000003</v>
      </c>
      <c r="E73" s="83">
        <f si="2" t="shared"/>
        <v>21.709000000000003</v>
      </c>
      <c r="G73">
        <v>62</v>
      </c>
      <c r="H73" s="83" t="n">
        <v>5.0477585441630755</v>
      </c>
      <c r="I73" s="83" t="n">
        <v>46.44775854416307</v>
      </c>
      <c r="J73" s="85" t="n">
        <v>16.500497195308025</v>
      </c>
      <c r="K73" s="83">
        <f si="3" t="shared"/>
        <v>155.73371514548109</v>
      </c>
    </row>
    <row r="74" spans="1:11" x14ac:dyDescent="0.25">
      <c r="A74">
        <v>63</v>
      </c>
      <c r="B74" s="83" t="n">
        <v>0.0</v>
      </c>
      <c r="C74" s="83" t="n">
        <v>0.0</v>
      </c>
      <c r="D74" s="83" t="n">
        <v>4.128</v>
      </c>
      <c r="E74" s="83">
        <f si="2" t="shared"/>
        <v>4.1280000000000001</v>
      </c>
      <c r="G74">
        <v>63</v>
      </c>
      <c r="H74" s="83" t="n">
        <v>10.037854624563096</v>
      </c>
      <c r="I74" s="83" t="n">
        <v>30.300497195308026</v>
      </c>
      <c r="J74" s="85" t="n">
        <v>193.68268567800592</v>
      </c>
      <c r="K74" s="83">
        <f si="3" t="shared"/>
        <v>165.31416686791184</v>
      </c>
    </row>
    <row r="75" spans="1:11" x14ac:dyDescent="0.25">
      <c r="A75">
        <v>64</v>
      </c>
      <c r="B75" s="83" t="n">
        <v>0.0</v>
      </c>
      <c r="C75" s="83" t="n">
        <v>78.9631</v>
      </c>
      <c r="D75" s="83" t="n">
        <v>10.791</v>
      </c>
      <c r="E75" s="83">
        <f ref="E75:E101" si="4" t="shared">SUM(B75:D75)</f>
        <v>89.754099999999994</v>
      </c>
      <c r="G75">
        <v>64</v>
      </c>
      <c r="H75" s="83" t="n">
        <v>2.3</v>
      </c>
      <c r="I75" s="83" t="n">
        <v>30.300497195308026</v>
      </c>
      <c r="J75" s="85" t="n">
        <v>193.18654026380764</v>
      </c>
      <c r="K75" s="83">
        <f ref="K75:K101" si="5" t="shared">SUM(H75:J75)</f>
        <v>410.25057332592394</v>
      </c>
    </row>
    <row r="76" spans="1:11" x14ac:dyDescent="0.25">
      <c r="A76">
        <v>65</v>
      </c>
      <c r="B76" s="83" t="n">
        <v>0.0</v>
      </c>
      <c r="C76" s="83" t="n">
        <v>0.0</v>
      </c>
      <c r="D76" s="83" t="n">
        <v>0.0</v>
      </c>
      <c r="E76" s="83">
        <f si="4" t="shared"/>
        <v>0</v>
      </c>
      <c r="G76">
        <v>65</v>
      </c>
      <c r="H76" s="83" t="n">
        <v>3.4499999999999997</v>
      </c>
      <c r="I76" s="83" t="n">
        <v>16.099999999999998</v>
      </c>
      <c r="J76" s="85" t="n">
        <v>20.452082563152803</v>
      </c>
      <c r="K76" s="83">
        <f si="5" t="shared"/>
        <v>100.26596653361</v>
      </c>
    </row>
    <row r="77" spans="1:11" x14ac:dyDescent="0.25">
      <c r="A77">
        <v>66</v>
      </c>
      <c r="B77" s="83" t="n">
        <v>0.0</v>
      </c>
      <c r="C77" s="83" t="n">
        <v>0.0</v>
      </c>
      <c r="D77" s="83" t="n">
        <v>275.5614</v>
      </c>
      <c r="E77" s="83">
        <f si="4" t="shared"/>
        <v>275.56139999999999</v>
      </c>
      <c r="G77">
        <v>66</v>
      </c>
      <c r="H77" s="83" t="n">
        <v>0.0</v>
      </c>
      <c r="I77" s="83" t="n">
        <v>8.049999999999999</v>
      </c>
      <c r="J77" s="85" t="n">
        <v>99.48120919305835</v>
      </c>
      <c r="K77" s="83">
        <f si="5" t="shared"/>
        <v>73.952355429120416</v>
      </c>
    </row>
    <row r="78" spans="1:11" x14ac:dyDescent="0.25">
      <c r="A78">
        <v>67</v>
      </c>
      <c r="B78" s="83" t="n">
        <v>0.0</v>
      </c>
      <c r="C78" s="83" t="n">
        <v>0.0</v>
      </c>
      <c r="D78" s="83" t="n">
        <v>495.275</v>
      </c>
      <c r="E78" s="83">
        <f si="4" t="shared"/>
        <v>495.27499999999998</v>
      </c>
      <c r="G78">
        <v>67</v>
      </c>
      <c r="H78" s="83" t="n">
        <v>6.937658227848039</v>
      </c>
      <c r="I78" s="83" t="n">
        <v>9.2</v>
      </c>
      <c r="J78" s="85" t="n">
        <v>43.58494676081279</v>
      </c>
      <c r="K78" s="83">
        <f si="5" t="shared"/>
        <v>73.145246930573308</v>
      </c>
    </row>
    <row r="79" spans="1:11" x14ac:dyDescent="0.25">
      <c r="A79">
        <v>68</v>
      </c>
      <c r="B79" s="83" t="n">
        <v>0.0</v>
      </c>
      <c r="C79" s="83" t="n">
        <v>0.0</v>
      </c>
      <c r="D79" s="83" t="n">
        <v>0.0</v>
      </c>
      <c r="E79" s="83">
        <f si="4" t="shared"/>
        <v>0</v>
      </c>
      <c r="G79">
        <v>68</v>
      </c>
      <c r="H79" s="83" t="n">
        <v>1.15</v>
      </c>
      <c r="I79" s="83" t="n">
        <v>4.6</v>
      </c>
      <c r="J79" s="85" t="n">
        <v>34.53140588068332</v>
      </c>
      <c r="K79" s="83">
        <f si="5" t="shared"/>
        <v>18.990848114270271</v>
      </c>
    </row>
    <row r="80" spans="1:11" x14ac:dyDescent="0.25">
      <c r="A80">
        <v>69</v>
      </c>
      <c r="B80" s="83" t="n">
        <v>0.0</v>
      </c>
      <c r="C80" s="83" t="n">
        <v>0.0</v>
      </c>
      <c r="D80" s="83" t="n">
        <v>8.485</v>
      </c>
      <c r="E80" s="83">
        <f si="4" t="shared"/>
        <v>8.4849999999999994</v>
      </c>
      <c r="G80">
        <v>69</v>
      </c>
      <c r="H80" s="83" t="n">
        <v>0.0</v>
      </c>
      <c r="I80" s="83" t="n">
        <v>12.649999999999999</v>
      </c>
      <c r="J80" s="85" t="n">
        <v>49.16749694008387</v>
      </c>
      <c r="K80" s="83">
        <f si="5" t="shared"/>
        <v>32.743349499168588</v>
      </c>
    </row>
    <row r="81" spans="1:11" x14ac:dyDescent="0.25">
      <c r="A81">
        <v>70</v>
      </c>
      <c r="B81" s="83" t="n">
        <v>0.0</v>
      </c>
      <c r="C81" s="83" t="n">
        <v>0.0</v>
      </c>
      <c r="D81" s="83" t="n">
        <v>0.0</v>
      </c>
      <c r="E81" s="83">
        <f si="4" t="shared"/>
        <v>0</v>
      </c>
      <c r="G81">
        <v>70</v>
      </c>
      <c r="H81" s="83" t="n">
        <v>10.76098935504069</v>
      </c>
      <c r="I81" s="83" t="n">
        <v>12.649999999999999</v>
      </c>
      <c r="J81" s="85" t="n">
        <v>25.17799752781128</v>
      </c>
      <c r="K81" s="83">
        <f si="5" t="shared"/>
        <v>61.605370471631879</v>
      </c>
    </row>
    <row r="82" spans="1:11" x14ac:dyDescent="0.25">
      <c r="A82">
        <v>71</v>
      </c>
      <c r="B82" s="83" t="n">
        <v>0.0</v>
      </c>
      <c r="C82" s="83" t="n">
        <v>0.0</v>
      </c>
      <c r="D82" s="83" t="n">
        <v>0.0</v>
      </c>
      <c r="E82" s="83">
        <f si="4" t="shared"/>
        <v>0</v>
      </c>
      <c r="G82">
        <v>71</v>
      </c>
      <c r="H82" s="83" t="n">
        <v>2.3</v>
      </c>
      <c r="I82" s="83" t="n">
        <v>1.15</v>
      </c>
      <c r="J82" s="85" t="n">
        <v>14.859245906063599</v>
      </c>
      <c r="K82" s="83">
        <f si="5" t="shared"/>
        <v>32.972645383634983</v>
      </c>
    </row>
    <row r="83" spans="1:11" x14ac:dyDescent="0.25">
      <c r="A83">
        <v>72</v>
      </c>
      <c r="B83" s="83" t="n">
        <v>99.9861</v>
      </c>
      <c r="C83" s="83" t="n">
        <v>542.7239</v>
      </c>
      <c r="D83" s="83" t="n">
        <v>11.159</v>
      </c>
      <c r="E83" s="83">
        <f si="4" t="shared"/>
        <v>653.86899999999991</v>
      </c>
      <c r="G83">
        <v>72</v>
      </c>
      <c r="H83" s="83" t="n">
        <v>1.15</v>
      </c>
      <c r="I83" s="83" t="n">
        <v>6.8999999999999995</v>
      </c>
      <c r="J83" s="85" t="n">
        <v>10.000994390616055</v>
      </c>
      <c r="K83" s="83">
        <f si="5" t="shared"/>
        <v>1.5</v>
      </c>
    </row>
    <row r="84" spans="1:11" x14ac:dyDescent="0.25">
      <c r="A84">
        <v>73</v>
      </c>
      <c r="B84" s="83" t="n">
        <v>0.0</v>
      </c>
      <c r="C84" s="83" t="n">
        <v>0.0</v>
      </c>
      <c r="D84" s="83" t="n">
        <v>0.0</v>
      </c>
      <c r="E84" s="83">
        <f si="4" t="shared"/>
        <v>0</v>
      </c>
      <c r="G84">
        <v>73</v>
      </c>
      <c r="H84" s="83" t="n">
        <v>14.226255113425095</v>
      </c>
      <c r="I84" s="83" t="n">
        <v>5.75</v>
      </c>
      <c r="J84" s="85" t="n">
        <v>14.257660994108422</v>
      </c>
      <c r="K84" s="83">
        <f si="5" t="shared"/>
        <v>32.197634365471679</v>
      </c>
    </row>
    <row r="85" spans="1:11" x14ac:dyDescent="0.25">
      <c r="A85">
        <v>74</v>
      </c>
      <c r="B85" s="83" t="n">
        <v>0.0</v>
      </c>
      <c r="C85" s="83" t="n">
        <v>0.0</v>
      </c>
      <c r="D85" s="83" t="n">
        <v>0.0</v>
      </c>
      <c r="E85" s="83">
        <f si="4" t="shared"/>
        <v>0</v>
      </c>
      <c r="G85">
        <v>74</v>
      </c>
      <c r="H85" s="83" t="n">
        <v>0.0</v>
      </c>
      <c r="I85" s="83" t="n">
        <v>2.3</v>
      </c>
      <c r="J85" s="85" t="n">
        <v>12.945846197088686</v>
      </c>
      <c r="K85" s="83">
        <f si="5" t="shared"/>
        <v>30.402556221056589</v>
      </c>
    </row>
    <row r="86" spans="1:11" x14ac:dyDescent="0.25">
      <c r="A86">
        <v>75</v>
      </c>
      <c r="B86" s="83" t="n">
        <v>0.0</v>
      </c>
      <c r="C86" s="83" t="n">
        <v>0.0</v>
      </c>
      <c r="D86" s="83" t="n">
        <v>0.0</v>
      </c>
      <c r="E86" s="83">
        <f si="4" t="shared"/>
        <v>0</v>
      </c>
      <c r="G86">
        <v>75</v>
      </c>
      <c r="H86" s="83" t="n">
        <v>2.3</v>
      </c>
      <c r="I86" s="83" t="n">
        <v>5.75</v>
      </c>
      <c r="J86" s="85" t="n">
        <v>1.15</v>
      </c>
      <c r="K86" s="83">
        <f si="5" t="shared"/>
        <v>20.251591289782279</v>
      </c>
    </row>
    <row r="87" spans="1:11" x14ac:dyDescent="0.25">
      <c r="A87">
        <v>76</v>
      </c>
      <c r="B87" s="83" t="n">
        <v>0.0</v>
      </c>
      <c r="C87" s="83" t="n">
        <v>0.0</v>
      </c>
      <c r="D87" s="83" t="n">
        <v>598.7239</v>
      </c>
      <c r="E87" s="83">
        <f si="4" t="shared"/>
        <v>598.72389999999996</v>
      </c>
      <c r="G87">
        <v>76</v>
      </c>
      <c r="H87" s="83" t="n">
        <v>1.15</v>
      </c>
      <c r="I87" s="83" t="n">
        <v>5.75</v>
      </c>
      <c r="J87" s="85" t="n">
        <v>10.779470748629679</v>
      </c>
      <c r="K87" s="83">
        <f si="5" t="shared"/>
        <v>11.75334448160535</v>
      </c>
    </row>
    <row r="88" spans="1:11" x14ac:dyDescent="0.25">
      <c r="A88">
        <v>77</v>
      </c>
      <c r="B88" s="83" t="n">
        <v>1031.4047</v>
      </c>
      <c r="C88" s="83" t="n">
        <v>0.0</v>
      </c>
      <c r="D88" s="83" t="n">
        <v>0.0</v>
      </c>
      <c r="E88" s="83">
        <f si="4" t="shared"/>
        <v>1031.4047</v>
      </c>
      <c r="G88">
        <v>77</v>
      </c>
      <c r="H88" s="83" t="n">
        <v>10.776255113425096</v>
      </c>
      <c r="I88" s="83" t="n">
        <v>0.0</v>
      </c>
      <c r="J88" s="85" t="n">
        <v>5.007132768361608</v>
      </c>
      <c r="K88" s="83">
        <f si="5" t="shared"/>
        <v>5.4846153846153802</v>
      </c>
    </row>
    <row r="89" spans="1:11" x14ac:dyDescent="0.25">
      <c r="A89">
        <v>78</v>
      </c>
      <c r="B89" s="83" t="n">
        <v>212.6231</v>
      </c>
      <c r="C89" s="83" t="n">
        <v>0.0</v>
      </c>
      <c r="D89" s="83" t="n">
        <v>0.0</v>
      </c>
      <c r="E89" s="83">
        <f si="4" t="shared"/>
        <v>212.62309999999999</v>
      </c>
      <c r="G89">
        <v>78</v>
      </c>
      <c r="H89" s="83" t="n">
        <v>2.3</v>
      </c>
      <c r="I89" s="83" t="n">
        <v>3.1482557394711037</v>
      </c>
      <c r="J89" s="85" t="n">
        <v>9.489666795069365</v>
      </c>
      <c r="K89" s="83">
        <f si="5" t="shared"/>
        <v>35.970188265894762</v>
      </c>
    </row>
    <row r="90" spans="1:11" x14ac:dyDescent="0.25">
      <c r="A90">
        <v>79</v>
      </c>
      <c r="B90" s="83" t="n">
        <v>0.0</v>
      </c>
      <c r="C90" s="83" t="n">
        <v>0.0</v>
      </c>
      <c r="D90" s="83" t="n">
        <v>0.0</v>
      </c>
      <c r="E90" s="83">
        <f si="4" t="shared"/>
        <v>0</v>
      </c>
      <c r="G90">
        <v>79</v>
      </c>
      <c r="H90" s="83" t="n">
        <v>0.0</v>
      </c>
      <c r="I90" s="83" t="n">
        <v>3.4499999999999997</v>
      </c>
      <c r="J90" s="85" t="n">
        <v>0.0</v>
      </c>
      <c r="K90" s="83">
        <f si="5" t="shared"/>
        <v>35.772617413557569</v>
      </c>
    </row>
    <row r="91" spans="1:11" x14ac:dyDescent="0.25">
      <c r="A91">
        <v>80</v>
      </c>
      <c r="B91" s="83" t="n">
        <v>0.0</v>
      </c>
      <c r="C91" s="83" t="n">
        <v>0.0</v>
      </c>
      <c r="D91" s="83" t="n">
        <v>0.0</v>
      </c>
      <c r="E91" s="83">
        <f si="4" t="shared"/>
        <v>0</v>
      </c>
      <c r="G91">
        <v>80</v>
      </c>
      <c r="H91" s="83" t="n">
        <v>5.75</v>
      </c>
      <c r="I91" s="83" t="n">
        <v>5.75</v>
      </c>
      <c r="J91" s="85" t="n">
        <v>8.457132768361607</v>
      </c>
      <c r="K91" s="83">
        <f si="5" t="shared"/>
        <v>27.792230231203121</v>
      </c>
    </row>
    <row r="92" spans="1:11" x14ac:dyDescent="0.25">
      <c r="A92">
        <v>81</v>
      </c>
      <c r="B92" s="83" t="n">
        <v>0.0</v>
      </c>
      <c r="C92" s="83" t="n">
        <v>0.0</v>
      </c>
      <c r="D92" s="83" t="n">
        <v>0.0</v>
      </c>
      <c r="E92" s="83">
        <f si="4" t="shared"/>
        <v>0</v>
      </c>
      <c r="G92">
        <v>81</v>
      </c>
      <c r="H92" s="83" t="n">
        <v>9.2</v>
      </c>
      <c r="I92" s="83" t="n">
        <v>2.3</v>
      </c>
      <c r="J92" s="85" t="n">
        <v>1.478671874999938</v>
      </c>
      <c r="K92" s="83">
        <f si="5" t="shared"/>
        <v>1.5</v>
      </c>
    </row>
    <row r="93" spans="1:11" x14ac:dyDescent="0.25">
      <c r="A93">
        <v>82</v>
      </c>
      <c r="B93" s="83" t="n">
        <v>0.0</v>
      </c>
      <c r="C93" s="83" t="n">
        <v>0.0</v>
      </c>
      <c r="D93" s="83" t="n">
        <v>0.0</v>
      </c>
      <c r="E93" s="83">
        <f si="4" t="shared"/>
        <v>0</v>
      </c>
      <c r="G93">
        <v>82</v>
      </c>
      <c r="H93" s="83" t="n">
        <v>0.0</v>
      </c>
      <c r="I93" s="83" t="n">
        <v>1.15</v>
      </c>
      <c r="J93" s="85" t="n">
        <v>5.030721856201487</v>
      </c>
      <c r="K93" s="83">
        <f si="5" t="shared"/>
        <v>5.75201207243461</v>
      </c>
    </row>
    <row r="94" spans="1:11" x14ac:dyDescent="0.25">
      <c r="A94">
        <v>83</v>
      </c>
      <c r="B94" s="83" t="n">
        <v>0.0</v>
      </c>
      <c r="C94" s="83" t="n">
        <v>0.0</v>
      </c>
      <c r="D94" s="83" t="n">
        <v>0.0</v>
      </c>
      <c r="E94" s="83">
        <f si="4" t="shared"/>
        <v>0</v>
      </c>
      <c r="G94">
        <v>83</v>
      </c>
      <c r="H94" s="83" t="n">
        <v>2.3</v>
      </c>
      <c r="I94" s="83" t="n">
        <v>2.3</v>
      </c>
      <c r="J94" s="85" t="n">
        <v>2.3</v>
      </c>
      <c r="K94" s="83">
        <f si="5" t="shared"/>
        <v>0.25</v>
      </c>
    </row>
    <row r="95" spans="1:11" x14ac:dyDescent="0.25">
      <c r="A95">
        <v>84</v>
      </c>
      <c r="B95" s="83" t="n">
        <v>0.0</v>
      </c>
      <c r="C95" s="83" t="n">
        <v>0.0</v>
      </c>
      <c r="D95" s="83" t="n">
        <v>11.269</v>
      </c>
      <c r="E95" s="83">
        <f si="4" t="shared"/>
        <v>11.269</v>
      </c>
      <c r="G95">
        <v>84</v>
      </c>
      <c r="H95" s="83" t="n">
        <v>0.0</v>
      </c>
      <c r="I95" s="83" t="n">
        <v>1.15</v>
      </c>
      <c r="J95" s="85" t="n">
        <v>9.2</v>
      </c>
      <c r="K95" s="83">
        <f si="5" t="shared"/>
        <v>10.241379310344829</v>
      </c>
    </row>
    <row r="96" spans="1:11" x14ac:dyDescent="0.25">
      <c r="A96">
        <v>85</v>
      </c>
      <c r="B96" s="83" t="n">
        <v>0.0</v>
      </c>
      <c r="C96" s="83" t="n">
        <v>0.0</v>
      </c>
      <c r="D96" s="83" t="n">
        <v>0.0</v>
      </c>
      <c r="E96" s="83">
        <f si="4" t="shared"/>
        <v>0</v>
      </c>
      <c r="G96">
        <v>85</v>
      </c>
      <c r="H96" s="83" t="n">
        <v>4.6</v>
      </c>
      <c r="I96" s="83" t="n">
        <v>2.3</v>
      </c>
      <c r="J96" s="85" t="n">
        <v>0.0</v>
      </c>
      <c r="K96" s="83">
        <f si="5" t="shared"/>
        <v>0.75</v>
      </c>
    </row>
    <row r="97" spans="1:11" x14ac:dyDescent="0.25">
      <c r="A97">
        <v>86</v>
      </c>
      <c r="B97" s="83" t="n">
        <v>0.0</v>
      </c>
      <c r="C97" s="83" t="n">
        <v>0.0</v>
      </c>
      <c r="D97" s="83" t="n">
        <v>468.9894</v>
      </c>
      <c r="E97" s="83">
        <f si="4" t="shared"/>
        <v>468.98939999999999</v>
      </c>
      <c r="G97">
        <v>86</v>
      </c>
      <c r="H97" s="83" t="n">
        <v>0.0</v>
      </c>
      <c r="I97" s="83" t="n">
        <v>3.4499999999999997</v>
      </c>
      <c r="J97" s="85" t="n">
        <v>3.4499999999999997</v>
      </c>
      <c r="K97" s="83">
        <f si="5" t="shared"/>
        <v>0</v>
      </c>
    </row>
    <row r="98" spans="1:11" x14ac:dyDescent="0.25">
      <c r="A98">
        <v>87</v>
      </c>
      <c r="B98" s="83" t="n">
        <v>0.0</v>
      </c>
      <c r="C98" s="83" t="n">
        <v>0.0</v>
      </c>
      <c r="D98" s="83" t="n">
        <v>13.487</v>
      </c>
      <c r="E98" s="83">
        <f si="4" t="shared"/>
        <v>13.487</v>
      </c>
      <c r="G98">
        <v>87</v>
      </c>
      <c r="H98" s="83" t="n">
        <v>0.0</v>
      </c>
      <c r="I98" s="83" t="n">
        <v>0.449674796748008</v>
      </c>
      <c r="J98" s="85" t="n">
        <v>0.0</v>
      </c>
      <c r="K98" s="83">
        <f si="5" t="shared"/>
        <v>0</v>
      </c>
    </row>
    <row r="99" spans="1:11" x14ac:dyDescent="0.25">
      <c r="A99">
        <v>88</v>
      </c>
      <c r="B99" s="83" t="n">
        <v>0.0</v>
      </c>
      <c r="C99" s="83" t="n">
        <v>0.0</v>
      </c>
      <c r="D99" s="83" t="n">
        <v>0.0</v>
      </c>
      <c r="E99" s="83">
        <f si="4" t="shared"/>
        <v>0</v>
      </c>
      <c r="G99">
        <v>88</v>
      </c>
      <c r="H99" s="83" t="n">
        <v>0.254521118381954</v>
      </c>
      <c r="I99" s="83" t="n">
        <v>0.0</v>
      </c>
      <c r="J99" s="85" t="n">
        <v>0.0</v>
      </c>
      <c r="K99" s="83">
        <f si="5" t="shared"/>
        <v>0.25</v>
      </c>
    </row>
    <row r="100" spans="1:11" x14ac:dyDescent="0.25">
      <c r="A100">
        <v>89</v>
      </c>
      <c r="B100" s="83" t="n">
        <v>2931.9003</v>
      </c>
      <c r="C100" s="83" t="n">
        <v>0.0</v>
      </c>
      <c r="D100" s="83" t="n">
        <v>3.675</v>
      </c>
      <c r="E100" s="83">
        <f si="4" t="shared"/>
        <v>2935.5753</v>
      </c>
      <c r="G100">
        <v>89</v>
      </c>
      <c r="H100" s="83" t="n">
        <v>3.732821143208487</v>
      </c>
      <c r="I100" s="83" t="n">
        <v>6.202296230826663</v>
      </c>
      <c r="J100" s="85" t="n">
        <v>9.2</v>
      </c>
      <c r="K100" s="83">
        <f si="5" t="shared"/>
        <v>16.030303030303031</v>
      </c>
    </row>
    <row ht="15.75" r="101" spans="1:11" thickBot="1" x14ac:dyDescent="0.3">
      <c r="A101" s="1">
        <v>90</v>
      </c>
      <c r="B101" s="84" t="n">
        <v>56177.1072</v>
      </c>
      <c r="C101" s="84" t="n">
        <v>10417.5607</v>
      </c>
      <c r="D101" s="84" t="n">
        <v>42483.8395</v>
      </c>
      <c r="E101" s="84">
        <f si="4" t="shared"/>
        <v>109078.5074</v>
      </c>
      <c r="G101" s="1">
        <v>90</v>
      </c>
      <c r="H101" s="84" t="n">
        <v>22965.932292305723</v>
      </c>
      <c r="I101" s="84" t="n">
        <v>0.0</v>
      </c>
      <c r="J101" s="84" t="n">
        <v>0.0</v>
      </c>
      <c r="K101" s="84">
        <f si="5" t="shared"/>
        <v>21047.425647261214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L22"/>
  <sheetViews>
    <sheetView workbookViewId="0">
      <selection activeCell="C2" sqref="C2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8" max="8" customWidth="true" width="10.85546875" collapsed="true"/>
    <col min="12" max="12" bestFit="true" customWidth="true" width="9.5703125" collapsed="true"/>
  </cols>
  <sheetData>
    <row r="1" spans="1:12" x14ac:dyDescent="0.25">
      <c r="A1" t="s">
        <v>14</v>
      </c>
    </row>
    <row r="2" spans="1:12" x14ac:dyDescent="0.25">
      <c r="A2" t="s">
        <v>250</v>
      </c>
    </row>
    <row r="3" spans="1:12" x14ac:dyDescent="0.25">
      <c r="A3" t="s">
        <v>251</v>
      </c>
    </row>
    <row r="4" spans="1:12" x14ac:dyDescent="0.25">
      <c r="A4" t="s">
        <v>6</v>
      </c>
    </row>
    <row r="5" spans="1:12" x14ac:dyDescent="0.25">
      <c r="A5" t="s">
        <v>7</v>
      </c>
    </row>
    <row ht="15.75" r="9" spans="1:12" thickBot="1" x14ac:dyDescent="0.3">
      <c r="A9" s="4" t="s">
        <v>193</v>
      </c>
      <c r="B9" s="1"/>
      <c r="C9" s="1"/>
      <c r="D9" s="1"/>
      <c r="E9" s="1"/>
      <c r="H9" s="4" t="s">
        <v>10</v>
      </c>
      <c r="I9" s="1"/>
      <c r="J9" s="1"/>
      <c r="K9" s="1"/>
      <c r="L9" s="1"/>
    </row>
    <row r="10" spans="1:12" x14ac:dyDescent="0.25">
      <c r="A10" s="2" t="s">
        <v>13</v>
      </c>
      <c r="B10" s="5" t="s">
        <v>41</v>
      </c>
      <c r="C10" s="5" t="s">
        <v>42</v>
      </c>
      <c r="D10" s="5" t="s">
        <v>43</v>
      </c>
      <c r="E10" s="5" t="s">
        <v>3</v>
      </c>
      <c r="H10" s="2" t="s">
        <v>13</v>
      </c>
      <c r="I10" s="5" t="s">
        <v>41</v>
      </c>
      <c r="J10" s="5" t="s">
        <v>42</v>
      </c>
      <c r="K10" s="5" t="s">
        <v>43</v>
      </c>
      <c r="L10" s="5" t="s">
        <v>3</v>
      </c>
    </row>
    <row r="11" spans="1:12" x14ac:dyDescent="0.25">
      <c r="A11" t="s">
        <v>15</v>
      </c>
      <c r="B11" s="13">
        <f>SUM(TDFD!B11:B15)</f>
        <v>30456.2981</v>
      </c>
      <c r="C11" s="13">
        <f>SUM(TDFD!C11:C15)</f>
        <v>1556.1008000000002</v>
      </c>
      <c r="D11" s="13">
        <f>SUM(TDFD!D11:D15)</f>
        <v>125.91</v>
      </c>
      <c r="E11" s="13">
        <f>SUM(TDFD!E11:E15)</f>
        <v>32138.308900000004</v>
      </c>
      <c r="H11" t="s">
        <v>15</v>
      </c>
      <c r="I11" s="13">
        <f>SUM(TDFD!H11:H15)</f>
        <v>126831.27264019867</v>
      </c>
      <c r="J11" s="13">
        <f>SUM(TDFD!I11:I15)</f>
        <v>21331.808622654011</v>
      </c>
      <c r="K11" s="13">
        <f>SUM(TDFD!J11:J15)</f>
        <v>21568.151684314074</v>
      </c>
      <c r="L11" s="13">
        <f>SUM(TDFD!K11:K15)</f>
        <v>169731.23294716675</v>
      </c>
    </row>
    <row r="12" spans="1:12" x14ac:dyDescent="0.25">
      <c r="A12" t="s">
        <v>16</v>
      </c>
      <c r="B12" s="13">
        <f>SUM(TDFD!B16:B20)</f>
        <v>34748.355100000001</v>
      </c>
      <c r="C12" s="13">
        <f>SUM(TDFD!C16:C20)</f>
        <v>3665.4504999999999</v>
      </c>
      <c r="D12" s="13">
        <f>SUM(TDFD!D16:D20)</f>
        <v>8740.201500000001</v>
      </c>
      <c r="E12" s="13">
        <f>SUM(TDFD!E16:E20)</f>
        <v>47154.007100000003</v>
      </c>
      <c r="H12" t="s">
        <v>16</v>
      </c>
      <c r="I12" s="13">
        <f>SUM(TDFD!H16:H20)</f>
        <v>98308.055748916522</v>
      </c>
      <c r="J12" s="13">
        <f>SUM(TDFD!I16:I20)</f>
        <v>16372.360584663602</v>
      </c>
      <c r="K12" s="13">
        <f>SUM(TDFD!J16:J20)</f>
        <v>16113.195126799728</v>
      </c>
      <c r="L12" s="13">
        <f>SUM(TDFD!K16:K20)</f>
        <v>130793.61146037986</v>
      </c>
    </row>
    <row r="13" spans="1:12" x14ac:dyDescent="0.25">
      <c r="A13" t="s">
        <v>17</v>
      </c>
      <c r="B13" s="13">
        <f>SUM(TDFD!B21:B25)</f>
        <v>51599.302800000005</v>
      </c>
      <c r="C13" s="13">
        <f>SUM(TDFD!C21:C25)</f>
        <v>5084.4759999999997</v>
      </c>
      <c r="D13" s="13">
        <f>SUM(TDFD!D21:D25)</f>
        <v>3258.2372999999998</v>
      </c>
      <c r="E13" s="13">
        <f>SUM(TDFD!E21:E25)</f>
        <v>59942.016099999993</v>
      </c>
      <c r="H13" t="s">
        <v>17</v>
      </c>
      <c r="I13" s="13">
        <f>SUM(TDFD!H21:H25)</f>
        <v>44631.080614551509</v>
      </c>
      <c r="J13" s="13">
        <f>SUM(TDFD!I21:I25)</f>
        <v>9605.9381921959739</v>
      </c>
      <c r="K13" s="13">
        <f>SUM(TDFD!J21:J25)</f>
        <v>9540.0456811395634</v>
      </c>
      <c r="L13" s="13">
        <f>SUM(TDFD!K21:K25)</f>
        <v>63777.064487887037</v>
      </c>
    </row>
    <row r="14" spans="1:12" x14ac:dyDescent="0.25">
      <c r="A14" t="s">
        <v>18</v>
      </c>
      <c r="B14" s="13">
        <f>SUM(TDFD!B26:B30)</f>
        <v>94596.153399999996</v>
      </c>
      <c r="C14" s="13">
        <f>SUM(TDFD!C26:C30)</f>
        <v>13738.5173</v>
      </c>
      <c r="D14" s="13">
        <f>SUM(TDFD!D26:D30)</f>
        <v>11924.121899999998</v>
      </c>
      <c r="E14" s="13">
        <f>SUM(TDFD!E26:E30)</f>
        <v>120258.79259999999</v>
      </c>
      <c r="H14" t="s">
        <v>18</v>
      </c>
      <c r="I14" s="13">
        <f>SUM(TDFD!H26:H30)</f>
        <v>92464.643549957429</v>
      </c>
      <c r="J14" s="13">
        <f>SUM(TDFD!I26:I30)</f>
        <v>24549.166265302625</v>
      </c>
      <c r="K14" s="13">
        <f>SUM(TDFD!J26:J30)</f>
        <v>24116.170248337367</v>
      </c>
      <c r="L14" s="13">
        <f>SUM(TDFD!K26:K30)</f>
        <v>141129.98006359744</v>
      </c>
    </row>
    <row r="15" spans="1:12" x14ac:dyDescent="0.25">
      <c r="A15" t="s">
        <v>19</v>
      </c>
      <c r="B15" s="13">
        <f>SUM(TDFD!B31:B35)</f>
        <v>100944.4486</v>
      </c>
      <c r="C15" s="13">
        <f>SUM(TDFD!C31:C35)</f>
        <v>12622.574100000002</v>
      </c>
      <c r="D15" s="13">
        <f>SUM(TDFD!D31:D35)</f>
        <v>15206.354699999998</v>
      </c>
      <c r="E15" s="13">
        <f>SUM(TDFD!E31:E35)</f>
        <v>128773.37740000001</v>
      </c>
      <c r="H15" t="s">
        <v>19</v>
      </c>
      <c r="I15" s="13">
        <f>SUM(TDFD!H31:H35)</f>
        <v>64252.26578428733</v>
      </c>
      <c r="J15" s="13">
        <f>SUM(TDFD!I31:I35)</f>
        <v>22023.158689639062</v>
      </c>
      <c r="K15" s="13">
        <f>SUM(TDFD!J31:J35)</f>
        <v>36973.527729128917</v>
      </c>
      <c r="L15" s="13">
        <f>SUM(TDFD!K31:K35)</f>
        <v>123248.95220305532</v>
      </c>
    </row>
    <row r="16" spans="1:12" x14ac:dyDescent="0.25">
      <c r="A16" t="s">
        <v>20</v>
      </c>
      <c r="B16" s="13">
        <f>SUM(TDFD!B36:B40)</f>
        <v>67278.716499999995</v>
      </c>
      <c r="C16" s="13">
        <f>SUM(TDFD!C36:C40)</f>
        <v>14082.807299999999</v>
      </c>
      <c r="D16" s="13">
        <f>SUM(TDFD!D36:D40)</f>
        <v>6013.8842000000004</v>
      </c>
      <c r="E16" s="13">
        <f>SUM(TDFD!E36:E40)</f>
        <v>87375.407999999996</v>
      </c>
      <c r="H16" t="s">
        <v>20</v>
      </c>
      <c r="I16" s="13">
        <f>SUM(TDFD!H36:H40)</f>
        <v>29213.034841101351</v>
      </c>
      <c r="J16" s="13">
        <f>SUM(TDFD!I36:I40)</f>
        <v>12303.458756050686</v>
      </c>
      <c r="K16" s="13">
        <f>SUM(TDFD!J36:J40)</f>
        <v>31124.133182514699</v>
      </c>
      <c r="L16" s="13">
        <f>SUM(TDFD!K36:K40)</f>
        <v>72640.626779666723</v>
      </c>
    </row>
    <row r="17" spans="1:12" x14ac:dyDescent="0.25">
      <c r="A17" t="s">
        <v>21</v>
      </c>
      <c r="B17" s="13">
        <f>SUM(TDFD!B41:B45)</f>
        <v>40082.706300000005</v>
      </c>
      <c r="C17" s="13">
        <f>SUM(TDFD!C41:C45)</f>
        <v>7960.3927999999996</v>
      </c>
      <c r="D17" s="13">
        <f>SUM(TDFD!D41:D45)</f>
        <v>6463.0504999999994</v>
      </c>
      <c r="E17" s="13">
        <f>SUM(TDFD!E41:E45)</f>
        <v>54506.149600000004</v>
      </c>
      <c r="H17" t="s">
        <v>21</v>
      </c>
      <c r="I17" s="13">
        <f>SUM(TDFD!H41:H45)</f>
        <v>15756.408010319672</v>
      </c>
      <c r="J17" s="13">
        <f>SUM(TDFD!I41:I45)</f>
        <v>6864.2516820909932</v>
      </c>
      <c r="K17" s="13">
        <f>SUM(TDFD!J41:J45)</f>
        <v>16080.287078775415</v>
      </c>
      <c r="L17" s="13">
        <f>SUM(TDFD!K41:K45)</f>
        <v>38700.946771186085</v>
      </c>
    </row>
    <row r="18" spans="1:12" x14ac:dyDescent="0.25">
      <c r="A18" t="s">
        <v>22</v>
      </c>
      <c r="B18" s="13">
        <f>SUM(TDFD!B46:B50)</f>
        <v>9287.7625000000007</v>
      </c>
      <c r="C18" s="13">
        <f>SUM(TDFD!C46:C50)</f>
        <v>3443.2061000000003</v>
      </c>
      <c r="D18" s="13">
        <f>SUM(TDFD!D46:D50)</f>
        <v>4525.7582000000002</v>
      </c>
      <c r="E18" s="13">
        <f>SUM(TDFD!E46:E50)</f>
        <v>17256.726799999997</v>
      </c>
      <c r="H18" t="s">
        <v>22</v>
      </c>
      <c r="I18" s="13">
        <f>SUM(TDFD!H46:H50)</f>
        <v>7320.2236216631509</v>
      </c>
      <c r="J18" s="13">
        <f>SUM(TDFD!I46:I50)</f>
        <v>3429.627388478551</v>
      </c>
      <c r="K18" s="13">
        <f>SUM(TDFD!J46:J50)</f>
        <v>7340.8008582313487</v>
      </c>
      <c r="L18" s="13">
        <f>SUM(TDFD!K46:K50)</f>
        <v>18090.65186837305</v>
      </c>
    </row>
    <row r="19" spans="1:12" x14ac:dyDescent="0.25">
      <c r="A19" t="s">
        <v>23</v>
      </c>
      <c r="B19" s="13">
        <f>SUM(TDFD!B51:B55)</f>
        <v>5755.9719999999998</v>
      </c>
      <c r="C19" s="13">
        <f>SUM(TDFD!C51:C55)</f>
        <v>572.63800000000003</v>
      </c>
      <c r="D19" s="13">
        <f>SUM(TDFD!D51:D55)</f>
        <v>2150.5392000000002</v>
      </c>
      <c r="E19" s="13">
        <f>SUM(TDFD!E51:E55)</f>
        <v>8479.1491999999998</v>
      </c>
      <c r="H19" t="s">
        <v>23</v>
      </c>
      <c r="I19" s="13">
        <f>SUM(TDFD!H51:H55)</f>
        <v>3119.073262073201</v>
      </c>
      <c r="J19" s="13">
        <f>SUM(TDFD!I51:I55)</f>
        <v>1732.0994620804581</v>
      </c>
      <c r="K19" s="13">
        <f>SUM(TDFD!J51:J55)</f>
        <v>5148.5103520892553</v>
      </c>
      <c r="L19" s="13">
        <f>SUM(TDFD!K51:K55)</f>
        <v>9999.6830762429145</v>
      </c>
    </row>
    <row r="20" spans="1:12" x14ac:dyDescent="0.25">
      <c r="A20" t="s">
        <v>24</v>
      </c>
      <c r="B20" s="13">
        <f>SUM(TDFD!B56:B70)</f>
        <v>18559.013700000003</v>
      </c>
      <c r="C20" s="13">
        <f>SUM(TDFD!C56:C70)</f>
        <v>4734.1336000000001</v>
      </c>
      <c r="D20" s="13">
        <f>SUM(TDFD!D56:D70)</f>
        <v>6005.6632000000009</v>
      </c>
      <c r="E20" s="13">
        <f>SUM(TDFD!E56:E70)</f>
        <v>29298.810499999996</v>
      </c>
      <c r="H20" t="s">
        <v>24</v>
      </c>
      <c r="I20" s="13">
        <f>SUM(TDFD!H56:H70)</f>
        <v>814.07825715977049</v>
      </c>
      <c r="J20" s="13">
        <f>SUM(TDFD!I56:I70)</f>
        <v>1089.5870547333427</v>
      </c>
      <c r="K20" s="13">
        <f>SUM(TDFD!J56:J70)</f>
        <v>6345.8093488713048</v>
      </c>
      <c r="L20" s="13">
        <f>SUM(TDFD!K56:K70)</f>
        <v>8249.4746607644174</v>
      </c>
    </row>
    <row r="21" spans="1:12" x14ac:dyDescent="0.25">
      <c r="A21" t="s">
        <v>25</v>
      </c>
      <c r="B21" s="13">
        <f>SUM(TDFD!B71:B100)</f>
        <v>4275.9142000000002</v>
      </c>
      <c r="C21" s="13">
        <f>SUM(TDFD!C71:C100)</f>
        <v>621.6869999999999</v>
      </c>
      <c r="D21" s="13">
        <f>SUM(TDFD!D71:D100)</f>
        <v>1923.2527</v>
      </c>
      <c r="E21" s="13">
        <f>SUM(TDFD!E71:E100)</f>
        <v>6820.8539000000001</v>
      </c>
      <c r="H21" t="s">
        <v>25</v>
      </c>
      <c r="I21" s="13">
        <f>SUM(TDFD!H71:H100)</f>
        <v>130.39383950555217</v>
      </c>
      <c r="J21" s="13">
        <f>SUM(TDFD!I71:I100)</f>
        <v>238.92027634375938</v>
      </c>
      <c r="K21" s="13">
        <f>SUM(TDFD!J71:J100)</f>
        <v>1215.5018895902144</v>
      </c>
      <c r="L21" s="13">
        <f>SUM(TDFD!K71:K100)</f>
        <v>1584.8160054395255</v>
      </c>
    </row>
    <row ht="15.75" r="22" spans="1:12" thickBot="1" x14ac:dyDescent="0.3">
      <c r="A22" s="1" t="s">
        <v>26</v>
      </c>
      <c r="B22" s="14">
        <f>TDFD!B101</f>
        <v>56177.107199999999</v>
      </c>
      <c r="C22" s="14">
        <f>TDFD!C101</f>
        <v>10417.5607</v>
      </c>
      <c r="D22" s="14">
        <f>TDFD!D101</f>
        <v>42483.839500000002</v>
      </c>
      <c r="E22" s="14">
        <f>TDFD!E101</f>
        <v>109078.5074</v>
      </c>
      <c r="H22" s="1" t="s">
        <v>26</v>
      </c>
      <c r="I22" s="14">
        <f>TDFD!H101</f>
        <v>21047.425647261214</v>
      </c>
      <c r="J22" s="14">
        <f>TDFD!I101</f>
        <v>0</v>
      </c>
      <c r="K22" s="14">
        <f>TDFD!J101</f>
        <v>0</v>
      </c>
      <c r="L22" s="14">
        <f>TDFD!K101</f>
        <v>21047.425647261214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52"/>
  <sheetViews>
    <sheetView tabSelected="1" workbookViewId="0">
      <selection activeCell="L19" sqref="L19"/>
    </sheetView>
  </sheetViews>
  <sheetFormatPr defaultRowHeight="15" x14ac:dyDescent="0.25"/>
  <cols>
    <col min="1" max="1" customWidth="true" width="18.5703125" collapsed="true"/>
    <col min="4" max="4" bestFit="true" customWidth="true" width="12.28515625" collapsed="true"/>
    <col min="12" max="12" customWidth="true" width="20.0" collapsed="true"/>
    <col min="15" max="15" bestFit="true" customWidth="true" width="12.28515625" collapsed="true"/>
    <col min="20" max="21" bestFit="true" customWidth="true" width="9.5703125" collapsed="true"/>
    <col min="26" max="26" bestFit="true" customWidth="true" width="12.28515625" collapsed="true"/>
  </cols>
  <sheetData>
    <row r="1" spans="1:22" x14ac:dyDescent="0.25">
      <c r="A1" t="s">
        <v>27</v>
      </c>
    </row>
    <row r="2" spans="1:22" x14ac:dyDescent="0.25">
      <c r="A2" t="s">
        <v>247</v>
      </c>
    </row>
    <row ht="15.75" r="5" spans="1:22" thickBot="1" x14ac:dyDescent="0.3">
      <c r="A5" s="4" t="s">
        <v>194</v>
      </c>
      <c r="B5" s="1"/>
      <c r="C5" s="1"/>
      <c r="D5" s="1"/>
      <c r="E5" s="1"/>
      <c r="F5" s="1"/>
      <c r="G5" s="1"/>
      <c r="H5" s="1"/>
      <c r="I5" s="1"/>
      <c r="J5" s="1"/>
      <c r="L5" s="4" t="s">
        <v>28</v>
      </c>
      <c r="M5" s="1"/>
      <c r="N5" s="1"/>
      <c r="O5" s="1"/>
      <c r="P5" s="1"/>
      <c r="Q5" s="1"/>
      <c r="R5" s="1"/>
      <c r="S5" s="1"/>
      <c r="T5" s="1"/>
      <c r="U5" s="1"/>
    </row>
    <row r="6" spans="1:22" x14ac:dyDescent="0.25">
      <c r="A6" s="2" t="s">
        <v>11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12</v>
      </c>
      <c r="J6" s="3" t="s">
        <v>3</v>
      </c>
      <c r="L6" s="2" t="s">
        <v>11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12</v>
      </c>
      <c r="U6" s="3" t="s">
        <v>3</v>
      </c>
    </row>
    <row r="7" spans="1:22" x14ac:dyDescent="0.25">
      <c r="A7" s="52" t="s">
        <v>254</v>
      </c>
      <c r="B7" s="20" t="n">
        <v>22523.6255</v>
      </c>
      <c r="C7" s="20" t="n">
        <v>0.0</v>
      </c>
      <c r="D7" s="20" t="n">
        <v>176.3579</v>
      </c>
      <c r="E7" s="20" t="n">
        <v>0.0</v>
      </c>
      <c r="F7" s="20" t="n">
        <v>998.1193</v>
      </c>
      <c r="G7" s="20" t="n">
        <v>277.9743</v>
      </c>
      <c r="H7" s="20" t="n">
        <v>598.7766</v>
      </c>
      <c r="I7" s="20">
        <v>7878.4522999999999</v>
      </c>
      <c r="J7" s="20">
        <f>SUM(B7:I7)</f>
        <v>32453.305899999999</v>
      </c>
      <c r="K7" s="20"/>
      <c r="L7" t="str">
        <f>$A$7</f>
        <v>Bellevue</v>
      </c>
      <c r="M7" s="20" t="n">
        <v>27877.89295644936</v>
      </c>
      <c r="N7" s="20" t="n">
        <v>560.5671452102794</v>
      </c>
      <c r="O7" s="20" t="n">
        <v>1849.9467262641097</v>
      </c>
      <c r="P7" s="20" t="n">
        <v>1413.879235633241</v>
      </c>
      <c r="Q7" s="20" t="n">
        <v>762.7566991237046</v>
      </c>
      <c r="R7" s="20" t="n">
        <v>95.99475247188424</v>
      </c>
      <c r="S7" s="20" t="n">
        <v>2255.020869312356</v>
      </c>
      <c r="T7" s="20">
        <v>2344.5</v>
      </c>
      <c r="U7" s="20">
        <f>SUM(M7:T7)</f>
        <v>35267.5</v>
      </c>
    </row>
    <row r="8" spans="1:22" x14ac:dyDescent="0.25">
      <c r="A8" t="s">
        <v>255</v>
      </c>
      <c r="B8" s="21" t="n">
        <v>82.1623</v>
      </c>
      <c r="C8" s="21" t="n">
        <v>4.443</v>
      </c>
      <c r="D8" s="21" t="n">
        <v>0.0</v>
      </c>
      <c r="E8" s="21" t="n">
        <v>0.0</v>
      </c>
      <c r="F8" s="21" t="n">
        <v>110.0983</v>
      </c>
      <c r="G8" s="21" t="n">
        <v>12.077</v>
      </c>
      <c r="H8" s="21" t="n">
        <v>0.0</v>
      </c>
      <c r="I8" s="21">
        <v>4018.4690000000001</v>
      </c>
      <c r="J8" s="21">
        <f ref="J8:J12" si="0" t="shared">SUM(B8:I8)</f>
        <v>4227.2496000000001</v>
      </c>
      <c r="K8" s="20"/>
      <c r="L8" s="7" t="str">
        <f>$A$8</f>
        <v>Bellevue Downtown</v>
      </c>
      <c r="M8" s="21" t="n">
        <v>642.910988062807</v>
      </c>
      <c r="N8" s="21" t="n">
        <v>134.24133738944286</v>
      </c>
      <c r="O8" s="21" t="n">
        <v>101.47113764973861</v>
      </c>
      <c r="P8" s="21" t="n">
        <v>15.50728184948062</v>
      </c>
      <c r="Q8" s="21" t="n">
        <v>18.17197048685387</v>
      </c>
      <c r="R8" s="21" t="n">
        <v>2.244013605442187</v>
      </c>
      <c r="S8" s="21" t="n">
        <v>21.85046924190388</v>
      </c>
      <c r="T8" s="21">
        <v>1069.8725374786757</v>
      </c>
      <c r="U8" s="21">
        <f>SUM(M8:T8)</f>
        <v>2061.3725374786754</v>
      </c>
    </row>
    <row r="9" spans="1:22" x14ac:dyDescent="0.25">
      <c r="A9" t="s">
        <v>256</v>
      </c>
      <c r="B9" s="21" t="n">
        <v>2429.896</v>
      </c>
      <c r="C9" s="21" t="n">
        <v>169.878</v>
      </c>
      <c r="D9" s="21" t="n">
        <v>14636.3289</v>
      </c>
      <c r="E9" s="21" t="n">
        <v>130.9662</v>
      </c>
      <c r="F9" s="21" t="n">
        <v>32.688</v>
      </c>
      <c r="G9" s="21" t="n">
        <v>4.161</v>
      </c>
      <c r="H9" s="21" t="n">
        <v>10.346</v>
      </c>
      <c r="I9" s="21">
        <v>28396.036</v>
      </c>
      <c r="J9" s="21">
        <f si="0" t="shared"/>
        <v>45810.3001</v>
      </c>
      <c r="K9" s="20"/>
      <c r="L9" s="7" t="str">
        <f>$A$9</f>
        <v>Kirkland</v>
      </c>
      <c r="M9" s="21" t="n">
        <v>1877.9405223676729</v>
      </c>
      <c r="N9" s="21" t="n">
        <v>79.74310854869849</v>
      </c>
      <c r="O9" s="21" t="n">
        <v>19920.176345959644</v>
      </c>
      <c r="P9" s="21" t="n">
        <v>2602.2580218210196</v>
      </c>
      <c r="Q9" s="21" t="n">
        <v>1358.6075519481471</v>
      </c>
      <c r="R9" s="21" t="n">
        <v>29.11864188792603</v>
      </c>
      <c r="S9" s="21" t="n">
        <v>2006.1372581503101</v>
      </c>
      <c r="T9" s="21">
        <v>5418.9547298933257</v>
      </c>
      <c r="U9" s="21">
        <f>SUM(M9:T9)</f>
        <v>32322.704729893325</v>
      </c>
      <c r="V9" s="7"/>
    </row>
    <row r="10" spans="1:22" x14ac:dyDescent="0.25">
      <c r="A10" t="s">
        <v>257</v>
      </c>
      <c r="B10" s="21" t="n">
        <v>1720.9702</v>
      </c>
      <c r="C10" s="21" t="n">
        <v>230.2899</v>
      </c>
      <c r="D10" s="21" t="n">
        <v>3736.0108</v>
      </c>
      <c r="E10" s="21" t="n">
        <v>18799.0604</v>
      </c>
      <c r="F10" s="21" t="n">
        <v>802.5203</v>
      </c>
      <c r="G10" s="21" t="n">
        <v>3.675</v>
      </c>
      <c r="H10" s="21" t="n">
        <v>245.1527</v>
      </c>
      <c r="I10" s="21">
        <v>20922.748800000001</v>
      </c>
      <c r="J10" s="21">
        <f si="0" t="shared"/>
        <v>46460.428099999997</v>
      </c>
      <c r="K10" s="20"/>
      <c r="L10" s="7" t="str">
        <f>$A$10</f>
        <v>Redmond</v>
      </c>
      <c r="M10" s="21" t="n">
        <v>4037.2988834050875</v>
      </c>
      <c r="N10" s="21" t="n">
        <v>42.81384615384615</v>
      </c>
      <c r="O10" s="21" t="n">
        <v>4943.962623604921</v>
      </c>
      <c r="P10" s="21" t="n">
        <v>12844.179909065124</v>
      </c>
      <c r="Q10" s="21" t="n">
        <v>253.03145829997095</v>
      </c>
      <c r="R10" s="21" t="n">
        <v>23.23417085427137</v>
      </c>
      <c r="S10" s="21" t="n">
        <v>1931.9861309357643</v>
      </c>
      <c r="T10" s="21">
        <v>5838.2308904845268</v>
      </c>
      <c r="U10" s="21">
        <f ref="U10:U13" si="1" t="shared">SUM(M10:T10)</f>
        <v>28435.230890484527</v>
      </c>
      <c r="V10" s="7"/>
    </row>
    <row r="11" spans="1:22" x14ac:dyDescent="0.25">
      <c r="A11" t="s">
        <v>253</v>
      </c>
      <c r="B11" s="21" t="n">
        <v>352.4101</v>
      </c>
      <c r="C11" s="21" t="n">
        <v>19.176000000000002</v>
      </c>
      <c r="D11" s="21" t="n">
        <v>706.4488</v>
      </c>
      <c r="E11" s="21" t="n">
        <v>4.443</v>
      </c>
      <c r="F11" s="21" t="n">
        <v>89339.2028</v>
      </c>
      <c r="G11" s="21" t="n">
        <v>2676.5947</v>
      </c>
      <c r="H11" s="21" t="n">
        <v>3242.9781000000003</v>
      </c>
      <c r="I11" s="21">
        <v>16278.067500000001</v>
      </c>
      <c r="J11" s="21">
        <f si="0" t="shared"/>
        <v>112619.321</v>
      </c>
      <c r="K11" s="20"/>
      <c r="L11" s="7" t="str">
        <f>$A$11</f>
        <v>Seattle</v>
      </c>
      <c r="M11" s="21" t="n">
        <v>3006.649052188163</v>
      </c>
      <c r="N11" s="21" t="n">
        <v>31.421590149627114</v>
      </c>
      <c r="O11" s="21" t="n">
        <v>3290.1663680037336</v>
      </c>
      <c r="P11" s="21" t="n">
        <v>240.8433931117374</v>
      </c>
      <c r="Q11" s="21" t="n">
        <v>95510.48343534788</v>
      </c>
      <c r="R11" s="21" t="n">
        <v>2971.9313707018387</v>
      </c>
      <c r="S11" s="21" t="n">
        <v>8143.045607052733</v>
      </c>
      <c r="T11" s="21">
        <v>2309.1428943957899</v>
      </c>
      <c r="U11" s="21">
        <f si="1" t="shared"/>
        <v>119792.25755978993</v>
      </c>
      <c r="V11" s="7"/>
    </row>
    <row r="12" spans="1:22" x14ac:dyDescent="0.25">
      <c r="A12" t="s">
        <v>258</v>
      </c>
      <c r="B12" s="21" t="n">
        <v>0.0</v>
      </c>
      <c r="C12" s="21" t="n">
        <v>0.0</v>
      </c>
      <c r="D12" s="21" t="n">
        <v>0.0</v>
      </c>
      <c r="E12" s="21" t="n">
        <v>0.0</v>
      </c>
      <c r="F12" s="21" t="n">
        <v>1835.1723</v>
      </c>
      <c r="G12" s="21" t="n">
        <v>799.1563</v>
      </c>
      <c r="H12" s="21" t="n">
        <v>0.0</v>
      </c>
      <c r="I12" s="21">
        <v>31584.733799999998</v>
      </c>
      <c r="J12" s="21">
        <f si="0" t="shared"/>
        <v>34219.062399999995</v>
      </c>
      <c r="K12" s="20"/>
      <c r="L12" s="7" t="str">
        <f>$A$12</f>
        <v>Seattle Downtown</v>
      </c>
      <c r="M12" s="21" t="n">
        <v>371.7450836943135</v>
      </c>
      <c r="N12" s="21" t="n">
        <v>1.15</v>
      </c>
      <c r="O12" s="21" t="n">
        <v>64.19704955376291</v>
      </c>
      <c r="P12" s="21" t="n">
        <v>10.005931161919255</v>
      </c>
      <c r="Q12" s="21" t="n">
        <v>1627.6497292524443</v>
      </c>
      <c r="R12" s="21" t="n">
        <v>2045.8260909068542</v>
      </c>
      <c r="S12" s="21" t="n">
        <v>81.3679947912041</v>
      </c>
      <c r="T12" s="21">
        <v>4066.7245950088954</v>
      </c>
      <c r="U12" s="21">
        <f si="1" t="shared"/>
        <v>9210.1794932108587</v>
      </c>
      <c r="V12" s="7"/>
    </row>
    <row r="13" spans="1:22" x14ac:dyDescent="0.25">
      <c r="A13" s="7" t="s">
        <v>259</v>
      </c>
      <c r="B13" s="21" t="n">
        <v>6247.4189</v>
      </c>
      <c r="C13" s="21" t="n">
        <v>0.0</v>
      </c>
      <c r="D13" s="21" t="n">
        <v>9915.681999999999</v>
      </c>
      <c r="E13" s="21" t="n">
        <v>2209.2274</v>
      </c>
      <c r="F13" s="21" t="n">
        <v>13302.1106</v>
      </c>
      <c r="G13" s="21" t="n">
        <v>80.047</v>
      </c>
      <c r="H13" s="21" t="n">
        <v>398350.2527</v>
      </c>
      <c r="I13" s="21"/>
      <c r="J13" s="21">
        <f>SUM(B13:I13)</f>
        <v>430104.73859999998</v>
      </c>
      <c r="K13" s="20"/>
      <c r="L13" t="str">
        <f>$A$13</f>
        <v>Rest</v>
      </c>
      <c r="M13" s="21" t="n">
        <v>12293.30529228928</v>
      </c>
      <c r="N13" s="21" t="n">
        <v>193.57588406236437</v>
      </c>
      <c r="O13" s="21" t="n">
        <v>9828.772630367823</v>
      </c>
      <c r="P13" s="21" t="n">
        <v>5389.710376227184</v>
      </c>
      <c r="Q13" s="21" t="n">
        <v>12122.035570617736</v>
      </c>
      <c r="R13" s="21" t="n">
        <v>625.2653701130653</v>
      </c>
      <c r="S13" s="21" t="n">
        <v>560354.054511574</v>
      </c>
      <c r="T13" s="21"/>
      <c r="U13" s="21">
        <f si="1" t="shared"/>
        <v>571905.22076016292</v>
      </c>
    </row>
    <row r="14" spans="1:22" x14ac:dyDescent="0.25">
      <c r="A14" s="25" t="s">
        <v>12</v>
      </c>
      <c r="B14" s="21"/>
      <c r="C14" s="21"/>
      <c r="D14" s="21"/>
      <c r="E14" s="21"/>
      <c r="F14" s="21"/>
      <c r="G14" s="21"/>
      <c r="H14" s="21"/>
      <c r="I14" s="21"/>
      <c r="J14" s="21"/>
      <c r="K14" s="20"/>
      <c r="L14" s="25" t="s">
        <v>12</v>
      </c>
      <c r="M14" s="21"/>
      <c r="N14" s="21"/>
      <c r="O14" s="21"/>
      <c r="P14" s="21"/>
      <c r="Q14" s="21"/>
      <c r="R14" s="21"/>
      <c r="S14" s="21"/>
      <c r="T14" s="21"/>
      <c r="U14" s="21"/>
    </row>
    <row ht="15.75" r="15" spans="1:22" thickBot="1" x14ac:dyDescent="0.3">
      <c r="A15" s="12" t="s">
        <v>3</v>
      </c>
      <c r="B15" s="53">
        <f ref="B15:G15" si="2" t="shared">SUM(B7:B13)</f>
        <v>33356.483</v>
      </c>
      <c r="C15" s="53">
        <f si="2" t="shared"/>
        <v>423.7869</v>
      </c>
      <c r="D15" s="53">
        <f si="2" t="shared"/>
        <v>29170.828399999999</v>
      </c>
      <c r="E15" s="53">
        <f si="2" t="shared"/>
        <v>21143.696999999996</v>
      </c>
      <c r="F15" s="53">
        <f si="2" t="shared"/>
        <v>106419.91160000001</v>
      </c>
      <c r="G15" s="53">
        <f si="2" t="shared"/>
        <v>3853.6853000000001</v>
      </c>
      <c r="H15" s="53"/>
      <c r="I15" s="53">
        <f>SUM(I7:I13)</f>
        <v>109078.5074</v>
      </c>
      <c r="J15" s="53">
        <f>SUM(J7:J13)</f>
        <v>705894.4057</v>
      </c>
      <c r="K15" s="20"/>
      <c r="L15" s="53" t="s">
        <v>3</v>
      </c>
      <c r="M15" s="53">
        <f ref="M15:S15" si="3" t="shared">SUM(M7:M13)</f>
        <v>44959.487161908881</v>
      </c>
      <c r="N15" s="53">
        <f si="3" t="shared"/>
        <v>941.66613732800442</v>
      </c>
      <c r="O15" s="53">
        <f si="3" t="shared"/>
        <v>36853.775135847638</v>
      </c>
      <c r="P15" s="53">
        <f si="3" t="shared"/>
        <v>20347.769542588929</v>
      </c>
      <c r="Q15" s="53">
        <f si="3" t="shared"/>
        <v>109785.7632623914</v>
      </c>
      <c r="R15" s="53">
        <f si="3" t="shared"/>
        <v>6904.4871752753552</v>
      </c>
      <c r="S15" s="53">
        <f si="3" t="shared"/>
        <v>558154.09190841881</v>
      </c>
      <c r="T15" s="53">
        <f>SUM(T7:T13)</f>
        <v>21047.425647261214</v>
      </c>
      <c r="U15" s="53">
        <f>SUM(U7:U13)</f>
        <v>798994.46597102028</v>
      </c>
    </row>
    <row ht="15.75" r="18" spans="1:32" thickBot="1" x14ac:dyDescent="0.3">
      <c r="A18" s="4" t="s">
        <v>195</v>
      </c>
      <c r="B18" s="1"/>
      <c r="C18" s="1"/>
      <c r="D18" s="1"/>
      <c r="E18" s="1"/>
      <c r="F18" s="1"/>
      <c r="G18" s="1"/>
      <c r="H18" s="1"/>
      <c r="I18" s="1"/>
      <c r="J18" s="1"/>
      <c r="L18" s="46"/>
      <c r="M18" s="7"/>
      <c r="N18" s="7"/>
      <c r="O18" s="7"/>
      <c r="P18" s="7"/>
      <c r="Q18" s="7"/>
      <c r="R18" s="7"/>
      <c r="S18" s="7"/>
      <c r="T18" s="7"/>
      <c r="U18" s="7"/>
    </row>
    <row r="19" spans="1:32" x14ac:dyDescent="0.25">
      <c r="A19" s="2" t="s">
        <v>11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12</v>
      </c>
      <c r="J19" s="3" t="s">
        <v>3</v>
      </c>
      <c r="L19" s="7"/>
      <c r="M19" s="47"/>
      <c r="N19" s="47"/>
      <c r="O19" s="47"/>
      <c r="P19" s="47"/>
      <c r="Q19" s="47"/>
      <c r="R19" s="47"/>
      <c r="S19" s="47"/>
      <c r="T19" s="47"/>
      <c r="U19" s="47"/>
    </row>
    <row r="20" spans="1:32" x14ac:dyDescent="0.25">
      <c r="A20" t="str">
        <f>$A$7</f>
        <v>Bellevue</v>
      </c>
      <c r="B20" s="20">
        <f ref="B20:G26" si="4" t="shared">($U7/$J7)*B7</f>
        <v>24476.765626556706</v>
      </c>
      <c r="C20" s="20">
        <f si="4" t="shared"/>
        <v>0</v>
      </c>
      <c r="D20" s="20">
        <f si="4" t="shared"/>
        <v>191.65080615870323</v>
      </c>
      <c r="E20" s="20">
        <f si="4" t="shared"/>
        <v>0</v>
      </c>
      <c r="F20" s="20">
        <f si="4" t="shared"/>
        <v>1084.6713897566287</v>
      </c>
      <c r="G20" s="20">
        <f si="4" t="shared"/>
        <v>302.07889006617353</v>
      </c>
      <c r="H20" s="20">
        <f ref="H20" si="5" t="shared">($U7/$J7)*H7</f>
        <v>650.69961764665709</v>
      </c>
      <c r="I20" s="20">
        <f ref="I20:J26" si="6" t="shared">($U7/$J7)*I7</f>
        <v>8561.6336698151299</v>
      </c>
      <c r="J20" s="20">
        <f si="6" t="shared"/>
        <v>35267.5</v>
      </c>
      <c r="K20" s="20"/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32" x14ac:dyDescent="0.25">
      <c r="A21" t="str">
        <f>$A$8</f>
        <v>Bellevue Downtown</v>
      </c>
      <c r="B21" s="20">
        <f si="4" t="shared"/>
        <v>40.065556771496098</v>
      </c>
      <c r="C21" s="20">
        <f si="4" t="shared"/>
        <v>2.1665808860725315</v>
      </c>
      <c r="D21" s="20">
        <f si="4" t="shared"/>
        <v>0</v>
      </c>
      <c r="E21" s="20">
        <f si="4" t="shared"/>
        <v>0</v>
      </c>
      <c r="F21" s="20">
        <f si="4" t="shared"/>
        <v>53.68824496265573</v>
      </c>
      <c r="G21" s="20">
        <f si="4" t="shared"/>
        <v>5.8892184022277663</v>
      </c>
      <c r="H21" s="20">
        <f ref="H21" si="7" t="shared">($U8/$J8)*H8</f>
        <v>0</v>
      </c>
      <c r="I21" s="20">
        <f si="6" t="shared"/>
        <v>1959.5629364562233</v>
      </c>
      <c r="J21" s="20">
        <f si="6" t="shared"/>
        <v>2061.3725374786754</v>
      </c>
      <c r="K21" s="20"/>
      <c r="L21" s="21"/>
      <c r="M21" s="21"/>
      <c r="N21" s="21"/>
      <c r="O21" s="21"/>
      <c r="P21" s="21"/>
      <c r="Q21" s="21"/>
      <c r="R21" s="21"/>
      <c r="S21" s="21"/>
      <c r="T21" s="21"/>
      <c r="U21" s="21"/>
    </row>
    <row r="22" spans="1:32" x14ac:dyDescent="0.25">
      <c r="A22" t="str">
        <f>$A$9</f>
        <v>Kirkland</v>
      </c>
      <c r="B22" s="20">
        <f si="4" t="shared"/>
        <v>1714.4792931044096</v>
      </c>
      <c r="C22" s="20">
        <f si="4" t="shared"/>
        <v>119.86204897410872</v>
      </c>
      <c r="D22" s="20">
        <f si="4" t="shared"/>
        <v>10327.060428148217</v>
      </c>
      <c r="E22" s="20">
        <f si="4" t="shared"/>
        <v>92.406768847955107</v>
      </c>
      <c r="F22" s="20">
        <f si="4" t="shared"/>
        <v>23.06390855122892</v>
      </c>
      <c r="G22" s="20">
        <f si="4" t="shared"/>
        <v>2.9359068612843711</v>
      </c>
      <c r="H22" s="20">
        <f ref="H22" si="8" t="shared">($U9/$J9)*H9</f>
        <v>7.2999020396174243</v>
      </c>
      <c r="I22" s="20">
        <f si="6" t="shared"/>
        <v>20035.596473366502</v>
      </c>
      <c r="J22" s="20">
        <f si="6" t="shared"/>
        <v>32322.704729893321</v>
      </c>
      <c r="K22" s="20"/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32" x14ac:dyDescent="0.25">
      <c r="A23" t="str">
        <f>$A$10</f>
        <v>Redmond</v>
      </c>
      <c r="B23" s="20">
        <f si="4" t="shared"/>
        <v>1053.2874317755873</v>
      </c>
      <c r="C23" s="20">
        <f si="4" t="shared"/>
        <v>140.94460051362705</v>
      </c>
      <c r="D23" s="20">
        <f si="4" t="shared"/>
        <v>2286.5551190937867</v>
      </c>
      <c r="E23" s="20">
        <f si="4" t="shared"/>
        <v>11505.611223547128</v>
      </c>
      <c r="F23" s="20">
        <f si="4" t="shared"/>
        <v>491.16745062452213</v>
      </c>
      <c r="G23" s="20">
        <f si="4" t="shared"/>
        <v>2.2492146068393768</v>
      </c>
      <c r="H23" s="20">
        <f ref="H23" si="9" t="shared">($U10/$J10)*H10</f>
        <v>150.04109761798958</v>
      </c>
      <c r="I23" s="20">
        <f si="6" t="shared"/>
        <v>12805.374752705045</v>
      </c>
      <c r="J23" s="20">
        <f si="6" t="shared"/>
        <v>28435.230890484523</v>
      </c>
      <c r="K23" s="20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32" x14ac:dyDescent="0.25">
      <c r="A24" t="str">
        <f>$A$11</f>
        <v>Seattle</v>
      </c>
      <c r="B24" s="20">
        <f si="4" t="shared"/>
        <v>374.8557626792238</v>
      </c>
      <c r="C24" s="20">
        <f si="4" t="shared"/>
        <v>20.397355538722628</v>
      </c>
      <c r="D24" s="20">
        <f si="4" t="shared"/>
        <v>751.44385395827885</v>
      </c>
      <c r="E24" s="20">
        <f si="4" t="shared"/>
        <v>4.7259830339249387</v>
      </c>
      <c r="F24" s="20">
        <f si="4" t="shared"/>
        <v>95029.384806927628</v>
      </c>
      <c r="G24" s="20">
        <f si="4" t="shared"/>
        <v>2847.0720551189315</v>
      </c>
      <c r="H24" s="20">
        <f ref="H24" si="10" t="shared">($U11/$J11)*H11</f>
        <v>3449.5294800788065</v>
      </c>
      <c r="I24" s="20">
        <f si="6" t="shared"/>
        <v>17314.848262454412</v>
      </c>
      <c r="J24" s="20">
        <f si="6" t="shared"/>
        <v>119792.25755978991</v>
      </c>
      <c r="K24" s="20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32" x14ac:dyDescent="0.25">
      <c r="A25" t="str">
        <f>$A$12</f>
        <v>Seattle Downtown</v>
      </c>
      <c r="B25" s="20">
        <f si="4" t="shared"/>
        <v>0</v>
      </c>
      <c r="C25" s="20">
        <f si="4" t="shared"/>
        <v>0</v>
      </c>
      <c r="D25" s="20">
        <f si="4" t="shared"/>
        <v>0</v>
      </c>
      <c r="E25" s="20">
        <f si="4" t="shared"/>
        <v>0</v>
      </c>
      <c r="F25" s="20">
        <f si="4" t="shared"/>
        <v>493.94299839052894</v>
      </c>
      <c r="G25" s="20">
        <f si="4" t="shared"/>
        <v>215.09569374204321</v>
      </c>
      <c r="H25" s="20">
        <f ref="H25:H26" si="11" t="shared">($U12/$J12)*H12</f>
        <v>0</v>
      </c>
      <c r="I25" s="20">
        <f si="6" t="shared"/>
        <v>8501.140801078287</v>
      </c>
      <c r="J25" s="20">
        <f si="6" t="shared"/>
        <v>9210.1794932108587</v>
      </c>
      <c r="K25" s="20"/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32" x14ac:dyDescent="0.25">
      <c r="A26" t="str">
        <f>$A$13</f>
        <v>Rest</v>
      </c>
      <c r="B26" s="20">
        <f si="4" t="shared"/>
        <v>8307.1195560776232</v>
      </c>
      <c r="C26" s="20">
        <f si="4" t="shared"/>
        <v>0</v>
      </c>
      <c r="D26" s="20">
        <f si="4" t="shared"/>
        <v>13184.765928541605</v>
      </c>
      <c r="E26" s="20">
        <f si="4" t="shared"/>
        <v>2937.5837337180196</v>
      </c>
      <c r="F26" s="20">
        <f si="4" t="shared"/>
        <v>17687.660275568756</v>
      </c>
      <c r="G26" s="20">
        <f si="4" t="shared"/>
        <v>106.4375560129873</v>
      </c>
      <c r="H26" s="20">
        <f si="11" t="shared"/>
        <v>529681.65371024399</v>
      </c>
      <c r="I26" s="20">
        <f si="6" t="shared"/>
        <v>0</v>
      </c>
      <c r="J26" s="20">
        <f si="6" t="shared"/>
        <v>571905.22076016292</v>
      </c>
      <c r="K26" s="20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32" x14ac:dyDescent="0.25">
      <c r="A27" s="8" t="s">
        <v>12</v>
      </c>
      <c r="B27" s="22" t="e">
        <f>($U14/$J14)*B14</f>
        <v>#DIV/0!</v>
      </c>
      <c r="C27" s="22" t="e">
        <f ref="C27:J27" si="12" t="shared">($U14/$J14)*C14</f>
        <v>#DIV/0!</v>
      </c>
      <c r="D27" s="22" t="e">
        <f si="12" t="shared"/>
        <v>#DIV/0!</v>
      </c>
      <c r="E27" s="22" t="e">
        <f si="12" t="shared"/>
        <v>#DIV/0!</v>
      </c>
      <c r="F27" s="22" t="e">
        <f si="12" t="shared"/>
        <v>#DIV/0!</v>
      </c>
      <c r="G27" s="22" t="e">
        <f si="12" t="shared"/>
        <v>#DIV/0!</v>
      </c>
      <c r="H27" s="22" t="e">
        <f si="12" t="shared"/>
        <v>#DIV/0!</v>
      </c>
      <c r="I27" s="22" t="e">
        <f si="12" t="shared"/>
        <v>#DIV/0!</v>
      </c>
      <c r="J27" s="22" t="e">
        <f si="12" t="shared"/>
        <v>#DIV/0!</v>
      </c>
      <c r="K27" s="20"/>
      <c r="L27" s="25"/>
      <c r="M27" s="21"/>
      <c r="N27" s="21"/>
      <c r="O27" s="21"/>
      <c r="P27" s="21"/>
      <c r="Q27" s="21"/>
      <c r="R27" s="21"/>
      <c r="S27" s="21"/>
      <c r="T27" s="21"/>
      <c r="U27" s="21"/>
    </row>
    <row ht="15.75" r="28" spans="1:32" thickBot="1" x14ac:dyDescent="0.3">
      <c r="A28" s="1" t="s">
        <v>3</v>
      </c>
      <c r="B28" s="24">
        <f ref="B28:H28" si="13" t="shared">($U15/$J15)*B15</f>
        <v>37755.85286701248</v>
      </c>
      <c r="C28" s="24">
        <f si="13" t="shared"/>
        <v>479.6799423778379</v>
      </c>
      <c r="D28" s="24">
        <f si="13" t="shared"/>
        <v>33018.154374346632</v>
      </c>
      <c r="E28" s="24">
        <f si="13" t="shared"/>
        <v>23932.328626992628</v>
      </c>
      <c r="F28" s="24">
        <f si="13" t="shared"/>
        <v>120455.58053857401</v>
      </c>
      <c r="G28" s="24">
        <f si="13" t="shared"/>
        <v>4361.9459276497719</v>
      </c>
      <c r="H28" s="24">
        <f si="13" t="shared"/>
        <v>0</v>
      </c>
      <c r="I28" s="24">
        <f>($U15/$J15)*I15</f>
        <v>123464.81720952812</v>
      </c>
      <c r="J28" s="24">
        <f>($U15/$J15)*J15</f>
        <v>798994.46597102017</v>
      </c>
      <c r="K28" s="20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ht="15.75" r="31" spans="1:32" thickBot="1" x14ac:dyDescent="0.3">
      <c r="A31" s="4" t="s">
        <v>195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28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37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11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12</v>
      </c>
      <c r="J32" s="3" t="s">
        <v>3</v>
      </c>
      <c r="L32" s="2" t="s">
        <v>11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12</v>
      </c>
      <c r="U32" s="3" t="s">
        <v>3</v>
      </c>
      <c r="W32" s="2" t="s">
        <v>11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12</v>
      </c>
      <c r="AF32" s="3" t="s">
        <v>3</v>
      </c>
    </row>
    <row r="33" spans="1:32" x14ac:dyDescent="0.25">
      <c r="A33" t="str">
        <f>$A$7</f>
        <v>Bellevue</v>
      </c>
      <c r="B33" s="26">
        <f ref="B33:J39" si="14" t="shared">B20/$J$28</f>
        <v>3.0634462025728833E-2</v>
      </c>
      <c r="C33" s="26">
        <f si="14" t="shared"/>
        <v>0</v>
      </c>
      <c r="D33" s="26">
        <f si="14" t="shared"/>
        <v>2.3986499822096951E-4</v>
      </c>
      <c r="E33" s="26">
        <f si="14" t="shared"/>
        <v>0</v>
      </c>
      <c r="F33" s="26">
        <f si="14" t="shared"/>
        <v>1.3575455600163947E-3</v>
      </c>
      <c r="G33" s="26">
        <f si="14" t="shared"/>
        <v>3.7807382019731039E-4</v>
      </c>
      <c r="H33" s="26">
        <f ref="H33" si="15" t="shared">H20/$J$28</f>
        <v>8.1439815337877228E-4</v>
      </c>
      <c r="I33" s="26">
        <f ref="I33:J39" si="16" t="shared">I20/$J$28</f>
        <v>1.0715510600452224E-2</v>
      </c>
      <c r="J33" s="26">
        <f si="16" t="shared"/>
        <v>4.4139855157994505E-2</v>
      </c>
      <c r="L33" t="str">
        <f>$A$7</f>
        <v>Bellevue</v>
      </c>
      <c r="M33" s="26">
        <f ref="M33:U39" si="17" t="shared">M7/$U$15</f>
        <v>3.2372877537474906E-2</v>
      </c>
      <c r="N33" s="26">
        <f si="17" t="shared"/>
        <v>6.5551142380377452E-4</v>
      </c>
      <c r="O33" s="26">
        <f si="17" t="shared"/>
        <v>2.3282389043073446E-3</v>
      </c>
      <c r="P33" s="26">
        <f si="17" t="shared"/>
        <v>1.6207871958489508E-3</v>
      </c>
      <c r="Q33" s="26">
        <f si="17" t="shared"/>
        <v>9.9781667327457618E-4</v>
      </c>
      <c r="R33" s="26">
        <f si="17" t="shared"/>
        <v>1.1858655351867807E-4</v>
      </c>
      <c r="S33" s="26">
        <f ref="S33" si="18" t="shared">S7/$U$15</f>
        <v>3.1117236800613547E-3</v>
      </c>
      <c r="T33" s="26">
        <f ref="T33:U38" si="19" t="shared">T7/$U$15</f>
        <v>2.9343131897049154E-3</v>
      </c>
      <c r="U33" s="26">
        <f si="19" t="shared"/>
        <v>4.4139855157994498E-2</v>
      </c>
      <c r="W33" t="str">
        <f>$A$7</f>
        <v>Bellevue</v>
      </c>
      <c r="X33" s="26">
        <f ref="X33:Z35" si="20" t="shared">M33-B33</f>
        <v>1.7384155117460727E-3</v>
      </c>
      <c r="Y33" s="26">
        <f si="20" t="shared"/>
        <v>6.5551142380377452E-4</v>
      </c>
      <c r="Z33" s="26">
        <f si="20" t="shared"/>
        <v>2.0883739060863749E-3</v>
      </c>
      <c r="AA33" s="26">
        <f ref="AA33:AA35" si="21" t="shared">P33-E33</f>
        <v>1.6207871958489508E-3</v>
      </c>
      <c r="AB33" s="26">
        <f ref="AB33:AB35" si="22" t="shared">Q33-F33</f>
        <v>-3.5972888674181856E-4</v>
      </c>
      <c r="AC33" s="26">
        <f ref="AC33:AD40" si="23" t="shared">R33-G33</f>
        <v>-2.5948726667863233E-4</v>
      </c>
      <c r="AD33" s="26">
        <f si="23" t="shared"/>
        <v>2.2973255266825823E-3</v>
      </c>
      <c r="AE33" s="26">
        <f ref="AE33:AF35" si="24" t="shared">T33-I33</f>
        <v>-7.7811974107473078E-3</v>
      </c>
      <c r="AF33" s="26">
        <f si="24" t="shared"/>
        <v>0</v>
      </c>
    </row>
    <row r="34" spans="1:32" x14ac:dyDescent="0.25">
      <c r="A34" t="str">
        <f>$A$8</f>
        <v>Bellevue Downtown</v>
      </c>
      <c r="B34" s="26">
        <f si="14" t="shared"/>
        <v>5.0144974061621712E-5</v>
      </c>
      <c r="C34" s="26">
        <f si="14" t="shared"/>
        <v>2.711634408430451E-6</v>
      </c>
      <c r="D34" s="26">
        <f si="14" t="shared"/>
        <v>0</v>
      </c>
      <c r="E34" s="26">
        <f si="14" t="shared"/>
        <v>0</v>
      </c>
      <c r="F34" s="26">
        <f si="14" t="shared"/>
        <v>6.7194764481138503E-5</v>
      </c>
      <c r="G34" s="26">
        <f si="14" t="shared"/>
        <v>7.3707874748175925E-6</v>
      </c>
      <c r="H34" s="26">
        <f ref="H34" si="25" t="shared">H21/$J$28</f>
        <v>0</v>
      </c>
      <c r="I34" s="26">
        <f si="16" t="shared"/>
        <v>2.4525363064620991E-3</v>
      </c>
      <c r="J34" s="26">
        <f si="16" t="shared"/>
        <v>2.5799584668881074E-3</v>
      </c>
      <c r="L34" t="str">
        <f>$A$8</f>
        <v>Bellevue Downtown</v>
      </c>
      <c r="M34" s="26">
        <f si="17" t="shared"/>
        <v>8.0820334495711199E-4</v>
      </c>
      <c r="N34" s="26">
        <f si="17" t="shared"/>
        <v>1.7396866426486809E-4</v>
      </c>
      <c r="O34" s="26">
        <f si="17" t="shared"/>
        <v>1.3078939147970298E-4</v>
      </c>
      <c r="P34" s="26">
        <f si="17" t="shared"/>
        <v>2.9099075137828655E-5</v>
      </c>
      <c r="Q34" s="26">
        <f si="17" t="shared"/>
        <v>3.1915114667295944E-5</v>
      </c>
      <c r="R34" s="26">
        <f si="17" t="shared"/>
        <v>4.0676126536749733E-6</v>
      </c>
      <c r="S34" s="26">
        <f ref="S34" si="26" t="shared">S8/$U$15</f>
        <v>6.2891549491436122E-5</v>
      </c>
      <c r="T34" s="26">
        <f si="19" t="shared"/>
        <v>1.3390237142361888E-3</v>
      </c>
      <c r="U34" s="26">
        <f si="19" t="shared"/>
        <v>2.5799584668881074E-3</v>
      </c>
      <c r="W34" t="str">
        <f>$A$8</f>
        <v>Bellevue Downtown</v>
      </c>
      <c r="X34" s="26">
        <f si="20" t="shared"/>
        <v>7.5805837089549025E-4</v>
      </c>
      <c r="Y34" s="26">
        <f si="20" t="shared"/>
        <v>1.7125702985643762E-4</v>
      </c>
      <c r="Z34" s="26">
        <f si="20" t="shared"/>
        <v>1.3078939147970298E-4</v>
      </c>
      <c r="AA34" s="26">
        <f si="21" t="shared"/>
        <v>2.9099075137828655E-5</v>
      </c>
      <c r="AB34" s="26">
        <f si="22" t="shared"/>
        <v>-3.5279649813842558E-5</v>
      </c>
      <c r="AC34" s="26">
        <f si="23" t="shared"/>
        <v>-3.3031748211426192E-6</v>
      </c>
      <c r="AD34" s="26">
        <f si="23" t="shared"/>
        <v>6.2891549491436122E-5</v>
      </c>
      <c r="AE34" s="26">
        <f si="24" t="shared"/>
        <v>-1.1135125922259103E-3</v>
      </c>
      <c r="AF34" s="26">
        <f si="24" t="shared"/>
        <v>0</v>
      </c>
    </row>
    <row r="35" spans="1:32" x14ac:dyDescent="0.25">
      <c r="A35" t="str">
        <f>$A$9</f>
        <v>Kirkland</v>
      </c>
      <c r="B35" s="26">
        <f si="14" t="shared"/>
        <v>2.1457962052600682E-3</v>
      </c>
      <c r="C35" s="26">
        <f si="14" t="shared"/>
        <v>1.5001611910845972E-4</v>
      </c>
      <c r="D35" s="26">
        <f si="14" t="shared"/>
        <v>1.2925071283939011E-2</v>
      </c>
      <c r="E35" s="26">
        <f si="14" t="shared"/>
        <v>1.1565382838497249E-4</v>
      </c>
      <c r="F35" s="26">
        <f si="14" t="shared"/>
        <v>2.8866168081901903E-5</v>
      </c>
      <c r="G35" s="26">
        <f si="14" t="shared"/>
        <v>3.6745021227604569E-6</v>
      </c>
      <c r="H35" s="26">
        <f ref="H35" si="27" t="shared">H22/$J$28</f>
        <v>9.136361202134026E-6</v>
      </c>
      <c r="I35" s="26">
        <f si="16" t="shared"/>
        <v>2.5076014073535775E-2</v>
      </c>
      <c r="J35" s="26">
        <f si="16" t="shared"/>
        <v>4.0454228541635079E-2</v>
      </c>
      <c r="L35" t="str">
        <f>$A$9</f>
        <v>Kirkland</v>
      </c>
      <c r="M35" s="26">
        <f si="17" t="shared"/>
        <v>2.0632182952563674E-3</v>
      </c>
      <c r="N35" s="26">
        <f si="17" t="shared"/>
        <v>7.5407280733512966E-5</v>
      </c>
      <c r="O35" s="26">
        <f si="17" t="shared"/>
        <v>2.4027700838539119E-2</v>
      </c>
      <c r="P35" s="26">
        <f si="17" t="shared"/>
        <v>2.7816212685515779E-3</v>
      </c>
      <c r="Q35" s="26">
        <f si="17" t="shared"/>
        <v>1.5384962629322956E-3</v>
      </c>
      <c r="R35" s="26">
        <f si="17" t="shared"/>
        <v>5.3191857778826572E-5</v>
      </c>
      <c r="S35" s="26">
        <f ref="S35" si="28" t="shared">S9/$U$15</f>
        <v>3.1323746366107813E-3</v>
      </c>
      <c r="T35" s="26">
        <f si="19" t="shared"/>
        <v>6.7822181012325965E-3</v>
      </c>
      <c r="U35" s="26">
        <f si="19" t="shared"/>
        <v>4.0454228541635079E-2</v>
      </c>
      <c r="W35" t="str">
        <f>$A$9</f>
        <v>Kirkland</v>
      </c>
      <c r="X35" s="26">
        <f si="20" t="shared"/>
        <v>-8.2577910003700777E-5</v>
      </c>
      <c r="Y35" s="26">
        <f si="20" t="shared"/>
        <v>-7.4608838374946751E-5</v>
      </c>
      <c r="Z35" s="26">
        <f si="20" t="shared"/>
        <v>1.1102629554600108E-2</v>
      </c>
      <c r="AA35" s="26">
        <f si="21" t="shared"/>
        <v>2.6659674401666054E-3</v>
      </c>
      <c r="AB35" s="26">
        <f si="22" t="shared"/>
        <v>1.5096300948503937E-3</v>
      </c>
      <c r="AC35" s="26">
        <f si="23" t="shared"/>
        <v>4.9517355656066115E-5</v>
      </c>
      <c r="AD35" s="26">
        <f si="23" t="shared"/>
        <v>3.1232382754086472E-3</v>
      </c>
      <c r="AE35" s="26">
        <f si="24" t="shared"/>
        <v>-1.8293795972303177E-2</v>
      </c>
      <c r="AF35" s="26">
        <f si="24" t="shared"/>
        <v>0</v>
      </c>
    </row>
    <row r="36" spans="1:32" x14ac:dyDescent="0.25">
      <c r="A36" t="str">
        <f>$A$10</f>
        <v>Redmond</v>
      </c>
      <c r="B36" s="26">
        <f si="14" t="shared"/>
        <v>1.3182662416760598E-3</v>
      </c>
      <c r="C36" s="26">
        <f si="14" t="shared"/>
        <v>1.7640247400504418E-4</v>
      </c>
      <c r="D36" s="26">
        <f si="14" t="shared"/>
        <v>2.8617909340772842E-3</v>
      </c>
      <c r="E36" s="26">
        <f si="14" t="shared"/>
        <v>1.4400113784973877E-2</v>
      </c>
      <c r="F36" s="26">
        <f si="14" t="shared"/>
        <v>6.1473198068725664E-4</v>
      </c>
      <c r="G36" s="26">
        <f si="14" t="shared"/>
        <v>2.8150565524955171E-6</v>
      </c>
      <c r="H36" s="26">
        <f ref="H36" si="29" t="shared">H23/$J$28</f>
        <v>1.8778740530529735E-4</v>
      </c>
      <c r="I36" s="26">
        <f si="16" t="shared"/>
        <v>1.6026862885893257E-2</v>
      </c>
      <c r="J36" s="26">
        <f si="16" t="shared"/>
        <v>3.5588770763170567E-2</v>
      </c>
      <c r="L36" t="str">
        <f>$A$10</f>
        <v>Redmond</v>
      </c>
      <c r="M36" s="26">
        <f si="17" t="shared"/>
        <v>4.5651129705475274E-3</v>
      </c>
      <c r="N36" s="26">
        <f si="17" t="shared"/>
        <v>5.0688711530411203E-5</v>
      </c>
      <c r="O36" s="26">
        <f si="17" t="shared"/>
        <v>5.91743773125393E-3</v>
      </c>
      <c r="P36" s="26">
        <f si="17" t="shared"/>
        <v>1.4712554968342378E-2</v>
      </c>
      <c r="Q36" s="26">
        <f si="17" t="shared"/>
        <v>3.6139173961496879E-4</v>
      </c>
      <c r="R36" s="26">
        <f si="17" t="shared"/>
        <v>3.6608513883074757E-5</v>
      </c>
      <c r="S36" s="26">
        <f ref="S36" si="30" t="shared">S10/$U$15</f>
        <v>2.6380032525487461E-3</v>
      </c>
      <c r="T36" s="26">
        <f si="19" t="shared"/>
        <v>7.306972875449529E-3</v>
      </c>
      <c r="U36" s="26">
        <f si="19" t="shared"/>
        <v>3.5588770763170567E-2</v>
      </c>
      <c r="W36" t="str">
        <f>$A$10</f>
        <v>Redmond</v>
      </c>
      <c r="X36" s="26">
        <f ref="X36:X38" si="31" t="shared">M36-B36</f>
        <v>3.2468467288714678E-3</v>
      </c>
      <c r="Y36" s="26">
        <f ref="Y36:Y38" si="32" t="shared">N36-C36</f>
        <v>-1.2571376247463297E-4</v>
      </c>
      <c r="Z36" s="26">
        <f ref="Z36:Z38" si="33" t="shared">O36-D36</f>
        <v>3.0556467971766458E-3</v>
      </c>
      <c r="AA36" s="26">
        <f ref="AA36:AA38" si="34" t="shared">P36-E36</f>
        <v>3.1244118336850105E-4</v>
      </c>
      <c r="AB36" s="26">
        <f ref="AB36:AB38" si="35" t="shared">Q36-F36</f>
        <v>-2.5334024107228785E-4</v>
      </c>
      <c r="AC36" s="26">
        <f ref="AC36:AD38" si="36" t="shared">R36-G36</f>
        <v>3.3793457330579243E-5</v>
      </c>
      <c r="AD36" s="26">
        <f si="36" t="shared"/>
        <v>2.450215847243449E-3</v>
      </c>
      <c r="AE36" s="26">
        <f ref="AE36:AE39" si="37" t="shared">T36-I36</f>
        <v>-8.7198900104437285E-3</v>
      </c>
      <c r="AF36" s="26">
        <f ref="AF36:AF39" si="38" t="shared">U36-J36</f>
        <v>0</v>
      </c>
    </row>
    <row r="37" spans="1:32" x14ac:dyDescent="0.25">
      <c r="A37" t="str">
        <f>$A$11</f>
        <v>Seattle</v>
      </c>
      <c r="B37" s="26">
        <f si="14" t="shared"/>
        <v>4.6915939802369042E-4</v>
      </c>
      <c r="C37" s="26">
        <f si="14" t="shared"/>
        <v>2.5528781997173993E-5</v>
      </c>
      <c r="D37" s="26">
        <f si="14" t="shared"/>
        <v>9.4048693196522595E-4</v>
      </c>
      <c r="E37" s="26">
        <f si="14" t="shared"/>
        <v>5.9149133507219459E-6</v>
      </c>
      <c r="F37" s="26">
        <f si="14" t="shared"/>
        <v>0.11893622403434066</v>
      </c>
      <c r="G37" s="26">
        <f si="14" t="shared"/>
        <v>3.5633188668695932E-3</v>
      </c>
      <c r="H37" s="26">
        <f ref="H37" si="39" t="shared">H24/$J$28</f>
        <v>4.317338388428741E-3</v>
      </c>
      <c r="I37" s="26">
        <f si="16" t="shared"/>
        <v>2.1670798735022062E-2</v>
      </c>
      <c r="J37" s="26">
        <f si="16" t="shared"/>
        <v>0.14992877004999786</v>
      </c>
      <c r="L37" t="str">
        <f>$A$11</f>
        <v>Seattle</v>
      </c>
      <c r="M37" s="26">
        <f si="17" t="shared"/>
        <v>2.8377104029634727E-3</v>
      </c>
      <c r="N37" s="26">
        <f si="17" t="shared"/>
        <v>3.4999078109511367E-5</v>
      </c>
      <c r="O37" s="26">
        <f si="17" t="shared"/>
        <v>4.2589973582785748E-3</v>
      </c>
      <c r="P37" s="26">
        <f si="17" t="shared"/>
        <v>2.7746403245605439E-4</v>
      </c>
      <c r="Q37" s="26">
        <f si="17" t="shared"/>
        <v>0.11915614845268761</v>
      </c>
      <c r="R37" s="26">
        <f si="17" t="shared"/>
        <v>4.4715312709947717E-3</v>
      </c>
      <c r="S37" s="26">
        <f ref="S37" si="40" t="shared">S11/$U$15</f>
        <v>1.6001858267926931E-2</v>
      </c>
      <c r="T37" s="26">
        <f si="19" t="shared"/>
        <v>2.8900611865809132E-3</v>
      </c>
      <c r="U37" s="26">
        <f si="19" t="shared"/>
        <v>0.14992877004999786</v>
      </c>
      <c r="W37" t="str">
        <f>$A$11</f>
        <v>Seattle</v>
      </c>
      <c r="X37" s="26">
        <f si="31" t="shared"/>
        <v>2.3685510049397821E-3</v>
      </c>
      <c r="Y37" s="26">
        <f si="32" t="shared"/>
        <v>9.4702961123373741E-6</v>
      </c>
      <c r="Z37" s="26">
        <f si="33" t="shared"/>
        <v>3.318510426313349E-3</v>
      </c>
      <c r="AA37" s="26">
        <f si="34" t="shared"/>
        <v>2.7154911910533242E-4</v>
      </c>
      <c r="AB37" s="26">
        <f si="35" t="shared"/>
        <v>2.1992441834695065E-4</v>
      </c>
      <c r="AC37" s="26">
        <f si="36" t="shared"/>
        <v>9.0821240412517846E-4</v>
      </c>
      <c r="AD37" s="26">
        <f si="36" t="shared"/>
        <v>1.168451987949819E-2</v>
      </c>
      <c r="AE37" s="26">
        <f si="37" t="shared"/>
        <v>-1.8780737548441149E-2</v>
      </c>
      <c r="AF37" s="26">
        <f si="38" t="shared"/>
        <v>0</v>
      </c>
    </row>
    <row r="38" spans="1:32" x14ac:dyDescent="0.25">
      <c r="A38" t="str">
        <f>$A$12</f>
        <v>Seattle Downtown</v>
      </c>
      <c r="B38" s="26">
        <f si="14" t="shared"/>
        <v>0</v>
      </c>
      <c r="C38" s="26">
        <f si="14" t="shared"/>
        <v>0</v>
      </c>
      <c r="D38" s="26">
        <f si="14" t="shared"/>
        <v>0</v>
      </c>
      <c r="E38" s="26">
        <f si="14" t="shared"/>
        <v>0</v>
      </c>
      <c r="F38" s="26">
        <f si="14" t="shared"/>
        <v>6.182057816761455E-4</v>
      </c>
      <c r="G38" s="26">
        <f si="14" t="shared"/>
        <v>2.6920798942034826E-4</v>
      </c>
      <c r="H38" s="26">
        <f ref="H38:H39" si="41" t="shared">H25/$J$28</f>
        <v>0</v>
      </c>
      <c r="I38" s="26">
        <f si="16" t="shared"/>
        <v>1.0639799351734968E-2</v>
      </c>
      <c r="J38" s="26">
        <f si="16" t="shared"/>
        <v>1.152721312283146E-2</v>
      </c>
      <c r="L38" t="str">
        <f>$A$12</f>
        <v>Seattle Downtown</v>
      </c>
      <c r="M38" s="26">
        <f si="17" t="shared"/>
        <v>4.4987748733947336E-4</v>
      </c>
      <c r="N38" s="26">
        <f si="17" t="shared"/>
        <v>0</v>
      </c>
      <c r="O38" s="26">
        <f si="17" t="shared"/>
        <v>7.4238562980633171E-5</v>
      </c>
      <c r="P38" s="26">
        <f si="17" t="shared"/>
        <v>0</v>
      </c>
      <c r="Q38" s="26">
        <f si="17" t="shared"/>
        <v>2.415422634914548E-3</v>
      </c>
      <c r="R38" s="26">
        <f si="17" t="shared"/>
        <v>3.1247224940410064E-3</v>
      </c>
      <c r="S38" s="26">
        <f ref="S38" si="42" t="shared">S12/$U$15</f>
        <v>3.7314873688828559E-4</v>
      </c>
      <c r="T38" s="26">
        <f si="19" t="shared"/>
        <v>5.0898032066675125E-3</v>
      </c>
      <c r="U38" s="26">
        <f si="19" t="shared"/>
        <v>1.152721312283146E-2</v>
      </c>
      <c r="W38" t="str">
        <f>$A$12</f>
        <v>Seattle Downtown</v>
      </c>
      <c r="X38" s="26">
        <f si="31" t="shared"/>
        <v>4.4987748733947336E-4</v>
      </c>
      <c r="Y38" s="26">
        <f si="32" t="shared"/>
        <v>0</v>
      </c>
      <c r="Z38" s="26">
        <f si="33" t="shared"/>
        <v>7.4238562980633171E-5</v>
      </c>
      <c r="AA38" s="26">
        <f si="34" t="shared"/>
        <v>0</v>
      </c>
      <c r="AB38" s="26">
        <f si="35" t="shared"/>
        <v>1.7972168532384026E-3</v>
      </c>
      <c r="AC38" s="26">
        <f si="36" t="shared"/>
        <v>2.8555145046206582E-3</v>
      </c>
      <c r="AD38" s="26">
        <f si="36" t="shared"/>
        <v>3.7314873688828559E-4</v>
      </c>
      <c r="AE38" s="26">
        <f si="37" t="shared"/>
        <v>-5.5499961450674552E-3</v>
      </c>
      <c r="AF38" s="26">
        <f si="38" t="shared"/>
        <v>0</v>
      </c>
    </row>
    <row r="39" spans="1:32" x14ac:dyDescent="0.25">
      <c r="A39" t="str">
        <f>$A$13</f>
        <v>Rest</v>
      </c>
      <c r="B39" s="26">
        <f si="14" t="shared"/>
        <v>1.0396967575966823E-2</v>
      </c>
      <c r="C39" s="26">
        <f si="14" t="shared"/>
        <v>0</v>
      </c>
      <c r="D39" s="26">
        <f si="14" t="shared"/>
        <v>1.6501698685131846E-2</v>
      </c>
      <c r="E39" s="26">
        <f si="14" t="shared"/>
        <v>3.6766008512311358E-3</v>
      </c>
      <c r="F39" s="26">
        <f si="14" t="shared"/>
        <v>2.2137400231017738E-2</v>
      </c>
      <c r="G39" s="26">
        <f si="14" t="shared"/>
        <v>1.3321438451220492E-4</v>
      </c>
      <c r="H39" s="26">
        <f si="41" t="shared"/>
        <v>0.66293532216962281</v>
      </c>
      <c r="I39" s="26">
        <f si="16" t="shared"/>
        <v>0</v>
      </c>
      <c r="J39" s="26">
        <f si="14" t="shared"/>
        <v>0.71578120389748245</v>
      </c>
      <c r="L39" t="str">
        <f>$A$13</f>
        <v>Rest</v>
      </c>
      <c r="M39" s="26">
        <f si="17" t="shared"/>
        <v>1.3173085771466708E-2</v>
      </c>
      <c r="N39" s="26">
        <f si="17" t="shared"/>
        <v>1.8798887101411445E-4</v>
      </c>
      <c r="O39" s="26">
        <f si="17" t="shared"/>
        <v>9.3877916987809857E-3</v>
      </c>
      <c r="P39" s="26">
        <f si="17" t="shared"/>
        <v>6.0451949567391951E-3</v>
      </c>
      <c r="Q39" s="26">
        <f si="17" t="shared"/>
        <v>1.290371984174509E-2</v>
      </c>
      <c r="R39" s="26">
        <f si="17" t="shared"/>
        <v>8.327622821412326E-4</v>
      </c>
      <c r="S39" s="26">
        <f ref="S39" si="43" t="shared">S13/$U$15</f>
        <v>0.67325066047559512</v>
      </c>
      <c r="T39" s="26">
        <f si="17" t="shared"/>
        <v>0</v>
      </c>
      <c r="U39" s="26">
        <f si="17" t="shared"/>
        <v>0.71578120389748234</v>
      </c>
      <c r="W39" t="str">
        <f>$A$13</f>
        <v>Rest</v>
      </c>
      <c r="X39" s="26">
        <f ref="X39" si="44" t="shared">M39-B39</f>
        <v>2.7761181954998847E-3</v>
      </c>
      <c r="Y39" s="26">
        <f ref="Y39" si="45" t="shared">N39-C39</f>
        <v>1.8798887101411445E-4</v>
      </c>
      <c r="Z39" s="26">
        <f ref="Z39" si="46" t="shared">O39-D39</f>
        <v>-7.1139069863508601E-3</v>
      </c>
      <c r="AA39" s="26">
        <f ref="AA39" si="47" t="shared">P39-E39</f>
        <v>2.3685941055080592E-3</v>
      </c>
      <c r="AB39" s="26">
        <f ref="AB39" si="48" t="shared">Q39-F39</f>
        <v>-9.2336803892726482E-3</v>
      </c>
      <c r="AC39" s="26">
        <f ref="AC39" si="49" t="shared">R39-G39</f>
        <v>6.9954789762902766E-4</v>
      </c>
      <c r="AD39" s="26">
        <f ref="AD39" si="50" t="shared">S39-H39</f>
        <v>1.031533830597231E-2</v>
      </c>
      <c r="AE39" s="26">
        <f si="37" t="shared"/>
        <v>0</v>
      </c>
      <c r="AF39" s="26">
        <f si="38" t="shared"/>
        <v>0</v>
      </c>
    </row>
    <row r="40" spans="1:32" x14ac:dyDescent="0.25">
      <c r="A40" s="8" t="s">
        <v>12</v>
      </c>
      <c r="B40" s="27" t="e">
        <f ref="B40:H40" si="51" t="shared">B27/$J$28</f>
        <v>#DIV/0!</v>
      </c>
      <c r="C40" s="27" t="e">
        <f si="51" t="shared"/>
        <v>#DIV/0!</v>
      </c>
      <c r="D40" s="27" t="e">
        <f si="51" t="shared"/>
        <v>#DIV/0!</v>
      </c>
      <c r="E40" s="27" t="e">
        <f si="51" t="shared"/>
        <v>#DIV/0!</v>
      </c>
      <c r="F40" s="27" t="e">
        <f si="51" t="shared"/>
        <v>#DIV/0!</v>
      </c>
      <c r="G40" s="27" t="e">
        <f si="51" t="shared"/>
        <v>#DIV/0!</v>
      </c>
      <c r="H40" s="27" t="e">
        <f si="51" t="shared"/>
        <v>#DIV/0!</v>
      </c>
      <c r="I40" s="27" t="e">
        <f>I27/$J$28</f>
        <v>#DIV/0!</v>
      </c>
      <c r="J40" s="27" t="e">
        <f>J27/$J$28</f>
        <v>#DIV/0!</v>
      </c>
      <c r="L40" s="23" t="s">
        <v>12</v>
      </c>
      <c r="M40" s="27">
        <f>M14/$U$15</f>
        <v>0</v>
      </c>
      <c r="N40" s="27">
        <f ref="N40:U40" si="52" t="shared">N14/$U$15</f>
        <v>0</v>
      </c>
      <c r="O40" s="27">
        <f si="52" t="shared"/>
        <v>0</v>
      </c>
      <c r="P40" s="27">
        <f si="52" t="shared"/>
        <v>0</v>
      </c>
      <c r="Q40" s="27">
        <f si="52" t="shared"/>
        <v>0</v>
      </c>
      <c r="R40" s="27">
        <f si="52" t="shared"/>
        <v>0</v>
      </c>
      <c r="S40" s="27">
        <f si="52" t="shared"/>
        <v>0</v>
      </c>
      <c r="T40" s="27">
        <f si="52" t="shared"/>
        <v>0</v>
      </c>
      <c r="U40" s="27">
        <f si="52" t="shared"/>
        <v>0</v>
      </c>
      <c r="W40" s="23" t="s">
        <v>12</v>
      </c>
      <c r="X40" s="27" t="e">
        <f ref="X40:Z41" si="53" t="shared">M40-B40</f>
        <v>#DIV/0!</v>
      </c>
      <c r="Y40" s="27" t="e">
        <f si="53" t="shared"/>
        <v>#DIV/0!</v>
      </c>
      <c r="Z40" s="27" t="e">
        <f si="53" t="shared"/>
        <v>#DIV/0!</v>
      </c>
      <c r="AA40" s="27" t="e">
        <f ref="AA40:AA41" si="54" t="shared">P40-E40</f>
        <v>#DIV/0!</v>
      </c>
      <c r="AB40" s="27" t="e">
        <f ref="AB40:AB41" si="55" t="shared">Q40-F40</f>
        <v>#DIV/0!</v>
      </c>
      <c r="AC40" s="27" t="e">
        <f ref="AC40:AD41" si="56" t="shared">R40-G40</f>
        <v>#DIV/0!</v>
      </c>
      <c r="AD40" s="26" t="e">
        <f si="23" t="shared"/>
        <v>#DIV/0!</v>
      </c>
      <c r="AE40" s="27" t="e">
        <f>T40-I40</f>
        <v>#DIV/0!</v>
      </c>
      <c r="AF40" s="27" t="e">
        <f>U40-J40</f>
        <v>#DIV/0!</v>
      </c>
    </row>
    <row ht="15.75" r="41" spans="1:32" thickBot="1" x14ac:dyDescent="0.3">
      <c r="A41" s="1" t="s">
        <v>3</v>
      </c>
      <c r="B41" s="28">
        <f>B28/$J$28</f>
        <v>4.7254210729892464E-2</v>
      </c>
      <c r="C41" s="28">
        <f>C28/$J$28</f>
        <v>6.0035452410159252E-4</v>
      </c>
      <c r="D41" s="28">
        <f>D28/$J$28</f>
        <v>4.132463462587263E-2</v>
      </c>
      <c r="E41" s="28">
        <f ref="E41:H41" si="57" t="shared">E28/$J$28</f>
        <v>2.9953059309250164E-2</v>
      </c>
      <c r="F41" s="28">
        <f si="57" t="shared"/>
        <v>0.15075896726291341</v>
      </c>
      <c r="G41" s="28">
        <f si="57" t="shared"/>
        <v>5.4592942922936103E-3</v>
      </c>
      <c r="H41" s="28">
        <f si="57" t="shared"/>
        <v>0</v>
      </c>
      <c r="I41" s="28">
        <f>I28/$J$28</f>
        <v>0.15452524700465978</v>
      </c>
      <c r="J41" s="28">
        <f>J28/$J$28</f>
        <v>1</v>
      </c>
      <c r="L41" s="24" t="s">
        <v>3</v>
      </c>
      <c r="M41" s="28">
        <f>M15/$U$15</f>
        <v>5.627008581000556E-2</v>
      </c>
      <c r="N41" s="28">
        <f>N15/$U$15</f>
        <v>1.1785640294561927E-3</v>
      </c>
      <c r="O41" s="28">
        <f>O15/$U$15</f>
        <v>4.6125194485620295E-2</v>
      </c>
      <c r="P41" s="28">
        <f ref="P41:S41" si="58" t="shared">P15/$U$15</f>
        <v>2.5466721497075986E-2</v>
      </c>
      <c r="Q41" s="28">
        <f si="58" t="shared"/>
        <v>0.13740491071983638</v>
      </c>
      <c r="R41" s="28">
        <f si="58" t="shared"/>
        <v>8.6414705850112634E-3</v>
      </c>
      <c r="S41" s="28">
        <f si="58" t="shared"/>
        <v>0.69857066059912254</v>
      </c>
      <c r="T41" s="28">
        <f>T15/$U$15</f>
        <v>2.6342392273871657E-2</v>
      </c>
      <c r="U41" s="28">
        <f>U15/$U$15</f>
        <v>1</v>
      </c>
      <c r="W41" s="24" t="s">
        <v>3</v>
      </c>
      <c r="X41" s="28">
        <f si="53" t="shared"/>
        <v>9.0158750801130963E-3</v>
      </c>
      <c r="Y41" s="28">
        <f si="53" t="shared"/>
        <v>5.7820950535460017E-4</v>
      </c>
      <c r="Z41" s="28">
        <f si="53" t="shared"/>
        <v>4.8005598597476648E-3</v>
      </c>
      <c r="AA41" s="28">
        <f si="54" t="shared"/>
        <v>-4.4863378121741786E-3</v>
      </c>
      <c r="AB41" s="28">
        <f si="55" t="shared"/>
        <v>-1.3354056543077031E-2</v>
      </c>
      <c r="AC41" s="28">
        <f si="56" t="shared"/>
        <v>3.1821762927176532E-3</v>
      </c>
      <c r="AD41" s="28">
        <f si="56" t="shared"/>
        <v>0.69857066059912254</v>
      </c>
      <c r="AE41" s="28">
        <f>T41-I41</f>
        <v>-0.12818285473078811</v>
      </c>
      <c r="AF41" s="28">
        <f>U41-J41</f>
        <v>0</v>
      </c>
    </row>
    <row ht="15.75" r="44" spans="1:32" thickBot="1" x14ac:dyDescent="0.3">
      <c r="A44" s="39" t="s">
        <v>196</v>
      </c>
      <c r="B44" s="37"/>
      <c r="C44" s="37"/>
      <c r="D44" s="37"/>
      <c r="E44" s="37"/>
      <c r="F44" s="37"/>
      <c r="G44" s="37"/>
      <c r="H44" s="37"/>
      <c r="I44" s="37"/>
      <c r="J44" s="7"/>
      <c r="L44" s="39" t="s">
        <v>38</v>
      </c>
      <c r="M44" s="37"/>
      <c r="N44" s="37"/>
      <c r="O44" s="37"/>
      <c r="P44" s="37"/>
      <c r="Q44" s="37"/>
      <c r="R44" s="37"/>
      <c r="S44" s="37"/>
      <c r="T44" s="37"/>
      <c r="U44" s="7"/>
      <c r="W44" s="39" t="s">
        <v>39</v>
      </c>
      <c r="X44" s="37"/>
      <c r="Y44" s="37"/>
      <c r="Z44" s="37"/>
      <c r="AA44" s="37"/>
      <c r="AB44" s="37"/>
      <c r="AC44" s="37"/>
      <c r="AD44" s="37"/>
      <c r="AE44" s="37"/>
      <c r="AF44" s="7"/>
    </row>
    <row r="45" spans="1:32" x14ac:dyDescent="0.25">
      <c r="A45" s="29" t="s">
        <v>11</v>
      </c>
      <c r="B45" s="30" t="str">
        <f>$A$7</f>
        <v>Bellevue</v>
      </c>
      <c r="C45" s="30" t="str">
        <f>$A$8</f>
        <v>Bellevue Downtown</v>
      </c>
      <c r="D45" s="30" t="str">
        <f>$A$9</f>
        <v>Kirkland</v>
      </c>
      <c r="E45" s="30" t="str">
        <f>$A$10</f>
        <v>Redmond</v>
      </c>
      <c r="F45" s="30" t="str">
        <f>$A$11</f>
        <v>Seattle</v>
      </c>
      <c r="G45" s="30" t="str">
        <f>$A$12</f>
        <v>Seattle Downtown</v>
      </c>
      <c r="H45" s="30"/>
      <c r="I45" s="30" t="s">
        <v>3</v>
      </c>
      <c r="J45" s="7"/>
      <c r="L45" s="29" t="s">
        <v>11</v>
      </c>
      <c r="M45" s="30" t="str">
        <f>$A$7</f>
        <v>Bellevue</v>
      </c>
      <c r="N45" s="30" t="str">
        <f>$A$8</f>
        <v>Bellevue Downtown</v>
      </c>
      <c r="O45" s="30" t="str">
        <f>$A$9</f>
        <v>Kirkland</v>
      </c>
      <c r="P45" s="30" t="str">
        <f>$A$10</f>
        <v>Redmond</v>
      </c>
      <c r="Q45" s="30" t="str">
        <f>$A$11</f>
        <v>Seattle</v>
      </c>
      <c r="R45" s="30" t="str">
        <f>$A$12</f>
        <v>Seattle Downtown</v>
      </c>
      <c r="S45" s="30"/>
      <c r="T45" s="30" t="s">
        <v>3</v>
      </c>
      <c r="U45" s="7"/>
      <c r="W45" s="29" t="s">
        <v>11</v>
      </c>
      <c r="X45" s="30" t="str">
        <f>$A$7</f>
        <v>Bellevue</v>
      </c>
      <c r="Y45" s="30" t="str">
        <f>$A$8</f>
        <v>Bellevue Downtown</v>
      </c>
      <c r="Z45" s="30" t="str">
        <f>$A$9</f>
        <v>Kirkland</v>
      </c>
      <c r="AA45" s="30" t="str">
        <f>$A$10</f>
        <v>Redmond</v>
      </c>
      <c r="AB45" s="30" t="str">
        <f>$A$11</f>
        <v>Seattle</v>
      </c>
      <c r="AC45" s="30" t="str">
        <f>$A$12</f>
        <v>Seattle Downtown</v>
      </c>
      <c r="AD45" s="30"/>
      <c r="AE45" s="30" t="s">
        <v>3</v>
      </c>
      <c r="AF45" s="7"/>
    </row>
    <row r="46" spans="1:32" x14ac:dyDescent="0.25">
      <c r="A46" s="35" t="str">
        <f>$A$7</f>
        <v>Bellevue</v>
      </c>
      <c r="B46" s="36"/>
      <c r="C46" s="36"/>
      <c r="D46" s="36"/>
      <c r="E46" s="36"/>
      <c r="F46" s="36"/>
      <c r="G46" s="36"/>
      <c r="H46" s="36"/>
      <c r="I46" s="36"/>
      <c r="J46" s="7"/>
      <c r="L46" s="35" t="str">
        <f>$A$7</f>
        <v>Bellevue</v>
      </c>
      <c r="M46" s="36"/>
      <c r="N46" s="36"/>
      <c r="O46" s="36"/>
      <c r="P46" s="36"/>
      <c r="Q46" s="36"/>
      <c r="R46" s="36"/>
      <c r="S46" s="36"/>
      <c r="T46" s="36"/>
      <c r="U46" s="7"/>
      <c r="W46" s="35" t="str">
        <f>$A$7</f>
        <v>Bellevue</v>
      </c>
      <c r="X46" s="36"/>
      <c r="Y46" s="36"/>
      <c r="Z46" s="36"/>
      <c r="AA46" s="36"/>
      <c r="AB46" s="36"/>
      <c r="AC46" s="36"/>
      <c r="AD46" s="36"/>
      <c r="AE46" s="36"/>
      <c r="AF46" s="7"/>
    </row>
    <row r="47" spans="1:32" x14ac:dyDescent="0.25">
      <c r="A47" s="31" t="str">
        <f>$A$8</f>
        <v>Bellevue Downtown</v>
      </c>
      <c r="B47" s="32"/>
      <c r="C47" s="32"/>
      <c r="D47" s="32"/>
      <c r="E47" s="32"/>
      <c r="F47" s="32"/>
      <c r="G47" s="32"/>
      <c r="H47" s="32"/>
      <c r="I47" s="32"/>
      <c r="J47" s="7"/>
      <c r="L47" s="31" t="str">
        <f>$A$8</f>
        <v>Bellevue Downtown</v>
      </c>
      <c r="M47" s="32"/>
      <c r="N47" s="32"/>
      <c r="O47" s="32"/>
      <c r="P47" s="32"/>
      <c r="Q47" s="32"/>
      <c r="R47" s="32"/>
      <c r="S47" s="32"/>
      <c r="T47" s="32"/>
      <c r="U47" s="7"/>
      <c r="W47" s="31" t="str">
        <f>$A$8</f>
        <v>Bellevue Downtown</v>
      </c>
      <c r="X47" s="32"/>
      <c r="Y47" s="32"/>
      <c r="Z47" s="32"/>
      <c r="AA47" s="32"/>
      <c r="AB47" s="32"/>
      <c r="AC47" s="32"/>
      <c r="AD47" s="32"/>
      <c r="AE47" s="32"/>
      <c r="AF47" s="7"/>
    </row>
    <row r="48" spans="1:32" x14ac:dyDescent="0.25">
      <c r="A48" s="31" t="str">
        <f>$A$9</f>
        <v>Kirkland</v>
      </c>
      <c r="B48" s="32"/>
      <c r="C48" s="32"/>
      <c r="D48" s="32"/>
      <c r="E48" s="32"/>
      <c r="F48" s="32"/>
      <c r="G48" s="32"/>
      <c r="H48" s="32"/>
      <c r="I48" s="32"/>
      <c r="J48" s="7"/>
      <c r="L48" s="31" t="str">
        <f>$A$9</f>
        <v>Kirkland</v>
      </c>
      <c r="M48" s="32"/>
      <c r="N48" s="32"/>
      <c r="O48" s="32"/>
      <c r="P48" s="32"/>
      <c r="Q48" s="32"/>
      <c r="R48" s="32"/>
      <c r="S48" s="32"/>
      <c r="T48" s="32"/>
      <c r="U48" s="7"/>
      <c r="W48" s="31" t="str">
        <f>$A$9</f>
        <v>Kirkland</v>
      </c>
      <c r="X48" s="32"/>
      <c r="Y48" s="32"/>
      <c r="Z48" s="32"/>
      <c r="AA48" s="32"/>
      <c r="AB48" s="32"/>
      <c r="AC48" s="32"/>
      <c r="AD48" s="32"/>
      <c r="AE48" s="32"/>
      <c r="AF48" s="7"/>
    </row>
    <row r="49" spans="1:32" x14ac:dyDescent="0.25">
      <c r="A49" s="31" t="str">
        <f>$A$10</f>
        <v>Redmond</v>
      </c>
      <c r="B49" s="32"/>
      <c r="C49" s="32"/>
      <c r="D49" s="32"/>
      <c r="E49" s="32"/>
      <c r="F49" s="32"/>
      <c r="G49" s="32"/>
      <c r="H49" s="32"/>
      <c r="I49" s="32"/>
      <c r="J49" s="7"/>
      <c r="L49" s="31" t="str">
        <f>$A$10</f>
        <v>Redmond</v>
      </c>
      <c r="M49" s="32"/>
      <c r="N49" s="32"/>
      <c r="O49" s="32"/>
      <c r="P49" s="32"/>
      <c r="Q49" s="32"/>
      <c r="R49" s="32"/>
      <c r="S49" s="32"/>
      <c r="T49" s="32"/>
      <c r="U49" s="7"/>
      <c r="W49" s="31" t="str">
        <f>$A$10</f>
        <v>Redmond</v>
      </c>
      <c r="X49" s="32"/>
      <c r="Y49" s="32"/>
      <c r="Z49" s="32"/>
      <c r="AA49" s="32"/>
      <c r="AB49" s="32"/>
      <c r="AC49" s="32"/>
      <c r="AD49" s="32"/>
      <c r="AE49" s="32"/>
      <c r="AF49" s="7"/>
    </row>
    <row r="50" spans="1:32" x14ac:dyDescent="0.25">
      <c r="A50" s="31" t="str">
        <f>$A$11</f>
        <v>Seattle</v>
      </c>
      <c r="B50" s="32"/>
      <c r="C50" s="32"/>
      <c r="D50" s="32"/>
      <c r="E50" s="32"/>
      <c r="F50" s="32"/>
      <c r="G50" s="32"/>
      <c r="H50" s="32"/>
      <c r="I50" s="32"/>
      <c r="J50" s="7"/>
      <c r="L50" s="31" t="str">
        <f>$A$11</f>
        <v>Seattle</v>
      </c>
      <c r="M50" s="32"/>
      <c r="N50" s="32"/>
      <c r="O50" s="32"/>
      <c r="P50" s="32"/>
      <c r="Q50" s="32"/>
      <c r="R50" s="32"/>
      <c r="S50" s="32"/>
      <c r="T50" s="32"/>
      <c r="U50" s="7"/>
      <c r="W50" s="31" t="str">
        <f>$A$11</f>
        <v>Seattle</v>
      </c>
      <c r="X50" s="32"/>
      <c r="Y50" s="32"/>
      <c r="Z50" s="32"/>
      <c r="AA50" s="32"/>
      <c r="AB50" s="32"/>
      <c r="AC50" s="32"/>
      <c r="AD50" s="32"/>
      <c r="AE50" s="32"/>
      <c r="AF50" s="7"/>
    </row>
    <row r="51" spans="1:32" x14ac:dyDescent="0.25">
      <c r="A51" s="48" t="str">
        <f>$A$12</f>
        <v>Seattle Downtown</v>
      </c>
      <c r="B51" s="49"/>
      <c r="C51" s="49"/>
      <c r="D51" s="49"/>
      <c r="E51" s="49"/>
      <c r="F51" s="49"/>
      <c r="G51" s="49"/>
      <c r="H51" s="49"/>
      <c r="I51" s="49"/>
      <c r="J51" s="7"/>
      <c r="L51" s="48" t="str">
        <f>$A$12</f>
        <v>Seattle Downtown</v>
      </c>
      <c r="M51" s="49"/>
      <c r="N51" s="49"/>
      <c r="O51" s="49"/>
      <c r="P51" s="49"/>
      <c r="Q51" s="49"/>
      <c r="R51" s="49"/>
      <c r="S51" s="49"/>
      <c r="T51" s="49"/>
      <c r="U51" s="7"/>
      <c r="W51" s="48" t="str">
        <f>$A$12</f>
        <v>Seattle Downtown</v>
      </c>
      <c r="X51" s="49"/>
      <c r="Y51" s="49"/>
      <c r="Z51" s="49"/>
      <c r="AA51" s="49"/>
      <c r="AB51" s="49"/>
      <c r="AC51" s="49"/>
      <c r="AD51" s="49"/>
      <c r="AE51" s="49"/>
      <c r="AF51" s="7"/>
    </row>
    <row ht="15.75" r="52" spans="1:32" thickBot="1" x14ac:dyDescent="0.3">
      <c r="A52" s="37" t="s">
        <v>3</v>
      </c>
      <c r="B52" s="38"/>
      <c r="C52" s="38"/>
      <c r="D52" s="38"/>
      <c r="E52" s="38"/>
      <c r="F52" s="38"/>
      <c r="G52" s="38"/>
      <c r="H52" s="38"/>
      <c r="I52" s="38"/>
      <c r="L52" s="40" t="s">
        <v>3</v>
      </c>
      <c r="M52" s="38"/>
      <c r="N52" s="38"/>
      <c r="O52" s="38"/>
      <c r="P52" s="38"/>
      <c r="Q52" s="38"/>
      <c r="R52" s="38"/>
      <c r="S52" s="38"/>
      <c r="T52" s="38"/>
      <c r="W52" s="40" t="s">
        <v>3</v>
      </c>
      <c r="X52" s="38"/>
      <c r="Y52" s="38"/>
      <c r="Z52" s="38"/>
      <c r="AA52" s="38"/>
      <c r="AB52" s="38"/>
      <c r="AC52" s="38"/>
      <c r="AD52" s="38"/>
      <c r="AE52" s="38"/>
    </row>
  </sheetData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T36"/>
  <sheetViews>
    <sheetView topLeftCell="A10" workbookViewId="0">
      <selection activeCell="G14" sqref="G14"/>
    </sheetView>
  </sheetViews>
  <sheetFormatPr defaultRowHeight="15" x14ac:dyDescent="0.25"/>
  <cols>
    <col min="1" max="1" customWidth="true" width="18.28515625" collapsed="true"/>
    <col min="2" max="2" bestFit="true" customWidth="true" width="11.5703125" collapsed="true"/>
    <col min="3" max="3" bestFit="true" customWidth="true" width="10.5703125" collapsed="true"/>
    <col min="4" max="4" bestFit="true" customWidth="true" width="12.28515625" collapsed="true"/>
    <col min="5" max="5" bestFit="true" customWidth="true" width="11.5703125" collapsed="true"/>
    <col min="8" max="8" customWidth="true" width="19.85546875" collapsed="true"/>
    <col min="9" max="10" bestFit="true" customWidth="true" width="11.5703125" collapsed="true"/>
    <col min="11" max="11" bestFit="true" customWidth="true" width="12.28515625" collapsed="true"/>
    <col min="12" max="12" bestFit="true" customWidth="true" width="11.5703125" collapsed="true"/>
    <col min="13" max="13" bestFit="true" customWidth="true" width="9.5703125" collapsed="true"/>
    <col min="15" max="15" customWidth="true" width="18.42578125" collapsed="true"/>
  </cols>
  <sheetData>
    <row r="1" spans="1:19" x14ac:dyDescent="0.25">
      <c r="A1" t="s">
        <v>29</v>
      </c>
    </row>
    <row r="2" spans="1:19" x14ac:dyDescent="0.25">
      <c r="A2" t="s">
        <v>247</v>
      </c>
    </row>
    <row r="3" spans="1:19" x14ac:dyDescent="0.25">
      <c r="A3" t="s">
        <v>30</v>
      </c>
    </row>
    <row ht="15.75" r="5" spans="1:19" thickBot="1" x14ac:dyDescent="0.3">
      <c r="A5" s="4" t="s">
        <v>199</v>
      </c>
      <c r="B5" s="1"/>
      <c r="C5" s="1"/>
      <c r="D5" s="1"/>
      <c r="H5" s="4" t="s">
        <v>32</v>
      </c>
      <c r="I5" s="1"/>
      <c r="J5" s="1"/>
      <c r="K5" s="1"/>
      <c r="O5" s="4" t="s">
        <v>68</v>
      </c>
      <c r="P5" s="1"/>
      <c r="Q5" s="1"/>
      <c r="R5" s="1"/>
      <c r="S5" s="1"/>
    </row>
    <row r="6" spans="1:19" x14ac:dyDescent="0.25">
      <c r="A6" s="2"/>
      <c r="B6" s="5" t="s">
        <v>41</v>
      </c>
      <c r="C6" s="5" t="s">
        <v>42</v>
      </c>
      <c r="D6" s="5" t="s">
        <v>43</v>
      </c>
      <c r="E6" s="3" t="s">
        <v>3</v>
      </c>
      <c r="H6" s="2"/>
      <c r="I6" s="5" t="s">
        <v>41</v>
      </c>
      <c r="J6" s="5" t="s">
        <v>42</v>
      </c>
      <c r="K6" s="5" t="s">
        <v>43</v>
      </c>
      <c r="L6" s="3" t="s">
        <v>3</v>
      </c>
      <c r="O6" s="2"/>
      <c r="P6" s="5" t="s">
        <v>41</v>
      </c>
      <c r="Q6" s="5" t="s">
        <v>42</v>
      </c>
      <c r="R6" s="5" t="s">
        <v>43</v>
      </c>
      <c r="S6" s="3" t="s">
        <v>3</v>
      </c>
    </row>
    <row r="7" spans="1:19" x14ac:dyDescent="0.25">
      <c r="A7" s="52" t="s">
        <v>254</v>
      </c>
      <c r="B7" s="83" t="n">
        <v>0.0</v>
      </c>
      <c r="C7" s="83" t="n">
        <v>0.0</v>
      </c>
      <c r="D7" s="83" t="n">
        <v>0.0</v>
      </c>
      <c r="E7" s="83">
        <f>SUM(B7:D7)</f>
        <v>0</v>
      </c>
      <c r="H7" s="15" t="str">
        <f>$A$7</f>
        <v>Bellevue</v>
      </c>
      <c r="I7" s="83" t="n">
        <v>66.11061423650975</v>
      </c>
      <c r="J7" s="83" t="n">
        <v>18.4</v>
      </c>
      <c r="K7" s="83" t="n">
        <v>12.04490646081396</v>
      </c>
      <c r="L7" s="83">
        <f>SUM(I7:K7)</f>
        <v>79.75</v>
      </c>
      <c r="O7" s="15" t="str">
        <f>$A$7</f>
        <v>Bellevue</v>
      </c>
      <c r="P7" s="20">
        <f>I7-B7</f>
        <v>55.25</v>
      </c>
      <c r="Q7" s="20">
        <f ref="Q7:S14" si="0" t="shared">J7-C7</f>
        <v>17.25</v>
      </c>
      <c r="R7" s="20">
        <f si="0" t="shared"/>
        <v>7.25</v>
      </c>
      <c r="S7" s="20">
        <f si="0" t="shared"/>
        <v>79.75</v>
      </c>
    </row>
    <row r="8" spans="1:19" x14ac:dyDescent="0.25">
      <c r="A8" s="7" t="s">
        <v>255</v>
      </c>
      <c r="B8" s="83" t="n">
        <v>0.0</v>
      </c>
      <c r="C8" s="83" t="n">
        <v>0.0</v>
      </c>
      <c r="D8" s="83" t="n">
        <v>0.0</v>
      </c>
      <c r="E8" s="83">
        <f>SUM(B8:D8)</f>
        <v>0</v>
      </c>
      <c r="H8" t="str">
        <f>$A$8</f>
        <v>Bellevue Downtown</v>
      </c>
      <c r="I8" s="83" t="n">
        <v>2.3</v>
      </c>
      <c r="J8" s="83" t="n">
        <v>0.0</v>
      </c>
      <c r="K8" s="83" t="n">
        <v>0.0</v>
      </c>
      <c r="L8" s="83">
        <f>SUM(I8:K8)</f>
        <v>1.5</v>
      </c>
      <c r="O8" t="str">
        <f>$A$8</f>
        <v>Bellevue Downtown</v>
      </c>
      <c r="P8" s="20">
        <f ref="P8:P14" si="1" t="shared">I8-B8</f>
        <v>0.75</v>
      </c>
      <c r="Q8" s="20">
        <f si="0" t="shared"/>
        <v>0.5</v>
      </c>
      <c r="R8" s="20">
        <f si="0" t="shared"/>
        <v>0.25</v>
      </c>
      <c r="S8" s="20">
        <f si="0" t="shared"/>
        <v>1.5</v>
      </c>
    </row>
    <row r="9" spans="1:19" x14ac:dyDescent="0.25">
      <c r="A9" s="7" t="s">
        <v>256</v>
      </c>
      <c r="B9" s="83" t="n">
        <v>0.0</v>
      </c>
      <c r="C9" s="83" t="n">
        <v>0.0</v>
      </c>
      <c r="D9" s="83" t="n">
        <v>0.0</v>
      </c>
      <c r="E9" s="83">
        <f ref="E9:E11" si="2" t="shared">SUM(B9:D9)</f>
        <v>0</v>
      </c>
      <c r="H9" t="str">
        <f>$A$9</f>
        <v>Kirkland</v>
      </c>
      <c r="I9" s="83" t="n">
        <v>42.88273832130664</v>
      </c>
      <c r="J9" s="83" t="n">
        <v>22.868750339102814</v>
      </c>
      <c r="K9" s="83" t="n">
        <v>9.613350566204609</v>
      </c>
      <c r="L9" s="83">
        <f ref="L9:L11" si="3" t="shared">SUM(I9:K9)</f>
        <v>70.75</v>
      </c>
      <c r="O9" t="str">
        <f>$A$9</f>
        <v>Kirkland</v>
      </c>
      <c r="P9" s="20">
        <f ref="P9:P11" si="4" t="shared">I9-B9</f>
        <v>45.75</v>
      </c>
      <c r="Q9" s="20">
        <f ref="Q9:Q11" si="5" t="shared">J9-C9</f>
        <v>16.5</v>
      </c>
      <c r="R9" s="20">
        <f ref="R9:R11" si="6" t="shared">K9-D9</f>
        <v>8.5</v>
      </c>
      <c r="S9" s="20">
        <f ref="S9:S11" si="7" t="shared">L9-E9</f>
        <v>70.75</v>
      </c>
    </row>
    <row r="10" spans="1:19" x14ac:dyDescent="0.25">
      <c r="A10" s="7" t="s">
        <v>257</v>
      </c>
      <c r="B10" s="83" t="n">
        <v>0.0</v>
      </c>
      <c r="C10" s="83" t="n">
        <v>0.0</v>
      </c>
      <c r="D10" s="83" t="n">
        <v>0.0</v>
      </c>
      <c r="E10" s="83">
        <f si="2" t="shared"/>
        <v>0</v>
      </c>
      <c r="H10" t="str">
        <f>$A$10</f>
        <v>Redmond</v>
      </c>
      <c r="I10" s="83" t="n">
        <v>97.1283896802592</v>
      </c>
      <c r="J10" s="83" t="n">
        <v>31.049999999999997</v>
      </c>
      <c r="K10" s="83" t="n">
        <v>18.622956090979706</v>
      </c>
      <c r="L10" s="83">
        <f si="3" t="shared"/>
        <v>147.5</v>
      </c>
      <c r="O10" s="7" t="str">
        <f>$A$10</f>
        <v>Redmond</v>
      </c>
      <c r="P10" s="21">
        <f si="4" t="shared"/>
        <v>85.25</v>
      </c>
      <c r="Q10" s="21">
        <f si="5" t="shared"/>
        <v>38.5</v>
      </c>
      <c r="R10" s="21">
        <f si="6" t="shared"/>
        <v>23.75</v>
      </c>
      <c r="S10" s="21">
        <f si="7" t="shared"/>
        <v>147.5</v>
      </c>
    </row>
    <row r="11" spans="1:19" x14ac:dyDescent="0.25">
      <c r="A11" s="7" t="s">
        <v>253</v>
      </c>
      <c r="B11" s="83" t="n">
        <v>0.0</v>
      </c>
      <c r="C11" s="83" t="n">
        <v>0.0</v>
      </c>
      <c r="D11" s="83" t="n">
        <v>996.876</v>
      </c>
      <c r="E11" s="83">
        <f si="2" t="shared"/>
        <v>996.87599999999998</v>
      </c>
      <c r="H11" t="str">
        <f>$A$11</f>
        <v>Seattle</v>
      </c>
      <c r="I11" s="83" t="n">
        <v>459.21756384391966</v>
      </c>
      <c r="J11" s="83" t="n">
        <v>87.74408842166626</v>
      </c>
      <c r="K11" s="83" t="n">
        <v>61.62163038306712</v>
      </c>
      <c r="L11" s="83">
        <f si="3" t="shared"/>
        <v>630.9741393481695</v>
      </c>
      <c r="O11" s="7" t="str">
        <f>$A$11</f>
        <v>Seattle</v>
      </c>
      <c r="P11" s="21">
        <f si="4" t="shared"/>
        <v>487.13517603617396</v>
      </c>
      <c r="Q11" s="21">
        <f si="5" t="shared"/>
        <v>91.896647909104374</v>
      </c>
      <c r="R11" s="21">
        <f si="6" t="shared"/>
        <v>-944.93368459710882</v>
      </c>
      <c r="S11" s="21">
        <f si="7" t="shared"/>
        <v>-365.90186065183048</v>
      </c>
    </row>
    <row r="12" spans="1:19" x14ac:dyDescent="0.25">
      <c r="A12" s="7" t="s">
        <v>258</v>
      </c>
      <c r="B12" s="87" t="n">
        <v>0.0</v>
      </c>
      <c r="C12" s="87" t="n">
        <v>0.0</v>
      </c>
      <c r="D12" s="87" t="n">
        <v>14.496</v>
      </c>
      <c r="E12" s="87">
        <f>SUM(B12:D12)</f>
        <v>14.496</v>
      </c>
      <c r="H12" s="7" t="str">
        <f>$A$12</f>
        <v>Seattle Downtown</v>
      </c>
      <c r="I12" s="87" t="n">
        <v>14.932722222370604</v>
      </c>
      <c r="J12" s="87" t="n">
        <v>1.880411449016035</v>
      </c>
      <c r="K12" s="87" t="n">
        <v>8.169818791356462</v>
      </c>
      <c r="L12" s="87">
        <f>SUM(I12:K12)</f>
        <v>19.917952509396191</v>
      </c>
      <c r="O12" s="7" t="str">
        <f>$A$12</f>
        <v>Seattle Downtown</v>
      </c>
      <c r="P12" s="21">
        <f si="1" t="shared"/>
        <v>11.98513490582047</v>
      </c>
      <c r="Q12" s="21">
        <f si="0" t="shared"/>
        <v>4</v>
      </c>
      <c r="R12" s="21">
        <f si="0" t="shared"/>
        <v>-10.563182396424281</v>
      </c>
      <c r="S12" s="21">
        <f si="0" t="shared"/>
        <v>5.4219525093961902</v>
      </c>
    </row>
    <row r="13" spans="1:19" x14ac:dyDescent="0.25">
      <c r="A13" s="7" t="s">
        <v>259</v>
      </c>
      <c r="B13" s="86" t="n">
        <v>2443.4439</v>
      </c>
      <c r="C13" s="86" t="n">
        <v>0.0</v>
      </c>
      <c r="D13" s="86" t="n">
        <v>0.0</v>
      </c>
      <c r="E13" s="83">
        <f>SUM(B13:D13)</f>
        <v>2443.4439000000002</v>
      </c>
      <c r="H13" s="7" t="str">
        <f>$A$13</f>
        <v>Rest</v>
      </c>
      <c r="I13" s="87" t="n">
        <v>30665.806408673627</v>
      </c>
      <c r="J13" s="87" t="n">
        <v>8293.524755811066</v>
      </c>
      <c r="K13" s="87" t="n">
        <v>9521.643823143226</v>
      </c>
      <c r="L13" s="87">
        <f>SUM(I13:K13)</f>
        <v>46698.486864975494</v>
      </c>
      <c r="O13" s="7" t="str">
        <f>$A$13</f>
        <v>Rest</v>
      </c>
      <c r="P13" s="21">
        <f si="1" t="shared"/>
        <v>26449.07616528638</v>
      </c>
      <c r="Q13" s="21">
        <f si="0" t="shared"/>
        <v>8093.1328804148043</v>
      </c>
      <c r="R13" s="21">
        <f si="0" t="shared"/>
        <v>9712.8339192743115</v>
      </c>
      <c r="S13" s="21">
        <f si="0" t="shared"/>
        <v>44255.042964975495</v>
      </c>
    </row>
    <row ht="15.75" r="14" spans="1:19" thickBot="1" x14ac:dyDescent="0.3">
      <c r="A14" s="12" t="s">
        <v>3</v>
      </c>
      <c r="B14" s="84">
        <f>SUM(B7:B13)</f>
        <v>2443.4439000000002</v>
      </c>
      <c r="C14" s="84">
        <f ref="C14" si="8" t="shared">SUM(C7:C13)</f>
        <v>0</v>
      </c>
      <c r="D14" s="84">
        <f ref="D14" si="9" t="shared">SUM(D7:D13)</f>
        <v>1011.372</v>
      </c>
      <c r="E14" s="82">
        <f ref="E14" si="10" t="shared">SUM(E7:E13)</f>
        <v>3454.8159000000001</v>
      </c>
      <c r="H14" s="12" t="s">
        <v>3</v>
      </c>
      <c r="I14" s="82">
        <f>SUM(I7:I13)</f>
        <v>29578.640376228377</v>
      </c>
      <c r="J14" s="82">
        <f ref="J14:L14" si="11" t="shared">SUM(J7:J13)</f>
        <v>8261.7795283239084</v>
      </c>
      <c r="K14" s="82">
        <f si="11" t="shared"/>
        <v>9808.4590522807775</v>
      </c>
      <c r="L14" s="82">
        <f si="11" t="shared"/>
        <v>47648.878956833061</v>
      </c>
      <c r="O14" s="12" t="s">
        <v>3</v>
      </c>
      <c r="P14" s="12">
        <f si="1" t="shared"/>
        <v>27135.196476228375</v>
      </c>
      <c r="Q14" s="12">
        <f si="0" t="shared"/>
        <v>8261.7795283239084</v>
      </c>
      <c r="R14" s="12">
        <f si="0" t="shared"/>
        <v>8797.0870522807782</v>
      </c>
      <c r="S14" s="12">
        <f si="0" t="shared"/>
        <v>44194.06305683306</v>
      </c>
    </row>
    <row r="15" spans="1:19" x14ac:dyDescent="0.25">
      <c r="O15" s="20"/>
      <c r="P15" s="20"/>
      <c r="Q15" s="20"/>
      <c r="R15" s="20"/>
      <c r="S15" s="20"/>
    </row>
    <row ht="15.75" r="16" spans="1:19" thickBot="1" x14ac:dyDescent="0.3">
      <c r="A16" s="4" t="s">
        <v>197</v>
      </c>
      <c r="B16" s="1"/>
      <c r="C16" s="1"/>
      <c r="D16" s="1"/>
      <c r="H16" s="4" t="s">
        <v>31</v>
      </c>
      <c r="I16" s="1"/>
      <c r="J16" s="1"/>
      <c r="K16" s="1"/>
      <c r="O16" s="42" t="s">
        <v>69</v>
      </c>
      <c r="P16" s="24"/>
      <c r="Q16" s="24"/>
      <c r="R16" s="24"/>
      <c r="S16" s="24"/>
    </row>
    <row r="17" spans="1:20" x14ac:dyDescent="0.25">
      <c r="A17" s="2"/>
      <c r="B17" s="5" t="s">
        <v>41</v>
      </c>
      <c r="C17" s="5" t="s">
        <v>42</v>
      </c>
      <c r="D17" s="5" t="s">
        <v>43</v>
      </c>
      <c r="E17" s="3" t="s">
        <v>3</v>
      </c>
      <c r="H17" s="2"/>
      <c r="I17" s="5" t="s">
        <v>41</v>
      </c>
      <c r="J17" s="5" t="s">
        <v>42</v>
      </c>
      <c r="K17" s="5" t="s">
        <v>43</v>
      </c>
      <c r="L17" s="3" t="s">
        <v>3</v>
      </c>
      <c r="O17" s="43"/>
      <c r="P17" s="5" t="s">
        <v>41</v>
      </c>
      <c r="Q17" s="5" t="s">
        <v>42</v>
      </c>
      <c r="R17" s="5" t="s">
        <v>43</v>
      </c>
      <c r="S17" s="44" t="s">
        <v>3</v>
      </c>
    </row>
    <row r="18" spans="1:20" x14ac:dyDescent="0.25">
      <c r="A18" s="15" t="str">
        <f>$A$7</f>
        <v>Bellevue</v>
      </c>
      <c r="B18" s="83" t="n">
        <v>21927.494</v>
      </c>
      <c r="C18" s="83" t="n">
        <v>1905.2952</v>
      </c>
      <c r="D18" s="83" t="n">
        <v>2247.1352</v>
      </c>
      <c r="E18" s="83">
        <f>SUM(B18:D18)</f>
        <v>26079.9244</v>
      </c>
      <c r="H18" s="15" t="str">
        <f>$A$7</f>
        <v>Bellevue</v>
      </c>
      <c r="I18" s="83" t="n">
        <v>23925.999095713527</v>
      </c>
      <c r="J18" s="83" t="n">
        <v>5604.470244998291</v>
      </c>
      <c r="K18" s="83" t="n">
        <v>6270.452048234495</v>
      </c>
      <c r="L18" s="83">
        <f>SUM(I18:K18)</f>
        <v>33826</v>
      </c>
      <c r="O18" s="15" t="str">
        <f>$A$7</f>
        <v>Bellevue</v>
      </c>
      <c r="P18" s="20">
        <f>I18-B18</f>
        <v>-329.74399999999878</v>
      </c>
      <c r="Q18" s="20">
        <f ref="Q18:Q25" si="12" t="shared">J18-C18</f>
        <v>3197.4548</v>
      </c>
      <c r="R18" s="20">
        <f ref="R18:R25" si="13" t="shared">K18-D18</f>
        <v>4878.3647999999994</v>
      </c>
      <c r="S18" s="20">
        <f ref="S18:S25" si="14" t="shared">L18-E18</f>
        <v>7746.0756000000001</v>
      </c>
    </row>
    <row r="19" spans="1:20" x14ac:dyDescent="0.25">
      <c r="A19" t="str">
        <f>$A$8</f>
        <v>Bellevue Downtown</v>
      </c>
      <c r="B19" s="83" t="n">
        <v>164.3246</v>
      </c>
      <c r="C19" s="83" t="n">
        <v>0.0</v>
      </c>
      <c r="D19" s="83" t="n">
        <v>128.3902</v>
      </c>
      <c r="E19" s="83">
        <f>SUM(B19:D19)</f>
        <v>292.71479999999997</v>
      </c>
      <c r="H19" t="str">
        <f>$A$8</f>
        <v>Bellevue Downtown</v>
      </c>
      <c r="I19" s="83" t="n">
        <v>535.1553746703194</v>
      </c>
      <c r="J19" s="83" t="n">
        <v>156.63371964624093</v>
      </c>
      <c r="K19" s="83" t="n">
        <v>276.53748753665116</v>
      </c>
      <c r="L19" s="83">
        <f>SUM(I19:K19)</f>
        <v>1021.75</v>
      </c>
      <c r="O19" t="str">
        <f>$A$8</f>
        <v>Bellevue Downtown</v>
      </c>
      <c r="P19" s="20">
        <f ref="P19:P25" si="15" t="shared">I19-B19</f>
        <v>340.17539999999997</v>
      </c>
      <c r="Q19" s="20">
        <f si="12" t="shared"/>
        <v>141.5</v>
      </c>
      <c r="R19" s="20">
        <f si="13" t="shared"/>
        <v>247.35980000000001</v>
      </c>
      <c r="S19" s="20">
        <f si="14" t="shared"/>
        <v>729.03520000000003</v>
      </c>
    </row>
    <row r="20" spans="1:20" x14ac:dyDescent="0.25">
      <c r="A20" t="str">
        <f>$A$9</f>
        <v>Kirkland</v>
      </c>
      <c r="B20" s="83" t="n">
        <v>15498.8351</v>
      </c>
      <c r="C20" s="83" t="n">
        <v>2170.0193</v>
      </c>
      <c r="D20" s="83" t="n">
        <v>1471.8118</v>
      </c>
      <c r="E20" s="83">
        <f ref="E20:E22" si="16" t="shared">SUM(B20:D20)</f>
        <v>19140.6662</v>
      </c>
      <c r="H20" t="str">
        <f>$A$9</f>
        <v>Kirkland</v>
      </c>
      <c r="I20" s="83" t="n">
        <v>18935.368004562373</v>
      </c>
      <c r="J20" s="83" t="n">
        <v>4521.261136534533</v>
      </c>
      <c r="K20" s="83" t="n">
        <v>5275.414134974978</v>
      </c>
      <c r="L20" s="83">
        <f ref="L20:L22" si="17" t="shared">SUM(I20:K20)</f>
        <v>27639.5</v>
      </c>
      <c r="O20" t="str">
        <f>$A$9</f>
        <v>Kirkland</v>
      </c>
      <c r="P20" s="20">
        <f ref="P20:P22" si="18" t="shared">I20-B20</f>
        <v>1937.4148999999998</v>
      </c>
      <c r="Q20" s="20">
        <f ref="Q20:Q22" si="19" t="shared">J20-C20</f>
        <v>2074.9807000000001</v>
      </c>
      <c r="R20" s="20">
        <f ref="R20:R22" si="20" t="shared">K20-D20</f>
        <v>4486.4382000000005</v>
      </c>
      <c r="S20" s="20">
        <f ref="S20:S22" si="21" t="shared">L20-E20</f>
        <v>8498.8338000000003</v>
      </c>
    </row>
    <row r="21" spans="1:20" x14ac:dyDescent="0.25">
      <c r="A21" t="str">
        <f>$A$10</f>
        <v>Redmond</v>
      </c>
      <c r="B21" s="83" t="n">
        <v>22665.7465</v>
      </c>
      <c r="C21" s="83" t="n">
        <v>3936.452</v>
      </c>
      <c r="D21" s="83" t="n">
        <v>3498.526</v>
      </c>
      <c r="E21" s="83">
        <f si="16" t="shared"/>
        <v>30100.724500000004</v>
      </c>
      <c r="H21" t="str">
        <f>$A$10</f>
        <v>Redmond</v>
      </c>
      <c r="I21" s="83" t="n">
        <v>17223.16338314428</v>
      </c>
      <c r="J21" s="83" t="n">
        <v>3816.646932710988</v>
      </c>
      <c r="K21" s="83" t="n">
        <v>3792.5121610091715</v>
      </c>
      <c r="L21" s="83">
        <f si="17" t="shared"/>
        <v>23272.5</v>
      </c>
      <c r="O21" s="7" t="str">
        <f>$A$10</f>
        <v>Redmond</v>
      </c>
      <c r="P21" s="21">
        <f si="18" t="shared"/>
        <v>-7001.2465000000011</v>
      </c>
      <c r="Q21" s="21">
        <f si="19" t="shared"/>
        <v>-377.95200000000023</v>
      </c>
      <c r="R21" s="21">
        <f si="20" t="shared"/>
        <v>550.97400000000016</v>
      </c>
      <c r="S21" s="21">
        <f si="21" t="shared"/>
        <v>-6828.2245000000039</v>
      </c>
      <c r="T21" s="7"/>
    </row>
    <row r="22" spans="1:20" x14ac:dyDescent="0.25">
      <c r="A22" t="str">
        <f>$A$11</f>
        <v>Seattle</v>
      </c>
      <c r="B22" s="83" t="n">
        <v>73648.719</v>
      </c>
      <c r="C22" s="83" t="n">
        <v>4756.9449</v>
      </c>
      <c r="D22" s="83" t="n">
        <v>33744.542199999996</v>
      </c>
      <c r="E22" s="83">
        <f si="16" t="shared"/>
        <v>112150.2061</v>
      </c>
      <c r="H22" t="str">
        <f>$A$11</f>
        <v>Seattle</v>
      </c>
      <c r="I22" s="83" t="n">
        <v>65614.82923325895</v>
      </c>
      <c r="J22" s="83" t="n">
        <v>14215.857620100855</v>
      </c>
      <c r="K22" s="83" t="n">
        <v>35771.549042074075</v>
      </c>
      <c r="L22" s="83">
        <f si="17" t="shared"/>
        <v>119764.4652699039</v>
      </c>
      <c r="O22" s="7" t="str">
        <f>$A$11</f>
        <v>Seattle</v>
      </c>
      <c r="P22" s="21">
        <f si="18" t="shared"/>
        <v>-12294.429830778972</v>
      </c>
      <c r="Q22" s="21">
        <f si="19" t="shared"/>
        <v>9289.6723178525681</v>
      </c>
      <c r="R22" s="21">
        <f si="20" t="shared"/>
        <v>10619.016682830304</v>
      </c>
      <c r="S22" s="21">
        <f si="21" t="shared"/>
        <v>7614.259169903904</v>
      </c>
      <c r="T22" s="7"/>
    </row>
    <row r="23" spans="1:20" x14ac:dyDescent="0.25">
      <c r="A23" s="7" t="str">
        <f>$A$12</f>
        <v>Seattle Downtown</v>
      </c>
      <c r="B23" s="87" t="n">
        <v>686.4745</v>
      </c>
      <c r="C23" s="87" t="n">
        <v>178.05780000000001</v>
      </c>
      <c r="D23" s="87" t="n">
        <v>2427.9771</v>
      </c>
      <c r="E23" s="87">
        <f>SUM(B23:D23)</f>
        <v>3292.5093999999999</v>
      </c>
      <c r="H23" s="7" t="str">
        <f>$A$12</f>
        <v>Seattle Downtown</v>
      </c>
      <c r="I23" s="87" t="n">
        <v>1179.423952120778</v>
      </c>
      <c r="J23" s="87" t="n">
        <v>311.9298198838988</v>
      </c>
      <c r="K23" s="87" t="n">
        <v>2738.067436102769</v>
      </c>
      <c r="L23" s="87">
        <f>SUM(I23:K23)</f>
        <v>5171.2471880880021</v>
      </c>
      <c r="O23" s="7" t="str">
        <f>$A$12</f>
        <v>Seattle Downtown</v>
      </c>
      <c r="P23" s="21">
        <f si="15" t="shared"/>
        <v>462.91258750378734</v>
      </c>
      <c r="Q23" s="21">
        <f si="12" t="shared"/>
        <v>171.79502431732809</v>
      </c>
      <c r="R23" s="21">
        <f si="13" t="shared"/>
        <v>1244.0301762668869</v>
      </c>
      <c r="S23" s="21">
        <f si="14" t="shared"/>
        <v>1878.7377880880022</v>
      </c>
      <c r="T23" s="7"/>
    </row>
    <row r="24" spans="1:20" x14ac:dyDescent="0.25">
      <c r="A24" s="7" t="str">
        <f>$A$13</f>
        <v>Rest</v>
      </c>
      <c r="B24" s="86" t="n">
        <v>381324.3322</v>
      </c>
      <c r="C24" s="86" t="n">
        <v>65552.775</v>
      </c>
      <c r="D24" s="86" t="n">
        <v>67960.5531</v>
      </c>
      <c r="E24" s="86">
        <f>SUM(B24:D24)</f>
        <v>514837.66029999999</v>
      </c>
      <c r="H24" s="7" t="str">
        <f>$A$13</f>
        <v>Rest</v>
      </c>
      <c r="I24" s="87" t="n">
        <v>419100.41211311216</v>
      </c>
      <c r="J24" s="87" t="n">
        <v>98432.97154963578</v>
      </c>
      <c r="K24" s="87" t="n">
        <v>101173.42418920131</v>
      </c>
      <c r="L24" s="87">
        <f>SUM(I24:K24)</f>
        <v>588299.00351302838</v>
      </c>
      <c r="O24" s="7" t="str">
        <f>$A$13</f>
        <v>Rest</v>
      </c>
      <c r="P24" s="21">
        <f si="15" t="shared"/>
        <v>4856.9473602705402</v>
      </c>
      <c r="Q24" s="21">
        <f si="12" t="shared"/>
        <v>26543.381932063174</v>
      </c>
      <c r="R24" s="21">
        <f si="13" t="shared"/>
        <v>42061.013920694691</v>
      </c>
      <c r="S24" s="21">
        <f si="14" t="shared"/>
        <v>73461.343213028391</v>
      </c>
      <c r="T24" s="7"/>
    </row>
    <row ht="15.75" r="25" spans="1:20" thickBot="1" x14ac:dyDescent="0.3">
      <c r="A25" s="12" t="s">
        <v>3</v>
      </c>
      <c r="B25" s="84">
        <f>SUM(B18:B24)</f>
        <v>515915.92590000003</v>
      </c>
      <c r="C25" s="84">
        <f ref="C25" si="22" t="shared">SUM(C18:C24)</f>
        <v>78499.544199999989</v>
      </c>
      <c r="D25" s="84">
        <f ref="D25" si="23" t="shared">SUM(D18:D24)</f>
        <v>111478.9356</v>
      </c>
      <c r="E25" s="84">
        <f ref="E25" si="24" t="shared">SUM(E18:E24)</f>
        <v>705894.4057</v>
      </c>
      <c r="H25" s="12" t="s">
        <v>3</v>
      </c>
      <c r="I25" s="82">
        <f>SUM(I18:I24)</f>
        <v>503887.95581699535</v>
      </c>
      <c r="J25" s="82">
        <f ref="J25" si="25" t="shared">SUM(J18:J24)</f>
        <v>119540.37697423306</v>
      </c>
      <c r="K25" s="82">
        <f ref="K25" si="26" t="shared">SUM(K18:K24)</f>
        <v>175566.13317979188</v>
      </c>
      <c r="L25" s="82">
        <f ref="L25" si="27" t="shared">SUM(L18:L24)</f>
        <v>798994.46597102028</v>
      </c>
      <c r="O25" s="12" t="s">
        <v>3</v>
      </c>
      <c r="P25" s="12">
        <f si="15" t="shared"/>
        <v>-12027.970083004679</v>
      </c>
      <c r="Q25" s="12">
        <f si="12" t="shared"/>
        <v>41040.832774233073</v>
      </c>
      <c r="R25" s="12">
        <f si="13" t="shared"/>
        <v>64087.197579791886</v>
      </c>
      <c r="S25" s="12">
        <f si="14" t="shared"/>
        <v>93100.06027102028</v>
      </c>
      <c r="T25" s="7"/>
    </row>
    <row ht="15.75" r="27" spans="1:20" thickBot="1" x14ac:dyDescent="0.3">
      <c r="A27" s="4" t="s">
        <v>198</v>
      </c>
      <c r="B27" s="1"/>
      <c r="C27" s="1"/>
      <c r="D27" s="1"/>
      <c r="H27" s="4" t="s">
        <v>33</v>
      </c>
      <c r="I27" s="1"/>
      <c r="J27" s="1"/>
      <c r="K27" s="1"/>
      <c r="O27" s="4" t="s">
        <v>70</v>
      </c>
      <c r="P27" s="1"/>
      <c r="Q27" s="1"/>
      <c r="R27" s="1"/>
      <c r="S27" s="1"/>
    </row>
    <row r="28" spans="1:20" x14ac:dyDescent="0.25">
      <c r="A28" s="2"/>
      <c r="B28" s="5" t="s">
        <v>41</v>
      </c>
      <c r="C28" s="5" t="s">
        <v>42</v>
      </c>
      <c r="D28" s="5" t="s">
        <v>43</v>
      </c>
      <c r="E28" s="3" t="s">
        <v>3</v>
      </c>
      <c r="H28" s="2"/>
      <c r="I28" s="5" t="s">
        <v>41</v>
      </c>
      <c r="J28" s="5" t="s">
        <v>42</v>
      </c>
      <c r="K28" s="5" t="s">
        <v>43</v>
      </c>
      <c r="L28" s="3" t="s">
        <v>3</v>
      </c>
      <c r="O28" s="2"/>
      <c r="P28" s="5" t="s">
        <v>41</v>
      </c>
      <c r="Q28" s="5" t="s">
        <v>42</v>
      </c>
      <c r="R28" s="5" t="s">
        <v>43</v>
      </c>
      <c r="S28" s="3" t="s">
        <v>3</v>
      </c>
    </row>
    <row r="29" spans="1:20" x14ac:dyDescent="0.25">
      <c r="A29" s="15" t="str">
        <f>$A$7</f>
        <v>Bellevue</v>
      </c>
      <c r="B29" s="16">
        <f ref="B29:E29" si="28" t="shared">IF(B18&lt;&gt;0,B7/B18,0)</f>
        <v>0</v>
      </c>
      <c r="C29" s="16">
        <f si="28" t="shared"/>
        <v>0</v>
      </c>
      <c r="D29" s="16">
        <f si="28" t="shared"/>
        <v>0</v>
      </c>
      <c r="E29" s="16">
        <f si="28" t="shared"/>
        <v>0</v>
      </c>
      <c r="H29" s="15" t="str">
        <f>$A$7</f>
        <v>Bellevue</v>
      </c>
      <c r="I29" s="16">
        <f ref="I29:L30" si="29" t="shared">IF(I18&lt;&gt;0,I7/I18,0)</f>
        <v>2.5581368429581784E-3</v>
      </c>
      <c r="J29" s="16">
        <f si="29" t="shared"/>
        <v>3.3805301063152223E-3</v>
      </c>
      <c r="K29" s="16">
        <f si="29" t="shared"/>
        <v>1.0174724580731176E-3</v>
      </c>
      <c r="L29" s="16">
        <f si="29" t="shared"/>
        <v>2.3576538757169043E-3</v>
      </c>
      <c r="O29" s="15" t="str">
        <f>$A$7</f>
        <v>Bellevue</v>
      </c>
      <c r="P29" s="26">
        <f ref="P29:S36" si="30" t="shared">I29-B29</f>
        <v>2.5581368429581784E-3</v>
      </c>
      <c r="Q29" s="26">
        <f si="30" t="shared"/>
        <v>3.3805301063152223E-3</v>
      </c>
      <c r="R29" s="26">
        <f si="30" t="shared"/>
        <v>1.0174724580731176E-3</v>
      </c>
      <c r="S29" s="26">
        <f si="30" t="shared"/>
        <v>2.3576538757169043E-3</v>
      </c>
    </row>
    <row r="30" spans="1:20" x14ac:dyDescent="0.25">
      <c r="A30" t="str">
        <f>$A$8</f>
        <v>Bellevue Downtown</v>
      </c>
      <c r="B30" s="16">
        <f ref="B30:E30" si="31" t="shared">IF(B19&lt;&gt;0,B8/B19,0)</f>
        <v>0</v>
      </c>
      <c r="C30" s="16">
        <f si="31" t="shared"/>
        <v>0</v>
      </c>
      <c r="D30" s="16">
        <f si="31" t="shared"/>
        <v>0</v>
      </c>
      <c r="E30" s="16">
        <f si="31" t="shared"/>
        <v>0</v>
      </c>
      <c r="H30" t="str">
        <f>$A$8</f>
        <v>Bellevue Downtown</v>
      </c>
      <c r="I30" s="16">
        <f si="29" t="shared"/>
        <v>1.4866204162537165E-3</v>
      </c>
      <c r="J30" s="16">
        <f si="29" t="shared"/>
        <v>3.5335689045936395E-3</v>
      </c>
      <c r="K30" s="16">
        <f si="29" t="shared"/>
        <v>6.6533599467731206E-4</v>
      </c>
      <c r="L30" s="16">
        <f si="29" t="shared"/>
        <v>1.4680694886224615E-3</v>
      </c>
      <c r="O30" t="str">
        <f>$A$8</f>
        <v>Bellevue Downtown</v>
      </c>
      <c r="P30" s="26">
        <f si="30" t="shared"/>
        <v>1.4866204162537165E-3</v>
      </c>
      <c r="Q30" s="26">
        <f si="30" t="shared"/>
        <v>3.5335689045936395E-3</v>
      </c>
      <c r="R30" s="26">
        <f si="30" t="shared"/>
        <v>6.6533599467731206E-4</v>
      </c>
      <c r="S30" s="26">
        <f si="30" t="shared"/>
        <v>1.4680694886224615E-3</v>
      </c>
    </row>
    <row r="31" spans="1:20" x14ac:dyDescent="0.25">
      <c r="A31" t="str">
        <f>$A$9</f>
        <v>Kirkland</v>
      </c>
      <c r="B31" s="16">
        <f ref="B31:E31" si="32" t="shared">IF(B20&lt;&gt;0,B9/B20,0)</f>
        <v>0</v>
      </c>
      <c r="C31" s="16">
        <f si="32" t="shared"/>
        <v>0</v>
      </c>
      <c r="D31" s="16">
        <f si="32" t="shared"/>
        <v>0</v>
      </c>
      <c r="E31" s="16">
        <f si="32" t="shared"/>
        <v>0</v>
      </c>
      <c r="H31" t="str">
        <f>$A$9</f>
        <v>Kirkland</v>
      </c>
      <c r="I31" s="16">
        <f ref="I31:L31" si="33" t="shared">IF(I20&lt;&gt;0,I9/I20,0)</f>
        <v>2.6238440031543481E-3</v>
      </c>
      <c r="J31" s="16">
        <f si="33" t="shared"/>
        <v>3.8869257950530037E-3</v>
      </c>
      <c r="K31" s="16">
        <f si="33" t="shared"/>
        <v>1.4265933789283766E-3</v>
      </c>
      <c r="L31" s="16">
        <f si="33" t="shared"/>
        <v>2.5597423976555294E-3</v>
      </c>
      <c r="O31" t="str">
        <f>$A$9</f>
        <v>Kirkland</v>
      </c>
      <c r="P31" s="26">
        <f ref="P31:P33" si="34" t="shared">I31-B31</f>
        <v>2.6238440031543481E-3</v>
      </c>
      <c r="Q31" s="26">
        <f ref="Q31:Q33" si="35" t="shared">J31-C31</f>
        <v>3.8869257950530037E-3</v>
      </c>
      <c r="R31" s="26">
        <f ref="R31:R33" si="36" t="shared">K31-D31</f>
        <v>1.4265933789283766E-3</v>
      </c>
      <c r="S31" s="26">
        <f ref="S31:S33" si="37" t="shared">L31-E31</f>
        <v>2.5597423976555294E-3</v>
      </c>
    </row>
    <row r="32" spans="1:20" x14ac:dyDescent="0.25">
      <c r="A32" t="str">
        <f>$A$10</f>
        <v>Redmond</v>
      </c>
      <c r="B32" s="16">
        <f ref="B32:E32" si="38" t="shared">IF(B21&lt;&gt;0,B10/B21,0)</f>
        <v>0</v>
      </c>
      <c r="C32" s="16">
        <f si="38" t="shared"/>
        <v>0</v>
      </c>
      <c r="D32" s="16">
        <f si="38" t="shared"/>
        <v>0</v>
      </c>
      <c r="E32" s="16">
        <f si="38" t="shared"/>
        <v>0</v>
      </c>
      <c r="H32" t="str">
        <f>$A$10</f>
        <v>Redmond</v>
      </c>
      <c r="I32" s="16">
        <f ref="I32:L32" si="39" t="shared">IF(I21&lt;&gt;0,I10/I21,0)</f>
        <v>5.4422420121931761E-3</v>
      </c>
      <c r="J32" s="16">
        <f si="39" t="shared"/>
        <v>1.0819165378670788E-2</v>
      </c>
      <c r="K32" s="16">
        <f si="39" t="shared"/>
        <v>5.8649215952586743E-3</v>
      </c>
      <c r="L32" s="16">
        <f si="39" t="shared"/>
        <v>6.3379525190675693E-3</v>
      </c>
      <c r="O32" t="str">
        <f>$A$10</f>
        <v>Redmond</v>
      </c>
      <c r="P32" s="26">
        <f si="34" t="shared"/>
        <v>5.4422420121931761E-3</v>
      </c>
      <c r="Q32" s="26">
        <f si="35" t="shared"/>
        <v>1.0819165378670788E-2</v>
      </c>
      <c r="R32" s="26">
        <f si="36" t="shared"/>
        <v>5.8649215952586743E-3</v>
      </c>
      <c r="S32" s="26">
        <f si="37" t="shared"/>
        <v>6.3379525190675693E-3</v>
      </c>
    </row>
    <row r="33" spans="1:19" x14ac:dyDescent="0.25">
      <c r="A33" s="7" t="str">
        <f>$A$11</f>
        <v>Seattle</v>
      </c>
      <c r="B33" s="50">
        <f ref="B33:E33" si="40" t="shared">IF(B22&lt;&gt;0,B11/B22,0)</f>
        <v>0</v>
      </c>
      <c r="C33" s="50">
        <f si="40" t="shared"/>
        <v>0</v>
      </c>
      <c r="D33" s="50">
        <f si="40" t="shared"/>
        <v>2.9541843954842571E-2</v>
      </c>
      <c r="E33" s="50">
        <f si="40" t="shared"/>
        <v>8.8887576284177698E-3</v>
      </c>
      <c r="H33" s="7" t="str">
        <f>$A$11</f>
        <v>Seattle</v>
      </c>
      <c r="I33" s="50">
        <f ref="I33:L33" si="41" t="shared">IF(I22&lt;&gt;0,I11/I22,0)</f>
        <v>7.9397085783621153E-3</v>
      </c>
      <c r="J33" s="50">
        <f si="41" t="shared"/>
        <v>6.542261847379752E-3</v>
      </c>
      <c r="K33" s="50">
        <f si="41" t="shared"/>
        <v>1.1708329248353883E-3</v>
      </c>
      <c r="L33" s="50">
        <f si="41" t="shared"/>
        <v>5.268458702889809E-3</v>
      </c>
      <c r="O33" s="7" t="str">
        <f>$A$11</f>
        <v>Seattle</v>
      </c>
      <c r="P33" s="51">
        <f si="34" t="shared"/>
        <v>7.9397085783621153E-3</v>
      </c>
      <c r="Q33" s="51">
        <f si="35" t="shared"/>
        <v>6.542261847379752E-3</v>
      </c>
      <c r="R33" s="51">
        <f si="36" t="shared"/>
        <v>-2.8371011030007182E-2</v>
      </c>
      <c r="S33" s="51">
        <f si="37" t="shared"/>
        <v>-3.6202989255279608E-3</v>
      </c>
    </row>
    <row r="34" spans="1:19" x14ac:dyDescent="0.25">
      <c r="A34" s="7" t="str">
        <f>$A$12</f>
        <v>Seattle Downtown</v>
      </c>
      <c r="B34" s="50">
        <f ref="B34:E35" si="42" t="shared">IF(B23&lt;&gt;0,B12/B23,0)</f>
        <v>0</v>
      </c>
      <c r="C34" s="50">
        <f si="42" t="shared"/>
        <v>0</v>
      </c>
      <c r="D34" s="50">
        <f si="42" t="shared"/>
        <v>5.9704022743871845E-3</v>
      </c>
      <c r="E34" s="50">
        <f si="42" t="shared"/>
        <v>4.4027209155424133E-3</v>
      </c>
      <c r="H34" s="7" t="str">
        <f>$A$12</f>
        <v>Seattle Downtown</v>
      </c>
      <c r="I34" s="50">
        <f ref="I34:L35" si="43" t="shared">IF(I23&lt;&gt;0,I12/I23,0)</f>
        <v>1.0427413911399955E-2</v>
      </c>
      <c r="J34" s="50">
        <f si="43" t="shared"/>
        <v>1.1433379186820192E-2</v>
      </c>
      <c r="K34" s="50">
        <f si="43" t="shared"/>
        <v>1.0710266368464236E-3</v>
      </c>
      <c r="L34" s="50">
        <f si="43" t="shared"/>
        <v>3.851672872122089E-3</v>
      </c>
      <c r="O34" s="7" t="str">
        <f>$A$12</f>
        <v>Seattle Downtown</v>
      </c>
      <c r="P34" s="51">
        <f si="30" t="shared"/>
        <v>1.0427413911399955E-2</v>
      </c>
      <c r="Q34" s="51">
        <f si="30" t="shared"/>
        <v>1.1433379186820192E-2</v>
      </c>
      <c r="R34" s="51">
        <f si="30" t="shared"/>
        <v>-4.8993756375407607E-3</v>
      </c>
      <c r="S34" s="51">
        <f si="30" t="shared"/>
        <v>-5.5104804342032436E-4</v>
      </c>
    </row>
    <row r="35" spans="1:19" x14ac:dyDescent="0.25">
      <c r="A35" s="7" t="str">
        <f>$A$13</f>
        <v>Rest</v>
      </c>
      <c r="B35" s="50">
        <f si="42" t="shared"/>
        <v>6.4077838566001695E-3</v>
      </c>
      <c r="C35" s="50">
        <f si="42" t="shared"/>
        <v>0</v>
      </c>
      <c r="D35" s="50">
        <f si="42" t="shared"/>
        <v>0</v>
      </c>
      <c r="E35" s="50">
        <f si="42" t="shared"/>
        <v>4.7460473240752941E-3</v>
      </c>
      <c r="H35" s="7" t="str">
        <f>$A$13</f>
        <v>Rest</v>
      </c>
      <c r="I35" s="50">
        <f si="43" t="shared"/>
        <v>7.4815951975158293E-2</v>
      </c>
      <c r="J35" s="50">
        <f si="43" t="shared"/>
        <v>8.7876988030943445E-2</v>
      </c>
      <c r="K35" s="50">
        <f si="43" t="shared"/>
        <v>8.8281181429158875E-2</v>
      </c>
      <c r="L35" s="50">
        <f si="43" t="shared"/>
        <v>7.9378830469056402E-2</v>
      </c>
      <c r="O35" s="7" t="str">
        <f>$A$13</f>
        <v>Rest</v>
      </c>
      <c r="P35" s="51">
        <f si="30" t="shared"/>
        <v>6.8408168118558127E-2</v>
      </c>
      <c r="Q35" s="51">
        <f si="30" t="shared"/>
        <v>8.7876988030943445E-2</v>
      </c>
      <c r="R35" s="51">
        <f si="30" t="shared"/>
        <v>8.8281181429158875E-2</v>
      </c>
      <c r="S35" s="51">
        <f si="30" t="shared"/>
        <v>7.4632783144981105E-2</v>
      </c>
    </row>
    <row ht="15.75" r="36" spans="1:19" thickBot="1" x14ac:dyDescent="0.3">
      <c r="A36" s="12" t="s">
        <v>3</v>
      </c>
      <c r="B36" s="17">
        <f>IF(B25&lt;&gt;0,B14/B25,0)</f>
        <v>4.7361280730721482E-3</v>
      </c>
      <c r="C36" s="17">
        <f ref="C36:E36" si="44" t="shared">IF(C25&lt;&gt;0,C14/C25,0)</f>
        <v>0</v>
      </c>
      <c r="D36" s="17">
        <f si="44" t="shared"/>
        <v>9.0723148239316345E-3</v>
      </c>
      <c r="E36" s="17">
        <f si="44" t="shared"/>
        <v>4.8942389571341519E-3</v>
      </c>
      <c r="H36" s="12" t="s">
        <v>3</v>
      </c>
      <c r="I36" s="17">
        <f>IF(I25&lt;&gt;0,I14/I25,0)</f>
        <v>5.870082829876351E-2</v>
      </c>
      <c r="J36" s="17">
        <f ref="J36:L36" si="45" t="shared">IF(J25&lt;&gt;0,J14/J25,0)</f>
        <v>6.9112878321479068E-2</v>
      </c>
      <c r="K36" s="17">
        <f si="45" t="shared"/>
        <v>5.5867603134120612E-2</v>
      </c>
      <c r="L36" s="17">
        <f si="45" t="shared"/>
        <v>5.9636056300997331E-2</v>
      </c>
      <c r="O36" s="12" t="s">
        <v>3</v>
      </c>
      <c r="P36" s="45">
        <f si="30" t="shared"/>
        <v>5.3964700225691359E-2</v>
      </c>
      <c r="Q36" s="45">
        <f ref="Q36" si="46" t="shared">J36-C36</f>
        <v>6.9112878321479068E-2</v>
      </c>
      <c r="R36" s="45">
        <f ref="R36" si="47" t="shared">K36-D36</f>
        <v>4.6795288310188976E-2</v>
      </c>
      <c r="S36" s="45">
        <f ref="S36" si="48" t="shared">L36-E36</f>
        <v>5.4741817343863179E-2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D35"/>
  <sheetViews>
    <sheetView workbookViewId="0">
      <selection activeCell="B16" sqref="B16"/>
    </sheetView>
  </sheetViews>
  <sheetFormatPr defaultRowHeight="15" x14ac:dyDescent="0.25"/>
  <cols>
    <col min="3" max="3" bestFit="true" customWidth="true" width="27.42578125" collapsed="true"/>
  </cols>
  <sheetData>
    <row r="1" spans="1:2" x14ac:dyDescent="0.25">
      <c r="A1" s="11" t="s">
        <v>44</v>
      </c>
    </row>
    <row r="2" spans="1:2" x14ac:dyDescent="0.25">
      <c r="A2" s="41"/>
    </row>
    <row r="3" spans="1:2" x14ac:dyDescent="0.25">
      <c r="A3" s="11"/>
    </row>
    <row r="12" spans="1:2" x14ac:dyDescent="0.25">
      <c r="A12" s="11" t="s">
        <v>45</v>
      </c>
    </row>
    <row r="13" spans="1:2" x14ac:dyDescent="0.25">
      <c r="A13">
        <v>1</v>
      </c>
      <c r="B13" t="s">
        <v>46</v>
      </c>
    </row>
    <row r="15" spans="1:2" x14ac:dyDescent="0.25">
      <c r="A15">
        <v>2</v>
      </c>
      <c r="B15" t="s">
        <v>47</v>
      </c>
    </row>
    <row r="16" spans="1:2" x14ac:dyDescent="0.25">
      <c r="B16" t="s">
        <v>48</v>
      </c>
    </row>
    <row r="18" spans="1:4" x14ac:dyDescent="0.25">
      <c r="A18">
        <v>3</v>
      </c>
      <c r="B18" t="s">
        <v>49</v>
      </c>
    </row>
    <row r="19" spans="1:4" x14ac:dyDescent="0.25">
      <c r="B19" t="s">
        <v>50</v>
      </c>
    </row>
    <row r="20" spans="1:4" x14ac:dyDescent="0.25">
      <c r="B20" t="s">
        <v>51</v>
      </c>
      <c r="C20" t="s">
        <v>54</v>
      </c>
      <c r="D20" t="s">
        <v>57</v>
      </c>
    </row>
    <row r="21" spans="1:4" x14ac:dyDescent="0.25">
      <c r="B21" t="s">
        <v>41</v>
      </c>
      <c r="C21" t="s">
        <v>53</v>
      </c>
      <c r="D21" t="s">
        <v>58</v>
      </c>
    </row>
    <row r="22" spans="1:4" x14ac:dyDescent="0.25">
      <c r="B22" t="s">
        <v>42</v>
      </c>
      <c r="C22" t="s">
        <v>55</v>
      </c>
      <c r="D22" t="s">
        <v>59</v>
      </c>
    </row>
    <row r="23" spans="1:4" x14ac:dyDescent="0.25">
      <c r="B23" t="s">
        <v>52</v>
      </c>
      <c r="C23" t="s">
        <v>56</v>
      </c>
      <c r="D23" t="s">
        <v>60</v>
      </c>
    </row>
    <row r="25" spans="1:4" x14ac:dyDescent="0.25">
      <c r="A25" s="11" t="s">
        <v>61</v>
      </c>
    </row>
    <row r="26" spans="1:4" x14ac:dyDescent="0.25">
      <c r="A26">
        <v>1</v>
      </c>
      <c r="B26" t="s">
        <v>62</v>
      </c>
    </row>
    <row r="28" spans="1:4" x14ac:dyDescent="0.25">
      <c r="A28">
        <v>2</v>
      </c>
      <c r="B28" t="s">
        <v>63</v>
      </c>
    </row>
    <row r="30" spans="1:4" x14ac:dyDescent="0.25">
      <c r="A30" s="11" t="s">
        <v>64</v>
      </c>
    </row>
    <row r="31" spans="1:4" x14ac:dyDescent="0.25">
      <c r="A31">
        <v>1</v>
      </c>
      <c r="B31" t="s">
        <v>65</v>
      </c>
    </row>
    <row r="33" spans="1:2" x14ac:dyDescent="0.25">
      <c r="A33" s="11">
        <v>2</v>
      </c>
      <c r="B33" t="s">
        <v>66</v>
      </c>
    </row>
    <row r="35" spans="1:2" x14ac:dyDescent="0.25">
      <c r="A35">
        <v>3</v>
      </c>
      <c r="B35" t="s">
        <v>67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F61"/>
  <sheetViews>
    <sheetView workbookViewId="0">
      <selection activeCell="A32" sqref="A32:E32"/>
    </sheetView>
  </sheetViews>
  <sheetFormatPr defaultRowHeight="15" x14ac:dyDescent="0.25"/>
  <sheetData>
    <row r="1" spans="1:6" x14ac:dyDescent="0.25">
      <c r="A1" t="s">
        <v>133</v>
      </c>
      <c r="B1" t="s">
        <v>135</v>
      </c>
      <c r="F1" t="s">
        <v>134</v>
      </c>
    </row>
    <row r="2" spans="1:6" x14ac:dyDescent="0.25">
      <c r="A2">
        <v>1</v>
      </c>
      <c r="B2" t="s">
        <v>71</v>
      </c>
      <c r="C2" t="s">
        <v>72</v>
      </c>
      <c r="D2">
        <v>1</v>
      </c>
      <c r="E2">
        <v>0</v>
      </c>
      <c r="F2" t="s">
        <v>138</v>
      </c>
    </row>
    <row r="3" spans="1:6" x14ac:dyDescent="0.25">
      <c r="A3">
        <v>2</v>
      </c>
      <c r="B3" t="s">
        <v>73</v>
      </c>
      <c r="C3" t="s">
        <v>72</v>
      </c>
      <c r="D3">
        <v>1</v>
      </c>
      <c r="E3">
        <v>0</v>
      </c>
      <c r="F3" t="s">
        <v>139</v>
      </c>
    </row>
    <row r="4" spans="1:6" x14ac:dyDescent="0.25">
      <c r="A4">
        <v>3</v>
      </c>
      <c r="B4" t="s">
        <v>74</v>
      </c>
      <c r="C4" t="s">
        <v>72</v>
      </c>
      <c r="D4">
        <v>1</v>
      </c>
      <c r="E4">
        <v>0</v>
      </c>
      <c r="F4" t="s">
        <v>140</v>
      </c>
    </row>
    <row r="5" spans="1:6" x14ac:dyDescent="0.25">
      <c r="A5">
        <v>4</v>
      </c>
      <c r="B5" t="s">
        <v>75</v>
      </c>
      <c r="C5" t="s">
        <v>72</v>
      </c>
      <c r="D5">
        <v>0.5</v>
      </c>
      <c r="E5">
        <v>0</v>
      </c>
      <c r="F5" t="s">
        <v>141</v>
      </c>
    </row>
    <row r="6" spans="1:6" x14ac:dyDescent="0.25">
      <c r="A6">
        <v>5</v>
      </c>
      <c r="B6" t="s">
        <v>76</v>
      </c>
      <c r="C6" t="s">
        <v>72</v>
      </c>
      <c r="D6">
        <v>0.1</v>
      </c>
      <c r="E6">
        <v>0</v>
      </c>
      <c r="F6" t="s">
        <v>142</v>
      </c>
    </row>
    <row r="7" spans="1:6" x14ac:dyDescent="0.25">
      <c r="A7">
        <v>6</v>
      </c>
      <c r="B7" t="s">
        <v>77</v>
      </c>
      <c r="C7" t="s">
        <v>72</v>
      </c>
      <c r="D7">
        <v>1</v>
      </c>
      <c r="E7">
        <v>0</v>
      </c>
      <c r="F7" t="s">
        <v>188</v>
      </c>
    </row>
    <row r="8" spans="1:6" x14ac:dyDescent="0.25">
      <c r="A8">
        <v>7</v>
      </c>
      <c r="B8" t="s">
        <v>78</v>
      </c>
      <c r="C8" t="s">
        <v>72</v>
      </c>
      <c r="D8">
        <v>-21.977719252</v>
      </c>
      <c r="E8">
        <v>0</v>
      </c>
      <c r="F8" t="s">
        <v>143</v>
      </c>
    </row>
    <row r="9" spans="1:6" x14ac:dyDescent="0.25">
      <c r="A9">
        <v>8</v>
      </c>
      <c r="B9" t="s">
        <v>79</v>
      </c>
      <c r="C9" t="s">
        <v>72</v>
      </c>
      <c r="D9">
        <v>-1.4857940511400001</v>
      </c>
      <c r="E9">
        <v>0</v>
      </c>
      <c r="F9" t="s">
        <v>144</v>
      </c>
    </row>
    <row r="10" spans="1:6" x14ac:dyDescent="0.25">
      <c r="A10">
        <v>9</v>
      </c>
      <c r="B10" t="s">
        <v>80</v>
      </c>
      <c r="C10" t="s">
        <v>72</v>
      </c>
      <c r="D10">
        <v>-4.85028348146</v>
      </c>
      <c r="E10">
        <v>0</v>
      </c>
      <c r="F10" t="s">
        <v>145</v>
      </c>
    </row>
    <row r="11" spans="1:6" x14ac:dyDescent="0.25">
      <c r="A11">
        <v>10</v>
      </c>
      <c r="B11" t="s">
        <v>81</v>
      </c>
      <c r="C11" t="s">
        <v>72</v>
      </c>
      <c r="D11">
        <v>-15.3921330935</v>
      </c>
      <c r="E11">
        <v>0</v>
      </c>
      <c r="F11" t="s">
        <v>146</v>
      </c>
    </row>
    <row r="12" spans="1:6" x14ac:dyDescent="0.25">
      <c r="A12">
        <v>11</v>
      </c>
      <c r="B12" t="s">
        <v>82</v>
      </c>
      <c r="C12" t="s">
        <v>72</v>
      </c>
      <c r="D12">
        <v>-11.245247773539999</v>
      </c>
      <c r="E12">
        <v>0</v>
      </c>
      <c r="F12" t="s">
        <v>147</v>
      </c>
    </row>
    <row r="13" spans="1:6" x14ac:dyDescent="0.25">
      <c r="A13">
        <v>12</v>
      </c>
      <c r="B13" t="s">
        <v>83</v>
      </c>
      <c r="C13" t="s">
        <v>72</v>
      </c>
      <c r="D13">
        <v>-4.2752113423699996</v>
      </c>
      <c r="E13">
        <v>0</v>
      </c>
      <c r="F13" t="s">
        <v>148</v>
      </c>
    </row>
    <row r="14" spans="1:6" x14ac:dyDescent="0.25">
      <c r="A14">
        <v>13</v>
      </c>
      <c r="B14" t="s">
        <v>84</v>
      </c>
      <c r="C14" t="s">
        <v>72</v>
      </c>
      <c r="D14">
        <v>-6.5192578502799998</v>
      </c>
      <c r="E14">
        <v>0</v>
      </c>
      <c r="F14" t="s">
        <v>149</v>
      </c>
    </row>
    <row r="15" spans="1:6" x14ac:dyDescent="0.25">
      <c r="A15">
        <v>14</v>
      </c>
      <c r="B15" t="s">
        <v>85</v>
      </c>
      <c r="C15" t="s">
        <v>72</v>
      </c>
      <c r="D15">
        <v>-3.04866060786</v>
      </c>
      <c r="E15">
        <v>0</v>
      </c>
      <c r="F15" t="s">
        <v>150</v>
      </c>
    </row>
    <row r="16" spans="1:6" x14ac:dyDescent="0.25">
      <c r="A16">
        <v>15</v>
      </c>
      <c r="B16" t="s">
        <v>86</v>
      </c>
      <c r="C16" t="s">
        <v>72</v>
      </c>
      <c r="D16">
        <v>0</v>
      </c>
      <c r="E16">
        <v>0</v>
      </c>
      <c r="F16" t="s">
        <v>189</v>
      </c>
    </row>
    <row r="17" spans="1:6" x14ac:dyDescent="0.25">
      <c r="A17">
        <v>16</v>
      </c>
      <c r="B17" t="s">
        <v>87</v>
      </c>
      <c r="C17" t="s">
        <v>72</v>
      </c>
      <c r="D17">
        <v>-2.2084934246199999</v>
      </c>
      <c r="E17">
        <v>0</v>
      </c>
      <c r="F17" t="s">
        <v>190</v>
      </c>
    </row>
    <row r="18" spans="1:6" x14ac:dyDescent="0.25">
      <c r="A18">
        <v>17</v>
      </c>
      <c r="B18" t="s">
        <v>88</v>
      </c>
      <c r="C18" t="s">
        <v>72</v>
      </c>
      <c r="D18">
        <v>0</v>
      </c>
      <c r="E18">
        <v>0</v>
      </c>
      <c r="F18" t="s">
        <v>151</v>
      </c>
    </row>
    <row r="19" spans="1:6" x14ac:dyDescent="0.25">
      <c r="A19">
        <v>18</v>
      </c>
      <c r="B19" t="s">
        <v>89</v>
      </c>
      <c r="C19" t="s">
        <v>72</v>
      </c>
      <c r="D19">
        <v>0</v>
      </c>
      <c r="E19">
        <v>0</v>
      </c>
      <c r="F19" t="s">
        <v>152</v>
      </c>
    </row>
    <row r="20" spans="1:6" x14ac:dyDescent="0.25">
      <c r="A20">
        <v>19</v>
      </c>
      <c r="B20" t="s">
        <v>90</v>
      </c>
      <c r="C20" t="s">
        <v>72</v>
      </c>
      <c r="D20">
        <v>0</v>
      </c>
      <c r="E20">
        <v>0</v>
      </c>
      <c r="F20" t="s">
        <v>153</v>
      </c>
    </row>
    <row r="21" spans="1:6" x14ac:dyDescent="0.25">
      <c r="A21">
        <v>20</v>
      </c>
      <c r="B21" t="s">
        <v>91</v>
      </c>
      <c r="C21" t="s">
        <v>72</v>
      </c>
      <c r="D21">
        <v>0</v>
      </c>
      <c r="E21">
        <v>0</v>
      </c>
      <c r="F21" t="s">
        <v>154</v>
      </c>
    </row>
    <row r="22" spans="1:6" x14ac:dyDescent="0.25">
      <c r="A22">
        <v>21</v>
      </c>
      <c r="B22" t="s">
        <v>92</v>
      </c>
      <c r="C22" t="s">
        <v>72</v>
      </c>
      <c r="D22">
        <v>0</v>
      </c>
      <c r="E22">
        <v>0</v>
      </c>
      <c r="F22" t="s">
        <v>191</v>
      </c>
    </row>
    <row r="23" spans="1:6" x14ac:dyDescent="0.25">
      <c r="A23">
        <v>30</v>
      </c>
      <c r="B23" t="s">
        <v>93</v>
      </c>
      <c r="C23" t="s">
        <v>72</v>
      </c>
      <c r="D23">
        <v>0</v>
      </c>
      <c r="E23">
        <v>0</v>
      </c>
      <c r="F23" t="s">
        <v>155</v>
      </c>
    </row>
    <row r="24" spans="1:6" x14ac:dyDescent="0.25">
      <c r="A24">
        <v>31</v>
      </c>
      <c r="B24" t="s">
        <v>94</v>
      </c>
      <c r="C24" t="s">
        <v>72</v>
      </c>
      <c r="D24">
        <v>0</v>
      </c>
      <c r="E24">
        <v>0</v>
      </c>
      <c r="F24" t="s">
        <v>156</v>
      </c>
    </row>
    <row r="25" spans="1:6" x14ac:dyDescent="0.25">
      <c r="A25">
        <v>32</v>
      </c>
      <c r="B25" t="s">
        <v>95</v>
      </c>
      <c r="C25" t="s">
        <v>72</v>
      </c>
      <c r="D25">
        <v>0</v>
      </c>
      <c r="E25">
        <v>0</v>
      </c>
      <c r="F25" t="s">
        <v>157</v>
      </c>
    </row>
    <row r="26" spans="1:6" x14ac:dyDescent="0.25">
      <c r="A26">
        <v>33</v>
      </c>
      <c r="B26" t="s">
        <v>96</v>
      </c>
      <c r="C26" t="s">
        <v>72</v>
      </c>
      <c r="D26">
        <v>0.20475756801299999</v>
      </c>
      <c r="E26">
        <v>0</v>
      </c>
      <c r="F26" t="s">
        <v>158</v>
      </c>
    </row>
    <row r="27" spans="1:6" x14ac:dyDescent="0.25">
      <c r="A27">
        <v>34</v>
      </c>
      <c r="B27" t="s">
        <v>97</v>
      </c>
      <c r="C27" t="s">
        <v>72</v>
      </c>
      <c r="D27">
        <v>0.73914409694299998</v>
      </c>
      <c r="E27">
        <v>0</v>
      </c>
      <c r="F27" t="s">
        <v>159</v>
      </c>
    </row>
    <row r="28" spans="1:6" x14ac:dyDescent="0.25">
      <c r="A28">
        <v>35</v>
      </c>
      <c r="B28" t="s">
        <v>98</v>
      </c>
      <c r="C28" t="s">
        <v>72</v>
      </c>
      <c r="D28">
        <v>0.91950533972299997</v>
      </c>
      <c r="E28">
        <v>0</v>
      </c>
      <c r="F28" t="s">
        <v>160</v>
      </c>
    </row>
    <row r="29" spans="1:6" x14ac:dyDescent="0.25">
      <c r="A29">
        <v>36</v>
      </c>
      <c r="B29" t="s">
        <v>99</v>
      </c>
      <c r="C29" t="s">
        <v>72</v>
      </c>
      <c r="D29">
        <v>0</v>
      </c>
      <c r="E29">
        <v>0</v>
      </c>
      <c r="F29" t="s">
        <v>161</v>
      </c>
    </row>
    <row r="30" spans="1:6" x14ac:dyDescent="0.25">
      <c r="A30">
        <v>37</v>
      </c>
      <c r="B30" t="s">
        <v>100</v>
      </c>
      <c r="C30" t="s">
        <v>72</v>
      </c>
      <c r="D30">
        <v>0.47967991030399998</v>
      </c>
      <c r="E30">
        <v>0</v>
      </c>
      <c r="F30" t="s">
        <v>162</v>
      </c>
    </row>
    <row r="31" spans="1:6" x14ac:dyDescent="0.25">
      <c r="A31">
        <v>38</v>
      </c>
      <c r="B31" t="s">
        <v>101</v>
      </c>
      <c r="C31" t="s">
        <v>72</v>
      </c>
      <c r="D31">
        <v>-0.117361085083</v>
      </c>
      <c r="E31">
        <v>0</v>
      </c>
      <c r="F31" t="s">
        <v>163</v>
      </c>
    </row>
    <row r="32" spans="1:6" x14ac:dyDescent="0.25">
      <c r="A32">
        <v>50</v>
      </c>
      <c r="B32" t="s">
        <v>102</v>
      </c>
      <c r="C32" t="s">
        <v>103</v>
      </c>
      <c r="D32">
        <v>-49.658779198200001</v>
      </c>
      <c r="E32">
        <v>33.148214292299997</v>
      </c>
      <c r="F32">
        <v>1</v>
      </c>
    </row>
    <row r="33" spans="1:6" x14ac:dyDescent="0.25">
      <c r="A33">
        <v>51</v>
      </c>
      <c r="B33" t="s">
        <v>104</v>
      </c>
      <c r="C33" t="s">
        <v>103</v>
      </c>
      <c r="D33">
        <v>17.602734273900001</v>
      </c>
      <c r="E33">
        <v>9.4985609110600002</v>
      </c>
      <c r="F33" t="s">
        <v>136</v>
      </c>
    </row>
    <row r="34" spans="1:6" x14ac:dyDescent="0.25">
      <c r="A34">
        <v>52</v>
      </c>
      <c r="B34" t="s">
        <v>105</v>
      </c>
      <c r="C34" t="s">
        <v>103</v>
      </c>
      <c r="D34">
        <v>4.20952630757</v>
      </c>
      <c r="E34">
        <v>2.7008716882299999</v>
      </c>
      <c r="F34" t="s">
        <v>137</v>
      </c>
    </row>
    <row r="35" spans="1:6" x14ac:dyDescent="0.25">
      <c r="A35">
        <v>60</v>
      </c>
      <c r="B35" t="s">
        <v>106</v>
      </c>
      <c r="C35" t="s">
        <v>72</v>
      </c>
      <c r="D35">
        <v>0.20359321296800001</v>
      </c>
      <c r="E35">
        <v>0</v>
      </c>
    </row>
    <row r="36" spans="1:6" x14ac:dyDescent="0.25">
      <c r="A36">
        <v>61</v>
      </c>
      <c r="B36" t="s">
        <v>107</v>
      </c>
      <c r="C36" t="s">
        <v>72</v>
      </c>
      <c r="D36">
        <v>-3.7139025588600001</v>
      </c>
      <c r="E36">
        <v>0</v>
      </c>
      <c r="F36" t="s">
        <v>164</v>
      </c>
    </row>
    <row r="37" spans="1:6" x14ac:dyDescent="0.25">
      <c r="A37">
        <v>62</v>
      </c>
      <c r="B37" t="s">
        <v>108</v>
      </c>
      <c r="C37" t="s">
        <v>72</v>
      </c>
      <c r="D37">
        <v>-14.9292134206</v>
      </c>
      <c r="E37">
        <v>0</v>
      </c>
      <c r="F37" t="s">
        <v>165</v>
      </c>
    </row>
    <row r="38" spans="1:6" x14ac:dyDescent="0.25">
      <c r="A38">
        <v>63</v>
      </c>
      <c r="B38" t="s">
        <v>109</v>
      </c>
      <c r="C38" t="s">
        <v>72</v>
      </c>
      <c r="D38">
        <v>-18.363643827400001</v>
      </c>
      <c r="E38">
        <v>0</v>
      </c>
      <c r="F38" t="s">
        <v>166</v>
      </c>
    </row>
    <row r="39" spans="1:6" x14ac:dyDescent="0.25">
      <c r="A39">
        <v>64</v>
      </c>
      <c r="B39" t="s">
        <v>110</v>
      </c>
      <c r="C39" t="s">
        <v>72</v>
      </c>
      <c r="D39">
        <v>-19.6107408341</v>
      </c>
      <c r="E39">
        <v>0</v>
      </c>
      <c r="F39" t="s">
        <v>167</v>
      </c>
    </row>
    <row r="40" spans="1:6" x14ac:dyDescent="0.25">
      <c r="A40">
        <v>65</v>
      </c>
      <c r="B40" t="s">
        <v>111</v>
      </c>
      <c r="C40" t="s">
        <v>72</v>
      </c>
      <c r="D40">
        <v>-29.386377866</v>
      </c>
      <c r="E40">
        <v>0</v>
      </c>
      <c r="F40" t="s">
        <v>168</v>
      </c>
    </row>
    <row r="41" spans="1:6" x14ac:dyDescent="0.25">
      <c r="A41">
        <v>66</v>
      </c>
      <c r="B41" t="s">
        <v>112</v>
      </c>
      <c r="C41" t="s">
        <v>72</v>
      </c>
      <c r="D41">
        <v>0</v>
      </c>
      <c r="E41">
        <v>0</v>
      </c>
      <c r="F41" t="s">
        <v>169</v>
      </c>
    </row>
    <row r="42" spans="1:6" x14ac:dyDescent="0.25">
      <c r="A42">
        <v>67</v>
      </c>
      <c r="B42" t="s">
        <v>113</v>
      </c>
      <c r="C42" t="s">
        <v>72</v>
      </c>
      <c r="D42">
        <v>-6.7290240321499999</v>
      </c>
      <c r="E42">
        <v>0</v>
      </c>
      <c r="F42" t="s">
        <v>170</v>
      </c>
    </row>
    <row r="43" spans="1:6" x14ac:dyDescent="0.25">
      <c r="A43">
        <v>68</v>
      </c>
      <c r="B43" t="s">
        <v>114</v>
      </c>
      <c r="C43" t="s">
        <v>72</v>
      </c>
      <c r="D43">
        <v>-26.1597322567</v>
      </c>
      <c r="E43">
        <v>0</v>
      </c>
      <c r="F43" t="s">
        <v>171</v>
      </c>
    </row>
    <row r="44" spans="1:6" x14ac:dyDescent="0.25">
      <c r="A44">
        <v>69</v>
      </c>
      <c r="B44" t="s">
        <v>115</v>
      </c>
      <c r="C44" t="s">
        <v>72</v>
      </c>
      <c r="D44">
        <v>-0.14966845132199999</v>
      </c>
      <c r="E44">
        <v>0</v>
      </c>
      <c r="F44" t="s">
        <v>172</v>
      </c>
    </row>
    <row r="45" spans="1:6" x14ac:dyDescent="0.25">
      <c r="A45">
        <v>70</v>
      </c>
      <c r="B45" t="s">
        <v>116</v>
      </c>
      <c r="C45" t="s">
        <v>72</v>
      </c>
      <c r="D45">
        <v>-28.815960729</v>
      </c>
      <c r="E45">
        <v>0</v>
      </c>
      <c r="F45" t="s">
        <v>173</v>
      </c>
    </row>
    <row r="46" spans="1:6" x14ac:dyDescent="0.25">
      <c r="A46">
        <v>71</v>
      </c>
      <c r="B46" t="s">
        <v>117</v>
      </c>
      <c r="C46" t="s">
        <v>72</v>
      </c>
      <c r="D46">
        <v>-38.204969650199999</v>
      </c>
      <c r="E46">
        <v>0</v>
      </c>
      <c r="F46" t="s">
        <v>174</v>
      </c>
    </row>
    <row r="47" spans="1:6" x14ac:dyDescent="0.25">
      <c r="A47">
        <v>72</v>
      </c>
      <c r="B47" t="s">
        <v>118</v>
      </c>
      <c r="C47" t="s">
        <v>72</v>
      </c>
      <c r="D47">
        <v>0</v>
      </c>
      <c r="E47">
        <v>0</v>
      </c>
      <c r="F47" t="s">
        <v>175</v>
      </c>
    </row>
    <row r="48" spans="1:6" x14ac:dyDescent="0.25">
      <c r="A48">
        <v>73</v>
      </c>
      <c r="B48" t="s">
        <v>119</v>
      </c>
      <c r="C48" t="s">
        <v>72</v>
      </c>
      <c r="D48">
        <v>-0.78460574570499997</v>
      </c>
      <c r="E48">
        <v>0</v>
      </c>
      <c r="F48" t="s">
        <v>176</v>
      </c>
    </row>
    <row r="49" spans="1:6" x14ac:dyDescent="0.25">
      <c r="A49">
        <v>74</v>
      </c>
      <c r="B49" t="s">
        <v>120</v>
      </c>
      <c r="C49" t="s">
        <v>72</v>
      </c>
      <c r="D49">
        <v>-60</v>
      </c>
      <c r="E49">
        <v>0</v>
      </c>
      <c r="F49" t="s">
        <v>177</v>
      </c>
    </row>
    <row r="50" spans="1:6" x14ac:dyDescent="0.25">
      <c r="A50">
        <v>75</v>
      </c>
      <c r="B50" t="s">
        <v>121</v>
      </c>
      <c r="C50" t="s">
        <v>72</v>
      </c>
      <c r="D50">
        <v>-40</v>
      </c>
      <c r="E50">
        <v>0</v>
      </c>
      <c r="F50" t="s">
        <v>178</v>
      </c>
    </row>
    <row r="51" spans="1:6" x14ac:dyDescent="0.25">
      <c r="A51">
        <v>76</v>
      </c>
      <c r="B51" t="s">
        <v>122</v>
      </c>
      <c r="C51" t="s">
        <v>72</v>
      </c>
      <c r="D51">
        <v>-19.3366724551</v>
      </c>
      <c r="E51">
        <v>0</v>
      </c>
      <c r="F51" t="s">
        <v>179</v>
      </c>
    </row>
    <row r="52" spans="1:6" x14ac:dyDescent="0.25">
      <c r="A52">
        <v>77</v>
      </c>
      <c r="B52" t="s">
        <v>123</v>
      </c>
      <c r="C52" t="s">
        <v>72</v>
      </c>
      <c r="D52">
        <v>-29.8899113495</v>
      </c>
      <c r="E52">
        <v>0</v>
      </c>
      <c r="F52" t="s">
        <v>180</v>
      </c>
    </row>
    <row r="53" spans="1:6" x14ac:dyDescent="0.25">
      <c r="A53">
        <v>78</v>
      </c>
      <c r="B53" t="s">
        <v>124</v>
      </c>
      <c r="C53" t="s">
        <v>72</v>
      </c>
      <c r="D53">
        <v>0</v>
      </c>
      <c r="E53">
        <v>0</v>
      </c>
      <c r="F53" t="s">
        <v>181</v>
      </c>
    </row>
    <row r="54" spans="1:6" x14ac:dyDescent="0.25">
      <c r="A54">
        <v>79</v>
      </c>
      <c r="B54" t="s">
        <v>125</v>
      </c>
      <c r="C54" t="s">
        <v>72</v>
      </c>
      <c r="D54">
        <v>-4.6085602533700003</v>
      </c>
      <c r="E54">
        <v>0</v>
      </c>
      <c r="F54" t="s">
        <v>182</v>
      </c>
    </row>
    <row r="55" spans="1:6" x14ac:dyDescent="0.25">
      <c r="A55">
        <v>80</v>
      </c>
      <c r="B55" t="s">
        <v>126</v>
      </c>
      <c r="C55" t="s">
        <v>72</v>
      </c>
      <c r="D55">
        <v>-20</v>
      </c>
      <c r="E55">
        <v>0</v>
      </c>
      <c r="F55" t="s">
        <v>183</v>
      </c>
    </row>
    <row r="56" spans="1:6" x14ac:dyDescent="0.25">
      <c r="A56">
        <v>81</v>
      </c>
      <c r="B56" t="s">
        <v>127</v>
      </c>
      <c r="C56" t="s">
        <v>72</v>
      </c>
      <c r="D56">
        <v>-16.8297323695</v>
      </c>
      <c r="E56">
        <v>0</v>
      </c>
      <c r="F56" t="s">
        <v>184</v>
      </c>
    </row>
    <row r="57" spans="1:6" x14ac:dyDescent="0.25">
      <c r="A57">
        <v>82</v>
      </c>
      <c r="B57" t="s">
        <v>128</v>
      </c>
      <c r="C57" t="s">
        <v>72</v>
      </c>
      <c r="D57">
        <v>-30</v>
      </c>
      <c r="E57">
        <v>0</v>
      </c>
      <c r="F57" t="s">
        <v>185</v>
      </c>
    </row>
    <row r="58" spans="1:6" x14ac:dyDescent="0.25">
      <c r="A58">
        <v>83</v>
      </c>
      <c r="B58" t="s">
        <v>129</v>
      </c>
      <c r="C58" t="s">
        <v>72</v>
      </c>
      <c r="D58">
        <v>0</v>
      </c>
      <c r="E58">
        <v>0</v>
      </c>
      <c r="F58" t="s">
        <v>186</v>
      </c>
    </row>
    <row r="59" spans="1:6" x14ac:dyDescent="0.25">
      <c r="A59">
        <v>84</v>
      </c>
      <c r="B59" t="s">
        <v>130</v>
      </c>
      <c r="C59" t="s">
        <v>72</v>
      </c>
      <c r="D59">
        <v>-3.8243167264700002</v>
      </c>
      <c r="E59">
        <v>0</v>
      </c>
      <c r="F59" t="s">
        <v>187</v>
      </c>
    </row>
    <row r="60" spans="1:6" x14ac:dyDescent="0.25">
      <c r="A60">
        <v>98</v>
      </c>
      <c r="B60" t="s">
        <v>131</v>
      </c>
      <c r="C60" t="s">
        <v>72</v>
      </c>
      <c r="D60">
        <v>0</v>
      </c>
      <c r="E60">
        <v>0</v>
      </c>
      <c r="F60">
        <v>100</v>
      </c>
    </row>
    <row r="61" spans="1:6" x14ac:dyDescent="0.25">
      <c r="A61">
        <v>99</v>
      </c>
      <c r="B61" t="s">
        <v>132</v>
      </c>
      <c r="C61" t="s">
        <v>103</v>
      </c>
      <c r="D61">
        <v>0.11248071060500001</v>
      </c>
      <c r="E61" s="54">
        <v>6.8437874180799996E-2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55" t="s">
        <v>201</v>
      </c>
    </row>
    <row r="2" spans="1:10" x14ac:dyDescent="0.25">
      <c r="A2">
        <v>1</v>
      </c>
      <c r="B2" t="s">
        <v>202</v>
      </c>
    </row>
    <row r="3" spans="1:10" x14ac:dyDescent="0.25">
      <c r="A3">
        <v>2</v>
      </c>
      <c r="B3" t="s">
        <v>203</v>
      </c>
    </row>
    <row r="4" spans="1:10" x14ac:dyDescent="0.25">
      <c r="A4">
        <v>3</v>
      </c>
      <c r="B4" t="s">
        <v>204</v>
      </c>
    </row>
    <row r="5" spans="1:10" x14ac:dyDescent="0.25">
      <c r="A5">
        <v>4</v>
      </c>
      <c r="B5" t="s">
        <v>205</v>
      </c>
    </row>
    <row r="8" spans="1:10" x14ac:dyDescent="0.25">
      <c r="A8" t="s">
        <v>206</v>
      </c>
      <c r="B8" t="s">
        <v>207</v>
      </c>
      <c r="C8" t="s">
        <v>208</v>
      </c>
      <c r="D8" t="s">
        <v>209</v>
      </c>
      <c r="E8" t="s">
        <v>210</v>
      </c>
      <c r="F8" t="s">
        <v>211</v>
      </c>
      <c r="G8" t="s">
        <v>212</v>
      </c>
      <c r="H8" t="s">
        <v>213</v>
      </c>
    </row>
    <row r="9" spans="1:10" x14ac:dyDescent="0.25">
      <c r="A9" t="s">
        <v>214</v>
      </c>
      <c r="B9" t="s">
        <v>215</v>
      </c>
      <c r="C9" t="s">
        <v>216</v>
      </c>
      <c r="D9" t="s">
        <v>217</v>
      </c>
      <c r="E9">
        <v>4</v>
      </c>
      <c r="F9" s="56">
        <v>0.50597222222222216</v>
      </c>
      <c r="G9" t="s">
        <v>218</v>
      </c>
      <c r="H9">
        <v>29</v>
      </c>
      <c r="I9" t="s">
        <v>219</v>
      </c>
      <c r="J9">
        <v>12</v>
      </c>
    </row>
    <row r="10" spans="1:10" x14ac:dyDescent="0.25">
      <c r="A10" t="s">
        <v>220</v>
      </c>
    </row>
    <row r="11" spans="1:10" x14ac:dyDescent="0.25">
      <c r="B11">
        <v>1</v>
      </c>
      <c r="C11" t="s">
        <v>71</v>
      </c>
      <c r="D11" t="s">
        <v>72</v>
      </c>
      <c r="E11">
        <v>1</v>
      </c>
      <c r="F11">
        <v>0</v>
      </c>
    </row>
    <row r="12" spans="1:10" x14ac:dyDescent="0.25">
      <c r="B12">
        <v>2</v>
      </c>
      <c r="C12" t="s">
        <v>73</v>
      </c>
      <c r="D12" t="s">
        <v>72</v>
      </c>
      <c r="E12">
        <v>1</v>
      </c>
      <c r="F12">
        <v>0</v>
      </c>
    </row>
    <row r="13" spans="1:10" x14ac:dyDescent="0.25">
      <c r="B13">
        <v>3</v>
      </c>
      <c r="C13" t="s">
        <v>74</v>
      </c>
      <c r="D13" t="s">
        <v>72</v>
      </c>
      <c r="E13">
        <v>1</v>
      </c>
      <c r="F13">
        <v>0</v>
      </c>
    </row>
    <row r="14" spans="1:10" x14ac:dyDescent="0.25">
      <c r="B14">
        <v>4</v>
      </c>
      <c r="C14" t="s">
        <v>75</v>
      </c>
      <c r="D14" t="s">
        <v>72</v>
      </c>
      <c r="E14">
        <v>0.5</v>
      </c>
      <c r="F14">
        <v>0</v>
      </c>
    </row>
    <row r="15" spans="1:10" x14ac:dyDescent="0.25">
      <c r="B15">
        <v>5</v>
      </c>
      <c r="C15" t="s">
        <v>76</v>
      </c>
      <c r="D15" t="s">
        <v>72</v>
      </c>
      <c r="E15">
        <v>0.1</v>
      </c>
      <c r="F15">
        <v>0</v>
      </c>
    </row>
    <row r="16" spans="1:10" x14ac:dyDescent="0.25">
      <c r="B16">
        <v>6</v>
      </c>
      <c r="C16" t="s">
        <v>77</v>
      </c>
      <c r="D16" t="s">
        <v>72</v>
      </c>
      <c r="E16">
        <v>1</v>
      </c>
      <c r="F16">
        <v>0</v>
      </c>
    </row>
    <row r="17" spans="2:6" x14ac:dyDescent="0.25">
      <c r="B17">
        <v>7</v>
      </c>
      <c r="C17" t="s">
        <v>78</v>
      </c>
      <c r="D17" t="s">
        <v>72</v>
      </c>
      <c r="E17">
        <v>-21.977719252</v>
      </c>
      <c r="F17">
        <v>0</v>
      </c>
    </row>
    <row r="18" spans="2:6" x14ac:dyDescent="0.25">
      <c r="B18">
        <v>8</v>
      </c>
      <c r="C18" t="s">
        <v>79</v>
      </c>
      <c r="D18" t="s">
        <v>72</v>
      </c>
      <c r="E18">
        <v>-1.4857940511400001</v>
      </c>
      <c r="F18">
        <v>0</v>
      </c>
    </row>
    <row r="19" spans="2:6" x14ac:dyDescent="0.25">
      <c r="B19">
        <v>9</v>
      </c>
      <c r="C19" t="s">
        <v>80</v>
      </c>
      <c r="D19" t="s">
        <v>72</v>
      </c>
      <c r="E19">
        <v>-4.85028348146</v>
      </c>
      <c r="F19">
        <v>0</v>
      </c>
    </row>
    <row r="20" spans="2:6" x14ac:dyDescent="0.25">
      <c r="B20">
        <v>10</v>
      </c>
      <c r="C20" t="s">
        <v>81</v>
      </c>
      <c r="D20" t="s">
        <v>72</v>
      </c>
      <c r="E20">
        <v>-15.3921330935</v>
      </c>
      <c r="F20">
        <v>0</v>
      </c>
    </row>
    <row r="21" spans="2:6" x14ac:dyDescent="0.25">
      <c r="B21">
        <v>11</v>
      </c>
      <c r="C21" t="s">
        <v>82</v>
      </c>
      <c r="D21" t="s">
        <v>72</v>
      </c>
      <c r="E21">
        <v>-9.7518039976427993</v>
      </c>
      <c r="F21">
        <v>0</v>
      </c>
    </row>
    <row r="22" spans="2:6" x14ac:dyDescent="0.25">
      <c r="B22">
        <v>12</v>
      </c>
      <c r="C22" t="s">
        <v>83</v>
      </c>
      <c r="D22" t="s">
        <v>72</v>
      </c>
      <c r="E22">
        <v>-1.0599160072038001</v>
      </c>
      <c r="F22">
        <v>0</v>
      </c>
    </row>
    <row r="23" spans="2:6" x14ac:dyDescent="0.25">
      <c r="B23">
        <v>13</v>
      </c>
      <c r="C23" t="s">
        <v>84</v>
      </c>
      <c r="D23" t="s">
        <v>72</v>
      </c>
      <c r="E23">
        <v>-6.5192578502799998</v>
      </c>
      <c r="F23">
        <v>0</v>
      </c>
    </row>
    <row r="24" spans="2:6" x14ac:dyDescent="0.25">
      <c r="B24">
        <v>14</v>
      </c>
      <c r="C24" t="s">
        <v>85</v>
      </c>
      <c r="D24" t="s">
        <v>72</v>
      </c>
      <c r="E24">
        <v>-3.04866060786</v>
      </c>
      <c r="F24">
        <v>0</v>
      </c>
    </row>
    <row r="25" spans="2:6" x14ac:dyDescent="0.25">
      <c r="B25">
        <v>15</v>
      </c>
      <c r="C25" t="s">
        <v>86</v>
      </c>
      <c r="D25" t="s">
        <v>72</v>
      </c>
      <c r="E25">
        <v>0</v>
      </c>
      <c r="F25">
        <v>0</v>
      </c>
    </row>
    <row r="26" spans="2:6" x14ac:dyDescent="0.25">
      <c r="B26">
        <v>16</v>
      </c>
      <c r="C26" t="s">
        <v>87</v>
      </c>
      <c r="D26" t="s">
        <v>72</v>
      </c>
      <c r="E26">
        <v>-2.2084934246199999</v>
      </c>
      <c r="F26">
        <v>0</v>
      </c>
    </row>
    <row r="27" spans="2:6" x14ac:dyDescent="0.25">
      <c r="B27">
        <v>17</v>
      </c>
      <c r="C27" t="s">
        <v>88</v>
      </c>
      <c r="D27" t="s">
        <v>72</v>
      </c>
      <c r="E27">
        <v>0</v>
      </c>
      <c r="F27">
        <v>0</v>
      </c>
    </row>
    <row r="28" spans="2:6" x14ac:dyDescent="0.25">
      <c r="B28">
        <v>18</v>
      </c>
      <c r="C28" t="s">
        <v>89</v>
      </c>
      <c r="D28" t="s">
        <v>72</v>
      </c>
      <c r="E28">
        <v>0</v>
      </c>
      <c r="F28">
        <v>0</v>
      </c>
    </row>
    <row r="29" spans="2:6" x14ac:dyDescent="0.25">
      <c r="B29">
        <v>19</v>
      </c>
      <c r="C29" t="s">
        <v>90</v>
      </c>
      <c r="D29" t="s">
        <v>72</v>
      </c>
      <c r="E29">
        <v>0</v>
      </c>
      <c r="F29">
        <v>0</v>
      </c>
    </row>
    <row r="30" spans="2:6" x14ac:dyDescent="0.25">
      <c r="B30">
        <v>20</v>
      </c>
      <c r="C30" t="s">
        <v>91</v>
      </c>
      <c r="D30" t="s">
        <v>72</v>
      </c>
      <c r="E30">
        <v>0</v>
      </c>
      <c r="F30">
        <v>0</v>
      </c>
    </row>
    <row r="31" spans="2:6" x14ac:dyDescent="0.25">
      <c r="B31">
        <v>21</v>
      </c>
      <c r="C31" t="s">
        <v>92</v>
      </c>
      <c r="D31" t="s">
        <v>72</v>
      </c>
      <c r="E31">
        <v>0</v>
      </c>
      <c r="F31">
        <v>0</v>
      </c>
    </row>
    <row r="32" spans="2:6" x14ac:dyDescent="0.25">
      <c r="B32">
        <v>30</v>
      </c>
      <c r="C32" t="s">
        <v>93</v>
      </c>
      <c r="D32" t="s">
        <v>72</v>
      </c>
      <c r="E32">
        <v>0</v>
      </c>
      <c r="F32">
        <v>0</v>
      </c>
    </row>
    <row r="33" spans="2:6" x14ac:dyDescent="0.25">
      <c r="B33">
        <v>31</v>
      </c>
      <c r="C33" t="s">
        <v>94</v>
      </c>
      <c r="D33" t="s">
        <v>72</v>
      </c>
      <c r="E33">
        <v>0</v>
      </c>
      <c r="F33">
        <v>0</v>
      </c>
    </row>
    <row r="34" spans="2:6" x14ac:dyDescent="0.25">
      <c r="B34">
        <v>32</v>
      </c>
      <c r="C34" t="s">
        <v>95</v>
      </c>
      <c r="D34" t="s">
        <v>72</v>
      </c>
      <c r="E34">
        <v>0</v>
      </c>
      <c r="F34">
        <v>0</v>
      </c>
    </row>
    <row r="35" spans="2:6" x14ac:dyDescent="0.25">
      <c r="B35">
        <v>33</v>
      </c>
      <c r="C35" t="s">
        <v>96</v>
      </c>
      <c r="D35" t="s">
        <v>72</v>
      </c>
      <c r="E35">
        <v>0.20475756801299999</v>
      </c>
      <c r="F35">
        <v>0</v>
      </c>
    </row>
    <row r="36" spans="2:6" x14ac:dyDescent="0.25">
      <c r="B36">
        <v>34</v>
      </c>
      <c r="C36" t="s">
        <v>97</v>
      </c>
      <c r="D36" t="s">
        <v>72</v>
      </c>
      <c r="E36">
        <v>0.73914409694299998</v>
      </c>
      <c r="F36">
        <v>0</v>
      </c>
    </row>
    <row r="37" spans="2:6" x14ac:dyDescent="0.25">
      <c r="B37">
        <v>35</v>
      </c>
      <c r="C37" t="s">
        <v>98</v>
      </c>
      <c r="D37" t="s">
        <v>72</v>
      </c>
      <c r="E37">
        <v>0.91950533972299997</v>
      </c>
      <c r="F37">
        <v>0</v>
      </c>
    </row>
    <row r="38" spans="2:6" x14ac:dyDescent="0.25">
      <c r="B38">
        <v>36</v>
      </c>
      <c r="C38" t="s">
        <v>99</v>
      </c>
      <c r="D38" t="s">
        <v>72</v>
      </c>
      <c r="E38">
        <v>0</v>
      </c>
      <c r="F38">
        <v>0</v>
      </c>
    </row>
    <row r="39" spans="2:6" x14ac:dyDescent="0.25">
      <c r="B39">
        <v>37</v>
      </c>
      <c r="C39" t="s">
        <v>100</v>
      </c>
      <c r="D39" t="s">
        <v>72</v>
      </c>
      <c r="E39">
        <v>0.47967991030399998</v>
      </c>
      <c r="F39">
        <v>0</v>
      </c>
    </row>
    <row r="40" spans="2:6" x14ac:dyDescent="0.25">
      <c r="B40">
        <v>38</v>
      </c>
      <c r="C40" t="s">
        <v>101</v>
      </c>
      <c r="D40" t="s">
        <v>72</v>
      </c>
      <c r="E40">
        <v>-0.117361085083</v>
      </c>
      <c r="F40">
        <v>0</v>
      </c>
    </row>
    <row r="41" spans="2:6" x14ac:dyDescent="0.25">
      <c r="B41">
        <v>50</v>
      </c>
      <c r="C41" t="s">
        <v>102</v>
      </c>
      <c r="D41" t="s">
        <v>103</v>
      </c>
      <c r="E41">
        <v>-52.496387392000003</v>
      </c>
      <c r="F41">
        <v>33.148214292299997</v>
      </c>
    </row>
    <row r="42" spans="2:6" x14ac:dyDescent="0.25">
      <c r="B42">
        <v>51</v>
      </c>
      <c r="C42" t="s">
        <v>104</v>
      </c>
      <c r="D42" t="s">
        <v>103</v>
      </c>
      <c r="E42">
        <v>17.602734273900001</v>
      </c>
      <c r="F42">
        <v>9.4985609110600002</v>
      </c>
    </row>
    <row r="43" spans="2:6" x14ac:dyDescent="0.25">
      <c r="B43">
        <v>52</v>
      </c>
      <c r="C43" t="s">
        <v>105</v>
      </c>
      <c r="D43" t="s">
        <v>103</v>
      </c>
      <c r="E43">
        <v>4.20952630757</v>
      </c>
      <c r="F43">
        <v>2.7008716882299999</v>
      </c>
    </row>
    <row r="44" spans="2:6" x14ac:dyDescent="0.25">
      <c r="B44">
        <v>60</v>
      </c>
      <c r="C44" t="s">
        <v>106</v>
      </c>
      <c r="D44" t="s">
        <v>72</v>
      </c>
      <c r="E44">
        <v>0.20359321296800001</v>
      </c>
      <c r="F44">
        <v>0</v>
      </c>
    </row>
    <row r="45" spans="2:6" x14ac:dyDescent="0.25">
      <c r="B45">
        <v>61</v>
      </c>
      <c r="C45" t="s">
        <v>107</v>
      </c>
      <c r="D45" t="s">
        <v>72</v>
      </c>
      <c r="E45">
        <v>-3.7139025588600001</v>
      </c>
      <c r="F45">
        <v>0</v>
      </c>
    </row>
    <row r="46" spans="2:6" x14ac:dyDescent="0.25">
      <c r="B46">
        <v>62</v>
      </c>
      <c r="C46" t="s">
        <v>108</v>
      </c>
      <c r="D46" t="s">
        <v>72</v>
      </c>
      <c r="E46">
        <v>-14.9292134206</v>
      </c>
      <c r="F46">
        <v>0</v>
      </c>
    </row>
    <row r="47" spans="2:6" x14ac:dyDescent="0.25">
      <c r="B47">
        <v>63</v>
      </c>
      <c r="C47" t="s">
        <v>109</v>
      </c>
      <c r="D47" t="s">
        <v>72</v>
      </c>
      <c r="E47">
        <v>-18.363643827400001</v>
      </c>
      <c r="F47">
        <v>0</v>
      </c>
    </row>
    <row r="48" spans="2:6" x14ac:dyDescent="0.25">
      <c r="B48">
        <v>64</v>
      </c>
      <c r="C48" t="s">
        <v>110</v>
      </c>
      <c r="D48" t="s">
        <v>72</v>
      </c>
      <c r="E48">
        <v>-19.6107408341</v>
      </c>
      <c r="F48">
        <v>0</v>
      </c>
    </row>
    <row r="49" spans="2:6" x14ac:dyDescent="0.25">
      <c r="B49">
        <v>65</v>
      </c>
      <c r="C49" t="s">
        <v>111</v>
      </c>
      <c r="D49" t="s">
        <v>72</v>
      </c>
      <c r="E49">
        <v>-29.386377866</v>
      </c>
      <c r="F49">
        <v>0</v>
      </c>
    </row>
    <row r="50" spans="2:6" x14ac:dyDescent="0.25">
      <c r="B50">
        <v>66</v>
      </c>
      <c r="C50" t="s">
        <v>112</v>
      </c>
      <c r="D50" t="s">
        <v>72</v>
      </c>
      <c r="E50">
        <v>0</v>
      </c>
      <c r="F50">
        <v>0</v>
      </c>
    </row>
    <row r="51" spans="2:6" x14ac:dyDescent="0.25">
      <c r="B51">
        <v>67</v>
      </c>
      <c r="C51" t="s">
        <v>113</v>
      </c>
      <c r="D51" t="s">
        <v>72</v>
      </c>
      <c r="E51">
        <v>-6.7290240321499999</v>
      </c>
      <c r="F51">
        <v>0</v>
      </c>
    </row>
    <row r="52" spans="2:6" x14ac:dyDescent="0.25">
      <c r="B52">
        <v>68</v>
      </c>
      <c r="C52" t="s">
        <v>114</v>
      </c>
      <c r="D52" t="s">
        <v>72</v>
      </c>
      <c r="E52">
        <v>-26.1597322567</v>
      </c>
      <c r="F52">
        <v>0</v>
      </c>
    </row>
    <row r="53" spans="2:6" x14ac:dyDescent="0.25">
      <c r="B53">
        <v>69</v>
      </c>
      <c r="C53" t="s">
        <v>115</v>
      </c>
      <c r="D53" t="s">
        <v>72</v>
      </c>
      <c r="E53">
        <v>-0.14966845132199999</v>
      </c>
      <c r="F53">
        <v>0</v>
      </c>
    </row>
    <row r="54" spans="2:6" x14ac:dyDescent="0.25">
      <c r="B54">
        <v>70</v>
      </c>
      <c r="C54" t="s">
        <v>116</v>
      </c>
      <c r="D54" t="s">
        <v>72</v>
      </c>
      <c r="E54">
        <v>-28.815960729</v>
      </c>
      <c r="F54">
        <v>0</v>
      </c>
    </row>
    <row r="55" spans="2:6" x14ac:dyDescent="0.25">
      <c r="B55">
        <v>71</v>
      </c>
      <c r="C55" t="s">
        <v>117</v>
      </c>
      <c r="D55" t="s">
        <v>72</v>
      </c>
      <c r="E55">
        <v>-38.204969650199999</v>
      </c>
      <c r="F55">
        <v>0</v>
      </c>
    </row>
    <row r="56" spans="2:6" x14ac:dyDescent="0.25">
      <c r="B56">
        <v>72</v>
      </c>
      <c r="C56" t="s">
        <v>118</v>
      </c>
      <c r="D56" t="s">
        <v>72</v>
      </c>
      <c r="E56">
        <v>0</v>
      </c>
      <c r="F56">
        <v>0</v>
      </c>
    </row>
    <row r="57" spans="2:6" x14ac:dyDescent="0.25">
      <c r="B57">
        <v>73</v>
      </c>
      <c r="C57" t="s">
        <v>119</v>
      </c>
      <c r="D57" t="s">
        <v>72</v>
      </c>
      <c r="E57">
        <v>-0.78460574570499997</v>
      </c>
      <c r="F57">
        <v>0</v>
      </c>
    </row>
    <row r="58" spans="2:6" x14ac:dyDescent="0.25">
      <c r="B58">
        <v>74</v>
      </c>
      <c r="C58" t="s">
        <v>120</v>
      </c>
      <c r="D58" t="s">
        <v>72</v>
      </c>
      <c r="E58">
        <v>-60</v>
      </c>
      <c r="F58">
        <v>0</v>
      </c>
    </row>
    <row r="59" spans="2:6" x14ac:dyDescent="0.25">
      <c r="B59">
        <v>75</v>
      </c>
      <c r="C59" t="s">
        <v>121</v>
      </c>
      <c r="D59" t="s">
        <v>72</v>
      </c>
      <c r="E59">
        <v>-40</v>
      </c>
      <c r="F59">
        <v>0</v>
      </c>
    </row>
    <row r="60" spans="2:6" x14ac:dyDescent="0.25">
      <c r="B60">
        <v>76</v>
      </c>
      <c r="C60" t="s">
        <v>122</v>
      </c>
      <c r="D60" t="s">
        <v>72</v>
      </c>
      <c r="E60">
        <v>-19.3366724551</v>
      </c>
      <c r="F60">
        <v>0</v>
      </c>
    </row>
    <row r="61" spans="2:6" x14ac:dyDescent="0.25">
      <c r="B61">
        <v>77</v>
      </c>
      <c r="C61" t="s">
        <v>123</v>
      </c>
      <c r="D61" t="s">
        <v>72</v>
      </c>
      <c r="E61">
        <v>-29.8899113495</v>
      </c>
      <c r="F61">
        <v>0</v>
      </c>
    </row>
    <row r="62" spans="2:6" x14ac:dyDescent="0.25">
      <c r="B62">
        <v>78</v>
      </c>
      <c r="C62" t="s">
        <v>124</v>
      </c>
      <c r="D62" t="s">
        <v>72</v>
      </c>
      <c r="E62">
        <v>0</v>
      </c>
      <c r="F62">
        <v>0</v>
      </c>
    </row>
    <row r="63" spans="2:6" x14ac:dyDescent="0.25">
      <c r="B63">
        <v>79</v>
      </c>
      <c r="C63" t="s">
        <v>125</v>
      </c>
      <c r="D63" t="s">
        <v>72</v>
      </c>
      <c r="E63">
        <v>-4.6085602533700003</v>
      </c>
      <c r="F63">
        <v>0</v>
      </c>
    </row>
    <row r="64" spans="2:6" x14ac:dyDescent="0.25">
      <c r="B64">
        <v>80</v>
      </c>
      <c r="C64" t="s">
        <v>126</v>
      </c>
      <c r="D64" t="s">
        <v>72</v>
      </c>
      <c r="E64">
        <v>-20</v>
      </c>
      <c r="F64">
        <v>0</v>
      </c>
    </row>
    <row r="65" spans="2:11" x14ac:dyDescent="0.25">
      <c r="B65">
        <v>81</v>
      </c>
      <c r="C65" t="s">
        <v>127</v>
      </c>
      <c r="D65" t="s">
        <v>72</v>
      </c>
      <c r="E65">
        <v>-16.8297323695</v>
      </c>
      <c r="F65">
        <v>0</v>
      </c>
    </row>
    <row r="66" spans="2:11" x14ac:dyDescent="0.25">
      <c r="B66">
        <v>82</v>
      </c>
      <c r="C66" t="s">
        <v>128</v>
      </c>
      <c r="D66" t="s">
        <v>72</v>
      </c>
      <c r="E66">
        <v>-30</v>
      </c>
      <c r="F66">
        <v>0</v>
      </c>
    </row>
    <row r="67" spans="2:11" x14ac:dyDescent="0.25">
      <c r="B67">
        <v>83</v>
      </c>
      <c r="C67" t="s">
        <v>129</v>
      </c>
      <c r="D67" t="s">
        <v>72</v>
      </c>
      <c r="E67">
        <v>0</v>
      </c>
      <c r="F67">
        <v>0</v>
      </c>
    </row>
    <row r="68" spans="2:11" x14ac:dyDescent="0.25">
      <c r="B68">
        <v>84</v>
      </c>
      <c r="C68" t="s">
        <v>130</v>
      </c>
      <c r="D68" t="s">
        <v>72</v>
      </c>
      <c r="E68">
        <v>-3.8243167264700002</v>
      </c>
      <c r="F68">
        <v>0</v>
      </c>
    </row>
    <row r="69" spans="2:11" x14ac:dyDescent="0.25">
      <c r="B69">
        <v>98</v>
      </c>
      <c r="C69" t="s">
        <v>131</v>
      </c>
      <c r="D69" t="s">
        <v>72</v>
      </c>
      <c r="E69">
        <v>0</v>
      </c>
      <c r="F69">
        <v>0</v>
      </c>
    </row>
    <row r="70" spans="2:11" x14ac:dyDescent="0.25">
      <c r="B70">
        <v>99</v>
      </c>
      <c r="C70" t="s">
        <v>132</v>
      </c>
      <c r="D70" t="s">
        <v>103</v>
      </c>
      <c r="E70">
        <v>0.11248071060500001</v>
      </c>
      <c r="F70" s="54">
        <v>6.8437874180799996E-2</v>
      </c>
    </row>
    <row r="71" spans="2:11" x14ac:dyDescent="0.25">
      <c r="B71">
        <v>-1</v>
      </c>
    </row>
    <row r="72" spans="2:11" x14ac:dyDescent="0.25">
      <c r="B72">
        <v>1846</v>
      </c>
      <c r="C72" s="54">
        <v>-4533.6591421499998</v>
      </c>
      <c r="D72" s="54">
        <v>-7099.1720403199997</v>
      </c>
      <c r="E72" s="54">
        <v>-3827.4189976100001</v>
      </c>
    </row>
    <row r="73" spans="2:11" x14ac:dyDescent="0.25">
      <c r="B73">
        <v>24</v>
      </c>
      <c r="C73" t="s">
        <v>221</v>
      </c>
      <c r="D73" t="s">
        <v>218</v>
      </c>
      <c r="E73">
        <v>29</v>
      </c>
      <c r="F73" t="s">
        <v>219</v>
      </c>
      <c r="G73">
        <v>12</v>
      </c>
    </row>
    <row r="74" spans="2:11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-92121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-98684</v>
      </c>
      <c r="I126">
        <v>91083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99135</v>
      </c>
      <c r="D248">
        <v>-90225</v>
      </c>
      <c r="E248">
        <v>-96126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U62"/>
  <sheetViews>
    <sheetView workbookViewId="0">
      <selection activeCell="H13" sqref="H13"/>
    </sheetView>
  </sheetViews>
  <sheetFormatPr defaultRowHeight="15" x14ac:dyDescent="0.25"/>
  <cols>
    <col min="1" max="1" bestFit="true" customWidth="true" width="12.7109375" collapsed="true"/>
    <col min="2" max="3" bestFit="true" customWidth="true" width="11.5703125" collapsed="true"/>
    <col min="5" max="5" bestFit="true" customWidth="true" width="11.85546875" collapsed="true"/>
    <col min="6" max="6" customWidth="true" width="7.7109375" collapsed="true"/>
    <col min="7" max="7" bestFit="true" customWidth="true" width="7.140625" collapsed="true"/>
    <col min="8" max="8" bestFit="true" customWidth="true" width="17.5703125" collapsed="true"/>
    <col min="9" max="9" bestFit="true" customWidth="true" width="11.0" collapsed="true"/>
    <col min="11" max="11" customWidth="true" width="8.42578125" collapsed="true"/>
    <col min="12" max="13" bestFit="true" customWidth="true" width="17.5703125" collapsed="true"/>
    <col min="19" max="19" bestFit="true" customWidth="true" width="11.7109375" collapsed="true"/>
    <col min="20" max="21" bestFit="true" customWidth="true" width="17.5703125" collapsed="true"/>
  </cols>
  <sheetData>
    <row r="1" spans="1:21" x14ac:dyDescent="0.25">
      <c r="K1" s="55" t="s">
        <v>201</v>
      </c>
      <c r="R1" s="55" t="s">
        <v>235</v>
      </c>
    </row>
    <row r="2" spans="1:21" x14ac:dyDescent="0.25">
      <c r="B2" s="11"/>
      <c r="F2" s="11"/>
      <c r="K2">
        <v>1</v>
      </c>
      <c r="L2" t="s">
        <v>239</v>
      </c>
      <c r="T2" t="s">
        <v>233</v>
      </c>
      <c r="U2" t="s">
        <v>234</v>
      </c>
    </row>
    <row r="3" spans="1:21" x14ac:dyDescent="0.25">
      <c r="K3">
        <v>2</v>
      </c>
      <c r="L3" t="s">
        <v>237</v>
      </c>
      <c r="R3">
        <v>1</v>
      </c>
      <c r="S3" t="s">
        <v>71</v>
      </c>
      <c r="T3" s="59">
        <f>SchoolLocationCoefficient!E11</f>
        <v>1</v>
      </c>
      <c r="U3" s="60">
        <f>T3</f>
        <v>1</v>
      </c>
    </row>
    <row r="4" spans="1:21" x14ac:dyDescent="0.25">
      <c r="D4" s="58"/>
      <c r="E4" s="70"/>
      <c r="F4" s="70"/>
      <c r="G4" s="70"/>
      <c r="H4" s="70"/>
      <c r="I4" s="70"/>
      <c r="L4" t="s">
        <v>236</v>
      </c>
      <c r="R4">
        <v>2</v>
      </c>
      <c r="S4" t="s">
        <v>73</v>
      </c>
      <c r="T4" s="59">
        <f>SchoolLocationCoefficient!E12</f>
        <v>1</v>
      </c>
      <c r="U4" s="60">
        <f ref="U4:U62" si="0" t="shared">T4</f>
        <v>1</v>
      </c>
    </row>
    <row r="5" spans="1:21" x14ac:dyDescent="0.25">
      <c r="E5" s="7"/>
      <c r="F5" s="33"/>
      <c r="G5" s="33"/>
      <c r="H5" s="80" t="s">
        <v>245</v>
      </c>
      <c r="I5" s="33"/>
      <c r="R5">
        <v>3</v>
      </c>
      <c r="S5" t="s">
        <v>74</v>
      </c>
      <c r="T5" s="59">
        <f>SchoolLocationCoefficient!E13</f>
        <v>1</v>
      </c>
      <c r="U5" s="60">
        <f si="0" t="shared"/>
        <v>1</v>
      </c>
    </row>
    <row ht="15.75" r="6" spans="1:21" thickBot="1" x14ac:dyDescent="0.3">
      <c r="A6" s="55" t="s">
        <v>222</v>
      </c>
      <c r="E6" s="76" t="s">
        <v>240</v>
      </c>
      <c r="F6" s="33"/>
      <c r="G6" s="33"/>
      <c r="H6" s="80" t="s">
        <v>246</v>
      </c>
      <c r="I6" s="33"/>
      <c r="R6">
        <v>4</v>
      </c>
      <c r="S6" t="s">
        <v>75</v>
      </c>
      <c r="T6" s="59">
        <f>SchoolLocationCoefficient!E14</f>
        <v>0.5</v>
      </c>
      <c r="U6" s="60">
        <f si="0" t="shared"/>
        <v>0.5</v>
      </c>
    </row>
    <row r="7" spans="1:21" x14ac:dyDescent="0.25">
      <c r="A7" s="5" t="s">
        <v>2</v>
      </c>
      <c r="B7" s="5" t="s">
        <v>200</v>
      </c>
      <c r="C7" s="5" t="s">
        <v>223</v>
      </c>
      <c r="D7" s="7"/>
      <c r="E7" s="5" t="s">
        <v>2</v>
      </c>
      <c r="F7" s="5" t="s">
        <v>200</v>
      </c>
      <c r="G7" s="5" t="s">
        <v>223</v>
      </c>
      <c r="H7" t="s">
        <v>244</v>
      </c>
      <c r="I7" s="5" t="s">
        <v>232</v>
      </c>
      <c r="J7" s="5" t="s">
        <v>228</v>
      </c>
      <c r="K7" s="5" t="s">
        <v>229</v>
      </c>
      <c r="L7" s="5" t="s">
        <v>230</v>
      </c>
      <c r="M7" s="5" t="s">
        <v>231</v>
      </c>
      <c r="R7">
        <v>5</v>
      </c>
      <c r="S7" t="s">
        <v>76</v>
      </c>
      <c r="T7" s="59">
        <f>SchoolLocationCoefficient!E15</f>
        <v>0.1</v>
      </c>
      <c r="U7" s="60">
        <f si="0" t="shared"/>
        <v>0.1</v>
      </c>
    </row>
    <row r="8" spans="1:21" x14ac:dyDescent="0.25">
      <c r="A8" s="57" t="s">
        <v>224</v>
      </c>
      <c r="B8" s="83">
        <f>TLFD!B11</f>
        <v>20622.883600000001</v>
      </c>
      <c r="C8" s="83">
        <f>TLFD!H11</f>
        <v>114891.55265435834</v>
      </c>
      <c r="D8" s="7"/>
      <c r="E8" s="57" t="s">
        <v>224</v>
      </c>
      <c r="F8" s="72">
        <f>B8/B$11</f>
        <v>4.0140947791351966E-2</v>
      </c>
      <c r="G8" s="72">
        <f>C8/C$11</f>
        <v>0.22801011877347838</v>
      </c>
      <c r="H8" s="7">
        <v>1</v>
      </c>
      <c r="I8">
        <v>10</v>
      </c>
      <c r="J8" s="9">
        <f>F8/G8</f>
        <v>0.17604897540196832</v>
      </c>
      <c r="K8" s="9">
        <f>(LN(J8)-LN(J8))*H8</f>
        <v>0</v>
      </c>
      <c r="L8" s="59">
        <f>T12</f>
        <v>-15.3921330935</v>
      </c>
      <c r="M8" s="59">
        <f>L8+K8</f>
        <v>-15.3921330935</v>
      </c>
      <c r="R8">
        <v>6</v>
      </c>
      <c r="S8" t="s">
        <v>77</v>
      </c>
      <c r="T8" s="59">
        <f>SchoolLocationCoefficient!E16</f>
        <v>1</v>
      </c>
      <c r="U8" s="60">
        <f si="0" t="shared"/>
        <v>1</v>
      </c>
    </row>
    <row r="9" spans="1:21" x14ac:dyDescent="0.25">
      <c r="A9" s="57" t="s">
        <v>226</v>
      </c>
      <c r="B9" s="83">
        <f>SUM(TLFD!B12:B15)</f>
        <v>222281.21739999999</v>
      </c>
      <c r="C9" s="83">
        <f>SUM(TLFD!H12:H15)</f>
        <v>242079.43165755004</v>
      </c>
      <c r="E9" s="57" t="s">
        <v>226</v>
      </c>
      <c r="F9" s="72">
        <f ref="F9:F10" si="1" t="shared">B9/B$11</f>
        <v>0.43265427452888089</v>
      </c>
      <c r="G9" s="72">
        <f ref="G9:G10" si="2" t="shared">C9/C$11</f>
        <v>0.48042313546678561</v>
      </c>
      <c r="H9">
        <v>0.1</v>
      </c>
      <c r="I9">
        <v>11</v>
      </c>
      <c r="J9" s="9">
        <f ref="J9:J10" si="3" t="shared">F9/G9</f>
        <v>0.90056919117458434</v>
      </c>
      <c r="K9" s="9">
        <f>(LN(J9)-LN(J8))*H9</f>
        <v>0.16322647724024428</v>
      </c>
      <c r="L9" s="59">
        <f ref="L9:L10" si="4" t="shared">T13</f>
        <v>-9.7518039976427993</v>
      </c>
      <c r="M9" s="59">
        <f ref="M9:M10" si="5" t="shared">L9+K9</f>
        <v>-9.5885775204025556</v>
      </c>
      <c r="R9">
        <v>7</v>
      </c>
      <c r="S9" t="s">
        <v>78</v>
      </c>
      <c r="T9" s="59">
        <f>SchoolLocationCoefficient!E17</f>
        <v>-21.977719252</v>
      </c>
      <c r="U9" s="60">
        <f si="0" t="shared"/>
        <v>-21.977719252</v>
      </c>
    </row>
    <row r="10" spans="1:21" x14ac:dyDescent="0.25">
      <c r="A10" s="69" t="s">
        <v>227</v>
      </c>
      <c r="B10" s="86">
        <f>SUM(TLFD!B16:B101)</f>
        <v>270857.64939999999</v>
      </c>
      <c r="C10" s="86">
        <f>SUM(TLFD!H16:H101)</f>
        <v>146916.97150508699</v>
      </c>
      <c r="E10" s="69" t="s">
        <v>227</v>
      </c>
      <c r="F10" s="75">
        <f si="1" t="shared"/>
        <v>0.52720477767976703</v>
      </c>
      <c r="G10" s="75">
        <f si="2" t="shared"/>
        <v>0.29156674575973601</v>
      </c>
      <c r="H10">
        <v>0.1</v>
      </c>
      <c r="I10" s="6">
        <v>12</v>
      </c>
      <c r="J10" s="18">
        <f si="3" t="shared"/>
        <v>1.8081786944050446</v>
      </c>
      <c r="K10" s="18">
        <f>(LN(J10)-LN(J9)-LN(J8))*H10</f>
        <v>0.24340414267333635</v>
      </c>
      <c r="L10" s="74">
        <f si="4" t="shared"/>
        <v>-1.0599160072038001</v>
      </c>
      <c r="M10" s="74">
        <f si="5" t="shared"/>
        <v>-0.81651186453046376</v>
      </c>
      <c r="R10">
        <v>8</v>
      </c>
      <c r="S10" t="s">
        <v>79</v>
      </c>
      <c r="T10" s="59">
        <f>SchoolLocationCoefficient!E18</f>
        <v>-1.4857940511400001</v>
      </c>
      <c r="U10" s="60">
        <f si="0" t="shared"/>
        <v>-1.4857940511400001</v>
      </c>
    </row>
    <row ht="15.75" r="11" spans="1:21" thickBot="1" x14ac:dyDescent="0.3">
      <c r="A11" s="71" t="s">
        <v>3</v>
      </c>
      <c r="B11" s="82">
        <f>SUM(B8:B10)</f>
        <v>513761.75040000002</v>
      </c>
      <c r="C11" s="82">
        <f>SUM(C8:C10)</f>
        <v>503887.95581699535</v>
      </c>
      <c r="D11" s="58"/>
      <c r="E11" s="71" t="s">
        <v>3</v>
      </c>
      <c r="F11" s="73">
        <f>SUM(F8:F10)</f>
        <v>0.99999999999999989</v>
      </c>
      <c r="G11" s="73">
        <f>SUM(G8:G10)</f>
        <v>1</v>
      </c>
      <c r="R11">
        <v>9</v>
      </c>
      <c r="S11" t="s">
        <v>80</v>
      </c>
      <c r="T11" s="59">
        <f>SchoolLocationCoefficient!E19</f>
        <v>-4.85028348146</v>
      </c>
      <c r="U11" s="60">
        <f si="0" t="shared"/>
        <v>-4.85028348146</v>
      </c>
    </row>
    <row r="12" spans="1:21" x14ac:dyDescent="0.25">
      <c r="A12" s="67"/>
      <c r="B12" s="68"/>
      <c r="C12" s="68"/>
      <c r="R12" s="61">
        <v>10</v>
      </c>
      <c r="S12" s="61" t="s">
        <v>81</v>
      </c>
      <c r="T12" s="59">
        <f>SchoolLocationCoefficient!E20</f>
        <v>-15.3921330935</v>
      </c>
      <c r="U12" s="60">
        <f>M8</f>
        <v>-15.3921330935</v>
      </c>
    </row>
    <row r="13" spans="1:21" x14ac:dyDescent="0.25">
      <c r="A13" s="67"/>
      <c r="B13" s="68"/>
      <c r="C13" s="68"/>
      <c r="D13" s="7"/>
      <c r="R13" s="61">
        <v>11</v>
      </c>
      <c r="S13" s="61" t="s">
        <v>82</v>
      </c>
      <c r="T13" s="59">
        <f>SchoolLocationCoefficient!E21</f>
        <v>-9.7518039976427993</v>
      </c>
      <c r="U13" s="60">
        <f ref="U13:U14" si="6" t="shared">M9</f>
        <v>-9.5885775204025556</v>
      </c>
    </row>
    <row r="14" spans="1:21" x14ac:dyDescent="0.25">
      <c r="A14" s="63" t="s">
        <v>238</v>
      </c>
      <c r="R14" s="61">
        <v>12</v>
      </c>
      <c r="S14" s="61" t="s">
        <v>83</v>
      </c>
      <c r="T14" s="59">
        <f>SchoolLocationCoefficient!E22</f>
        <v>-1.0599160072038001</v>
      </c>
      <c r="U14" s="60">
        <f si="6" t="shared"/>
        <v>-0.81651186453046376</v>
      </c>
    </row>
    <row ht="15.75" r="15" spans="1:21" thickBot="1" x14ac:dyDescent="0.3">
      <c r="R15">
        <v>13</v>
      </c>
      <c r="S15" t="s">
        <v>84</v>
      </c>
      <c r="T15" s="59">
        <f>SchoolLocationCoefficient!E23</f>
        <v>-6.5192578502799998</v>
      </c>
      <c r="U15" s="60">
        <f si="0" t="shared"/>
        <v>-6.5192578502799998</v>
      </c>
    </row>
    <row r="16" spans="1:21" x14ac:dyDescent="0.25">
      <c r="A16" s="5" t="s">
        <v>2</v>
      </c>
      <c r="B16" s="5" t="s">
        <v>200</v>
      </c>
      <c r="C16" s="5" t="s">
        <v>223</v>
      </c>
      <c r="D16" s="58"/>
      <c r="E16" s="5" t="s">
        <v>2</v>
      </c>
      <c r="F16" s="5" t="s">
        <v>200</v>
      </c>
      <c r="G16" s="5" t="s">
        <v>223</v>
      </c>
      <c r="I16" s="5" t="s">
        <v>232</v>
      </c>
      <c r="J16" s="5" t="s">
        <v>228</v>
      </c>
      <c r="K16" s="5" t="s">
        <v>229</v>
      </c>
      <c r="L16" s="5" t="s">
        <v>230</v>
      </c>
      <c r="M16" s="5" t="s">
        <v>231</v>
      </c>
      <c r="R16">
        <v>14</v>
      </c>
      <c r="S16" t="s">
        <v>85</v>
      </c>
      <c r="T16" s="59">
        <f>SchoolLocationCoefficient!E24</f>
        <v>-3.04866060786</v>
      </c>
      <c r="U16" s="60">
        <f si="0" t="shared"/>
        <v>-3.04866060786</v>
      </c>
    </row>
    <row r="17" spans="1:21" x14ac:dyDescent="0.25">
      <c r="A17" s="64" t="s">
        <v>225</v>
      </c>
      <c r="B17" s="81">
        <f>SchoolAtHome!E14</f>
        <v>3454.8159000000001</v>
      </c>
      <c r="C17" s="81">
        <f>SchoolAtHome!L14</f>
        <v>47648.878956833061</v>
      </c>
      <c r="E17" s="64" t="s">
        <v>225</v>
      </c>
      <c r="F17" s="77">
        <f>B17/B18</f>
        <v>4.8942389571341519E-3</v>
      </c>
      <c r="G17" s="77">
        <f>C17/C18</f>
        <v>5.9636056300997331E-2</v>
      </c>
      <c r="I17" s="65">
        <v>50</v>
      </c>
      <c r="J17" s="66">
        <f>F17/G17</f>
        <v>8.2068454232314861E-2</v>
      </c>
      <c r="K17" s="66">
        <f>LN(J17)</f>
        <v>-2.5002015722648787</v>
      </c>
      <c r="L17" s="79">
        <f>T33</f>
        <v>-52.496387392000003</v>
      </c>
      <c r="M17" s="78">
        <f ref="M17" si="7" t="shared">L17+K17</f>
        <v>-54.99658896426488</v>
      </c>
      <c r="R17">
        <v>15</v>
      </c>
      <c r="S17" t="s">
        <v>86</v>
      </c>
      <c r="T17" s="59">
        <f>SchoolLocationCoefficient!E25</f>
        <v>0</v>
      </c>
      <c r="U17" s="60">
        <f si="0" t="shared"/>
        <v>0</v>
      </c>
    </row>
    <row ht="15.75" r="18" spans="1:21" thickBot="1" x14ac:dyDescent="0.3">
      <c r="A18" s="12" t="s">
        <v>3</v>
      </c>
      <c r="B18" s="82">
        <f>SchoolAtHome!E25</f>
        <v>705894.4057</v>
      </c>
      <c r="C18" s="82">
        <f>SchoolAtHome!L25</f>
        <v>798994.46597102028</v>
      </c>
      <c r="E18" s="12" t="s">
        <v>3</v>
      </c>
      <c r="F18" s="73">
        <f>B18/B18</f>
        <v>1</v>
      </c>
      <c r="G18" s="73">
        <f>C18/C18</f>
        <v>1</v>
      </c>
      <c r="R18">
        <v>16</v>
      </c>
      <c r="S18" t="s">
        <v>87</v>
      </c>
      <c r="T18" s="59">
        <f>SchoolLocationCoefficient!E26</f>
        <v>-2.2084934246199999</v>
      </c>
      <c r="U18" s="60">
        <f si="0" t="shared"/>
        <v>-2.2084934246199999</v>
      </c>
    </row>
    <row r="19" spans="1:21" x14ac:dyDescent="0.25">
      <c r="R19">
        <v>17</v>
      </c>
      <c r="S19" t="s">
        <v>88</v>
      </c>
      <c r="T19" s="59">
        <f>SchoolLocationCoefficient!E27</f>
        <v>0</v>
      </c>
      <c r="U19" s="60">
        <f si="0" t="shared"/>
        <v>0</v>
      </c>
    </row>
    <row r="20" spans="1:21" x14ac:dyDescent="0.25">
      <c r="R20">
        <v>18</v>
      </c>
      <c r="S20" t="s">
        <v>89</v>
      </c>
      <c r="T20" s="59">
        <f>SchoolLocationCoefficient!E28</f>
        <v>0</v>
      </c>
      <c r="U20" s="60">
        <f si="0" t="shared"/>
        <v>0</v>
      </c>
    </row>
    <row r="21" spans="1:21" x14ac:dyDescent="0.25">
      <c r="R21">
        <v>19</v>
      </c>
      <c r="S21" t="s">
        <v>90</v>
      </c>
      <c r="T21" s="59">
        <f>SchoolLocationCoefficient!E29</f>
        <v>0</v>
      </c>
      <c r="U21" s="60">
        <f si="0" t="shared"/>
        <v>0</v>
      </c>
    </row>
    <row r="22" spans="1:21" x14ac:dyDescent="0.25">
      <c r="G22" s="7"/>
      <c r="R22">
        <v>20</v>
      </c>
      <c r="S22" t="s">
        <v>91</v>
      </c>
      <c r="T22" s="59">
        <f>SchoolLocationCoefficient!E30</f>
        <v>0</v>
      </c>
      <c r="U22" s="60">
        <f si="0" t="shared"/>
        <v>0</v>
      </c>
    </row>
    <row r="23" spans="1:21" x14ac:dyDescent="0.25">
      <c r="G23" s="7"/>
      <c r="R23">
        <v>21</v>
      </c>
      <c r="S23" t="s">
        <v>92</v>
      </c>
      <c r="T23" s="59">
        <f>SchoolLocationCoefficient!E31</f>
        <v>0</v>
      </c>
      <c r="U23" s="60">
        <f si="0" t="shared"/>
        <v>0</v>
      </c>
    </row>
    <row r="24" spans="1:21" x14ac:dyDescent="0.25">
      <c r="R24">
        <v>30</v>
      </c>
      <c r="S24" t="s">
        <v>93</v>
      </c>
      <c r="T24" s="59">
        <f>SchoolLocationCoefficient!E32</f>
        <v>0</v>
      </c>
      <c r="U24" s="60">
        <f si="0" t="shared"/>
        <v>0</v>
      </c>
    </row>
    <row r="25" spans="1:21" x14ac:dyDescent="0.25">
      <c r="R25">
        <v>31</v>
      </c>
      <c r="S25" t="s">
        <v>94</v>
      </c>
      <c r="T25" s="59">
        <f>SchoolLocationCoefficient!E33</f>
        <v>0</v>
      </c>
      <c r="U25" s="60">
        <f si="0" t="shared"/>
        <v>0</v>
      </c>
    </row>
    <row r="26" spans="1:21" x14ac:dyDescent="0.25">
      <c r="R26">
        <v>32</v>
      </c>
      <c r="S26" t="s">
        <v>95</v>
      </c>
      <c r="T26" s="59">
        <f>SchoolLocationCoefficient!E34</f>
        <v>0</v>
      </c>
      <c r="U26" s="60">
        <f si="0" t="shared"/>
        <v>0</v>
      </c>
    </row>
    <row r="27" spans="1:21" x14ac:dyDescent="0.25">
      <c r="R27">
        <v>33</v>
      </c>
      <c r="S27" t="s">
        <v>96</v>
      </c>
      <c r="T27" s="59">
        <f>SchoolLocationCoefficient!E35</f>
        <v>0.20475756801299999</v>
      </c>
      <c r="U27" s="60">
        <f si="0" t="shared"/>
        <v>0.20475756801299999</v>
      </c>
    </row>
    <row r="28" spans="1:21" x14ac:dyDescent="0.25">
      <c r="J28" t="s">
        <v>241</v>
      </c>
      <c r="R28">
        <v>34</v>
      </c>
      <c r="S28" t="s">
        <v>97</v>
      </c>
      <c r="T28" s="59">
        <f>SchoolLocationCoefficient!E36</f>
        <v>0.73914409694299998</v>
      </c>
      <c r="U28" s="60">
        <f si="0" t="shared"/>
        <v>0.73914409694299998</v>
      </c>
    </row>
    <row r="29" spans="1:21" x14ac:dyDescent="0.25">
      <c r="J29" t="s">
        <v>242</v>
      </c>
      <c r="R29">
        <v>35</v>
      </c>
      <c r="S29" t="s">
        <v>98</v>
      </c>
      <c r="T29" s="59">
        <f>SchoolLocationCoefficient!E37</f>
        <v>0.91950533972299997</v>
      </c>
      <c r="U29" s="60">
        <f si="0" t="shared"/>
        <v>0.91950533972299997</v>
      </c>
    </row>
    <row r="30" spans="1:21" x14ac:dyDescent="0.25">
      <c r="J30" t="s">
        <v>243</v>
      </c>
      <c r="R30">
        <v>36</v>
      </c>
      <c r="S30" t="s">
        <v>99</v>
      </c>
      <c r="T30" s="59">
        <f>SchoolLocationCoefficient!E38</f>
        <v>0</v>
      </c>
      <c r="U30" s="60">
        <f si="0" t="shared"/>
        <v>0</v>
      </c>
    </row>
    <row r="31" spans="1:21" x14ac:dyDescent="0.25">
      <c r="R31">
        <v>37</v>
      </c>
      <c r="S31" t="s">
        <v>100</v>
      </c>
      <c r="T31" s="59">
        <f>SchoolLocationCoefficient!E39</f>
        <v>0.47967991030399998</v>
      </c>
      <c r="U31" s="60">
        <f si="0" t="shared"/>
        <v>0.47967991030399998</v>
      </c>
    </row>
    <row r="32" spans="1:21" x14ac:dyDescent="0.25">
      <c r="R32">
        <v>38</v>
      </c>
      <c r="S32" t="s">
        <v>101</v>
      </c>
      <c r="T32" s="59">
        <f>SchoolLocationCoefficient!E40</f>
        <v>-0.117361085083</v>
      </c>
      <c r="U32" s="60">
        <f si="0" t="shared"/>
        <v>-0.117361085083</v>
      </c>
    </row>
    <row r="33" spans="18:21" x14ac:dyDescent="0.25">
      <c r="R33" s="61">
        <v>50</v>
      </c>
      <c r="S33" s="61" t="s">
        <v>102</v>
      </c>
      <c r="T33" s="59">
        <f>SchoolLocationCoefficient!E41</f>
        <v>-52.496387392000003</v>
      </c>
      <c r="U33" s="62">
        <f>M17</f>
        <v>-54.99658896426488</v>
      </c>
    </row>
    <row r="34" spans="18:21" x14ac:dyDescent="0.25">
      <c r="R34">
        <v>51</v>
      </c>
      <c r="S34" t="s">
        <v>104</v>
      </c>
      <c r="T34" s="59">
        <f>SchoolLocationCoefficient!E42</f>
        <v>17.602734273900001</v>
      </c>
      <c r="U34" s="60">
        <f si="0" t="shared"/>
        <v>17.602734273900001</v>
      </c>
    </row>
    <row r="35" spans="18:21" x14ac:dyDescent="0.25">
      <c r="R35">
        <v>52</v>
      </c>
      <c r="S35" t="s">
        <v>105</v>
      </c>
      <c r="T35" s="59">
        <f>SchoolLocationCoefficient!E43</f>
        <v>4.20952630757</v>
      </c>
      <c r="U35" s="60">
        <f si="0" t="shared"/>
        <v>4.20952630757</v>
      </c>
    </row>
    <row r="36" spans="18:21" x14ac:dyDescent="0.25">
      <c r="R36">
        <v>60</v>
      </c>
      <c r="S36" t="s">
        <v>106</v>
      </c>
      <c r="T36" s="59">
        <f>SchoolLocationCoefficient!E44</f>
        <v>0.20359321296800001</v>
      </c>
      <c r="U36" s="60">
        <f si="0" t="shared"/>
        <v>0.20359321296800001</v>
      </c>
    </row>
    <row r="37" spans="18:21" x14ac:dyDescent="0.25">
      <c r="R37">
        <v>61</v>
      </c>
      <c r="S37" t="s">
        <v>107</v>
      </c>
      <c r="T37" s="59">
        <f>SchoolLocationCoefficient!E45</f>
        <v>-3.7139025588600001</v>
      </c>
      <c r="U37" s="60">
        <f si="0" t="shared"/>
        <v>-3.7139025588600001</v>
      </c>
    </row>
    <row r="38" spans="18:21" x14ac:dyDescent="0.25">
      <c r="R38">
        <v>62</v>
      </c>
      <c r="S38" t="s">
        <v>108</v>
      </c>
      <c r="T38" s="59">
        <f>SchoolLocationCoefficient!E46</f>
        <v>-14.9292134206</v>
      </c>
      <c r="U38" s="60">
        <f si="0" t="shared"/>
        <v>-14.9292134206</v>
      </c>
    </row>
    <row r="39" spans="18:21" x14ac:dyDescent="0.25">
      <c r="R39">
        <v>63</v>
      </c>
      <c r="S39" t="s">
        <v>109</v>
      </c>
      <c r="T39" s="59">
        <f>SchoolLocationCoefficient!E47</f>
        <v>-18.363643827400001</v>
      </c>
      <c r="U39" s="60">
        <f si="0" t="shared"/>
        <v>-18.363643827400001</v>
      </c>
    </row>
    <row r="40" spans="18:21" x14ac:dyDescent="0.25">
      <c r="R40">
        <v>64</v>
      </c>
      <c r="S40" t="s">
        <v>110</v>
      </c>
      <c r="T40" s="59">
        <f>SchoolLocationCoefficient!E48</f>
        <v>-19.6107408341</v>
      </c>
      <c r="U40" s="60">
        <f si="0" t="shared"/>
        <v>-19.6107408341</v>
      </c>
    </row>
    <row r="41" spans="18:21" x14ac:dyDescent="0.25">
      <c r="R41">
        <v>65</v>
      </c>
      <c r="S41" t="s">
        <v>111</v>
      </c>
      <c r="T41" s="59">
        <f>SchoolLocationCoefficient!E49</f>
        <v>-29.386377866</v>
      </c>
      <c r="U41" s="60">
        <f si="0" t="shared"/>
        <v>-29.386377866</v>
      </c>
    </row>
    <row r="42" spans="18:21" x14ac:dyDescent="0.25">
      <c r="R42">
        <v>66</v>
      </c>
      <c r="S42" t="s">
        <v>112</v>
      </c>
      <c r="T42" s="59">
        <f>SchoolLocationCoefficient!E50</f>
        <v>0</v>
      </c>
      <c r="U42" s="60">
        <f si="0" t="shared"/>
        <v>0</v>
      </c>
    </row>
    <row r="43" spans="18:21" x14ac:dyDescent="0.25">
      <c r="R43">
        <v>67</v>
      </c>
      <c r="S43" t="s">
        <v>113</v>
      </c>
      <c r="T43" s="59">
        <f>SchoolLocationCoefficient!E51</f>
        <v>-6.7290240321499999</v>
      </c>
      <c r="U43" s="60">
        <f si="0" t="shared"/>
        <v>-6.7290240321499999</v>
      </c>
    </row>
    <row r="44" spans="18:21" x14ac:dyDescent="0.25">
      <c r="R44">
        <v>68</v>
      </c>
      <c r="S44" t="s">
        <v>114</v>
      </c>
      <c r="T44" s="59">
        <f>SchoolLocationCoefficient!E52</f>
        <v>-26.1597322567</v>
      </c>
      <c r="U44" s="60">
        <f si="0" t="shared"/>
        <v>-26.1597322567</v>
      </c>
    </row>
    <row r="45" spans="18:21" x14ac:dyDescent="0.25">
      <c r="R45">
        <v>69</v>
      </c>
      <c r="S45" t="s">
        <v>115</v>
      </c>
      <c r="T45" s="59">
        <f>SchoolLocationCoefficient!E53</f>
        <v>-0.14966845132199999</v>
      </c>
      <c r="U45" s="60">
        <f si="0" t="shared"/>
        <v>-0.14966845132199999</v>
      </c>
    </row>
    <row r="46" spans="18:21" x14ac:dyDescent="0.25">
      <c r="R46">
        <v>70</v>
      </c>
      <c r="S46" t="s">
        <v>116</v>
      </c>
      <c r="T46" s="59">
        <f>SchoolLocationCoefficient!E54</f>
        <v>-28.815960729</v>
      </c>
      <c r="U46" s="60">
        <f si="0" t="shared"/>
        <v>-28.815960729</v>
      </c>
    </row>
    <row r="47" spans="18:21" x14ac:dyDescent="0.25">
      <c r="R47">
        <v>71</v>
      </c>
      <c r="S47" t="s">
        <v>117</v>
      </c>
      <c r="T47" s="59">
        <f>SchoolLocationCoefficient!E55</f>
        <v>-38.204969650199999</v>
      </c>
      <c r="U47" s="60">
        <f si="0" t="shared"/>
        <v>-38.204969650199999</v>
      </c>
    </row>
    <row r="48" spans="18:21" x14ac:dyDescent="0.25">
      <c r="R48">
        <v>72</v>
      </c>
      <c r="S48" t="s">
        <v>118</v>
      </c>
      <c r="T48" s="59">
        <f>SchoolLocationCoefficient!E56</f>
        <v>0</v>
      </c>
      <c r="U48" s="60">
        <f si="0" t="shared"/>
        <v>0</v>
      </c>
    </row>
    <row r="49" spans="18:21" x14ac:dyDescent="0.25">
      <c r="R49">
        <v>73</v>
      </c>
      <c r="S49" t="s">
        <v>119</v>
      </c>
      <c r="T49" s="59">
        <f>SchoolLocationCoefficient!E57</f>
        <v>-0.78460574570499997</v>
      </c>
      <c r="U49" s="60">
        <f si="0" t="shared"/>
        <v>-0.78460574570499997</v>
      </c>
    </row>
    <row r="50" spans="18:21" x14ac:dyDescent="0.25">
      <c r="R50">
        <v>74</v>
      </c>
      <c r="S50" t="s">
        <v>120</v>
      </c>
      <c r="T50" s="59">
        <f>SchoolLocationCoefficient!E58</f>
        <v>-60</v>
      </c>
      <c r="U50" s="60">
        <f si="0" t="shared"/>
        <v>-60</v>
      </c>
    </row>
    <row r="51" spans="18:21" x14ac:dyDescent="0.25">
      <c r="R51">
        <v>75</v>
      </c>
      <c r="S51" t="s">
        <v>121</v>
      </c>
      <c r="T51" s="59">
        <f>SchoolLocationCoefficient!E59</f>
        <v>-40</v>
      </c>
      <c r="U51" s="60">
        <f si="0" t="shared"/>
        <v>-40</v>
      </c>
    </row>
    <row r="52" spans="18:21" x14ac:dyDescent="0.25">
      <c r="R52">
        <v>76</v>
      </c>
      <c r="S52" t="s">
        <v>122</v>
      </c>
      <c r="T52" s="59">
        <f>SchoolLocationCoefficient!E60</f>
        <v>-19.3366724551</v>
      </c>
      <c r="U52" s="60">
        <f si="0" t="shared"/>
        <v>-19.3366724551</v>
      </c>
    </row>
    <row r="53" spans="18:21" x14ac:dyDescent="0.25">
      <c r="R53">
        <v>77</v>
      </c>
      <c r="S53" t="s">
        <v>123</v>
      </c>
      <c r="T53" s="59">
        <f>SchoolLocationCoefficient!E61</f>
        <v>-29.8899113495</v>
      </c>
      <c r="U53" s="60">
        <f si="0" t="shared"/>
        <v>-29.8899113495</v>
      </c>
    </row>
    <row r="54" spans="18:21" x14ac:dyDescent="0.25">
      <c r="R54">
        <v>78</v>
      </c>
      <c r="S54" t="s">
        <v>124</v>
      </c>
      <c r="T54" s="59">
        <f>SchoolLocationCoefficient!E62</f>
        <v>0</v>
      </c>
      <c r="U54" s="60">
        <f si="0" t="shared"/>
        <v>0</v>
      </c>
    </row>
    <row r="55" spans="18:21" x14ac:dyDescent="0.25">
      <c r="R55">
        <v>79</v>
      </c>
      <c r="S55" t="s">
        <v>125</v>
      </c>
      <c r="T55" s="59">
        <f>SchoolLocationCoefficient!E63</f>
        <v>-4.6085602533700003</v>
      </c>
      <c r="U55" s="60">
        <f si="0" t="shared"/>
        <v>-4.6085602533700003</v>
      </c>
    </row>
    <row r="56" spans="18:21" x14ac:dyDescent="0.25">
      <c r="R56">
        <v>80</v>
      </c>
      <c r="S56" t="s">
        <v>126</v>
      </c>
      <c r="T56" s="59">
        <f>SchoolLocationCoefficient!E64</f>
        <v>-20</v>
      </c>
      <c r="U56" s="60">
        <f si="0" t="shared"/>
        <v>-20</v>
      </c>
    </row>
    <row r="57" spans="18:21" x14ac:dyDescent="0.25">
      <c r="R57">
        <v>81</v>
      </c>
      <c r="S57" t="s">
        <v>127</v>
      </c>
      <c r="T57" s="59">
        <f>SchoolLocationCoefficient!E65</f>
        <v>-16.8297323695</v>
      </c>
      <c r="U57" s="60">
        <f si="0" t="shared"/>
        <v>-16.8297323695</v>
      </c>
    </row>
    <row r="58" spans="18:21" x14ac:dyDescent="0.25">
      <c r="R58">
        <v>82</v>
      </c>
      <c r="S58" t="s">
        <v>128</v>
      </c>
      <c r="T58" s="59">
        <f>SchoolLocationCoefficient!E66</f>
        <v>-30</v>
      </c>
      <c r="U58" s="60">
        <f si="0" t="shared"/>
        <v>-30</v>
      </c>
    </row>
    <row r="59" spans="18:21" x14ac:dyDescent="0.25">
      <c r="R59">
        <v>83</v>
      </c>
      <c r="S59" t="s">
        <v>129</v>
      </c>
      <c r="T59" s="59">
        <f>SchoolLocationCoefficient!E67</f>
        <v>0</v>
      </c>
      <c r="U59" s="60">
        <f si="0" t="shared"/>
        <v>0</v>
      </c>
    </row>
    <row r="60" spans="18:21" x14ac:dyDescent="0.25">
      <c r="R60">
        <v>84</v>
      </c>
      <c r="S60" t="s">
        <v>130</v>
      </c>
      <c r="T60" s="59">
        <f>SchoolLocationCoefficient!E68</f>
        <v>-3.8243167264700002</v>
      </c>
      <c r="U60" s="60">
        <f si="0" t="shared"/>
        <v>-3.8243167264700002</v>
      </c>
    </row>
    <row r="61" spans="18:21" x14ac:dyDescent="0.25">
      <c r="R61">
        <v>98</v>
      </c>
      <c r="S61" t="s">
        <v>131</v>
      </c>
      <c r="T61" s="59">
        <f>SchoolLocationCoefficient!E69</f>
        <v>0</v>
      </c>
      <c r="U61" s="60">
        <f si="0" t="shared"/>
        <v>0</v>
      </c>
    </row>
    <row r="62" spans="18:21" x14ac:dyDescent="0.25">
      <c r="R62">
        <v>99</v>
      </c>
      <c r="S62" t="s">
        <v>132</v>
      </c>
      <c r="T62" s="59">
        <f>SchoolLocationCoefficient!E70</f>
        <v>0.11248071060500001</v>
      </c>
      <c r="U62" s="60">
        <f si="0" t="shared"/>
        <v>0.11248071060500001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baseType="lpstr" size="30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2017-07-14T02:42:37Z</dcterms:modified>
</cp:coreProperties>
</file>