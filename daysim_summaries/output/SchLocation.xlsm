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927" codeName="{DF908ECD-C663-F43C-BE37-009161E9072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Clients\bkr\tasks\calibration\daysim_summaries\bkrcast_all\output\"/>
    </mc:Choice>
  </mc:AlternateContent>
  <bookViews>
    <workbookView xWindow="10050" yWindow="-15" windowWidth="14190" windowHeight="10695" activeTab="3"/>
  </bookViews>
  <sheets>
    <sheet name="TLFD" sheetId="3" r:id="rId1"/>
    <sheet name="TDFD" sheetId="4" r:id="rId2"/>
    <sheet name="TDFD_Agg" sheetId="10" r:id="rId3"/>
    <sheet name="County_Flow" sheetId="1" r:id="rId4"/>
    <sheet name="SchoolAtHome" sheetId="12" r:id="rId5"/>
    <sheet name="Documentation" sheetId="7" r:id="rId6"/>
    <sheet name="CoeffDef" sheetId="13" r:id="rId7"/>
    <sheet name="SchoolLocationCoefficient" sheetId="14" r:id="rId8"/>
    <sheet name="Calibration" sheetId="15" r:id="rId9"/>
  </sheets>
  <definedNames>
    <definedName name="athm">SchoolAtHome!$I$7:$K$12</definedName>
    <definedName name="avgdist">TLFD!$O$11:$O$14</definedName>
    <definedName name="avgtime">TDFD!$O$11:$O$14</definedName>
    <definedName name="flows">County_Flow!$M$7:$O$9</definedName>
    <definedName name="out1">TLFD!$B$11:$D$101</definedName>
    <definedName name="out10">County_Flow!$M$7:$S$13</definedName>
    <definedName name="out11">SchoolAtHome!$B$18:$D$24</definedName>
    <definedName name="out12">SchoolAtHome!$I$18:$K$24</definedName>
    <definedName name="out13">SchoolAtHome!$B$7:$D$13</definedName>
    <definedName name="out14">SchoolAtHome!$I$7:$K$13</definedName>
    <definedName name="out2">TLFD!$H$11:$J$101</definedName>
    <definedName name="out3">TDFD!$B$11:$D$101</definedName>
    <definedName name="out4">TDFD!$H$11:$J$101</definedName>
    <definedName name="out5">TLFD!$N$11:$N$14</definedName>
    <definedName name="out6">TLFD!$O$11:$O$14</definedName>
    <definedName name="out7">TDFD!$N$11:$N$14</definedName>
    <definedName name="out8">TDFD!$O$11:$O$14</definedName>
    <definedName name="out9">County_Flow!$B$7:$H$13</definedName>
    <definedName name="Sch_dist">TLFD!$H$11:$J$101</definedName>
    <definedName name="Sch_time">TDFD!$H$11:$J$101</definedName>
    <definedName name="tot">SchoolAtHome!$I$18:$K$23</definedName>
  </definedNames>
  <calcPr calcId="171027"/>
</workbook>
</file>

<file path=xl/calcChain.xml><?xml version="1.0" encoding="utf-8"?>
<calcChain xmlns="http://schemas.openxmlformats.org/spreadsheetml/2006/main">
  <c r="T4" i="15" l="1"/>
  <c r="T5" i="15"/>
  <c r="T6" i="15"/>
  <c r="T7" i="15"/>
  <c r="T8" i="15"/>
  <c r="T9" i="15"/>
  <c r="T10" i="15"/>
  <c r="T11" i="15"/>
  <c r="T12" i="15"/>
  <c r="L8" i="15" s="1"/>
  <c r="T13" i="15"/>
  <c r="L9" i="15" s="1"/>
  <c r="T14" i="15"/>
  <c r="L10" i="15" s="1"/>
  <c r="T15" i="15"/>
  <c r="T16" i="15"/>
  <c r="T17" i="15"/>
  <c r="T18" i="15"/>
  <c r="T19" i="15"/>
  <c r="T20" i="15"/>
  <c r="T21" i="15"/>
  <c r="T22" i="15"/>
  <c r="T23" i="15"/>
  <c r="T24" i="15"/>
  <c r="T25" i="15"/>
  <c r="T26" i="15"/>
  <c r="T27" i="15"/>
  <c r="T28" i="15"/>
  <c r="T29" i="15"/>
  <c r="T30" i="15"/>
  <c r="T31" i="15"/>
  <c r="T32" i="15"/>
  <c r="T33" i="15"/>
  <c r="T34" i="15"/>
  <c r="T35" i="15"/>
  <c r="T36" i="15"/>
  <c r="T37" i="15"/>
  <c r="T38" i="15"/>
  <c r="T39" i="15"/>
  <c r="T40" i="15"/>
  <c r="T41" i="15"/>
  <c r="T42" i="15"/>
  <c r="T43" i="15"/>
  <c r="T44" i="15"/>
  <c r="T45" i="15"/>
  <c r="T46" i="15"/>
  <c r="T47" i="15"/>
  <c r="T48" i="15"/>
  <c r="T49" i="15"/>
  <c r="T50" i="15"/>
  <c r="T51" i="15"/>
  <c r="T52" i="15"/>
  <c r="T53" i="15"/>
  <c r="T54" i="15"/>
  <c r="T55" i="15"/>
  <c r="T56" i="15"/>
  <c r="T57" i="15"/>
  <c r="T58" i="15"/>
  <c r="T59" i="15"/>
  <c r="T60" i="15"/>
  <c r="T61" i="15"/>
  <c r="T62" i="15"/>
  <c r="T3" i="15"/>
  <c r="L17" i="15" l="1"/>
  <c r="U4" i="15" l="1"/>
  <c r="U5" i="15"/>
  <c r="U6" i="15"/>
  <c r="U7" i="15"/>
  <c r="U8" i="15"/>
  <c r="U9" i="15"/>
  <c r="U10" i="15"/>
  <c r="U11" i="15"/>
  <c r="U15" i="15"/>
  <c r="U16" i="15"/>
  <c r="U17" i="15"/>
  <c r="U18" i="15"/>
  <c r="U19" i="15"/>
  <c r="U20" i="15"/>
  <c r="U21" i="15"/>
  <c r="U22" i="15"/>
  <c r="U23" i="15"/>
  <c r="U24" i="15"/>
  <c r="U25" i="15"/>
  <c r="U26" i="15"/>
  <c r="U27" i="15"/>
  <c r="U28" i="15"/>
  <c r="U29" i="15"/>
  <c r="U30" i="15"/>
  <c r="U31" i="15"/>
  <c r="U32" i="15"/>
  <c r="U34" i="15"/>
  <c r="U35" i="15"/>
  <c r="U36" i="15"/>
  <c r="U37" i="15"/>
  <c r="U38" i="15"/>
  <c r="U39" i="15"/>
  <c r="U40" i="15"/>
  <c r="U41" i="15"/>
  <c r="U42" i="15"/>
  <c r="U43" i="15"/>
  <c r="U44" i="15"/>
  <c r="U45" i="15"/>
  <c r="U46" i="15"/>
  <c r="U47" i="15"/>
  <c r="U48" i="15"/>
  <c r="U49" i="15"/>
  <c r="U50" i="15"/>
  <c r="U51" i="15"/>
  <c r="U52" i="15"/>
  <c r="U53" i="15"/>
  <c r="U54" i="15"/>
  <c r="U55" i="15"/>
  <c r="U56" i="15"/>
  <c r="U57" i="15"/>
  <c r="U58" i="15"/>
  <c r="U59" i="15"/>
  <c r="U60" i="15"/>
  <c r="U61" i="15"/>
  <c r="U62" i="15"/>
  <c r="U3" i="15"/>
  <c r="C10" i="15"/>
  <c r="B10" i="15"/>
  <c r="C9" i="15"/>
  <c r="B9" i="15"/>
  <c r="C8" i="15"/>
  <c r="B8" i="15"/>
  <c r="C11" i="15" l="1"/>
  <c r="G10" i="15" s="1"/>
  <c r="B11" i="15"/>
  <c r="F9" i="15" s="1"/>
  <c r="C27" i="1"/>
  <c r="D27" i="1"/>
  <c r="E27" i="1"/>
  <c r="F27" i="1"/>
  <c r="G27" i="1"/>
  <c r="H27" i="1"/>
  <c r="I27" i="1"/>
  <c r="J27" i="1"/>
  <c r="B27" i="1"/>
  <c r="S15" i="1"/>
  <c r="F10" i="15" l="1"/>
  <c r="J10" i="15" s="1"/>
  <c r="F8" i="15"/>
  <c r="G8" i="15"/>
  <c r="G9" i="15"/>
  <c r="J9" i="15" s="1"/>
  <c r="L13" i="1"/>
  <c r="A26" i="1"/>
  <c r="A39" i="1"/>
  <c r="W39" i="1"/>
  <c r="L39" i="1"/>
  <c r="J8" i="15" l="1"/>
  <c r="F11" i="15"/>
  <c r="G11" i="15"/>
  <c r="O35" i="12"/>
  <c r="H35" i="12"/>
  <c r="A35" i="12"/>
  <c r="A24" i="12"/>
  <c r="H24" i="12"/>
  <c r="O24" i="12"/>
  <c r="O13" i="12"/>
  <c r="H13" i="12"/>
  <c r="AD32" i="1"/>
  <c r="S32" i="1"/>
  <c r="H32" i="1"/>
  <c r="H19" i="1"/>
  <c r="S6" i="1"/>
  <c r="H6" i="1"/>
  <c r="K8" i="15" l="1"/>
  <c r="M8" i="15" s="1"/>
  <c r="U12" i="15" s="1"/>
  <c r="K10" i="15"/>
  <c r="M10" i="15" s="1"/>
  <c r="U14" i="15" s="1"/>
  <c r="K9" i="15"/>
  <c r="M9" i="15" s="1"/>
  <c r="U13" i="15" s="1"/>
  <c r="D25" i="12"/>
  <c r="C25" i="12"/>
  <c r="B25" i="12"/>
  <c r="K25" i="12"/>
  <c r="J25" i="12"/>
  <c r="I25" i="12"/>
  <c r="J14" i="12"/>
  <c r="K14" i="12"/>
  <c r="I14" i="12"/>
  <c r="I36" i="12" l="1"/>
  <c r="J36" i="12"/>
  <c r="K36" i="12"/>
  <c r="P25" i="12"/>
  <c r="R25" i="12"/>
  <c r="Q25" i="12"/>
  <c r="AC45" i="1"/>
  <c r="AB45" i="1"/>
  <c r="AA45" i="1"/>
  <c r="Z45" i="1"/>
  <c r="Y45" i="1"/>
  <c r="X45" i="1"/>
  <c r="R45" i="1"/>
  <c r="Q45" i="1"/>
  <c r="P45" i="1"/>
  <c r="O45" i="1"/>
  <c r="N45" i="1"/>
  <c r="M45" i="1"/>
  <c r="G45" i="1"/>
  <c r="F45" i="1"/>
  <c r="E45" i="1"/>
  <c r="D45" i="1"/>
  <c r="C45" i="1"/>
  <c r="B45" i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51" i="1"/>
  <c r="W50" i="1"/>
  <c r="W49" i="1"/>
  <c r="W48" i="1"/>
  <c r="W47" i="1"/>
  <c r="W46" i="1"/>
  <c r="L51" i="1"/>
  <c r="L50" i="1"/>
  <c r="L49" i="1"/>
  <c r="L48" i="1"/>
  <c r="L47" i="1"/>
  <c r="L46" i="1"/>
  <c r="A51" i="1"/>
  <c r="A50" i="1"/>
  <c r="A49" i="1"/>
  <c r="A48" i="1"/>
  <c r="A47" i="1"/>
  <c r="A4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A25" i="1"/>
  <c r="A24" i="1"/>
  <c r="A23" i="1"/>
  <c r="A22" i="1"/>
  <c r="A21" i="1"/>
  <c r="A20" i="1"/>
  <c r="L12" i="1"/>
  <c r="L11" i="1"/>
  <c r="L10" i="1"/>
  <c r="L9" i="1"/>
  <c r="L8" i="1"/>
  <c r="L7" i="1"/>
  <c r="O34" i="12"/>
  <c r="O33" i="12"/>
  <c r="O32" i="12"/>
  <c r="O31" i="12"/>
  <c r="O30" i="12"/>
  <c r="O29" i="12"/>
  <c r="H34" i="12"/>
  <c r="H33" i="12"/>
  <c r="H32" i="12"/>
  <c r="H31" i="12"/>
  <c r="H30" i="12"/>
  <c r="H29" i="12"/>
  <c r="A34" i="12"/>
  <c r="A33" i="12"/>
  <c r="A32" i="12"/>
  <c r="A31" i="12"/>
  <c r="A30" i="12"/>
  <c r="A29" i="12"/>
  <c r="O23" i="12"/>
  <c r="O22" i="12"/>
  <c r="O21" i="12"/>
  <c r="O20" i="12"/>
  <c r="O19" i="12"/>
  <c r="O18" i="12"/>
  <c r="H23" i="12"/>
  <c r="H22" i="12"/>
  <c r="H21" i="12"/>
  <c r="H20" i="12"/>
  <c r="H19" i="12"/>
  <c r="H18" i="12"/>
  <c r="A23" i="12"/>
  <c r="A22" i="12"/>
  <c r="A21" i="12"/>
  <c r="A20" i="12"/>
  <c r="A19" i="12"/>
  <c r="A18" i="12"/>
  <c r="O12" i="12"/>
  <c r="O11" i="12"/>
  <c r="O10" i="12"/>
  <c r="O9" i="12"/>
  <c r="O8" i="12"/>
  <c r="O7" i="12"/>
  <c r="H12" i="12"/>
  <c r="H11" i="12"/>
  <c r="H10" i="12"/>
  <c r="H9" i="12"/>
  <c r="H8" i="12"/>
  <c r="H7" i="12"/>
  <c r="P15" i="1" l="1"/>
  <c r="Q15" i="1"/>
  <c r="R15" i="1"/>
  <c r="E15" i="1"/>
  <c r="F15" i="1"/>
  <c r="G15" i="1"/>
  <c r="L20" i="12" l="1"/>
  <c r="L21" i="12"/>
  <c r="L22" i="12"/>
  <c r="L9" i="12"/>
  <c r="L10" i="12"/>
  <c r="L11" i="12"/>
  <c r="E20" i="12"/>
  <c r="E21" i="12"/>
  <c r="E22" i="12"/>
  <c r="E9" i="12"/>
  <c r="E10" i="12"/>
  <c r="E11" i="12"/>
  <c r="B30" i="12" l="1"/>
  <c r="C30" i="12"/>
  <c r="D30" i="12"/>
  <c r="B31" i="12"/>
  <c r="C31" i="12"/>
  <c r="D31" i="12"/>
  <c r="E31" i="12"/>
  <c r="B32" i="12"/>
  <c r="C32" i="12"/>
  <c r="D32" i="12"/>
  <c r="E32" i="12"/>
  <c r="B33" i="12"/>
  <c r="C33" i="12"/>
  <c r="D33" i="12"/>
  <c r="E33" i="12"/>
  <c r="I31" i="12"/>
  <c r="P31" i="12" s="1"/>
  <c r="J31" i="12"/>
  <c r="Q31" i="12" s="1"/>
  <c r="K31" i="12"/>
  <c r="R31" i="12" s="1"/>
  <c r="L31" i="12"/>
  <c r="S31" i="12" s="1"/>
  <c r="I32" i="12"/>
  <c r="J32" i="12"/>
  <c r="Q32" i="12" s="1"/>
  <c r="K32" i="12"/>
  <c r="R32" i="12" s="1"/>
  <c r="L32" i="12"/>
  <c r="I33" i="12"/>
  <c r="P33" i="12" s="1"/>
  <c r="J33" i="12"/>
  <c r="K33" i="12"/>
  <c r="L33" i="12"/>
  <c r="P20" i="12"/>
  <c r="Q20" i="12"/>
  <c r="R20" i="12"/>
  <c r="S20" i="12"/>
  <c r="P21" i="12"/>
  <c r="Q21" i="12"/>
  <c r="R21" i="12"/>
  <c r="S21" i="12"/>
  <c r="P22" i="12"/>
  <c r="Q22" i="12"/>
  <c r="R22" i="12"/>
  <c r="S22" i="12"/>
  <c r="P9" i="12"/>
  <c r="Q9" i="12"/>
  <c r="R9" i="12"/>
  <c r="S9" i="12"/>
  <c r="P10" i="12"/>
  <c r="Q10" i="12"/>
  <c r="R10" i="12"/>
  <c r="S10" i="12"/>
  <c r="P11" i="12"/>
  <c r="Q11" i="12"/>
  <c r="R11" i="12"/>
  <c r="S11" i="12"/>
  <c r="U10" i="1"/>
  <c r="U11" i="1"/>
  <c r="U12" i="1"/>
  <c r="U13" i="1"/>
  <c r="J8" i="1"/>
  <c r="J9" i="1"/>
  <c r="J10" i="1"/>
  <c r="J11" i="1"/>
  <c r="J12" i="1"/>
  <c r="H24" i="1" l="1"/>
  <c r="H23" i="1"/>
  <c r="H25" i="1"/>
  <c r="Q33" i="12"/>
  <c r="C24" i="1"/>
  <c r="S32" i="12"/>
  <c r="J24" i="1"/>
  <c r="I24" i="1"/>
  <c r="R33" i="12"/>
  <c r="P32" i="12"/>
  <c r="B24" i="1"/>
  <c r="B23" i="1"/>
  <c r="G24" i="1"/>
  <c r="F24" i="1"/>
  <c r="E24" i="1"/>
  <c r="D24" i="1"/>
  <c r="F23" i="1"/>
  <c r="J23" i="1"/>
  <c r="I23" i="1"/>
  <c r="G23" i="1"/>
  <c r="C23" i="1"/>
  <c r="J25" i="1"/>
  <c r="I25" i="1"/>
  <c r="G25" i="1"/>
  <c r="D25" i="1"/>
  <c r="C25" i="1"/>
  <c r="B25" i="1"/>
  <c r="F25" i="1"/>
  <c r="E25" i="1"/>
  <c r="S33" i="12"/>
  <c r="E23" i="1"/>
  <c r="D23" i="1"/>
  <c r="E23" i="12"/>
  <c r="E19" i="12"/>
  <c r="E18" i="12"/>
  <c r="R23" i="12"/>
  <c r="Q23" i="12"/>
  <c r="P23" i="12"/>
  <c r="R19" i="12"/>
  <c r="Q19" i="12"/>
  <c r="P19" i="12"/>
  <c r="R18" i="12"/>
  <c r="Q18" i="12"/>
  <c r="P18" i="12"/>
  <c r="L23" i="12"/>
  <c r="L19" i="12"/>
  <c r="L18" i="12"/>
  <c r="L7" i="12"/>
  <c r="L8" i="12"/>
  <c r="L12" i="12"/>
  <c r="T15" i="1"/>
  <c r="O15" i="1"/>
  <c r="N15" i="1"/>
  <c r="M15" i="1"/>
  <c r="I15" i="1"/>
  <c r="D15" i="1"/>
  <c r="C15" i="1"/>
  <c r="B15" i="1"/>
  <c r="J13" i="1"/>
  <c r="B26" i="1" s="1"/>
  <c r="U9" i="1"/>
  <c r="H22" i="1" s="1"/>
  <c r="U8" i="1"/>
  <c r="H21" i="1" s="1"/>
  <c r="U7" i="1"/>
  <c r="J7" i="1"/>
  <c r="I26" i="1" l="1"/>
  <c r="G26" i="1"/>
  <c r="E26" i="1"/>
  <c r="D26" i="1"/>
  <c r="C26" i="1"/>
  <c r="H26" i="1"/>
  <c r="F26" i="1"/>
  <c r="H20" i="1"/>
  <c r="J26" i="1"/>
  <c r="C22" i="1"/>
  <c r="D22" i="1"/>
  <c r="E22" i="1"/>
  <c r="G22" i="1"/>
  <c r="I22" i="1"/>
  <c r="B22" i="1"/>
  <c r="F22" i="1"/>
  <c r="J22" i="1"/>
  <c r="D20" i="1"/>
  <c r="G20" i="1"/>
  <c r="E20" i="1"/>
  <c r="C20" i="1"/>
  <c r="F20" i="1"/>
  <c r="E21" i="1"/>
  <c r="F21" i="1"/>
  <c r="B21" i="1"/>
  <c r="C21" i="1"/>
  <c r="D21" i="1"/>
  <c r="G21" i="1"/>
  <c r="I21" i="1"/>
  <c r="J21" i="1"/>
  <c r="S18" i="12"/>
  <c r="E24" i="12"/>
  <c r="E25" i="12" s="1"/>
  <c r="B18" i="15" s="1"/>
  <c r="F18" i="15" s="1"/>
  <c r="P24" i="12"/>
  <c r="S19" i="12"/>
  <c r="Q24" i="12"/>
  <c r="S23" i="12"/>
  <c r="R24" i="12"/>
  <c r="L13" i="12"/>
  <c r="L14" i="12" s="1"/>
  <c r="C17" i="15" s="1"/>
  <c r="L24" i="12"/>
  <c r="L25" i="12" s="1"/>
  <c r="C18" i="15" s="1"/>
  <c r="G18" i="15" s="1"/>
  <c r="U15" i="1"/>
  <c r="J15" i="1"/>
  <c r="J20" i="1"/>
  <c r="B20" i="1"/>
  <c r="I20" i="1"/>
  <c r="Q39" i="1" l="1"/>
  <c r="S33" i="1"/>
  <c r="N39" i="1"/>
  <c r="P39" i="1"/>
  <c r="R39" i="1"/>
  <c r="S37" i="1"/>
  <c r="S36" i="1"/>
  <c r="S39" i="1"/>
  <c r="S35" i="1"/>
  <c r="S38" i="1"/>
  <c r="M39" i="1"/>
  <c r="O39" i="1"/>
  <c r="S34" i="1"/>
  <c r="G39" i="1"/>
  <c r="G17" i="15"/>
  <c r="H28" i="1"/>
  <c r="T40" i="1"/>
  <c r="N40" i="1"/>
  <c r="Q40" i="1"/>
  <c r="U40" i="1"/>
  <c r="T39" i="1"/>
  <c r="P40" i="1"/>
  <c r="M40" i="1"/>
  <c r="R40" i="1"/>
  <c r="O40" i="1"/>
  <c r="S40" i="1"/>
  <c r="S41" i="1"/>
  <c r="U39" i="1"/>
  <c r="L36" i="12"/>
  <c r="S25" i="12"/>
  <c r="R34" i="1"/>
  <c r="P35" i="1"/>
  <c r="M36" i="1"/>
  <c r="N36" i="1"/>
  <c r="P36" i="1"/>
  <c r="Q41" i="1"/>
  <c r="P37" i="1"/>
  <c r="Q38" i="1"/>
  <c r="I28" i="1"/>
  <c r="T36" i="1"/>
  <c r="R41" i="1"/>
  <c r="P33" i="1"/>
  <c r="R38" i="1"/>
  <c r="T38" i="1"/>
  <c r="Q33" i="1"/>
  <c r="M38" i="1"/>
  <c r="E28" i="1"/>
  <c r="P38" i="1"/>
  <c r="R33" i="1"/>
  <c r="P34" i="1"/>
  <c r="Q34" i="1"/>
  <c r="Q35" i="1"/>
  <c r="R35" i="1"/>
  <c r="O36" i="1"/>
  <c r="Q36" i="1"/>
  <c r="R36" i="1"/>
  <c r="M37" i="1"/>
  <c r="N37" i="1"/>
  <c r="Q37" i="1"/>
  <c r="P41" i="1"/>
  <c r="O37" i="1"/>
  <c r="R37" i="1"/>
  <c r="T37" i="1"/>
  <c r="C28" i="1"/>
  <c r="U37" i="1"/>
  <c r="D28" i="1"/>
  <c r="N38" i="1"/>
  <c r="F28" i="1"/>
  <c r="O38" i="1"/>
  <c r="G28" i="1"/>
  <c r="U38" i="1"/>
  <c r="U36" i="1"/>
  <c r="S24" i="12"/>
  <c r="N33" i="1"/>
  <c r="T34" i="1"/>
  <c r="M34" i="1"/>
  <c r="M33" i="1"/>
  <c r="U35" i="1"/>
  <c r="M35" i="1"/>
  <c r="U34" i="1"/>
  <c r="J28" i="1"/>
  <c r="H33" i="1" s="1"/>
  <c r="T35" i="1"/>
  <c r="N35" i="1"/>
  <c r="N41" i="1"/>
  <c r="O35" i="1"/>
  <c r="T33" i="1"/>
  <c r="U33" i="1"/>
  <c r="N34" i="1"/>
  <c r="M41" i="1"/>
  <c r="O33" i="1"/>
  <c r="U41" i="1"/>
  <c r="O34" i="1"/>
  <c r="O41" i="1"/>
  <c r="T41" i="1"/>
  <c r="B28" i="1"/>
  <c r="D39" i="1" l="1"/>
  <c r="E39" i="1"/>
  <c r="C39" i="1"/>
  <c r="I39" i="1"/>
  <c r="Z39" i="1"/>
  <c r="H39" i="1"/>
  <c r="AD39" i="1" s="1"/>
  <c r="AC39" i="1"/>
  <c r="B39" i="1"/>
  <c r="X39" i="1" s="1"/>
  <c r="H38" i="1"/>
  <c r="AD38" i="1" s="1"/>
  <c r="H35" i="1"/>
  <c r="AD35" i="1" s="1"/>
  <c r="H37" i="1"/>
  <c r="AD37" i="1" s="1"/>
  <c r="H34" i="1"/>
  <c r="AD34" i="1" s="1"/>
  <c r="H36" i="1"/>
  <c r="AD36" i="1" s="1"/>
  <c r="AA39" i="1"/>
  <c r="Y39" i="1"/>
  <c r="AD33" i="1"/>
  <c r="F39" i="1"/>
  <c r="AB39" i="1" s="1"/>
  <c r="F35" i="1"/>
  <c r="AB35" i="1" s="1"/>
  <c r="H40" i="1"/>
  <c r="AD40" i="1" s="1"/>
  <c r="J39" i="1"/>
  <c r="AF39" i="1" s="1"/>
  <c r="H41" i="1"/>
  <c r="AD41" i="1" s="1"/>
  <c r="AE39" i="1"/>
  <c r="G35" i="1"/>
  <c r="AC35" i="1" s="1"/>
  <c r="G41" i="1"/>
  <c r="AC41" i="1" s="1"/>
  <c r="F40" i="1"/>
  <c r="AB40" i="1" s="1"/>
  <c r="E35" i="1"/>
  <c r="AA35" i="1" s="1"/>
  <c r="E41" i="1"/>
  <c r="AA41" i="1" s="1"/>
  <c r="E34" i="1"/>
  <c r="AA34" i="1" s="1"/>
  <c r="F41" i="1"/>
  <c r="AB41" i="1" s="1"/>
  <c r="F34" i="1"/>
  <c r="AB34" i="1" s="1"/>
  <c r="G33" i="1"/>
  <c r="AC33" i="1" s="1"/>
  <c r="B37" i="1"/>
  <c r="X37" i="1" s="1"/>
  <c r="B36" i="1"/>
  <c r="X36" i="1" s="1"/>
  <c r="I37" i="1"/>
  <c r="AE37" i="1" s="1"/>
  <c r="C37" i="1"/>
  <c r="Y37" i="1" s="1"/>
  <c r="J37" i="1"/>
  <c r="AF37" i="1" s="1"/>
  <c r="F38" i="1"/>
  <c r="AB38" i="1" s="1"/>
  <c r="F36" i="1"/>
  <c r="AB36" i="1" s="1"/>
  <c r="D37" i="1"/>
  <c r="Z37" i="1" s="1"/>
  <c r="E40" i="1"/>
  <c r="AA40" i="1" s="1"/>
  <c r="E36" i="1"/>
  <c r="AA36" i="1" s="1"/>
  <c r="I36" i="1"/>
  <c r="AE36" i="1" s="1"/>
  <c r="G36" i="1"/>
  <c r="AC36" i="1" s="1"/>
  <c r="J38" i="1"/>
  <c r="AF38" i="1" s="1"/>
  <c r="G40" i="1"/>
  <c r="AC40" i="1" s="1"/>
  <c r="C38" i="1"/>
  <c r="Y38" i="1" s="1"/>
  <c r="J36" i="1"/>
  <c r="AF36" i="1" s="1"/>
  <c r="I38" i="1"/>
  <c r="AE38" i="1" s="1"/>
  <c r="G37" i="1"/>
  <c r="AC37" i="1" s="1"/>
  <c r="F37" i="1"/>
  <c r="AB37" i="1" s="1"/>
  <c r="D36" i="1"/>
  <c r="Z36" i="1" s="1"/>
  <c r="E38" i="1"/>
  <c r="AA38" i="1" s="1"/>
  <c r="D38" i="1"/>
  <c r="Z38" i="1" s="1"/>
  <c r="G38" i="1"/>
  <c r="AC38" i="1" s="1"/>
  <c r="C36" i="1"/>
  <c r="Y36" i="1" s="1"/>
  <c r="E37" i="1"/>
  <c r="AA37" i="1" s="1"/>
  <c r="B38" i="1"/>
  <c r="X38" i="1" s="1"/>
  <c r="G34" i="1"/>
  <c r="AC34" i="1" s="1"/>
  <c r="F33" i="1"/>
  <c r="AB33" i="1" s="1"/>
  <c r="E33" i="1"/>
  <c r="AA33" i="1" s="1"/>
  <c r="D33" i="1"/>
  <c r="Z33" i="1" s="1"/>
  <c r="C33" i="1"/>
  <c r="Y33" i="1" s="1"/>
  <c r="D40" i="1"/>
  <c r="Z40" i="1" s="1"/>
  <c r="D35" i="1"/>
  <c r="Z35" i="1" s="1"/>
  <c r="J40" i="1"/>
  <c r="AF40" i="1" s="1"/>
  <c r="D41" i="1"/>
  <c r="Z41" i="1" s="1"/>
  <c r="B34" i="1"/>
  <c r="X34" i="1" s="1"/>
  <c r="I34" i="1"/>
  <c r="AE34" i="1" s="1"/>
  <c r="I35" i="1"/>
  <c r="AE35" i="1" s="1"/>
  <c r="C34" i="1"/>
  <c r="Y34" i="1" s="1"/>
  <c r="I41" i="1"/>
  <c r="AE41" i="1" s="1"/>
  <c r="B41" i="1"/>
  <c r="X41" i="1" s="1"/>
  <c r="C40" i="1"/>
  <c r="Y40" i="1" s="1"/>
  <c r="I40" i="1"/>
  <c r="AE40" i="1" s="1"/>
  <c r="J33" i="1"/>
  <c r="AF33" i="1" s="1"/>
  <c r="B33" i="1"/>
  <c r="X33" i="1" s="1"/>
  <c r="J34" i="1"/>
  <c r="AF34" i="1" s="1"/>
  <c r="B35" i="1"/>
  <c r="X35" i="1" s="1"/>
  <c r="J35" i="1"/>
  <c r="AF35" i="1" s="1"/>
  <c r="B40" i="1"/>
  <c r="X40" i="1" s="1"/>
  <c r="D34" i="1"/>
  <c r="Z34" i="1" s="1"/>
  <c r="I33" i="1"/>
  <c r="AE33" i="1" s="1"/>
  <c r="C35" i="1"/>
  <c r="Y35" i="1" s="1"/>
  <c r="J41" i="1"/>
  <c r="AF41" i="1" s="1"/>
  <c r="C41" i="1"/>
  <c r="Y41" i="1" s="1"/>
  <c r="R12" i="12"/>
  <c r="Q12" i="12"/>
  <c r="P12" i="12"/>
  <c r="R8" i="12"/>
  <c r="Q8" i="12"/>
  <c r="P8" i="12"/>
  <c r="R7" i="12"/>
  <c r="Q7" i="12"/>
  <c r="P7" i="12"/>
  <c r="K34" i="12" l="1"/>
  <c r="J34" i="12"/>
  <c r="I34" i="12"/>
  <c r="D34" i="12"/>
  <c r="C34" i="12"/>
  <c r="B34" i="12"/>
  <c r="K30" i="12"/>
  <c r="J30" i="12"/>
  <c r="I30" i="12"/>
  <c r="K29" i="12"/>
  <c r="J29" i="12"/>
  <c r="I29" i="12"/>
  <c r="D29" i="12"/>
  <c r="C29" i="12"/>
  <c r="B29" i="12"/>
  <c r="E12" i="12"/>
  <c r="S12" i="12" s="1"/>
  <c r="E8" i="12"/>
  <c r="E7" i="12"/>
  <c r="S7" i="12" s="1"/>
  <c r="J22" i="10"/>
  <c r="J21" i="10"/>
  <c r="J20" i="10"/>
  <c r="J19" i="10"/>
  <c r="J18" i="10"/>
  <c r="J17" i="10"/>
  <c r="J16" i="10"/>
  <c r="J15" i="10"/>
  <c r="J14" i="10"/>
  <c r="J13" i="10"/>
  <c r="J12" i="10"/>
  <c r="I11" i="10"/>
  <c r="J11" i="10"/>
  <c r="K11" i="10"/>
  <c r="B22" i="10"/>
  <c r="C22" i="10"/>
  <c r="D22" i="10"/>
  <c r="B21" i="10"/>
  <c r="C21" i="10"/>
  <c r="D21" i="10"/>
  <c r="B20" i="10"/>
  <c r="C20" i="10"/>
  <c r="D20" i="10"/>
  <c r="B19" i="10"/>
  <c r="C19" i="10"/>
  <c r="D19" i="10"/>
  <c r="B18" i="10"/>
  <c r="C18" i="10"/>
  <c r="D18" i="10"/>
  <c r="B17" i="10"/>
  <c r="C17" i="10"/>
  <c r="D17" i="10"/>
  <c r="B16" i="10"/>
  <c r="C16" i="10"/>
  <c r="D16" i="10"/>
  <c r="B15" i="10"/>
  <c r="C15" i="10"/>
  <c r="D15" i="10"/>
  <c r="B14" i="10"/>
  <c r="C14" i="10"/>
  <c r="D14" i="10"/>
  <c r="B13" i="10"/>
  <c r="C13" i="10"/>
  <c r="D13" i="10"/>
  <c r="B12" i="10"/>
  <c r="C12" i="10"/>
  <c r="D12" i="10"/>
  <c r="B11" i="10"/>
  <c r="C11" i="10"/>
  <c r="D11" i="10"/>
  <c r="E92" i="3"/>
  <c r="E93" i="3"/>
  <c r="E94" i="3"/>
  <c r="E95" i="3"/>
  <c r="E96" i="3"/>
  <c r="E97" i="3"/>
  <c r="E98" i="3"/>
  <c r="E99" i="3"/>
  <c r="E100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12" i="3"/>
  <c r="E13" i="3"/>
  <c r="E14" i="3"/>
  <c r="E15" i="3"/>
  <c r="E16" i="3"/>
  <c r="E17" i="3"/>
  <c r="E18" i="3"/>
  <c r="E19" i="3"/>
  <c r="E20" i="3"/>
  <c r="E21" i="3"/>
  <c r="E22" i="3"/>
  <c r="E11" i="3"/>
  <c r="P13" i="12" l="1"/>
  <c r="B14" i="12"/>
  <c r="Q13" i="12"/>
  <c r="C14" i="12"/>
  <c r="R13" i="12"/>
  <c r="D14" i="12"/>
  <c r="S8" i="12"/>
  <c r="E30" i="12"/>
  <c r="P29" i="12"/>
  <c r="R30" i="12"/>
  <c r="R34" i="12"/>
  <c r="Q30" i="12"/>
  <c r="Q34" i="12"/>
  <c r="Q29" i="12"/>
  <c r="R29" i="12"/>
  <c r="P30" i="12"/>
  <c r="P34" i="12"/>
  <c r="I35" i="12"/>
  <c r="L30" i="12"/>
  <c r="L34" i="12"/>
  <c r="D35" i="12"/>
  <c r="K35" i="12"/>
  <c r="E34" i="12"/>
  <c r="C35" i="12"/>
  <c r="J35" i="12"/>
  <c r="L29" i="12"/>
  <c r="B35" i="12"/>
  <c r="E13" i="12"/>
  <c r="E29" i="12"/>
  <c r="L35" i="12"/>
  <c r="D36" i="12" l="1"/>
  <c r="R36" i="12" s="1"/>
  <c r="R14" i="12"/>
  <c r="Q14" i="12"/>
  <c r="C36" i="12"/>
  <c r="Q36" i="12" s="1"/>
  <c r="B36" i="12"/>
  <c r="P36" i="12" s="1"/>
  <c r="P14" i="12"/>
  <c r="S13" i="12"/>
  <c r="E14" i="12"/>
  <c r="B17" i="15" s="1"/>
  <c r="F17" i="15" s="1"/>
  <c r="J17" i="15" s="1"/>
  <c r="K17" i="15" s="1"/>
  <c r="M17" i="15" s="1"/>
  <c r="U33" i="15" s="1"/>
  <c r="Q35" i="12"/>
  <c r="R35" i="12"/>
  <c r="P35" i="12"/>
  <c r="S29" i="12"/>
  <c r="S30" i="12"/>
  <c r="S34" i="12"/>
  <c r="E35" i="12"/>
  <c r="S35" i="12" s="1"/>
  <c r="K11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K65" i="4"/>
  <c r="K64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0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1" i="3"/>
  <c r="S14" i="12" l="1"/>
  <c r="E36" i="12"/>
  <c r="S36" i="12" s="1"/>
  <c r="L11" i="10"/>
  <c r="I22" i="10" l="1"/>
  <c r="K22" i="10"/>
  <c r="I21" i="10"/>
  <c r="K21" i="10"/>
  <c r="I20" i="10"/>
  <c r="K20" i="10"/>
  <c r="I19" i="10"/>
  <c r="K19" i="10"/>
  <c r="I18" i="10"/>
  <c r="K18" i="10"/>
  <c r="I17" i="10"/>
  <c r="K17" i="10"/>
  <c r="I16" i="10"/>
  <c r="K16" i="10"/>
  <c r="I15" i="10"/>
  <c r="K15" i="10"/>
  <c r="I14" i="10"/>
  <c r="K14" i="10"/>
  <c r="I13" i="10"/>
  <c r="K13" i="10"/>
  <c r="I12" i="10"/>
  <c r="K12" i="10"/>
  <c r="L22" i="10"/>
  <c r="L15" i="10" l="1"/>
  <c r="L21" i="10"/>
  <c r="L19" i="10"/>
  <c r="L20" i="10"/>
  <c r="L17" i="10"/>
  <c r="L16" i="10"/>
  <c r="L13" i="10"/>
  <c r="L12" i="10"/>
  <c r="L18" i="10"/>
  <c r="L14" i="10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22" i="10" s="1"/>
  <c r="E11" i="4"/>
  <c r="E101" i="3"/>
  <c r="E11" i="10" l="1"/>
  <c r="E20" i="10"/>
  <c r="E21" i="10"/>
  <c r="E19" i="10"/>
  <c r="E15" i="10"/>
  <c r="E16" i="10"/>
  <c r="E12" i="10"/>
  <c r="E17" i="10"/>
  <c r="E13" i="10"/>
  <c r="E18" i="10"/>
  <c r="E14" i="10"/>
</calcChain>
</file>

<file path=xl/sharedStrings.xml><?xml version="1.0" encoding="utf-8"?>
<sst xmlns="http://schemas.openxmlformats.org/spreadsheetml/2006/main" count="673" uniqueCount="260">
  <si>
    <t>Trip Duration Frequency Distribution</t>
  </si>
  <si>
    <t>Trip Length Frequency Distribution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</si>
  <si>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</si>
  <si>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</si>
  <si>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</si>
  <si>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</si>
  <si>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</si>
  <si>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</si>
  <si>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</si>
  <si>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</si>
  <si>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</si>
  <si>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</si>
  <si>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</si>
  <si>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Time (min)</t>
  </si>
  <si>
    <t>Aggregate Trip Duration Frequency Distribution</t>
  </si>
  <si>
    <t>Less than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</si>
  <si>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</si>
  <si>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</si>
  <si>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</si>
  <si>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</si>
  <si>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</si>
  <si>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</si>
  <si>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</si>
  <si>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</si>
  <si>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59</t>
  </si>
  <si>
    <t>60 to 89</t>
  </si>
  <si>
    <t>90 or more</t>
  </si>
  <si>
    <t>County-level School Flows</t>
  </si>
  <si>
    <t>Table X. Estimated Student Flows by County</t>
  </si>
  <si>
    <t>County-level Work at Home Shares</t>
  </si>
  <si>
    <t>A person is assumed to work from home if the HH coordinates are exactly the same as the usual workplace coordinates</t>
  </si>
  <si>
    <t>Table X. Estimated Counts by County</t>
  </si>
  <si>
    <t>Table X. Estimated School at Home Counts by County</t>
  </si>
  <si>
    <t>Table X. Estimated School at Home Shares by County</t>
  </si>
  <si>
    <t>Table X. Average Trip Length</t>
  </si>
  <si>
    <t>DaySim</t>
  </si>
  <si>
    <t>Table X. Average Trip Duration</t>
  </si>
  <si>
    <t>Table X. Estimated-Observed Student Flows by County</t>
  </si>
  <si>
    <t>ESTIMATED STUDENT FLOWS</t>
  </si>
  <si>
    <t>EST-OBS STUDENT FLOWS</t>
  </si>
  <si>
    <t>AVG TRIP LENGTH</t>
  </si>
  <si>
    <t>Ch515</t>
  </si>
  <si>
    <t>Stu16</t>
  </si>
  <si>
    <t>Unistu</t>
  </si>
  <si>
    <t>NHTS Preparation</t>
  </si>
  <si>
    <t>Steps for generating distributions of commute time and distance</t>
  </si>
  <si>
    <t>AM Auto skims (time and distance) were merged into person file using origin (HH) and destination (school) TAZ ids</t>
  </si>
  <si>
    <t>In NHTS data, persons whose home coordinates matched their usual school coordinates were filtered out since this would mean they study at home</t>
  </si>
  <si>
    <t>In case of DaySim, home and school parcel IDs were matched to filter out school at home cases</t>
  </si>
  <si>
    <t>Distributions of HH TAZ -to- School TAZ distance and time were then derived from the population</t>
  </si>
  <si>
    <t>In NHTS, PPTYP was used to determine the class of student whereas in DaySim, PERSTYPE was used</t>
  </si>
  <si>
    <t>Ch04</t>
  </si>
  <si>
    <t>UniStu</t>
  </si>
  <si>
    <t>5-15 yrs</t>
  </si>
  <si>
    <t>0-4 yrs</t>
  </si>
  <si>
    <t>16+ yrs</t>
  </si>
  <si>
    <t>University and adult students</t>
  </si>
  <si>
    <t>PPTYP = 8</t>
  </si>
  <si>
    <t>PPTYP = 7</t>
  </si>
  <si>
    <t>PPTYP = 6</t>
  </si>
  <si>
    <t>PPTYP &gt;= 1 and PPTYP &lt;= 5</t>
  </si>
  <si>
    <t>Steps for generating county student flows</t>
  </si>
  <si>
    <t>Home and school county codes were merged using a correspondence between TAZs and counties</t>
  </si>
  <si>
    <t>A crosstabulation of home and school counties created the student flow table</t>
  </si>
  <si>
    <t>Steps for generating school at home shares</t>
  </si>
  <si>
    <t>All persons for whom a non-zero usual school location (coordinates/TAZ for NHTS and DaySim respectively) existed were designated as the pool of students</t>
  </si>
  <si>
    <t>Within those, persons with same home and school coordinates/parcels (for NHTS and DaySim respectively) were assumed to be studying at home</t>
  </si>
  <si>
    <t>The shares were calculated as the ratio of the values in steps 2 and 1 and were segmented by county and the four student types</t>
  </si>
  <si>
    <t>Table X. Difference School at Home Counts by County</t>
  </si>
  <si>
    <t>Table X. Difference Counts by County</t>
  </si>
  <si>
    <t>Table X. Difference School at Home Shares by County</t>
  </si>
  <si>
    <t>Beta00001</t>
  </si>
  <si>
    <t>T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</si>
  <si>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</si>
  <si>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</si>
  <si>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</si>
  <si>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</si>
  <si>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</si>
  <si>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</si>
  <si>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</si>
  <si>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</si>
  <si>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</si>
  <si>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</si>
  <si>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</si>
  <si>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</si>
  <si>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</si>
  <si>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</si>
  <si>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</si>
  <si>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</si>
  <si>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</si>
  <si>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</si>
  <si>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</si>
  <si>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</si>
  <si>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</si>
  <si>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</si>
  <si>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</si>
  <si>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</si>
  <si>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</si>
  <si>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</si>
  <si>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</si>
  <si>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</si>
  <si>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</si>
  <si>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Beta00050</t>
  </si>
  <si>
    <t>F</t>
  </si>
  <si>
    <t>Beta00051</t>
  </si>
  <si>
    <t>Beta00052</t>
  </si>
  <si>
    <t>LSM_060</t>
  </si>
  <si>
    <t>Gamma61</t>
  </si>
  <si>
    <t>Gamma62</t>
  </si>
  <si>
    <t>Gamma63</t>
  </si>
  <si>
    <t>Gamma64</t>
  </si>
  <si>
    <t>Gamma65</t>
  </si>
  <si>
    <t>Gamma66</t>
  </si>
  <si>
    <t>Gamma67</t>
  </si>
  <si>
    <t>Gamma68</t>
  </si>
  <si>
    <t>Gamma69</t>
  </si>
  <si>
    <t>Gamma70</t>
  </si>
  <si>
    <t>Gamma71</t>
  </si>
  <si>
    <t>Gamma72</t>
  </si>
  <si>
    <t>Gamma73</t>
  </si>
  <si>
    <t>Gamma74</t>
  </si>
  <si>
    <t>Gamma75</t>
  </si>
  <si>
    <t>Gamma76</t>
  </si>
  <si>
    <t>Gamma77</t>
  </si>
  <si>
    <t>Gamma78</t>
  </si>
  <si>
    <t>Gamma79</t>
  </si>
  <si>
    <t>Gamma80</t>
  </si>
  <si>
    <t>Gamma81</t>
  </si>
  <si>
    <t>Gamma82</t>
  </si>
  <si>
    <t>Gamma83</t>
  </si>
  <si>
    <t>Gamma84</t>
  </si>
  <si>
    <t>Gamma0098</t>
  </si>
  <si>
    <t>Nest</t>
  </si>
  <si>
    <t>Index</t>
  </si>
  <si>
    <t>Descr</t>
  </si>
  <si>
    <t>Coeff</t>
  </si>
  <si>
    <t>IsStudentAge</t>
  </si>
  <si>
    <t>Household.Size</t>
  </si>
  <si>
    <t>IsAdult ? destinationParcel.ShadowPriceForStudentsUniversity : destinationParcel.ShadowPriceForStudentsK12</t>
  </si>
  <si>
    <t>IsChildUnder5* schoolTourLogsum</t>
  </si>
  <si>
    <t>IsChildAge5Through15* schoolTourLogsum</t>
  </si>
  <si>
    <t>IsDrivingAgeStudent* schoolTourLogsum</t>
  </si>
  <si>
    <t>IsUniversityStudent* schoolTourLogsum</t>
  </si>
  <si>
    <t>IsChildUnder5* distance1</t>
  </si>
  <si>
    <t>IsChildUnder5* distance2</t>
  </si>
  <si>
    <t>IsChildUnder5* distance3</t>
  </si>
  <si>
    <t>IsChildAge5Through15* distance1</t>
  </si>
  <si>
    <t>IsChildAge5Through15* distance2</t>
  </si>
  <si>
    <t>IsChildAge5Through15* distance3</t>
  </si>
  <si>
    <t>IsDrivingAgeStudent* distanceLog</t>
  </si>
  <si>
    <t>IsUniversityStudent* distanceLog</t>
  </si>
  <si>
    <t>IsChildUnder5* aggregateLogsum</t>
  </si>
  <si>
    <t>IsChildAge5Through15* aggregateLogsum</t>
  </si>
  <si>
    <t>IsDrivingAgeStudent* aggregateLogsum</t>
  </si>
  <si>
    <t>IsUniversityStudent* aggregateLogsum</t>
  </si>
  <si>
    <t>IsChildUnder5* householdsBuffer2</t>
  </si>
  <si>
    <t>IsChildUnder5* studentsHighSchoolBuffer1</t>
  </si>
  <si>
    <t>IsChildUnder5* employmentTotalBuffer2</t>
  </si>
  <si>
    <t>IsChildAge5Through15* studentsK8Buffer1</t>
  </si>
  <si>
    <t>IsDrivingAgeStudent* studentsHighSchoolBuffer1</t>
  </si>
  <si>
    <t>IsUniversityStudent* educationBuffer1</t>
  </si>
  <si>
    <t>IsAdult* studentsUniversityBuffer1</t>
  </si>
  <si>
    <t>IsAdult* studentsUniversityBuffer2</t>
  </si>
  <si>
    <t>IsAdult* studentsK8Buffer1</t>
  </si>
  <si>
    <t>IsChildUnder5* destinationParcel.EmploymentEducation</t>
  </si>
  <si>
    <t>IsChildUnder5* destinationParcel.EmploymentService</t>
  </si>
  <si>
    <t>IsChildUnder5* destinationParcel.EmploymentOffice</t>
  </si>
  <si>
    <t>IsChildUnder5* destinationParcel.EmploymentTotal</t>
  </si>
  <si>
    <t>IsChildUnder5* 10.0 * destinationParcel.Households</t>
  </si>
  <si>
    <t>IsChildUnder5* destinationParcel.StudentsK8</t>
  </si>
  <si>
    <t>IsChildAge5Through15* destinationParcel.EmploymentEducation</t>
  </si>
  <si>
    <t>IsChildAge5Through15* destinationParcel.EmploymentService</t>
  </si>
  <si>
    <t>IsChildAge5Through15* destinationParcel.StudentsHighSchool</t>
  </si>
  <si>
    <t>IsChildAge5Through15* destinationParcel.EmploymentTotal</t>
  </si>
  <si>
    <t>IsChildAge5Through15* 10.0 * destinationParcel.Households</t>
  </si>
  <si>
    <t>IsChildAge5Through15* destinationParcel.StudentsK8</t>
  </si>
  <si>
    <t>IsDrivingAgeStudent* destinationParcel.EmploymentEducation</t>
  </si>
  <si>
    <t>IsDrivingAgeStudent* destinationParcel.EmploymentService</t>
  </si>
  <si>
    <t>IsDrivingAgeStudent* destinationParcel.EmploymentOffice</t>
  </si>
  <si>
    <t>IsDrivingAgeStudent* destinationParcel.EmploymentTotal</t>
  </si>
  <si>
    <t>IsDrivingAgeStudent* 10.0 * destinationParcel.Households</t>
  </si>
  <si>
    <t>IsDrivingAgeStudent* destinationParcel.StudentsHighSchool</t>
  </si>
  <si>
    <t>IsAdult* destinationParcel.EmploymentEducation</t>
  </si>
  <si>
    <t>IsAdult* destinationParcel.EmploymentService</t>
  </si>
  <si>
    <t>IsAdult* destinationParcel.EmploymentOffice</t>
  </si>
  <si>
    <t>IsAdult* destinationParcel.EmploymentTotal</t>
  </si>
  <si>
    <t>IsAdult* destinationParcel.StudentsUniversity</t>
  </si>
  <si>
    <t>IsAdult* destinationParcel.StudentsHighSchool</t>
  </si>
  <si>
    <t>IsStudentAge* schoolTourLogsum</t>
  </si>
  <si>
    <t>IsStudentAge* distanceLog</t>
  </si>
  <si>
    <t>IsStudentAge* distanceFromWork</t>
  </si>
  <si>
    <t>IsStudentAge* aggregateLogsum</t>
  </si>
  <si>
    <t>Table X. Observed Trip Lengths: Survey</t>
  </si>
  <si>
    <t>Table X. Observed Trip Durations: Survey</t>
  </si>
  <si>
    <t>Table X. Observed Student Flows by County: Survey</t>
  </si>
  <si>
    <t>Table X. Observed Student Flows by County: Survey (Adjusted)</t>
  </si>
  <si>
    <t>ADJ OBS STUDENT FLOWS: Survey</t>
  </si>
  <si>
    <t>Table X. Weighted Counts by County: Survey</t>
  </si>
  <si>
    <t>Table X. Weighted School at Home Shares by County: Survey</t>
  </si>
  <si>
    <t>Table X. Weighted School at Home Counts by County: Survey</t>
  </si>
  <si>
    <t>Survey</t>
  </si>
  <si>
    <t>Instructions:</t>
  </si>
  <si>
    <t>Open "WorkLocationCoefficients_SACOG-v1.5.F12" ini Notepad+</t>
  </si>
  <si>
    <t>Select all(ctrl+A)</t>
  </si>
  <si>
    <t>Paste in cell A8</t>
  </si>
  <si>
    <t>Go to "Data" --&gt;Text to Columns - Select "Delimited" ---&gt; "Space" ---&gt; Finish</t>
  </si>
  <si>
    <t>SchoolLocation</t>
  </si>
  <si>
    <t>(svn</t>
  </si>
  <si>
    <t>v1801;</t>
  </si>
  <si>
    <t>SACOG2000</t>
  </si>
  <si>
    <t>MNL</t>
  </si>
  <si>
    <t>v1902,</t>
  </si>
  <si>
    <t>NL</t>
  </si>
  <si>
    <t>v2001)</t>
  </si>
  <si>
    <t>Created</t>
  </si>
  <si>
    <t>by</t>
  </si>
  <si>
    <t>ALOGIT</t>
  </si>
  <si>
    <t>version</t>
  </si>
  <si>
    <t>on</t>
  </si>
  <si>
    <t>May</t>
  </si>
  <si>
    <t>END</t>
  </si>
  <si>
    <t>012:08:36</t>
  </si>
  <si>
    <t>Count</t>
  </si>
  <si>
    <t>Model</t>
  </si>
  <si>
    <t>CH515(0-1)</t>
  </si>
  <si>
    <t>SAH</t>
  </si>
  <si>
    <t>CH515(1-5)</t>
  </si>
  <si>
    <t>CH515(5+)</t>
  </si>
  <si>
    <t>Ratio</t>
  </si>
  <si>
    <t>Adj.</t>
  </si>
  <si>
    <t>Old Coeff.</t>
  </si>
  <si>
    <t>New Coeff.</t>
  </si>
  <si>
    <t>Coeff. Index</t>
  </si>
  <si>
    <t>Old</t>
  </si>
  <si>
    <t>New</t>
  </si>
  <si>
    <t>SchoolLocationCoefficients_SACOG-v1.8.F12</t>
  </si>
  <si>
    <t>(Do the paste in UltraEdit, in column mode from 20-38)</t>
  </si>
  <si>
    <t>Paste in the "SchoolLocationCoefficients_SACOG-v1.8.F12"</t>
  </si>
  <si>
    <t>School At Home</t>
  </si>
  <si>
    <t>Copy cells U3:U62</t>
  </si>
  <si>
    <t>Share</t>
  </si>
  <si>
    <t>Calibration:</t>
  </si>
  <si>
    <t>Do School at home calibration first</t>
  </si>
  <si>
    <t>Then do distance segmented coefficients</t>
  </si>
  <si>
    <t>Attenuation factors</t>
  </si>
  <si>
    <t>This column added after figuring that lower bin affecting the adjustments a lot</t>
  </si>
  <si>
    <t>Also, third bin seems to be more sensitive</t>
  </si>
  <si>
    <t>Observed Sources: Survey</t>
  </si>
  <si>
    <t>Observed distance (in miles) based on joining AM peak SOV skim values to HH survey</t>
  </si>
  <si>
    <t>Observed duration (in minutes) based on joining  AM peak SOV skim values to HH survey</t>
  </si>
  <si>
    <t xml:space="preserve">Observed Sources: Survey </t>
  </si>
  <si>
    <t>Observed duration (in minutes) based on joining AM peak SOV skim values to HH survey</t>
  </si>
  <si>
    <t>BKRCast (LODES)</t>
  </si>
  <si>
    <t>Seattle</t>
  </si>
  <si>
    <t>Bellevue</t>
  </si>
  <si>
    <t>Bellevue Downtown</t>
  </si>
  <si>
    <t>Kirkland</t>
  </si>
  <si>
    <t>Redmond</t>
  </si>
  <si>
    <t>Seattle Downtown</t>
  </si>
  <si>
    <t>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</si>
</sst>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"/>
    <numFmt numFmtId="168" formatCode="_(* #,##0_);_(* \(#,##0\);_(* &quot;-&quot;??_);_(@_)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2" fillId="0" borderId="0">
      <alignment wrapText="1"/>
    </xf>
    <xf numFmtId="0" fontId="4" fillId="5" borderId="0">
      <alignment wrapText="1"/>
    </xf>
    <xf numFmtId="165" fontId="4" fillId="0" borderId="0">
      <alignment wrapText="1"/>
    </xf>
    <xf numFmtId="0" fontId="4" fillId="0" borderId="0">
      <alignment wrapText="1"/>
    </xf>
    <xf numFmtId="0" fontId="4" fillId="0" borderId="0">
      <alignment wrapText="1"/>
    </xf>
    <xf numFmtId="0" fontId="4" fillId="0" borderId="0">
      <alignment wrapText="1"/>
    </xf>
    <xf numFmtId="165" fontId="4" fillId="0" borderId="0">
      <alignment wrapText="1"/>
    </xf>
    <xf numFmtId="43" fontId="4" fillId="0" borderId="0" applyFont="0" applyFill="0" applyBorder="0" applyAlignment="0" applyProtection="0"/>
  </cellStyleXfs>
  <cellXfs count="88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3" xfId="0" applyBorder="1"/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0" fontId="0" fillId="0" borderId="4" xfId="0" applyBorder="1"/>
    <xf numFmtId="1" fontId="0" fillId="0" borderId="0" xfId="0" applyNumberFormat="1"/>
    <xf numFmtId="1" fontId="0" fillId="0" borderId="1" xfId="0" applyNumberFormat="1" applyBorder="1"/>
    <xf numFmtId="0" fontId="0" fillId="0" borderId="0" xfId="0" applyFill="1" applyBorder="1"/>
    <xf numFmtId="10" fontId="0" fillId="0" borderId="0" xfId="0" applyNumberFormat="1"/>
    <xf numFmtId="10" fontId="0" fillId="0" borderId="4" xfId="0" applyNumberFormat="1" applyBorder="1"/>
    <xf numFmtId="2" fontId="0" fillId="0" borderId="3" xfId="0" applyNumberFormat="1" applyBorder="1"/>
    <xf numFmtId="2" fontId="0" fillId="0" borderId="4" xfId="0" applyNumberFormat="1" applyBorder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3" xfId="0" applyNumberFormat="1" applyFill="1" applyBorder="1"/>
    <xf numFmtId="3" fontId="0" fillId="0" borderId="1" xfId="0" applyNumberFormat="1" applyBorder="1"/>
    <xf numFmtId="3" fontId="0" fillId="0" borderId="0" xfId="0" applyNumberFormat="1" applyFill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3" fillId="2" borderId="2" xfId="0" applyFont="1" applyFill="1" applyBorder="1"/>
    <xf numFmtId="0" fontId="3" fillId="2" borderId="2" xfId="0" applyFont="1" applyFill="1" applyBorder="1" applyAlignment="1">
      <alignment horizontal="center"/>
    </xf>
    <xf numFmtId="0" fontId="0" fillId="3" borderId="0" xfId="0" applyFill="1"/>
    <xf numFmtId="164" fontId="0" fillId="3" borderId="0" xfId="0" applyNumberFormat="1" applyFill="1"/>
    <xf numFmtId="2" fontId="0" fillId="0" borderId="0" xfId="0" applyNumberFormat="1" applyBorder="1"/>
    <xf numFmtId="0" fontId="3" fillId="2" borderId="2" xfId="0" applyFont="1" applyFill="1" applyBorder="1" applyAlignment="1">
      <alignment horizontal="center" vertical="top"/>
    </xf>
    <xf numFmtId="0" fontId="0" fillId="4" borderId="0" xfId="0" applyFill="1"/>
    <xf numFmtId="164" fontId="0" fillId="4" borderId="0" xfId="0" applyNumberFormat="1" applyFill="1"/>
    <xf numFmtId="0" fontId="0" fillId="4" borderId="1" xfId="0" applyFill="1" applyBorder="1"/>
    <xf numFmtId="164" fontId="0" fillId="4" borderId="1" xfId="0" applyNumberFormat="1" applyFill="1" applyBorder="1"/>
    <xf numFmtId="0" fontId="1" fillId="4" borderId="1" xfId="0" applyFont="1" applyFill="1" applyBorder="1"/>
    <xf numFmtId="3" fontId="0" fillId="4" borderId="1" xfId="0" applyNumberFormat="1" applyFill="1" applyBorder="1"/>
    <xf numFmtId="0" fontId="0" fillId="0" borderId="0" xfId="0" applyFont="1"/>
    <xf numFmtId="3" fontId="1" fillId="0" borderId="1" xfId="0" applyNumberFormat="1" applyFont="1" applyBorder="1"/>
    <xf numFmtId="3" fontId="0" fillId="0" borderId="2" xfId="0" applyNumberFormat="1" applyBorder="1"/>
    <xf numFmtId="3" fontId="0" fillId="0" borderId="2" xfId="0" applyNumberFormat="1" applyBorder="1" applyAlignment="1">
      <alignment horizontal="center"/>
    </xf>
    <xf numFmtId="164" fontId="0" fillId="0" borderId="4" xfId="0" applyNumberFormat="1" applyBorder="1"/>
    <xf numFmtId="0" fontId="1" fillId="0" borderId="0" xfId="0" applyFont="1" applyBorder="1"/>
    <xf numFmtId="0" fontId="0" fillId="0" borderId="0" xfId="0" applyBorder="1" applyAlignment="1">
      <alignment horizontal="center"/>
    </xf>
    <xf numFmtId="0" fontId="0" fillId="4" borderId="3" xfId="0" applyFill="1" applyBorder="1"/>
    <xf numFmtId="164" fontId="0" fillId="4" borderId="3" xfId="0" applyNumberFormat="1" applyFill="1" applyBorder="1"/>
    <xf numFmtId="10" fontId="0" fillId="0" borderId="0" xfId="0" applyNumberFormat="1" applyBorder="1"/>
    <xf numFmtId="164" fontId="0" fillId="0" borderId="0" xfId="0" applyNumberFormat="1" applyBorder="1"/>
    <xf numFmtId="0" fontId="5" fillId="0" borderId="0" xfId="0" applyFont="1"/>
    <xf numFmtId="3" fontId="0" fillId="0" borderId="4" xfId="0" applyNumberFormat="1" applyBorder="1"/>
    <xf numFmtId="11" fontId="0" fillId="0" borderId="0" xfId="0" applyNumberFormat="1"/>
    <xf numFmtId="0" fontId="6" fillId="0" borderId="0" xfId="0" applyFont="1"/>
    <xf numFmtId="21" fontId="0" fillId="0" borderId="0" xfId="0" applyNumberFormat="1"/>
    <xf numFmtId="3" fontId="0" fillId="0" borderId="0" xfId="0" applyNumberFormat="1" applyFont="1"/>
    <xf numFmtId="0" fontId="0" fillId="0" borderId="0" xfId="0" applyFill="1" applyBorder="1" applyAlignment="1">
      <alignment horizontal="center" vertical="top"/>
    </xf>
    <xf numFmtId="166" fontId="0" fillId="0" borderId="0" xfId="0" applyNumberFormat="1"/>
    <xf numFmtId="166" fontId="0" fillId="6" borderId="0" xfId="0" applyNumberFormat="1" applyFill="1"/>
    <xf numFmtId="0" fontId="0" fillId="7" borderId="0" xfId="0" applyFill="1"/>
    <xf numFmtId="166" fontId="0" fillId="7" borderId="0" xfId="0" applyNumberFormat="1" applyFill="1"/>
    <xf numFmtId="3" fontId="6" fillId="0" borderId="0" xfId="0" applyNumberFormat="1" applyFont="1"/>
    <xf numFmtId="3" fontId="0" fillId="0" borderId="5" xfId="0" applyNumberFormat="1" applyFont="1" applyBorder="1"/>
    <xf numFmtId="0" fontId="0" fillId="0" borderId="5" xfId="0" applyBorder="1"/>
    <xf numFmtId="2" fontId="0" fillId="0" borderId="5" xfId="0" applyNumberFormat="1" applyBorder="1"/>
    <xf numFmtId="3" fontId="0" fillId="0" borderId="0" xfId="0" applyNumberFormat="1" applyFont="1" applyBorder="1"/>
    <xf numFmtId="1" fontId="0" fillId="0" borderId="0" xfId="0" applyNumberFormat="1" applyBorder="1"/>
    <xf numFmtId="3" fontId="0" fillId="0" borderId="3" xfId="0" applyNumberFormat="1" applyFont="1" applyBorder="1"/>
    <xf numFmtId="0" fontId="0" fillId="0" borderId="0" xfId="0" applyBorder="1" applyAlignment="1">
      <alignment horizontal="center" vertical="top"/>
    </xf>
    <xf numFmtId="3" fontId="0" fillId="0" borderId="4" xfId="0" applyNumberFormat="1" applyFont="1" applyBorder="1"/>
    <xf numFmtId="9" fontId="0" fillId="0" borderId="0" xfId="0" applyNumberFormat="1"/>
    <xf numFmtId="9" fontId="0" fillId="0" borderId="1" xfId="0" applyNumberFormat="1" applyBorder="1"/>
    <xf numFmtId="166" fontId="0" fillId="0" borderId="3" xfId="0" applyNumberFormat="1" applyBorder="1"/>
    <xf numFmtId="9" fontId="0" fillId="0" borderId="3" xfId="0" applyNumberFormat="1" applyBorder="1"/>
    <xf numFmtId="0" fontId="6" fillId="0" borderId="0" xfId="0" applyFont="1" applyBorder="1"/>
    <xf numFmtId="164" fontId="0" fillId="0" borderId="5" xfId="0" applyNumberFormat="1" applyBorder="1"/>
    <xf numFmtId="167" fontId="0" fillId="0" borderId="3" xfId="0" applyNumberFormat="1" applyBorder="1"/>
    <xf numFmtId="167" fontId="0" fillId="0" borderId="5" xfId="0" applyNumberFormat="1" applyBorder="1"/>
    <xf numFmtId="0" fontId="7" fillId="0" borderId="0" xfId="0" applyFont="1" applyBorder="1"/>
    <xf numFmtId="168" fontId="0" fillId="0" borderId="5" xfId="8" applyNumberFormat="1" applyFont="1" applyBorder="1"/>
    <xf numFmtId="168" fontId="0" fillId="0" borderId="4" xfId="8" applyNumberFormat="1" applyFont="1" applyBorder="1"/>
    <xf numFmtId="168" fontId="0" fillId="0" borderId="0" xfId="8" applyNumberFormat="1" applyFont="1"/>
    <xf numFmtId="168" fontId="0" fillId="0" borderId="1" xfId="8" applyNumberFormat="1" applyFont="1" applyBorder="1"/>
    <xf numFmtId="168" fontId="2" fillId="0" borderId="0" xfId="8" applyNumberFormat="1" applyFont="1" applyAlignment="1"/>
    <xf numFmtId="168" fontId="0" fillId="0" borderId="3" xfId="8" applyNumberFormat="1" applyFont="1" applyBorder="1"/>
    <xf numFmtId="168" fontId="0" fillId="0" borderId="0" xfId="8" applyNumberFormat="1" applyFont="1" applyBorder="1"/>
  </cellXfs>
  <cellStyles count="9">
    <cellStyle name="Comma" xfId="8" builtinId="3"/>
    <cellStyle name="Normal" xfId="0" builtin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262337806365801"/>
          <c:y val="5.1400554097404488E-2"/>
          <c:w val="0.8482377730952644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TLFD!$E$11:$E$71</c:f>
              <c:numCache>
                <c:formatCode>_(* #,##0_);_(* \(#,##0\);_(* "-"??_);_(@_)</c:formatCode>
                <c:ptCount val="61"/>
                <c:pt idx="0">
                  <c:v>28283.803500000002</c:v>
                </c:pt>
                <c:pt idx="1">
                  <c:v>37057.117700000003</c:v>
                </c:pt>
                <c:pt idx="2">
                  <c:v>41808.894600000007</c:v>
                </c:pt>
                <c:pt idx="3">
                  <c:v>61176.952599999997</c:v>
                </c:pt>
                <c:pt idx="4">
                  <c:v>124119.2781</c:v>
                </c:pt>
                <c:pt idx="5">
                  <c:v>55653.2886</c:v>
                </c:pt>
                <c:pt idx="6">
                  <c:v>93708.412800000006</c:v>
                </c:pt>
                <c:pt idx="7">
                  <c:v>28200.5867</c:v>
                </c:pt>
                <c:pt idx="8">
                  <c:v>23643.332900000001</c:v>
                </c:pt>
                <c:pt idx="9">
                  <c:v>13889.3331</c:v>
                </c:pt>
                <c:pt idx="10">
                  <c:v>28697.0995</c:v>
                </c:pt>
                <c:pt idx="11">
                  <c:v>11390.559899999998</c:v>
                </c:pt>
                <c:pt idx="12">
                  <c:v>6652.1427999999996</c:v>
                </c:pt>
                <c:pt idx="13">
                  <c:v>2205.5441999999998</c:v>
                </c:pt>
                <c:pt idx="14">
                  <c:v>3804.7914999999998</c:v>
                </c:pt>
                <c:pt idx="15">
                  <c:v>3020.4777000000004</c:v>
                </c:pt>
                <c:pt idx="16">
                  <c:v>6187.3109999999997</c:v>
                </c:pt>
                <c:pt idx="17">
                  <c:v>1403.6229999999998</c:v>
                </c:pt>
                <c:pt idx="18">
                  <c:v>3288.2235000000001</c:v>
                </c:pt>
                <c:pt idx="19">
                  <c:v>1865.4735000000001</c:v>
                </c:pt>
                <c:pt idx="20">
                  <c:v>326.2987</c:v>
                </c:pt>
                <c:pt idx="21">
                  <c:v>6190.7829000000002</c:v>
                </c:pt>
                <c:pt idx="22">
                  <c:v>266.13509999999997</c:v>
                </c:pt>
                <c:pt idx="23">
                  <c:v>3070.7799</c:v>
                </c:pt>
                <c:pt idx="24">
                  <c:v>458.12399999999997</c:v>
                </c:pt>
                <c:pt idx="25">
                  <c:v>87.069000000000003</c:v>
                </c:pt>
                <c:pt idx="26">
                  <c:v>1621.4752000000001</c:v>
                </c:pt>
                <c:pt idx="27">
                  <c:v>569.28390000000002</c:v>
                </c:pt>
                <c:pt idx="28">
                  <c:v>1297.2364</c:v>
                </c:pt>
                <c:pt idx="29">
                  <c:v>31.814</c:v>
                </c:pt>
                <c:pt idx="30">
                  <c:v>13.398999999999999</c:v>
                </c:pt>
                <c:pt idx="31">
                  <c:v>0</c:v>
                </c:pt>
                <c:pt idx="32">
                  <c:v>12.739000000000001</c:v>
                </c:pt>
                <c:pt idx="33">
                  <c:v>10.791</c:v>
                </c:pt>
                <c:pt idx="34">
                  <c:v>78.963099999999997</c:v>
                </c:pt>
                <c:pt idx="35">
                  <c:v>25.786000000000001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4.1280000000000001</c:v>
                </c:pt>
                <c:pt idx="40">
                  <c:v>860.37009999999998</c:v>
                </c:pt>
                <c:pt idx="41">
                  <c:v>0</c:v>
                </c:pt>
                <c:pt idx="42">
                  <c:v>286.72039999999998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468.98939999999999</c:v>
                </c:pt>
                <c:pt idx="49">
                  <c:v>0</c:v>
                </c:pt>
                <c:pt idx="50">
                  <c:v>249.3058</c:v>
                </c:pt>
                <c:pt idx="51">
                  <c:v>0</c:v>
                </c:pt>
                <c:pt idx="52">
                  <c:v>0</c:v>
                </c:pt>
                <c:pt idx="53">
                  <c:v>13.487</c:v>
                </c:pt>
                <c:pt idx="54">
                  <c:v>0</c:v>
                </c:pt>
                <c:pt idx="55">
                  <c:v>3.6749999999999998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DE-4F40-9812-74309F060F03}"/>
            </c:ext>
          </c:extLst>
        </c:ser>
        <c:ser>
          <c:idx val="1"/>
          <c:order val="1"/>
          <c:tx>
            <c:strRef>
              <c:f>TLFD!$K$10</c:f>
              <c:strCache>
                <c:ptCount val="1"/>
                <c:pt idx="0">
                  <c:v>BKRCast (LODES)</c:v>
                </c:pt>
              </c:strCache>
            </c:strRef>
          </c:tx>
          <c:marker>
            <c:symbol val="none"/>
          </c:marker>
          <c:val>
            <c:numRef>
              <c:f>TLFD!$K$11:$K$71</c:f>
              <c:numCache>
                <c:formatCode>_(* #,##0_);_(* \(#,##0\);_(* "-"??_);_(@_)</c:formatCode>
                <c:ptCount val="61"/>
                <c:pt idx="0">
                  <c:v>157509.03099615755</c:v>
                </c:pt>
                <c:pt idx="1">
                  <c:v>108439.41637160852</c:v>
                </c:pt>
                <c:pt idx="2">
                  <c:v>60399.171852266903</c:v>
                </c:pt>
                <c:pt idx="3">
                  <c:v>36402.395440688611</c:v>
                </c:pt>
                <c:pt idx="4">
                  <c:v>132039.30678429172</c:v>
                </c:pt>
                <c:pt idx="5">
                  <c:v>61507.973480041255</c:v>
                </c:pt>
                <c:pt idx="6">
                  <c:v>57722.871774377607</c:v>
                </c:pt>
                <c:pt idx="7">
                  <c:v>29199.846124014999</c:v>
                </c:pt>
                <c:pt idx="8">
                  <c:v>30361.470600142486</c:v>
                </c:pt>
                <c:pt idx="9">
                  <c:v>26248.670626995263</c:v>
                </c:pt>
                <c:pt idx="10">
                  <c:v>11060.503471694879</c:v>
                </c:pt>
                <c:pt idx="11">
                  <c:v>11530.988345157404</c:v>
                </c:pt>
                <c:pt idx="12">
                  <c:v>10952.906203931847</c:v>
                </c:pt>
                <c:pt idx="13">
                  <c:v>6706.6198923413231</c:v>
                </c:pt>
                <c:pt idx="14">
                  <c:v>6910.3508438327672</c:v>
                </c:pt>
                <c:pt idx="15">
                  <c:v>4989.5766022308771</c:v>
                </c:pt>
                <c:pt idx="16">
                  <c:v>5657.0231855328529</c:v>
                </c:pt>
                <c:pt idx="17">
                  <c:v>3704.6138162651782</c:v>
                </c:pt>
                <c:pt idx="18">
                  <c:v>2671.0370787320107</c:v>
                </c:pt>
                <c:pt idx="19">
                  <c:v>2095.87508437009</c:v>
                </c:pt>
                <c:pt idx="20">
                  <c:v>1161.33842146703</c:v>
                </c:pt>
                <c:pt idx="21">
                  <c:v>1263.6716738290563</c:v>
                </c:pt>
                <c:pt idx="22">
                  <c:v>958.10839608774802</c:v>
                </c:pt>
                <c:pt idx="23">
                  <c:v>1596.2710310692621</c:v>
                </c:pt>
                <c:pt idx="24">
                  <c:v>780.77292922713195</c:v>
                </c:pt>
                <c:pt idx="25">
                  <c:v>729.01594881818664</c:v>
                </c:pt>
                <c:pt idx="26">
                  <c:v>542.18927842393202</c:v>
                </c:pt>
                <c:pt idx="27">
                  <c:v>850.22958991362771</c:v>
                </c:pt>
                <c:pt idx="28">
                  <c:v>256.42890972363614</c:v>
                </c:pt>
                <c:pt idx="29">
                  <c:v>520.95870813520696</c:v>
                </c:pt>
                <c:pt idx="30">
                  <c:v>271.53444132221409</c:v>
                </c:pt>
                <c:pt idx="31">
                  <c:v>338.24478032809805</c:v>
                </c:pt>
                <c:pt idx="32">
                  <c:v>233.94556773431927</c:v>
                </c:pt>
                <c:pt idx="33">
                  <c:v>390.53951257861104</c:v>
                </c:pt>
                <c:pt idx="34">
                  <c:v>743.37608975777778</c:v>
                </c:pt>
                <c:pt idx="35">
                  <c:v>86.712425436139114</c:v>
                </c:pt>
                <c:pt idx="36">
                  <c:v>95.457645997590703</c:v>
                </c:pt>
                <c:pt idx="37">
                  <c:v>122.38721510561227</c:v>
                </c:pt>
                <c:pt idx="38">
                  <c:v>176.77972897574148</c:v>
                </c:pt>
                <c:pt idx="39">
                  <c:v>63.324977857506589</c:v>
                </c:pt>
                <c:pt idx="40">
                  <c:v>22.63813090167719</c:v>
                </c:pt>
                <c:pt idx="41">
                  <c:v>21.656663430027919</c:v>
                </c:pt>
                <c:pt idx="42">
                  <c:v>11.99726775956284</c:v>
                </c:pt>
                <c:pt idx="43">
                  <c:v>87.945549487423719</c:v>
                </c:pt>
                <c:pt idx="44">
                  <c:v>69.705293512444442</c:v>
                </c:pt>
                <c:pt idx="45">
                  <c:v>125.45533510003831</c:v>
                </c:pt>
                <c:pt idx="46">
                  <c:v>70.246976454149973</c:v>
                </c:pt>
                <c:pt idx="47">
                  <c:v>89.824458382862119</c:v>
                </c:pt>
                <c:pt idx="48">
                  <c:v>35.316759173604616</c:v>
                </c:pt>
                <c:pt idx="49">
                  <c:v>60.786982456140365</c:v>
                </c:pt>
                <c:pt idx="50">
                  <c:v>10.241379310344829</c:v>
                </c:pt>
                <c:pt idx="51">
                  <c:v>10.010309278350499</c:v>
                </c:pt>
                <c:pt idx="52">
                  <c:v>0</c:v>
                </c:pt>
                <c:pt idx="53">
                  <c:v>0</c:v>
                </c:pt>
                <c:pt idx="54">
                  <c:v>5.0454545454545503</c:v>
                </c:pt>
                <c:pt idx="55">
                  <c:v>10.234455958549219</c:v>
                </c:pt>
                <c:pt idx="56">
                  <c:v>0</c:v>
                </c:pt>
                <c:pt idx="57">
                  <c:v>0</c:v>
                </c:pt>
                <c:pt idx="58">
                  <c:v>15.02239732569249</c:v>
                </c:pt>
                <c:pt idx="59">
                  <c:v>0</c:v>
                </c:pt>
                <c:pt idx="60">
                  <c:v>9.9770642201834896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DE-4F40-9812-74309F060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6811520"/>
        <c:axId val="215547904"/>
      </c:lineChart>
      <c:catAx>
        <c:axId val="216811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</a:t>
                </a:r>
                <a:r>
                  <a:rPr lang="en-US" baseline="0"/>
                  <a:t> (miles)</a:t>
                </a:r>
                <a:endParaRPr lang="en-US"/>
              </a:p>
            </c:rich>
          </c:tx>
          <c:overlay val="0"/>
        </c:title>
        <c:majorTickMark val="out"/>
        <c:minorTickMark val="none"/>
        <c:tickLblPos val="nextTo"/>
        <c:crossAx val="215547904"/>
        <c:crosses val="autoZero"/>
        <c:auto val="1"/>
        <c:lblAlgn val="ctr"/>
        <c:lblOffset val="100"/>
        <c:noMultiLvlLbl val="0"/>
      </c:catAx>
      <c:valAx>
        <c:axId val="21554790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Persons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168115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262337806365805"/>
          <c:y val="5.1400554097404488E-2"/>
          <c:w val="0.8482377730952644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TDFD!$E$11:$E$71</c:f>
              <c:numCache>
                <c:formatCode>_(* #,##0_);_(* \(#,##0\);_(* "-"??_);_(@_)</c:formatCode>
                <c:ptCount val="61"/>
                <c:pt idx="0">
                  <c:v>0</c:v>
                </c:pt>
                <c:pt idx="1">
                  <c:v>6745.1783000000005</c:v>
                </c:pt>
                <c:pt idx="2">
                  <c:v>6033.2902999999997</c:v>
                </c:pt>
                <c:pt idx="3">
                  <c:v>8226.0259000000005</c:v>
                </c:pt>
                <c:pt idx="4">
                  <c:v>11133.814400000001</c:v>
                </c:pt>
                <c:pt idx="5">
                  <c:v>13429.1803</c:v>
                </c:pt>
                <c:pt idx="6">
                  <c:v>7461.1718000000001</c:v>
                </c:pt>
                <c:pt idx="7">
                  <c:v>10962.8501</c:v>
                </c:pt>
                <c:pt idx="8">
                  <c:v>3418.5214999999998</c:v>
                </c:pt>
                <c:pt idx="9">
                  <c:v>11882.283399999998</c:v>
                </c:pt>
                <c:pt idx="10">
                  <c:v>5144.3666000000003</c:v>
                </c:pt>
                <c:pt idx="11">
                  <c:v>9585.0202000000008</c:v>
                </c:pt>
                <c:pt idx="12">
                  <c:v>22760.1551</c:v>
                </c:pt>
                <c:pt idx="13">
                  <c:v>8704.3775999999998</c:v>
                </c:pt>
                <c:pt idx="14">
                  <c:v>13748.096600000001</c:v>
                </c:pt>
                <c:pt idx="15">
                  <c:v>1540.0192</c:v>
                </c:pt>
                <c:pt idx="16">
                  <c:v>29645.162799999998</c:v>
                </c:pt>
                <c:pt idx="17">
                  <c:v>11738.621099999998</c:v>
                </c:pt>
                <c:pt idx="18">
                  <c:v>48306.394099999998</c:v>
                </c:pt>
                <c:pt idx="19">
                  <c:v>29028.595399999998</c:v>
                </c:pt>
                <c:pt idx="20">
                  <c:v>46657.832900000009</c:v>
                </c:pt>
                <c:pt idx="21">
                  <c:v>26928.785100000001</c:v>
                </c:pt>
                <c:pt idx="22">
                  <c:v>27811.2425</c:v>
                </c:pt>
                <c:pt idx="23">
                  <c:v>6255.8771999999999</c:v>
                </c:pt>
                <c:pt idx="24">
                  <c:v>21119.6397</c:v>
                </c:pt>
                <c:pt idx="25">
                  <c:v>15741.9714</c:v>
                </c:pt>
                <c:pt idx="26">
                  <c:v>41901.392099999997</c:v>
                </c:pt>
                <c:pt idx="27">
                  <c:v>6237.0288999999993</c:v>
                </c:pt>
                <c:pt idx="28">
                  <c:v>14996.461899999998</c:v>
                </c:pt>
                <c:pt idx="29">
                  <c:v>8498.5537000000004</c:v>
                </c:pt>
                <c:pt idx="30">
                  <c:v>19811.379900000004</c:v>
                </c:pt>
                <c:pt idx="31">
                  <c:v>8290.7476000000006</c:v>
                </c:pt>
                <c:pt idx="32">
                  <c:v>5669.9252000000006</c:v>
                </c:pt>
                <c:pt idx="33">
                  <c:v>5997.2613999999994</c:v>
                </c:pt>
                <c:pt idx="34">
                  <c:v>14736.835499999999</c:v>
                </c:pt>
                <c:pt idx="35">
                  <c:v>826.43970000000002</c:v>
                </c:pt>
                <c:pt idx="36">
                  <c:v>1609.7055</c:v>
                </c:pt>
                <c:pt idx="37">
                  <c:v>6643.0817999999999</c:v>
                </c:pt>
                <c:pt idx="38">
                  <c:v>6114.2946999999995</c:v>
                </c:pt>
                <c:pt idx="39">
                  <c:v>2063.2050999999997</c:v>
                </c:pt>
                <c:pt idx="40">
                  <c:v>201.06739999999999</c:v>
                </c:pt>
                <c:pt idx="41">
                  <c:v>5718.7871999999998</c:v>
                </c:pt>
                <c:pt idx="42">
                  <c:v>214.2046</c:v>
                </c:pt>
                <c:pt idx="43">
                  <c:v>1068.8702000000001</c:v>
                </c:pt>
                <c:pt idx="44">
                  <c:v>1276.2198000000001</c:v>
                </c:pt>
                <c:pt idx="45">
                  <c:v>21000.450500000003</c:v>
                </c:pt>
                <c:pt idx="46">
                  <c:v>1472.4092000000001</c:v>
                </c:pt>
                <c:pt idx="47">
                  <c:v>988.41480000000001</c:v>
                </c:pt>
                <c:pt idx="48">
                  <c:v>82.013999999999996</c:v>
                </c:pt>
                <c:pt idx="49">
                  <c:v>1436.174</c:v>
                </c:pt>
                <c:pt idx="50">
                  <c:v>742.70370000000003</c:v>
                </c:pt>
                <c:pt idx="51">
                  <c:v>27.320999999999998</c:v>
                </c:pt>
                <c:pt idx="52">
                  <c:v>775.44090000000006</c:v>
                </c:pt>
                <c:pt idx="53">
                  <c:v>227.03720000000001</c:v>
                </c:pt>
                <c:pt idx="54">
                  <c:v>0</c:v>
                </c:pt>
                <c:pt idx="55">
                  <c:v>2513.8201999999997</c:v>
                </c:pt>
                <c:pt idx="56">
                  <c:v>0</c:v>
                </c:pt>
                <c:pt idx="57">
                  <c:v>16.64</c:v>
                </c:pt>
                <c:pt idx="58">
                  <c:v>16.385000000000002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0B-4827-B648-084AD791BE23}"/>
            </c:ext>
          </c:extLst>
        </c:ser>
        <c:ser>
          <c:idx val="1"/>
          <c:order val="1"/>
          <c:tx>
            <c:strRef>
              <c:f>TDFD!$K$10</c:f>
              <c:strCache>
                <c:ptCount val="1"/>
                <c:pt idx="0">
                  <c:v>BKRCast (LODES)</c:v>
                </c:pt>
              </c:strCache>
            </c:strRef>
          </c:tx>
          <c:marker>
            <c:symbol val="none"/>
          </c:marker>
          <c:val>
            <c:numRef>
              <c:f>TDFD!$K$11:$K$71</c:f>
              <c:numCache>
                <c:formatCode>_(* #,##0_);_(* \(#,##0\);_(* "-"??_);_(@_)</c:formatCode>
                <c:ptCount val="61"/>
                <c:pt idx="0">
                  <c:v>54729.585852187411</c:v>
                </c:pt>
                <c:pt idx="1">
                  <c:v>21997.314138037611</c:v>
                </c:pt>
                <c:pt idx="2">
                  <c:v>29518.295823241566</c:v>
                </c:pt>
                <c:pt idx="3">
                  <c:v>31392.070320186867</c:v>
                </c:pt>
                <c:pt idx="4">
                  <c:v>32706.721867052518</c:v>
                </c:pt>
                <c:pt idx="5">
                  <c:v>31896.084982265718</c:v>
                </c:pt>
                <c:pt idx="6">
                  <c:v>29585.003375745895</c:v>
                </c:pt>
                <c:pt idx="7">
                  <c:v>26345.169485559709</c:v>
                </c:pt>
                <c:pt idx="8">
                  <c:v>22571.383343251269</c:v>
                </c:pt>
                <c:pt idx="9">
                  <c:v>20645.413571889101</c:v>
                </c:pt>
                <c:pt idx="10">
                  <c:v>17015.839445660942</c:v>
                </c:pt>
                <c:pt idx="11">
                  <c:v>13940.106200601129</c:v>
                </c:pt>
                <c:pt idx="12">
                  <c:v>13343.139360864136</c:v>
                </c:pt>
                <c:pt idx="13">
                  <c:v>10538.321223322102</c:v>
                </c:pt>
                <c:pt idx="14">
                  <c:v>9212.9758484589256</c:v>
                </c:pt>
                <c:pt idx="15">
                  <c:v>9270.373601137173</c:v>
                </c:pt>
                <c:pt idx="16">
                  <c:v>7480.8755955646157</c:v>
                </c:pt>
                <c:pt idx="17">
                  <c:v>7367.0692880470024</c:v>
                </c:pt>
                <c:pt idx="18">
                  <c:v>94610.551208198332</c:v>
                </c:pt>
                <c:pt idx="19">
                  <c:v>22584.933327645394</c:v>
                </c:pt>
                <c:pt idx="20">
                  <c:v>19270.385715372038</c:v>
                </c:pt>
                <c:pt idx="21">
                  <c:v>28720.365580208472</c:v>
                </c:pt>
                <c:pt idx="22">
                  <c:v>28787.727994812234</c:v>
                </c:pt>
                <c:pt idx="23">
                  <c:v>24261.991109378228</c:v>
                </c:pt>
                <c:pt idx="24">
                  <c:v>20608.099685838872</c:v>
                </c:pt>
                <c:pt idx="25">
                  <c:v>14754.49742226711</c:v>
                </c:pt>
                <c:pt idx="26">
                  <c:v>22192.374401718556</c:v>
                </c:pt>
                <c:pt idx="27">
                  <c:v>16014.084072886055</c:v>
                </c:pt>
                <c:pt idx="28">
                  <c:v>10738.401072143974</c:v>
                </c:pt>
                <c:pt idx="29">
                  <c:v>6016.1967342444168</c:v>
                </c:pt>
                <c:pt idx="30">
                  <c:v>10564.451028276479</c:v>
                </c:pt>
                <c:pt idx="31">
                  <c:v>8896.6555425696461</c:v>
                </c:pt>
                <c:pt idx="32">
                  <c:v>10478.459330922073</c:v>
                </c:pt>
                <c:pt idx="33">
                  <c:v>7544.7686120427825</c:v>
                </c:pt>
                <c:pt idx="34">
                  <c:v>5557.308597980531</c:v>
                </c:pt>
                <c:pt idx="35">
                  <c:v>6208.8335407926788</c:v>
                </c:pt>
                <c:pt idx="36">
                  <c:v>3466.895575488029</c:v>
                </c:pt>
                <c:pt idx="37">
                  <c:v>3073.9926360030895</c:v>
                </c:pt>
                <c:pt idx="38">
                  <c:v>2372.3194606891229</c:v>
                </c:pt>
                <c:pt idx="39">
                  <c:v>1678.6129471898766</c:v>
                </c:pt>
                <c:pt idx="40">
                  <c:v>3147.1830634883731</c:v>
                </c:pt>
                <c:pt idx="41">
                  <c:v>1509.9614866122233</c:v>
                </c:pt>
                <c:pt idx="42">
                  <c:v>2414.3243139655506</c:v>
                </c:pt>
                <c:pt idx="43">
                  <c:v>2623.9494548161974</c:v>
                </c:pt>
                <c:pt idx="44">
                  <c:v>738.0880001958476</c:v>
                </c:pt>
                <c:pt idx="45">
                  <c:v>883.87152282610054</c:v>
                </c:pt>
                <c:pt idx="46">
                  <c:v>732.8607099942376</c:v>
                </c:pt>
                <c:pt idx="47">
                  <c:v>710.53452916833601</c:v>
                </c:pt>
                <c:pt idx="48">
                  <c:v>529.83066273868519</c:v>
                </c:pt>
                <c:pt idx="49">
                  <c:v>722.31807637333907</c:v>
                </c:pt>
                <c:pt idx="50">
                  <c:v>428.63119450128232</c:v>
                </c:pt>
                <c:pt idx="51">
                  <c:v>596.48712708833807</c:v>
                </c:pt>
                <c:pt idx="52">
                  <c:v>1151.7609252271441</c:v>
                </c:pt>
                <c:pt idx="53">
                  <c:v>536.62824848561286</c:v>
                </c:pt>
                <c:pt idx="54">
                  <c:v>257.78459757928698</c:v>
                </c:pt>
                <c:pt idx="55">
                  <c:v>224.09753108179402</c:v>
                </c:pt>
                <c:pt idx="56">
                  <c:v>490.23576548847325</c:v>
                </c:pt>
                <c:pt idx="57">
                  <c:v>339.35079451397701</c:v>
                </c:pt>
                <c:pt idx="58">
                  <c:v>144.76415202163852</c:v>
                </c:pt>
                <c:pt idx="59">
                  <c:v>185.01096148357504</c:v>
                </c:pt>
                <c:pt idx="60">
                  <c:v>146.70539328017952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0B-4827-B648-084AD791B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8872320"/>
        <c:axId val="215549632"/>
      </c:lineChart>
      <c:catAx>
        <c:axId val="218872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</a:t>
                </a:r>
                <a:r>
                  <a:rPr lang="en-US" baseline="0"/>
                  <a:t> (mins)</a:t>
                </a:r>
                <a:endParaRPr lang="en-US"/>
              </a:p>
            </c:rich>
          </c:tx>
          <c:overlay val="0"/>
        </c:title>
        <c:majorTickMark val="out"/>
        <c:minorTickMark val="none"/>
        <c:tickLblPos val="nextTo"/>
        <c:crossAx val="215549632"/>
        <c:crosses val="autoZero"/>
        <c:auto val="1"/>
        <c:lblAlgn val="ctr"/>
        <c:lblOffset val="100"/>
        <c:noMultiLvlLbl val="0"/>
      </c:catAx>
      <c:valAx>
        <c:axId val="2155496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Persons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188723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19049</xdr:colOff>
      <xdr:row>15</xdr:row>
      <xdr:rowOff>152400</xdr:rowOff>
    </xdr:from>
    <xdr:to>
      <xdr:col>21</xdr:col>
      <xdr:colOff>104774</xdr:colOff>
      <xdr:row>32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590550</xdr:colOff>
      <xdr:row>16</xdr:row>
      <xdr:rowOff>28574</xdr:rowOff>
    </xdr:from>
    <xdr:to>
      <xdr:col>22</xdr:col>
      <xdr:colOff>19050</xdr:colOff>
      <xdr:row>32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101"/>
  <sheetViews>
    <sheetView workbookViewId="0">
      <selection activeCell="L21" sqref="L21"/>
    </sheetView>
  </sheetViews>
  <sheetFormatPr defaultRowHeight="15" x14ac:dyDescent="0.25"/>
  <cols>
    <col min="1" max="1" width="13.5703125" customWidth="1" collapsed="1"/>
    <col min="2" max="2" width="10.5703125" bestFit="1" customWidth="1" collapsed="1"/>
    <col min="3" max="4" width="9.5703125" bestFit="1" customWidth="1" collapsed="1"/>
    <col min="5" max="5" width="10.5703125" bestFit="1" customWidth="1" collapsed="1"/>
    <col min="7" max="7" width="13.140625" customWidth="1" collapsed="1"/>
    <col min="8" max="8" width="10.5703125" bestFit="1" customWidth="1" collapsed="1"/>
    <col min="9" max="10" width="9.5703125" bestFit="1" customWidth="1" collapsed="1"/>
    <col min="11" max="11" width="15.85546875" bestFit="1" customWidth="1" collapsed="1"/>
    <col min="15" max="15" width="15.7109375" bestFit="1" customWidth="1" collapsed="1"/>
  </cols>
  <sheetData>
    <row r="1" spans="1:19" x14ac:dyDescent="0.25">
      <c r="A1" t="s">
        <v>1</v>
      </c>
    </row>
    <row r="2" spans="1:19" x14ac:dyDescent="0.25">
      <c r="A2" t="s">
        <v>247</v>
      </c>
    </row>
    <row r="3" spans="1:19" x14ac:dyDescent="0.25">
      <c r="A3" t="s">
        <v>248</v>
      </c>
    </row>
    <row r="4" spans="1:19" x14ac:dyDescent="0.25">
      <c r="A4" t="s">
        <v>4</v>
      </c>
    </row>
    <row r="5" spans="1:19" x14ac:dyDescent="0.25">
      <c r="A5" t="s">
        <v>5</v>
      </c>
    </row>
    <row r="7" spans="1:19" x14ac:dyDescent="0.25">
      <c r="A7" t="s">
        <v>8</v>
      </c>
    </row>
    <row r="9" spans="1:19" ht="15.75" thickBot="1" x14ac:dyDescent="0.3">
      <c r="A9" s="4" t="s">
        <v>192</v>
      </c>
      <c r="B9" s="1"/>
      <c r="C9" s="1"/>
      <c r="D9" s="1"/>
      <c r="E9" s="1"/>
      <c r="G9" s="4" t="s">
        <v>9</v>
      </c>
      <c r="H9" s="1"/>
      <c r="I9" s="1"/>
      <c r="J9" s="1"/>
      <c r="K9" s="1"/>
      <c r="L9" s="7"/>
      <c r="M9" s="11" t="s">
        <v>34</v>
      </c>
      <c r="Q9" s="11" t="s">
        <v>40</v>
      </c>
    </row>
    <row r="10" spans="1:19" x14ac:dyDescent="0.25">
      <c r="A10" s="2" t="s">
        <v>2</v>
      </c>
      <c r="B10" s="5" t="s">
        <v>41</v>
      </c>
      <c r="C10" s="5" t="s">
        <v>42</v>
      </c>
      <c r="D10" s="5" t="s">
        <v>52</v>
      </c>
      <c r="E10" s="5" t="s">
        <v>200</v>
      </c>
      <c r="G10" s="2" t="s">
        <v>2</v>
      </c>
      <c r="H10" s="5" t="s">
        <v>41</v>
      </c>
      <c r="I10" s="5" t="s">
        <v>42</v>
      </c>
      <c r="J10" s="5" t="s">
        <v>43</v>
      </c>
      <c r="K10" s="5" t="s">
        <v>252</v>
      </c>
      <c r="L10" s="5"/>
      <c r="M10" s="2"/>
      <c r="N10" s="5" t="s">
        <v>200</v>
      </c>
      <c r="O10" s="5" t="s">
        <v>252</v>
      </c>
      <c r="Q10" s="29"/>
      <c r="R10" s="34" t="s">
        <v>200</v>
      </c>
      <c r="S10" s="34" t="s">
        <v>35</v>
      </c>
    </row>
    <row r="11" spans="1:19" ht="15.75" thickBot="1" x14ac:dyDescent="0.3">
      <c r="A11">
        <v>0</v>
      </c>
      <c r="B11" s="83">
        <v>20622.883600000001</v>
      </c>
      <c r="C11" s="83">
        <v>0</v>
      </c>
      <c r="D11" s="83">
        <v>7660.9198999999999</v>
      </c>
      <c r="E11" s="83">
        <f t="shared" ref="E11:E42" si="0">SUM(B11:D11)</f>
        <v>28283.803500000002</v>
      </c>
      <c r="G11">
        <v>0</v>
      </c>
      <c r="H11" s="83">
        <v>116037.52755905656</v>
      </c>
      <c r="I11" s="83">
        <v>19338.666700538346</v>
      </c>
      <c r="J11" s="85">
        <v>22132.836736562673</v>
      </c>
      <c r="K11" s="83">
        <f t="shared" ref="K11:K42" si="1">SUM(H11:J11)</f>
        <v>157509.03099615755</v>
      </c>
      <c r="M11" t="s">
        <v>41</v>
      </c>
      <c r="N11" s="9">
        <v>5.2955866607631821</v>
      </c>
      <c r="O11" s="9">
        <v>3.6333129400603545</v>
      </c>
      <c r="Q11" s="1" t="s">
        <v>3</v>
      </c>
      <c r="R11" s="10"/>
      <c r="S11" s="10"/>
    </row>
    <row r="12" spans="1:19" x14ac:dyDescent="0.25">
      <c r="A12">
        <v>1</v>
      </c>
      <c r="B12" s="83">
        <v>32911.2192</v>
      </c>
      <c r="C12" s="83">
        <v>3301.3162000000002</v>
      </c>
      <c r="D12" s="83">
        <v>844.58230000000003</v>
      </c>
      <c r="E12" s="83">
        <f t="shared" si="0"/>
        <v>37057.117700000003</v>
      </c>
      <c r="G12">
        <v>1</v>
      </c>
      <c r="H12" s="83">
        <v>84699.282865014888</v>
      </c>
      <c r="I12" s="83">
        <v>13179.484930851382</v>
      </c>
      <c r="J12" s="85">
        <v>10560.648575742252</v>
      </c>
      <c r="K12" s="83">
        <f t="shared" si="1"/>
        <v>108439.41637160852</v>
      </c>
      <c r="M12" t="s">
        <v>42</v>
      </c>
      <c r="N12" s="9">
        <v>6.415557529988825</v>
      </c>
      <c r="O12" s="9">
        <v>5.2022211037313024</v>
      </c>
      <c r="R12" s="9"/>
      <c r="S12" s="9"/>
    </row>
    <row r="13" spans="1:19" x14ac:dyDescent="0.25">
      <c r="A13">
        <v>2</v>
      </c>
      <c r="B13" s="83">
        <v>37425.110800000002</v>
      </c>
      <c r="C13" s="83">
        <v>2652.9</v>
      </c>
      <c r="D13" s="83">
        <v>1730.8838000000001</v>
      </c>
      <c r="E13" s="83">
        <f t="shared" si="0"/>
        <v>41808.894600000007</v>
      </c>
      <c r="G13">
        <v>2</v>
      </c>
      <c r="H13" s="83">
        <v>46183.27214220821</v>
      </c>
      <c r="I13" s="83">
        <v>8100.0281754339339</v>
      </c>
      <c r="J13" s="85">
        <v>6115.8715346247582</v>
      </c>
      <c r="K13" s="83">
        <f t="shared" si="1"/>
        <v>60399.171852266903</v>
      </c>
      <c r="M13" s="6" t="s">
        <v>43</v>
      </c>
      <c r="N13" s="18">
        <v>8.1078064875959495</v>
      </c>
      <c r="O13" s="18">
        <v>7.6552934331325009</v>
      </c>
      <c r="Q13" s="7"/>
      <c r="R13" s="33"/>
      <c r="S13" s="33"/>
    </row>
    <row r="14" spans="1:19" ht="15.75" thickBot="1" x14ac:dyDescent="0.3">
      <c r="A14">
        <v>3</v>
      </c>
      <c r="B14" s="83">
        <v>52295.974499999997</v>
      </c>
      <c r="C14" s="83">
        <v>5458.6975000000002</v>
      </c>
      <c r="D14" s="83">
        <v>3422.2806</v>
      </c>
      <c r="E14" s="83">
        <f t="shared" si="0"/>
        <v>61176.952599999997</v>
      </c>
      <c r="G14">
        <v>3</v>
      </c>
      <c r="H14" s="83">
        <v>25513.407379116336</v>
      </c>
      <c r="I14" s="83">
        <v>5898.6023035869994</v>
      </c>
      <c r="J14" s="85">
        <v>4990.3857579852784</v>
      </c>
      <c r="K14" s="83">
        <f t="shared" si="1"/>
        <v>36402.395440688611</v>
      </c>
      <c r="M14" s="1" t="s">
        <v>3</v>
      </c>
      <c r="N14" s="10">
        <v>5.7395096200868521</v>
      </c>
      <c r="O14" s="10">
        <v>4.7820690762678861</v>
      </c>
    </row>
    <row r="15" spans="1:19" x14ac:dyDescent="0.25">
      <c r="A15">
        <v>4</v>
      </c>
      <c r="B15" s="83">
        <v>99648.912899999996</v>
      </c>
      <c r="C15" s="83">
        <v>12602.233</v>
      </c>
      <c r="D15" s="83">
        <v>11868.1322</v>
      </c>
      <c r="E15" s="83">
        <f t="shared" si="0"/>
        <v>124119.2781</v>
      </c>
      <c r="G15">
        <v>4</v>
      </c>
      <c r="H15" s="83">
        <v>85903.798481734557</v>
      </c>
      <c r="I15" s="83">
        <v>23152.693784214589</v>
      </c>
      <c r="J15" s="85">
        <v>22982.814518342573</v>
      </c>
      <c r="K15" s="83">
        <f t="shared" si="1"/>
        <v>132039.30678429172</v>
      </c>
    </row>
    <row r="16" spans="1:19" x14ac:dyDescent="0.25">
      <c r="A16">
        <v>5</v>
      </c>
      <c r="B16" s="83">
        <v>41873.711199999998</v>
      </c>
      <c r="C16" s="83">
        <v>8814.9107000000004</v>
      </c>
      <c r="D16" s="83">
        <v>4964.6666999999998</v>
      </c>
      <c r="E16" s="83">
        <f t="shared" si="0"/>
        <v>55653.2886</v>
      </c>
      <c r="G16">
        <v>5</v>
      </c>
      <c r="H16" s="83">
        <v>30488.366411913463</v>
      </c>
      <c r="I16" s="83">
        <v>10838.229820114137</v>
      </c>
      <c r="J16" s="85">
        <v>20181.377248013654</v>
      </c>
      <c r="K16" s="83">
        <f t="shared" si="1"/>
        <v>61507.973480041255</v>
      </c>
    </row>
    <row r="17" spans="1:11" x14ac:dyDescent="0.25">
      <c r="A17">
        <v>6</v>
      </c>
      <c r="B17" s="83">
        <v>72254.489000000001</v>
      </c>
      <c r="C17" s="83">
        <v>13808.623900000001</v>
      </c>
      <c r="D17" s="83">
        <v>7645.2999</v>
      </c>
      <c r="E17" s="83">
        <f t="shared" si="0"/>
        <v>93708.412800000006</v>
      </c>
      <c r="G17">
        <v>6</v>
      </c>
      <c r="H17" s="83">
        <v>31762.419658936673</v>
      </c>
      <c r="I17" s="83">
        <v>11007.224858934858</v>
      </c>
      <c r="J17" s="85">
        <v>14953.227256506078</v>
      </c>
      <c r="K17" s="83">
        <f t="shared" si="1"/>
        <v>57722.871774377607</v>
      </c>
    </row>
    <row r="18" spans="1:11" x14ac:dyDescent="0.25">
      <c r="A18">
        <v>7</v>
      </c>
      <c r="B18" s="83">
        <v>20062.444500000001</v>
      </c>
      <c r="C18" s="83">
        <v>2110.6226000000001</v>
      </c>
      <c r="D18" s="83">
        <v>6027.5195999999996</v>
      </c>
      <c r="E18" s="83">
        <f t="shared" si="0"/>
        <v>28200.5867</v>
      </c>
      <c r="G18">
        <v>7</v>
      </c>
      <c r="H18" s="83">
        <v>13289.735115366975</v>
      </c>
      <c r="I18" s="83">
        <v>5105.8820776065659</v>
      </c>
      <c r="J18" s="85">
        <v>10804.228931041458</v>
      </c>
      <c r="K18" s="83">
        <f t="shared" si="1"/>
        <v>29199.846124014999</v>
      </c>
    </row>
    <row r="19" spans="1:11" x14ac:dyDescent="0.25">
      <c r="A19">
        <v>8</v>
      </c>
      <c r="B19" s="83">
        <v>16886.608100000001</v>
      </c>
      <c r="C19" s="83">
        <v>5540.8172000000004</v>
      </c>
      <c r="D19" s="83">
        <v>1215.9076</v>
      </c>
      <c r="E19" s="83">
        <f t="shared" si="0"/>
        <v>23643.332900000001</v>
      </c>
      <c r="G19">
        <v>8</v>
      </c>
      <c r="H19" s="83">
        <v>15086.666853373556</v>
      </c>
      <c r="I19" s="83">
        <v>5631.6079849272355</v>
      </c>
      <c r="J19" s="85">
        <v>9643.1957618416909</v>
      </c>
      <c r="K19" s="83">
        <f t="shared" si="1"/>
        <v>30361.470600142486</v>
      </c>
    </row>
    <row r="20" spans="1:11" x14ac:dyDescent="0.25">
      <c r="A20">
        <v>9</v>
      </c>
      <c r="B20" s="83">
        <v>9186.5568000000003</v>
      </c>
      <c r="C20" s="83">
        <v>3760.0686000000001</v>
      </c>
      <c r="D20" s="83">
        <v>942.70769999999993</v>
      </c>
      <c r="E20" s="83">
        <f t="shared" si="0"/>
        <v>13889.3331</v>
      </c>
      <c r="G20">
        <v>9</v>
      </c>
      <c r="H20" s="83">
        <v>9954.4355376030198</v>
      </c>
      <c r="I20" s="83">
        <v>3836.7248202477376</v>
      </c>
      <c r="J20" s="85">
        <v>12457.510269144508</v>
      </c>
      <c r="K20" s="83">
        <f t="shared" si="1"/>
        <v>26248.670626995263</v>
      </c>
    </row>
    <row r="21" spans="1:11" x14ac:dyDescent="0.25">
      <c r="A21">
        <v>10</v>
      </c>
      <c r="B21" s="83">
        <v>20560.6374</v>
      </c>
      <c r="C21" s="83">
        <v>3606.0437999999999</v>
      </c>
      <c r="D21" s="83">
        <v>4530.4183000000003</v>
      </c>
      <c r="E21" s="83">
        <f t="shared" si="0"/>
        <v>28697.0995</v>
      </c>
      <c r="G21">
        <v>10</v>
      </c>
      <c r="H21" s="83">
        <v>5755.0555477496364</v>
      </c>
      <c r="I21" s="83">
        <v>2219.9951196560369</v>
      </c>
      <c r="J21" s="85">
        <v>3085.4528042892061</v>
      </c>
      <c r="K21" s="83">
        <f t="shared" si="1"/>
        <v>11060.503471694879</v>
      </c>
    </row>
    <row r="22" spans="1:11" x14ac:dyDescent="0.25">
      <c r="A22">
        <v>11</v>
      </c>
      <c r="B22" s="83">
        <v>9027.6643999999997</v>
      </c>
      <c r="C22" s="83">
        <v>1609.5451</v>
      </c>
      <c r="D22" s="83">
        <v>753.35039999999992</v>
      </c>
      <c r="E22" s="83">
        <f t="shared" si="0"/>
        <v>11390.559899999998</v>
      </c>
      <c r="G22">
        <v>11</v>
      </c>
      <c r="H22" s="83">
        <v>4641.1181975496447</v>
      </c>
      <c r="I22" s="83">
        <v>1826.072901433585</v>
      </c>
      <c r="J22" s="85">
        <v>5063.7972461741747</v>
      </c>
      <c r="K22" s="83">
        <f t="shared" si="1"/>
        <v>11530.988345157404</v>
      </c>
    </row>
    <row r="23" spans="1:11" x14ac:dyDescent="0.25">
      <c r="A23">
        <v>12</v>
      </c>
      <c r="B23" s="83">
        <v>2878.1041</v>
      </c>
      <c r="C23" s="83">
        <v>1171.1099999999999</v>
      </c>
      <c r="D23" s="83">
        <v>2602.9286999999999</v>
      </c>
      <c r="E23" s="83">
        <f t="shared" si="0"/>
        <v>6652.1427999999996</v>
      </c>
      <c r="G23">
        <v>12</v>
      </c>
      <c r="H23" s="83">
        <v>4374.4441545995096</v>
      </c>
      <c r="I23" s="83">
        <v>1843.8676428162978</v>
      </c>
      <c r="J23" s="85">
        <v>4734.5944065160393</v>
      </c>
      <c r="K23" s="83">
        <f t="shared" si="1"/>
        <v>10952.906203931847</v>
      </c>
    </row>
    <row r="24" spans="1:11" x14ac:dyDescent="0.25">
      <c r="A24">
        <v>13</v>
      </c>
      <c r="B24" s="83">
        <v>1833.3625</v>
      </c>
      <c r="C24" s="83">
        <v>0</v>
      </c>
      <c r="D24" s="83">
        <v>372.18169999999998</v>
      </c>
      <c r="E24" s="83">
        <f t="shared" si="0"/>
        <v>2205.5441999999998</v>
      </c>
      <c r="G24">
        <v>13</v>
      </c>
      <c r="H24" s="83">
        <v>1957.4194009359319</v>
      </c>
      <c r="I24" s="83">
        <v>1368.2241891076749</v>
      </c>
      <c r="J24" s="85">
        <v>3380.9763022977163</v>
      </c>
      <c r="K24" s="83">
        <f t="shared" si="1"/>
        <v>6706.6198923413231</v>
      </c>
    </row>
    <row r="25" spans="1:11" x14ac:dyDescent="0.25">
      <c r="A25">
        <v>14</v>
      </c>
      <c r="B25" s="83">
        <v>1492.6572999999999</v>
      </c>
      <c r="C25" s="83">
        <v>0</v>
      </c>
      <c r="D25" s="83">
        <v>2312.1342</v>
      </c>
      <c r="E25" s="83">
        <f t="shared" si="0"/>
        <v>3804.7914999999998</v>
      </c>
      <c r="G25">
        <v>14</v>
      </c>
      <c r="H25" s="83">
        <v>1746.1967026924301</v>
      </c>
      <c r="I25" s="83">
        <v>966.71318507995966</v>
      </c>
      <c r="J25" s="85">
        <v>4197.4409560603772</v>
      </c>
      <c r="K25" s="83">
        <f t="shared" si="1"/>
        <v>6910.3508438327672</v>
      </c>
    </row>
    <row r="26" spans="1:11" x14ac:dyDescent="0.25">
      <c r="A26">
        <v>15</v>
      </c>
      <c r="B26" s="83">
        <v>1031.4047</v>
      </c>
      <c r="C26" s="83">
        <v>0</v>
      </c>
      <c r="D26" s="83">
        <v>1989.0730000000001</v>
      </c>
      <c r="E26" s="83">
        <f t="shared" si="0"/>
        <v>3020.4777000000004</v>
      </c>
      <c r="G26">
        <v>15</v>
      </c>
      <c r="H26" s="83">
        <v>1142.4843406832524</v>
      </c>
      <c r="I26" s="83">
        <v>883.62332760586901</v>
      </c>
      <c r="J26" s="85">
        <v>2963.4689339417555</v>
      </c>
      <c r="K26" s="83">
        <f t="shared" si="1"/>
        <v>4989.5766022308771</v>
      </c>
    </row>
    <row r="27" spans="1:11" x14ac:dyDescent="0.25">
      <c r="A27">
        <v>16</v>
      </c>
      <c r="B27" s="83">
        <v>4675.1828999999998</v>
      </c>
      <c r="C27" s="83">
        <v>644.34169999999995</v>
      </c>
      <c r="D27" s="83">
        <v>867.78639999999996</v>
      </c>
      <c r="E27" s="83">
        <f t="shared" si="0"/>
        <v>6187.3109999999997</v>
      </c>
      <c r="G27">
        <v>16</v>
      </c>
      <c r="H27" s="83">
        <v>1542.1283909021456</v>
      </c>
      <c r="I27" s="83">
        <v>1340.1463366364512</v>
      </c>
      <c r="J27" s="85">
        <v>2774.7484579942557</v>
      </c>
      <c r="K27" s="83">
        <f t="shared" si="1"/>
        <v>5657.0231855328529</v>
      </c>
    </row>
    <row r="28" spans="1:11" x14ac:dyDescent="0.25">
      <c r="A28">
        <v>17</v>
      </c>
      <c r="B28" s="83">
        <v>476.72499999999997</v>
      </c>
      <c r="C28" s="83">
        <v>542.72389999999996</v>
      </c>
      <c r="D28" s="83">
        <v>384.17410000000001</v>
      </c>
      <c r="E28" s="83">
        <f t="shared" si="0"/>
        <v>1403.6229999999998</v>
      </c>
      <c r="G28">
        <v>17</v>
      </c>
      <c r="H28" s="83">
        <v>915.4253952593474</v>
      </c>
      <c r="I28" s="83">
        <v>472.71621312051195</v>
      </c>
      <c r="J28" s="85">
        <v>2316.4722078853188</v>
      </c>
      <c r="K28" s="83">
        <f t="shared" si="1"/>
        <v>3704.6138162651782</v>
      </c>
    </row>
    <row r="29" spans="1:11" x14ac:dyDescent="0.25">
      <c r="A29">
        <v>18</v>
      </c>
      <c r="B29" s="83">
        <v>1154.3296</v>
      </c>
      <c r="C29" s="83">
        <v>522.32510000000002</v>
      </c>
      <c r="D29" s="83">
        <v>1611.5688</v>
      </c>
      <c r="E29" s="83">
        <f t="shared" si="0"/>
        <v>3288.2235000000001</v>
      </c>
      <c r="G29">
        <v>18</v>
      </c>
      <c r="H29" s="83">
        <v>400.95027104526957</v>
      </c>
      <c r="I29" s="83">
        <v>451.27206932643463</v>
      </c>
      <c r="J29" s="85">
        <v>1818.8147383603068</v>
      </c>
      <c r="K29" s="83">
        <f t="shared" si="1"/>
        <v>2671.0370787320107</v>
      </c>
    </row>
    <row r="30" spans="1:11" x14ac:dyDescent="0.25">
      <c r="A30">
        <v>19</v>
      </c>
      <c r="B30" s="83">
        <v>279.85169999999999</v>
      </c>
      <c r="C30" s="83">
        <v>438.06880000000001</v>
      </c>
      <c r="D30" s="83">
        <v>1147.5530000000001</v>
      </c>
      <c r="E30" s="83">
        <f t="shared" si="0"/>
        <v>1865.4735000000001</v>
      </c>
      <c r="G30">
        <v>19</v>
      </c>
      <c r="H30" s="83">
        <v>610.19789827058105</v>
      </c>
      <c r="I30" s="83">
        <v>376.5935726265659</v>
      </c>
      <c r="J30" s="85">
        <v>1109.0836134729429</v>
      </c>
      <c r="K30" s="83">
        <f t="shared" si="1"/>
        <v>2095.87508437009</v>
      </c>
    </row>
    <row r="31" spans="1:11" x14ac:dyDescent="0.25">
      <c r="A31">
        <v>20</v>
      </c>
      <c r="B31" s="83">
        <v>0</v>
      </c>
      <c r="C31" s="83">
        <v>262.79070000000002</v>
      </c>
      <c r="D31" s="83">
        <v>63.507999999999996</v>
      </c>
      <c r="E31" s="83">
        <f t="shared" si="0"/>
        <v>326.2987</v>
      </c>
      <c r="G31">
        <v>20</v>
      </c>
      <c r="H31" s="83">
        <v>133.87120981358555</v>
      </c>
      <c r="I31" s="83">
        <v>208.63555619883712</v>
      </c>
      <c r="J31" s="85">
        <v>818.83165545460747</v>
      </c>
      <c r="K31" s="83">
        <f t="shared" si="1"/>
        <v>1161.33842146703</v>
      </c>
    </row>
    <row r="32" spans="1:11" x14ac:dyDescent="0.25">
      <c r="A32">
        <v>21</v>
      </c>
      <c r="B32" s="83">
        <v>5789.6122999999998</v>
      </c>
      <c r="C32" s="83">
        <v>309.84730000000002</v>
      </c>
      <c r="D32" s="83">
        <v>91.323299999999989</v>
      </c>
      <c r="E32" s="83">
        <f t="shared" si="0"/>
        <v>6190.7829000000002</v>
      </c>
      <c r="G32">
        <v>21</v>
      </c>
      <c r="H32" s="83">
        <v>145.10666241193462</v>
      </c>
      <c r="I32" s="83">
        <v>171.91093353852918</v>
      </c>
      <c r="J32" s="85">
        <v>946.65407787859249</v>
      </c>
      <c r="K32" s="83">
        <f t="shared" si="1"/>
        <v>1263.6716738290563</v>
      </c>
    </row>
    <row r="33" spans="1:11" x14ac:dyDescent="0.25">
      <c r="A33">
        <v>22</v>
      </c>
      <c r="B33" s="83">
        <v>212.62309999999999</v>
      </c>
      <c r="C33" s="83">
        <v>0</v>
      </c>
      <c r="D33" s="83">
        <v>53.512</v>
      </c>
      <c r="E33" s="83">
        <f t="shared" si="0"/>
        <v>266.13509999999997</v>
      </c>
      <c r="G33">
        <v>22</v>
      </c>
      <c r="H33" s="83">
        <v>106.07811922246697</v>
      </c>
      <c r="I33" s="83">
        <v>177.92699013890675</v>
      </c>
      <c r="J33" s="85">
        <v>674.10328672637434</v>
      </c>
      <c r="K33" s="83">
        <f t="shared" si="1"/>
        <v>958.10839608774802</v>
      </c>
    </row>
    <row r="34" spans="1:11" x14ac:dyDescent="0.25">
      <c r="A34">
        <v>23</v>
      </c>
      <c r="B34" s="83">
        <v>2931.9002999999998</v>
      </c>
      <c r="C34" s="83">
        <v>0</v>
      </c>
      <c r="D34" s="83">
        <v>138.87960000000001</v>
      </c>
      <c r="E34" s="83">
        <f t="shared" si="0"/>
        <v>3070.7799</v>
      </c>
      <c r="G34">
        <v>23</v>
      </c>
      <c r="H34" s="83">
        <v>49.203972012984259</v>
      </c>
      <c r="I34" s="83">
        <v>211.98535425676036</v>
      </c>
      <c r="J34" s="85">
        <v>1335.0817047995174</v>
      </c>
      <c r="K34" s="83">
        <f t="shared" si="1"/>
        <v>1596.2710310692621</v>
      </c>
    </row>
    <row r="35" spans="1:11" x14ac:dyDescent="0.25">
      <c r="A35">
        <v>24</v>
      </c>
      <c r="B35" s="83">
        <v>0</v>
      </c>
      <c r="C35" s="83">
        <v>0</v>
      </c>
      <c r="D35" s="83">
        <v>458.12399999999997</v>
      </c>
      <c r="E35" s="83">
        <f t="shared" si="0"/>
        <v>458.12399999999997</v>
      </c>
      <c r="G35">
        <v>24</v>
      </c>
      <c r="H35" s="83">
        <v>44.506930164135447</v>
      </c>
      <c r="I35" s="83">
        <v>147.80111230066947</v>
      </c>
      <c r="J35" s="85">
        <v>588.46488676232707</v>
      </c>
      <c r="K35" s="83">
        <f t="shared" si="1"/>
        <v>780.77292922713195</v>
      </c>
    </row>
    <row r="36" spans="1:11" x14ac:dyDescent="0.25">
      <c r="A36">
        <v>25</v>
      </c>
      <c r="B36" s="83">
        <v>0</v>
      </c>
      <c r="C36" s="83">
        <v>0</v>
      </c>
      <c r="D36" s="83">
        <v>87.069000000000003</v>
      </c>
      <c r="E36" s="83">
        <f t="shared" si="0"/>
        <v>87.069000000000003</v>
      </c>
      <c r="G36">
        <v>25</v>
      </c>
      <c r="H36" s="83">
        <v>69.762955541591396</v>
      </c>
      <c r="I36" s="83">
        <v>139.98692041342917</v>
      </c>
      <c r="J36" s="85">
        <v>519.26607286316607</v>
      </c>
      <c r="K36" s="83">
        <f t="shared" si="1"/>
        <v>729.01594881818664</v>
      </c>
    </row>
    <row r="37" spans="1:11" x14ac:dyDescent="0.25">
      <c r="A37">
        <v>26</v>
      </c>
      <c r="B37" s="83">
        <v>775.44090000000006</v>
      </c>
      <c r="C37" s="83">
        <v>846.03430000000003</v>
      </c>
      <c r="D37" s="83">
        <v>0</v>
      </c>
      <c r="E37" s="83">
        <f t="shared" si="0"/>
        <v>1621.4752000000001</v>
      </c>
      <c r="G37">
        <v>26</v>
      </c>
      <c r="H37" s="83">
        <v>64.005074813423292</v>
      </c>
      <c r="I37" s="83">
        <v>88.046651196356336</v>
      </c>
      <c r="J37" s="85">
        <v>390.13755241415242</v>
      </c>
      <c r="K37" s="83">
        <f t="shared" si="1"/>
        <v>542.18927842393202</v>
      </c>
    </row>
    <row r="38" spans="1:11" x14ac:dyDescent="0.25">
      <c r="A38">
        <v>27</v>
      </c>
      <c r="B38" s="83">
        <v>0</v>
      </c>
      <c r="C38" s="83">
        <v>0</v>
      </c>
      <c r="D38" s="83">
        <v>569.28390000000002</v>
      </c>
      <c r="E38" s="83">
        <f t="shared" si="0"/>
        <v>569.28390000000002</v>
      </c>
      <c r="G38">
        <v>27</v>
      </c>
      <c r="H38" s="83">
        <v>7.7413419913419901</v>
      </c>
      <c r="I38" s="83">
        <v>97.282352981610586</v>
      </c>
      <c r="J38" s="85">
        <v>745.20589494067519</v>
      </c>
      <c r="K38" s="83">
        <f t="shared" si="1"/>
        <v>850.22958991362771</v>
      </c>
    </row>
    <row r="39" spans="1:11" x14ac:dyDescent="0.25">
      <c r="A39">
        <v>28</v>
      </c>
      <c r="B39" s="83">
        <v>1297.2364</v>
      </c>
      <c r="C39" s="83">
        <v>0</v>
      </c>
      <c r="D39" s="83">
        <v>0</v>
      </c>
      <c r="E39" s="83">
        <f t="shared" si="0"/>
        <v>1297.2364</v>
      </c>
      <c r="G39">
        <v>28</v>
      </c>
      <c r="H39" s="83">
        <v>15.02107195301031</v>
      </c>
      <c r="I39" s="83">
        <v>42.199525052203093</v>
      </c>
      <c r="J39" s="85">
        <v>199.20831271842272</v>
      </c>
      <c r="K39" s="83">
        <f t="shared" si="1"/>
        <v>256.42890972363614</v>
      </c>
    </row>
    <row r="40" spans="1:11" x14ac:dyDescent="0.25">
      <c r="A40">
        <v>29</v>
      </c>
      <c r="B40" s="83">
        <v>0</v>
      </c>
      <c r="C40" s="83">
        <v>0</v>
      </c>
      <c r="D40" s="83">
        <v>31.814</v>
      </c>
      <c r="E40" s="83">
        <f t="shared" si="0"/>
        <v>31.814</v>
      </c>
      <c r="G40">
        <v>29</v>
      </c>
      <c r="H40" s="83">
        <v>35.244815699473392</v>
      </c>
      <c r="I40" s="83">
        <v>76.264704571615482</v>
      </c>
      <c r="J40" s="85">
        <v>409.44918786411813</v>
      </c>
      <c r="K40" s="83">
        <f t="shared" si="1"/>
        <v>520.95870813520696</v>
      </c>
    </row>
    <row r="41" spans="1:11" x14ac:dyDescent="0.25">
      <c r="A41">
        <v>30</v>
      </c>
      <c r="B41" s="83">
        <v>0</v>
      </c>
      <c r="C41" s="83">
        <v>0</v>
      </c>
      <c r="D41" s="83">
        <v>13.398999999999999</v>
      </c>
      <c r="E41" s="83">
        <f t="shared" si="0"/>
        <v>13.398999999999999</v>
      </c>
      <c r="G41">
        <v>30</v>
      </c>
      <c r="H41" s="83">
        <v>0.25</v>
      </c>
      <c r="I41" s="83">
        <v>63.410275058852626</v>
      </c>
      <c r="J41" s="85">
        <v>207.87416626336145</v>
      </c>
      <c r="K41" s="83">
        <f t="shared" si="1"/>
        <v>271.53444132221409</v>
      </c>
    </row>
    <row r="42" spans="1:11" x14ac:dyDescent="0.25">
      <c r="A42">
        <v>31</v>
      </c>
      <c r="B42" s="83">
        <v>0</v>
      </c>
      <c r="C42" s="83">
        <v>0</v>
      </c>
      <c r="D42" s="83">
        <v>0</v>
      </c>
      <c r="E42" s="83">
        <f t="shared" si="0"/>
        <v>0</v>
      </c>
      <c r="G42">
        <v>31</v>
      </c>
      <c r="H42" s="83">
        <v>50.265812334813972</v>
      </c>
      <c r="I42" s="83">
        <v>85.522829711161705</v>
      </c>
      <c r="J42" s="85">
        <v>202.45613828212237</v>
      </c>
      <c r="K42" s="83">
        <f t="shared" si="1"/>
        <v>338.24478032809805</v>
      </c>
    </row>
    <row r="43" spans="1:11" x14ac:dyDescent="0.25">
      <c r="A43">
        <v>32</v>
      </c>
      <c r="B43" s="83">
        <v>0</v>
      </c>
      <c r="C43" s="83">
        <v>0</v>
      </c>
      <c r="D43" s="83">
        <v>12.739000000000001</v>
      </c>
      <c r="E43" s="83">
        <f t="shared" ref="E43:E74" si="2">SUM(B43:D43)</f>
        <v>12.739000000000001</v>
      </c>
      <c r="G43">
        <v>32</v>
      </c>
      <c r="H43" s="83">
        <v>20.018354263633917</v>
      </c>
      <c r="I43" s="83">
        <v>30.307096957096881</v>
      </c>
      <c r="J43" s="85">
        <v>183.62011651358847</v>
      </c>
      <c r="K43" s="83">
        <f t="shared" ref="K43:K74" si="3">SUM(H43:J43)</f>
        <v>233.94556773431927</v>
      </c>
    </row>
    <row r="44" spans="1:11" x14ac:dyDescent="0.25">
      <c r="A44">
        <v>33</v>
      </c>
      <c r="B44" s="83">
        <v>0</v>
      </c>
      <c r="C44" s="83">
        <v>0</v>
      </c>
      <c r="D44" s="83">
        <v>10.791</v>
      </c>
      <c r="E44" s="83">
        <f t="shared" si="2"/>
        <v>10.791</v>
      </c>
      <c r="G44">
        <v>33</v>
      </c>
      <c r="H44" s="83">
        <v>20.013157894736878</v>
      </c>
      <c r="I44" s="83">
        <v>22.021807871642981</v>
      </c>
      <c r="J44" s="85">
        <v>348.50454681223118</v>
      </c>
      <c r="K44" s="83">
        <f t="shared" si="3"/>
        <v>390.53951257861104</v>
      </c>
    </row>
    <row r="45" spans="1:11" x14ac:dyDescent="0.25">
      <c r="A45">
        <v>34</v>
      </c>
      <c r="B45" s="83">
        <v>0</v>
      </c>
      <c r="C45" s="83">
        <v>78.963099999999997</v>
      </c>
      <c r="D45" s="83">
        <v>0</v>
      </c>
      <c r="E45" s="83">
        <f t="shared" si="2"/>
        <v>78.963099999999997</v>
      </c>
      <c r="G45">
        <v>34</v>
      </c>
      <c r="H45" s="83">
        <v>35.055446428571472</v>
      </c>
      <c r="I45" s="83">
        <v>25.360952380952352</v>
      </c>
      <c r="J45" s="85">
        <v>682.95969094825398</v>
      </c>
      <c r="K45" s="83">
        <f t="shared" si="3"/>
        <v>743.37608975777778</v>
      </c>
    </row>
    <row r="46" spans="1:11" x14ac:dyDescent="0.25">
      <c r="A46">
        <v>35</v>
      </c>
      <c r="B46" s="83">
        <v>0</v>
      </c>
      <c r="C46" s="83">
        <v>0</v>
      </c>
      <c r="D46" s="83">
        <v>25.786000000000001</v>
      </c>
      <c r="E46" s="83">
        <f t="shared" si="2"/>
        <v>25.786000000000001</v>
      </c>
      <c r="G46">
        <v>35</v>
      </c>
      <c r="H46" s="83">
        <v>10.019607843137299</v>
      </c>
      <c r="I46" s="83">
        <v>15.44507936507936</v>
      </c>
      <c r="J46" s="85">
        <v>61.247738227922461</v>
      </c>
      <c r="K46" s="83">
        <f t="shared" si="3"/>
        <v>86.712425436139114</v>
      </c>
    </row>
    <row r="47" spans="1:11" x14ac:dyDescent="0.25">
      <c r="A47">
        <v>36</v>
      </c>
      <c r="B47" s="83">
        <v>0</v>
      </c>
      <c r="C47" s="83">
        <v>0</v>
      </c>
      <c r="D47" s="83">
        <v>0</v>
      </c>
      <c r="E47" s="83">
        <f t="shared" si="2"/>
        <v>0</v>
      </c>
      <c r="G47">
        <v>36</v>
      </c>
      <c r="H47" s="83">
        <v>0</v>
      </c>
      <c r="I47" s="83">
        <v>9.9776785714285694</v>
      </c>
      <c r="J47" s="85">
        <v>85.479967426162133</v>
      </c>
      <c r="K47" s="83">
        <f t="shared" si="3"/>
        <v>95.457645997590703</v>
      </c>
    </row>
    <row r="48" spans="1:11" x14ac:dyDescent="0.25">
      <c r="A48">
        <v>37</v>
      </c>
      <c r="B48" s="83">
        <v>0</v>
      </c>
      <c r="C48" s="83">
        <v>0</v>
      </c>
      <c r="D48" s="83">
        <v>0</v>
      </c>
      <c r="E48" s="83">
        <f t="shared" si="2"/>
        <v>0</v>
      </c>
      <c r="G48">
        <v>37</v>
      </c>
      <c r="H48" s="83">
        <v>10.016666666666699</v>
      </c>
      <c r="I48" s="83">
        <v>2.4986876640419897</v>
      </c>
      <c r="J48" s="85">
        <v>109.87186077490358</v>
      </c>
      <c r="K48" s="83">
        <f t="shared" si="3"/>
        <v>122.38721510561227</v>
      </c>
    </row>
    <row r="49" spans="1:11" x14ac:dyDescent="0.25">
      <c r="A49">
        <v>38</v>
      </c>
      <c r="B49" s="83">
        <v>0</v>
      </c>
      <c r="C49" s="83">
        <v>0</v>
      </c>
      <c r="D49" s="83">
        <v>0</v>
      </c>
      <c r="E49" s="83">
        <f t="shared" si="2"/>
        <v>0</v>
      </c>
      <c r="G49">
        <v>38</v>
      </c>
      <c r="H49" s="83">
        <v>0</v>
      </c>
      <c r="I49" s="83">
        <v>14.994109055501479</v>
      </c>
      <c r="J49" s="85">
        <v>161.78561992024001</v>
      </c>
      <c r="K49" s="83">
        <f t="shared" si="3"/>
        <v>176.77972897574148</v>
      </c>
    </row>
    <row r="50" spans="1:11" x14ac:dyDescent="0.25">
      <c r="A50">
        <v>39</v>
      </c>
      <c r="B50" s="83">
        <v>0</v>
      </c>
      <c r="C50" s="83">
        <v>0</v>
      </c>
      <c r="D50" s="83">
        <v>4.1280000000000001</v>
      </c>
      <c r="E50" s="83">
        <f t="shared" si="2"/>
        <v>4.1280000000000001</v>
      </c>
      <c r="G50">
        <v>39</v>
      </c>
      <c r="H50" s="83">
        <v>0</v>
      </c>
      <c r="I50" s="83">
        <v>10.005291005290999</v>
      </c>
      <c r="J50" s="85">
        <v>53.31968685221559</v>
      </c>
      <c r="K50" s="83">
        <f t="shared" si="3"/>
        <v>63.324977857506589</v>
      </c>
    </row>
    <row r="51" spans="1:11" x14ac:dyDescent="0.25">
      <c r="A51">
        <v>40</v>
      </c>
      <c r="B51" s="83">
        <v>0</v>
      </c>
      <c r="C51" s="83">
        <v>0</v>
      </c>
      <c r="D51" s="83">
        <v>860.37009999999998</v>
      </c>
      <c r="E51" s="83">
        <f t="shared" si="2"/>
        <v>860.37009999999998</v>
      </c>
      <c r="G51">
        <v>40</v>
      </c>
      <c r="H51" s="83">
        <v>0</v>
      </c>
      <c r="I51" s="83">
        <v>0</v>
      </c>
      <c r="J51" s="85">
        <v>22.63813090167719</v>
      </c>
      <c r="K51" s="83">
        <f t="shared" si="3"/>
        <v>22.63813090167719</v>
      </c>
    </row>
    <row r="52" spans="1:11" x14ac:dyDescent="0.25">
      <c r="A52">
        <v>41</v>
      </c>
      <c r="B52" s="83">
        <v>0</v>
      </c>
      <c r="C52" s="83">
        <v>0</v>
      </c>
      <c r="D52" s="83">
        <v>0</v>
      </c>
      <c r="E52" s="83">
        <f t="shared" si="2"/>
        <v>0</v>
      </c>
      <c r="G52">
        <v>41</v>
      </c>
      <c r="H52" s="83">
        <v>0</v>
      </c>
      <c r="I52" s="83">
        <v>9.997572520937009</v>
      </c>
      <c r="J52" s="85">
        <v>11.65909090909091</v>
      </c>
      <c r="K52" s="83">
        <f t="shared" si="3"/>
        <v>21.656663430027919</v>
      </c>
    </row>
    <row r="53" spans="1:11" x14ac:dyDescent="0.25">
      <c r="A53">
        <v>42</v>
      </c>
      <c r="B53" s="83">
        <v>0</v>
      </c>
      <c r="C53" s="83">
        <v>0</v>
      </c>
      <c r="D53" s="83">
        <v>286.72039999999998</v>
      </c>
      <c r="E53" s="83">
        <f t="shared" si="2"/>
        <v>286.72039999999998</v>
      </c>
      <c r="G53">
        <v>42</v>
      </c>
      <c r="H53" s="83">
        <v>0</v>
      </c>
      <c r="I53" s="83">
        <v>0</v>
      </c>
      <c r="J53" s="85">
        <v>11.99726775956284</v>
      </c>
      <c r="K53" s="83">
        <f t="shared" si="3"/>
        <v>11.99726775956284</v>
      </c>
    </row>
    <row r="54" spans="1:11" x14ac:dyDescent="0.25">
      <c r="A54">
        <v>43</v>
      </c>
      <c r="B54" s="83">
        <v>0</v>
      </c>
      <c r="C54" s="83">
        <v>0</v>
      </c>
      <c r="D54" s="83">
        <v>0</v>
      </c>
      <c r="E54" s="83">
        <f t="shared" si="2"/>
        <v>0</v>
      </c>
      <c r="G54">
        <v>43</v>
      </c>
      <c r="H54" s="83">
        <v>10.016666666666699</v>
      </c>
      <c r="I54" s="83">
        <v>0</v>
      </c>
      <c r="J54" s="85">
        <v>77.928882820757025</v>
      </c>
      <c r="K54" s="83">
        <f t="shared" si="3"/>
        <v>87.945549487423719</v>
      </c>
    </row>
    <row r="55" spans="1:11" x14ac:dyDescent="0.25">
      <c r="A55">
        <v>44</v>
      </c>
      <c r="B55" s="83">
        <v>0</v>
      </c>
      <c r="C55" s="83">
        <v>0</v>
      </c>
      <c r="D55" s="83">
        <v>0</v>
      </c>
      <c r="E55" s="83">
        <f t="shared" si="2"/>
        <v>0</v>
      </c>
      <c r="G55">
        <v>44</v>
      </c>
      <c r="H55" s="83">
        <v>10</v>
      </c>
      <c r="I55" s="83">
        <v>0.25</v>
      </c>
      <c r="J55" s="85">
        <v>59.455293512444442</v>
      </c>
      <c r="K55" s="83">
        <f t="shared" si="3"/>
        <v>69.705293512444442</v>
      </c>
    </row>
    <row r="56" spans="1:11" x14ac:dyDescent="0.25">
      <c r="A56">
        <v>45</v>
      </c>
      <c r="B56" s="83">
        <v>0</v>
      </c>
      <c r="C56" s="83">
        <v>0</v>
      </c>
      <c r="D56" s="83">
        <v>0</v>
      </c>
      <c r="E56" s="83">
        <f t="shared" si="2"/>
        <v>0</v>
      </c>
      <c r="G56">
        <v>45</v>
      </c>
      <c r="H56" s="83">
        <v>0</v>
      </c>
      <c r="I56" s="83">
        <v>10.157894736842101</v>
      </c>
      <c r="J56" s="85">
        <v>115.29744036319622</v>
      </c>
      <c r="K56" s="83">
        <f t="shared" si="3"/>
        <v>125.45533510003831</v>
      </c>
    </row>
    <row r="57" spans="1:11" x14ac:dyDescent="0.25">
      <c r="A57">
        <v>46</v>
      </c>
      <c r="B57" s="83">
        <v>0</v>
      </c>
      <c r="C57" s="83">
        <v>0</v>
      </c>
      <c r="D57" s="83">
        <v>0</v>
      </c>
      <c r="E57" s="83">
        <f t="shared" si="2"/>
        <v>0</v>
      </c>
      <c r="G57">
        <v>46</v>
      </c>
      <c r="H57" s="83">
        <v>0</v>
      </c>
      <c r="I57" s="83">
        <v>9.99411764705882</v>
      </c>
      <c r="J57" s="85">
        <v>60.252858807091151</v>
      </c>
      <c r="K57" s="83">
        <f t="shared" si="3"/>
        <v>70.246976454149973</v>
      </c>
    </row>
    <row r="58" spans="1:11" x14ac:dyDescent="0.25">
      <c r="A58">
        <v>47</v>
      </c>
      <c r="B58" s="83">
        <v>0</v>
      </c>
      <c r="C58" s="83">
        <v>0</v>
      </c>
      <c r="D58" s="83">
        <v>0</v>
      </c>
      <c r="E58" s="83">
        <f t="shared" si="2"/>
        <v>0</v>
      </c>
      <c r="G58">
        <v>47</v>
      </c>
      <c r="H58" s="83">
        <v>0</v>
      </c>
      <c r="I58" s="83">
        <v>9.9964912280701803</v>
      </c>
      <c r="J58" s="85">
        <v>79.827967154791935</v>
      </c>
      <c r="K58" s="83">
        <f t="shared" si="3"/>
        <v>89.824458382862119</v>
      </c>
    </row>
    <row r="59" spans="1:11" x14ac:dyDescent="0.25">
      <c r="A59">
        <v>48</v>
      </c>
      <c r="B59" s="83">
        <v>0</v>
      </c>
      <c r="C59" s="83">
        <v>0</v>
      </c>
      <c r="D59" s="83">
        <v>468.98939999999999</v>
      </c>
      <c r="E59" s="83">
        <f t="shared" si="2"/>
        <v>468.98939999999999</v>
      </c>
      <c r="G59">
        <v>48</v>
      </c>
      <c r="H59" s="83">
        <v>0</v>
      </c>
      <c r="I59" s="83">
        <v>0</v>
      </c>
      <c r="J59" s="85">
        <v>35.316759173604616</v>
      </c>
      <c r="K59" s="83">
        <f t="shared" si="3"/>
        <v>35.316759173604616</v>
      </c>
    </row>
    <row r="60" spans="1:11" x14ac:dyDescent="0.25">
      <c r="A60">
        <v>49</v>
      </c>
      <c r="B60" s="83">
        <v>0</v>
      </c>
      <c r="C60" s="83">
        <v>0</v>
      </c>
      <c r="D60" s="83">
        <v>0</v>
      </c>
      <c r="E60" s="83">
        <f t="shared" si="2"/>
        <v>0</v>
      </c>
      <c r="G60">
        <v>49</v>
      </c>
      <c r="H60" s="83">
        <v>0</v>
      </c>
      <c r="I60" s="83">
        <v>0</v>
      </c>
      <c r="J60" s="85">
        <v>60.786982456140365</v>
      </c>
      <c r="K60" s="83">
        <f t="shared" si="3"/>
        <v>60.786982456140365</v>
      </c>
    </row>
    <row r="61" spans="1:11" x14ac:dyDescent="0.25">
      <c r="A61">
        <v>50</v>
      </c>
      <c r="B61" s="83">
        <v>0</v>
      </c>
      <c r="C61" s="83">
        <v>0</v>
      </c>
      <c r="D61" s="83">
        <v>249.3058</v>
      </c>
      <c r="E61" s="83">
        <f t="shared" si="2"/>
        <v>249.3058</v>
      </c>
      <c r="G61">
        <v>50</v>
      </c>
      <c r="H61" s="83">
        <v>0</v>
      </c>
      <c r="I61" s="83">
        <v>0</v>
      </c>
      <c r="J61" s="85">
        <v>10.241379310344829</v>
      </c>
      <c r="K61" s="83">
        <f t="shared" si="3"/>
        <v>10.241379310344829</v>
      </c>
    </row>
    <row r="62" spans="1:11" x14ac:dyDescent="0.25">
      <c r="A62">
        <v>51</v>
      </c>
      <c r="B62" s="83">
        <v>0</v>
      </c>
      <c r="C62" s="83">
        <v>0</v>
      </c>
      <c r="D62" s="83">
        <v>0</v>
      </c>
      <c r="E62" s="83">
        <f t="shared" si="2"/>
        <v>0</v>
      </c>
      <c r="G62">
        <v>51</v>
      </c>
      <c r="H62" s="83">
        <v>0</v>
      </c>
      <c r="I62" s="83">
        <v>10.010309278350499</v>
      </c>
      <c r="J62" s="85">
        <v>0</v>
      </c>
      <c r="K62" s="83">
        <f t="shared" si="3"/>
        <v>10.010309278350499</v>
      </c>
    </row>
    <row r="63" spans="1:11" x14ac:dyDescent="0.25">
      <c r="A63">
        <v>52</v>
      </c>
      <c r="B63" s="83">
        <v>0</v>
      </c>
      <c r="C63" s="83">
        <v>0</v>
      </c>
      <c r="D63" s="83">
        <v>0</v>
      </c>
      <c r="E63" s="83">
        <f t="shared" si="2"/>
        <v>0</v>
      </c>
      <c r="G63">
        <v>52</v>
      </c>
      <c r="H63" s="83">
        <v>0</v>
      </c>
      <c r="I63" s="83">
        <v>0</v>
      </c>
      <c r="J63" s="85">
        <v>0</v>
      </c>
      <c r="K63" s="83">
        <f t="shared" si="3"/>
        <v>0</v>
      </c>
    </row>
    <row r="64" spans="1:11" x14ac:dyDescent="0.25">
      <c r="A64">
        <v>53</v>
      </c>
      <c r="B64" s="83">
        <v>0</v>
      </c>
      <c r="C64" s="83">
        <v>0</v>
      </c>
      <c r="D64" s="83">
        <v>13.487</v>
      </c>
      <c r="E64" s="83">
        <f t="shared" si="2"/>
        <v>13.487</v>
      </c>
      <c r="G64">
        <v>53</v>
      </c>
      <c r="H64" s="83">
        <v>0</v>
      </c>
      <c r="I64" s="83">
        <v>0</v>
      </c>
      <c r="J64" s="85">
        <v>0</v>
      </c>
      <c r="K64" s="83">
        <f t="shared" si="3"/>
        <v>0</v>
      </c>
    </row>
    <row r="65" spans="1:11" x14ac:dyDescent="0.25">
      <c r="A65">
        <v>54</v>
      </c>
      <c r="B65" s="83">
        <v>0</v>
      </c>
      <c r="C65" s="83">
        <v>0</v>
      </c>
      <c r="D65" s="83">
        <v>0</v>
      </c>
      <c r="E65" s="83">
        <f t="shared" si="2"/>
        <v>0</v>
      </c>
      <c r="G65">
        <v>54</v>
      </c>
      <c r="H65" s="83">
        <v>0</v>
      </c>
      <c r="I65" s="83">
        <v>0</v>
      </c>
      <c r="J65" s="85">
        <v>5.0454545454545503</v>
      </c>
      <c r="K65" s="83">
        <f t="shared" si="3"/>
        <v>5.0454545454545503</v>
      </c>
    </row>
    <row r="66" spans="1:11" x14ac:dyDescent="0.25">
      <c r="A66">
        <v>55</v>
      </c>
      <c r="B66" s="83">
        <v>0</v>
      </c>
      <c r="C66" s="83">
        <v>0</v>
      </c>
      <c r="D66" s="83">
        <v>3.6749999999999998</v>
      </c>
      <c r="E66" s="83">
        <f t="shared" si="2"/>
        <v>3.6749999999999998</v>
      </c>
      <c r="G66">
        <v>55</v>
      </c>
      <c r="H66" s="83">
        <v>0</v>
      </c>
      <c r="I66" s="83">
        <v>0</v>
      </c>
      <c r="J66" s="85">
        <v>10.234455958549219</v>
      </c>
      <c r="K66" s="83">
        <f t="shared" si="3"/>
        <v>10.234455958549219</v>
      </c>
    </row>
    <row r="67" spans="1:11" x14ac:dyDescent="0.25">
      <c r="A67">
        <v>56</v>
      </c>
      <c r="B67" s="83">
        <v>0</v>
      </c>
      <c r="C67" s="83">
        <v>0</v>
      </c>
      <c r="D67" s="83">
        <v>0</v>
      </c>
      <c r="E67" s="83">
        <f t="shared" si="2"/>
        <v>0</v>
      </c>
      <c r="G67">
        <v>56</v>
      </c>
      <c r="H67" s="83">
        <v>0</v>
      </c>
      <c r="I67" s="83">
        <v>0</v>
      </c>
      <c r="J67" s="85">
        <v>0</v>
      </c>
      <c r="K67" s="83">
        <f t="shared" si="3"/>
        <v>0</v>
      </c>
    </row>
    <row r="68" spans="1:11" x14ac:dyDescent="0.25">
      <c r="A68">
        <v>57</v>
      </c>
      <c r="B68" s="83">
        <v>0</v>
      </c>
      <c r="C68" s="83">
        <v>0</v>
      </c>
      <c r="D68" s="83">
        <v>0</v>
      </c>
      <c r="E68" s="83">
        <f t="shared" si="2"/>
        <v>0</v>
      </c>
      <c r="G68">
        <v>57</v>
      </c>
      <c r="H68" s="83">
        <v>0</v>
      </c>
      <c r="I68" s="83">
        <v>0</v>
      </c>
      <c r="J68" s="85">
        <v>0</v>
      </c>
      <c r="K68" s="83">
        <f t="shared" si="3"/>
        <v>0</v>
      </c>
    </row>
    <row r="69" spans="1:11" x14ac:dyDescent="0.25">
      <c r="A69">
        <v>58</v>
      </c>
      <c r="B69" s="83">
        <v>0</v>
      </c>
      <c r="C69" s="83">
        <v>0</v>
      </c>
      <c r="D69" s="83">
        <v>0</v>
      </c>
      <c r="E69" s="83">
        <f t="shared" si="2"/>
        <v>0</v>
      </c>
      <c r="G69">
        <v>58</v>
      </c>
      <c r="H69" s="83">
        <v>0</v>
      </c>
      <c r="I69" s="83">
        <v>10.016666666666699</v>
      </c>
      <c r="J69" s="85">
        <v>5.0057306590257902</v>
      </c>
      <c r="K69" s="83">
        <f t="shared" si="3"/>
        <v>15.02239732569249</v>
      </c>
    </row>
    <row r="70" spans="1:11" x14ac:dyDescent="0.25">
      <c r="A70">
        <v>59</v>
      </c>
      <c r="B70" s="83">
        <v>0</v>
      </c>
      <c r="C70" s="83">
        <v>0</v>
      </c>
      <c r="D70" s="83">
        <v>0</v>
      </c>
      <c r="E70" s="83">
        <f t="shared" si="2"/>
        <v>0</v>
      </c>
      <c r="G70">
        <v>59</v>
      </c>
      <c r="H70" s="83">
        <v>0</v>
      </c>
      <c r="I70" s="83">
        <v>0</v>
      </c>
      <c r="J70" s="85">
        <v>0</v>
      </c>
      <c r="K70" s="83">
        <f t="shared" si="3"/>
        <v>0</v>
      </c>
    </row>
    <row r="71" spans="1:11" x14ac:dyDescent="0.25">
      <c r="A71">
        <v>60</v>
      </c>
      <c r="B71" s="83">
        <v>0</v>
      </c>
      <c r="C71" s="83">
        <v>0</v>
      </c>
      <c r="D71" s="83">
        <v>0</v>
      </c>
      <c r="E71" s="83">
        <f t="shared" si="2"/>
        <v>0</v>
      </c>
      <c r="G71">
        <v>60</v>
      </c>
      <c r="H71" s="83">
        <v>0</v>
      </c>
      <c r="I71" s="83">
        <v>0</v>
      </c>
      <c r="J71" s="85">
        <v>9.9770642201834896</v>
      </c>
      <c r="K71" s="83">
        <f t="shared" si="3"/>
        <v>9.9770642201834896</v>
      </c>
    </row>
    <row r="72" spans="1:11" x14ac:dyDescent="0.25">
      <c r="A72">
        <v>61</v>
      </c>
      <c r="B72" s="83">
        <v>0</v>
      </c>
      <c r="C72" s="83">
        <v>0</v>
      </c>
      <c r="D72" s="83">
        <v>0</v>
      </c>
      <c r="E72" s="83">
        <f t="shared" si="2"/>
        <v>0</v>
      </c>
      <c r="G72">
        <v>61</v>
      </c>
      <c r="H72" s="83">
        <v>0</v>
      </c>
      <c r="I72" s="83">
        <v>0</v>
      </c>
      <c r="J72" s="85">
        <v>0</v>
      </c>
      <c r="K72" s="83">
        <f t="shared" si="3"/>
        <v>0</v>
      </c>
    </row>
    <row r="73" spans="1:11" x14ac:dyDescent="0.25">
      <c r="A73">
        <v>62</v>
      </c>
      <c r="B73" s="83">
        <v>0</v>
      </c>
      <c r="C73" s="83">
        <v>0</v>
      </c>
      <c r="D73" s="83">
        <v>0</v>
      </c>
      <c r="E73" s="83">
        <f t="shared" si="2"/>
        <v>0</v>
      </c>
      <c r="G73">
        <v>62</v>
      </c>
      <c r="H73" s="83">
        <v>0</v>
      </c>
      <c r="I73" s="83">
        <v>0</v>
      </c>
      <c r="J73" s="85">
        <v>0</v>
      </c>
      <c r="K73" s="83">
        <f t="shared" si="3"/>
        <v>0</v>
      </c>
    </row>
    <row r="74" spans="1:11" x14ac:dyDescent="0.25">
      <c r="A74">
        <v>63</v>
      </c>
      <c r="B74" s="83">
        <v>0</v>
      </c>
      <c r="C74" s="83">
        <v>0</v>
      </c>
      <c r="D74" s="83">
        <v>0</v>
      </c>
      <c r="E74" s="83">
        <f t="shared" si="2"/>
        <v>0</v>
      </c>
      <c r="G74">
        <v>63</v>
      </c>
      <c r="H74" s="83">
        <v>0</v>
      </c>
      <c r="I74" s="83">
        <v>0</v>
      </c>
      <c r="J74" s="85">
        <v>0</v>
      </c>
      <c r="K74" s="83">
        <f t="shared" si="3"/>
        <v>0</v>
      </c>
    </row>
    <row r="75" spans="1:11" x14ac:dyDescent="0.25">
      <c r="A75">
        <v>64</v>
      </c>
      <c r="B75" s="83">
        <v>0</v>
      </c>
      <c r="C75" s="83">
        <v>0</v>
      </c>
      <c r="D75" s="83">
        <v>0</v>
      </c>
      <c r="E75" s="83">
        <f t="shared" ref="E75:E101" si="4">SUM(B75:D75)</f>
        <v>0</v>
      </c>
      <c r="G75">
        <v>64</v>
      </c>
      <c r="H75" s="83">
        <v>0</v>
      </c>
      <c r="I75" s="83">
        <v>0</v>
      </c>
      <c r="J75" s="85">
        <v>0</v>
      </c>
      <c r="K75" s="83">
        <f t="shared" ref="K75:K101" si="5">SUM(H75:J75)</f>
        <v>0</v>
      </c>
    </row>
    <row r="76" spans="1:11" x14ac:dyDescent="0.25">
      <c r="A76">
        <v>65</v>
      </c>
      <c r="B76" s="83">
        <v>0</v>
      </c>
      <c r="C76" s="83">
        <v>0</v>
      </c>
      <c r="D76" s="83">
        <v>0</v>
      </c>
      <c r="E76" s="83">
        <f t="shared" si="4"/>
        <v>0</v>
      </c>
      <c r="G76">
        <v>65</v>
      </c>
      <c r="H76" s="83">
        <v>0</v>
      </c>
      <c r="I76" s="83">
        <v>0</v>
      </c>
      <c r="J76" s="85">
        <v>0</v>
      </c>
      <c r="K76" s="83">
        <f t="shared" si="5"/>
        <v>0</v>
      </c>
    </row>
    <row r="77" spans="1:11" x14ac:dyDescent="0.25">
      <c r="A77">
        <v>66</v>
      </c>
      <c r="B77" s="83">
        <v>0</v>
      </c>
      <c r="C77" s="83">
        <v>0</v>
      </c>
      <c r="D77" s="83">
        <v>0</v>
      </c>
      <c r="E77" s="83">
        <f t="shared" si="4"/>
        <v>0</v>
      </c>
      <c r="G77">
        <v>66</v>
      </c>
      <c r="H77" s="83">
        <v>0</v>
      </c>
      <c r="I77" s="83">
        <v>0</v>
      </c>
      <c r="J77" s="83">
        <v>0</v>
      </c>
      <c r="K77" s="83">
        <f t="shared" si="5"/>
        <v>0</v>
      </c>
    </row>
    <row r="78" spans="1:11" x14ac:dyDescent="0.25">
      <c r="A78">
        <v>67</v>
      </c>
      <c r="B78" s="83">
        <v>0</v>
      </c>
      <c r="C78" s="83">
        <v>0</v>
      </c>
      <c r="D78" s="83">
        <v>0</v>
      </c>
      <c r="E78" s="83">
        <f t="shared" si="4"/>
        <v>0</v>
      </c>
      <c r="G78">
        <v>67</v>
      </c>
      <c r="H78" s="83">
        <v>0</v>
      </c>
      <c r="I78" s="83">
        <v>0</v>
      </c>
      <c r="J78" s="83">
        <v>0</v>
      </c>
      <c r="K78" s="83">
        <f t="shared" si="5"/>
        <v>0</v>
      </c>
    </row>
    <row r="79" spans="1:11" x14ac:dyDescent="0.25">
      <c r="A79">
        <v>68</v>
      </c>
      <c r="B79" s="83">
        <v>0</v>
      </c>
      <c r="C79" s="83">
        <v>0</v>
      </c>
      <c r="D79" s="83">
        <v>0</v>
      </c>
      <c r="E79" s="83">
        <f t="shared" si="4"/>
        <v>0</v>
      </c>
      <c r="G79">
        <v>68</v>
      </c>
      <c r="H79" s="83">
        <v>0</v>
      </c>
      <c r="I79" s="83">
        <v>0</v>
      </c>
      <c r="J79" s="85">
        <v>0</v>
      </c>
      <c r="K79" s="83">
        <f t="shared" si="5"/>
        <v>0</v>
      </c>
    </row>
    <row r="80" spans="1:11" x14ac:dyDescent="0.25">
      <c r="A80">
        <v>69</v>
      </c>
      <c r="B80" s="83">
        <v>0</v>
      </c>
      <c r="C80" s="83">
        <v>0</v>
      </c>
      <c r="D80" s="83">
        <v>0</v>
      </c>
      <c r="E80" s="83">
        <f t="shared" si="4"/>
        <v>0</v>
      </c>
      <c r="G80">
        <v>69</v>
      </c>
      <c r="H80" s="83">
        <v>0</v>
      </c>
      <c r="I80" s="83">
        <v>0</v>
      </c>
      <c r="J80" s="83">
        <v>0</v>
      </c>
      <c r="K80" s="83">
        <f t="shared" si="5"/>
        <v>0</v>
      </c>
    </row>
    <row r="81" spans="1:11" x14ac:dyDescent="0.25">
      <c r="A81">
        <v>70</v>
      </c>
      <c r="B81" s="83">
        <v>0</v>
      </c>
      <c r="C81" s="83">
        <v>0</v>
      </c>
      <c r="D81" s="83">
        <v>0</v>
      </c>
      <c r="E81" s="83">
        <f t="shared" si="4"/>
        <v>0</v>
      </c>
      <c r="G81">
        <v>70</v>
      </c>
      <c r="H81" s="83">
        <v>0</v>
      </c>
      <c r="I81" s="83">
        <v>0</v>
      </c>
      <c r="J81" s="85">
        <v>0</v>
      </c>
      <c r="K81" s="83">
        <f t="shared" si="5"/>
        <v>0</v>
      </c>
    </row>
    <row r="82" spans="1:11" x14ac:dyDescent="0.25">
      <c r="A82">
        <v>71</v>
      </c>
      <c r="B82" s="83">
        <v>0</v>
      </c>
      <c r="C82" s="83">
        <v>0</v>
      </c>
      <c r="D82" s="83">
        <v>0</v>
      </c>
      <c r="E82" s="83">
        <f t="shared" si="4"/>
        <v>0</v>
      </c>
      <c r="G82">
        <v>71</v>
      </c>
      <c r="H82" s="83">
        <v>0</v>
      </c>
      <c r="I82" s="83">
        <v>0</v>
      </c>
      <c r="J82" s="85">
        <v>0</v>
      </c>
      <c r="K82" s="83">
        <f t="shared" si="5"/>
        <v>0</v>
      </c>
    </row>
    <row r="83" spans="1:11" x14ac:dyDescent="0.25">
      <c r="A83">
        <v>72</v>
      </c>
      <c r="B83" s="83">
        <v>0</v>
      </c>
      <c r="C83" s="83">
        <v>0</v>
      </c>
      <c r="D83" s="83">
        <v>0</v>
      </c>
      <c r="E83" s="83">
        <f t="shared" si="4"/>
        <v>0</v>
      </c>
      <c r="G83">
        <v>72</v>
      </c>
      <c r="H83" s="83">
        <v>0</v>
      </c>
      <c r="I83" s="83">
        <v>0</v>
      </c>
      <c r="J83" s="83">
        <v>0</v>
      </c>
      <c r="K83" s="83">
        <f t="shared" si="5"/>
        <v>0</v>
      </c>
    </row>
    <row r="84" spans="1:11" x14ac:dyDescent="0.25">
      <c r="A84">
        <v>73</v>
      </c>
      <c r="B84" s="83">
        <v>0</v>
      </c>
      <c r="C84" s="83">
        <v>0</v>
      </c>
      <c r="D84" s="83">
        <v>0</v>
      </c>
      <c r="E84" s="83">
        <f t="shared" si="4"/>
        <v>0</v>
      </c>
      <c r="G84">
        <v>73</v>
      </c>
      <c r="H84" s="83">
        <v>0</v>
      </c>
      <c r="I84" s="83">
        <v>0</v>
      </c>
      <c r="J84" s="83">
        <v>0</v>
      </c>
      <c r="K84" s="83">
        <f t="shared" si="5"/>
        <v>0</v>
      </c>
    </row>
    <row r="85" spans="1:11" x14ac:dyDescent="0.25">
      <c r="A85">
        <v>74</v>
      </c>
      <c r="B85" s="83">
        <v>0</v>
      </c>
      <c r="C85" s="83">
        <v>0</v>
      </c>
      <c r="D85" s="83">
        <v>0</v>
      </c>
      <c r="E85" s="83">
        <f t="shared" si="4"/>
        <v>0</v>
      </c>
      <c r="G85">
        <v>74</v>
      </c>
      <c r="H85" s="83">
        <v>0</v>
      </c>
      <c r="I85" s="83">
        <v>0</v>
      </c>
      <c r="J85" s="83">
        <v>0</v>
      </c>
      <c r="K85" s="83">
        <f t="shared" si="5"/>
        <v>0</v>
      </c>
    </row>
    <row r="86" spans="1:11" x14ac:dyDescent="0.25">
      <c r="A86">
        <v>75</v>
      </c>
      <c r="B86" s="83">
        <v>0</v>
      </c>
      <c r="C86" s="83">
        <v>0</v>
      </c>
      <c r="D86" s="83">
        <v>0</v>
      </c>
      <c r="E86" s="83">
        <f t="shared" si="4"/>
        <v>0</v>
      </c>
      <c r="G86">
        <v>75</v>
      </c>
      <c r="H86" s="83">
        <v>0</v>
      </c>
      <c r="I86" s="83">
        <v>0</v>
      </c>
      <c r="J86" s="83">
        <v>0</v>
      </c>
      <c r="K86" s="83">
        <f t="shared" si="5"/>
        <v>0</v>
      </c>
    </row>
    <row r="87" spans="1:11" x14ac:dyDescent="0.25">
      <c r="A87">
        <v>76</v>
      </c>
      <c r="B87" s="83">
        <v>0</v>
      </c>
      <c r="C87" s="83">
        <v>0</v>
      </c>
      <c r="D87" s="83">
        <v>0</v>
      </c>
      <c r="E87" s="83">
        <f t="shared" si="4"/>
        <v>0</v>
      </c>
      <c r="G87">
        <v>76</v>
      </c>
      <c r="H87" s="83">
        <v>0</v>
      </c>
      <c r="I87" s="83">
        <v>0</v>
      </c>
      <c r="J87" s="85">
        <v>0</v>
      </c>
      <c r="K87" s="83">
        <f t="shared" si="5"/>
        <v>0</v>
      </c>
    </row>
    <row r="88" spans="1:11" x14ac:dyDescent="0.25">
      <c r="A88">
        <v>77</v>
      </c>
      <c r="B88" s="83">
        <v>0</v>
      </c>
      <c r="C88" s="83">
        <v>0</v>
      </c>
      <c r="D88" s="83">
        <v>0</v>
      </c>
      <c r="E88" s="83">
        <f t="shared" si="4"/>
        <v>0</v>
      </c>
      <c r="G88">
        <v>77</v>
      </c>
      <c r="H88" s="83">
        <v>0</v>
      </c>
      <c r="I88" s="83">
        <v>0</v>
      </c>
      <c r="J88" s="83">
        <v>0</v>
      </c>
      <c r="K88" s="83">
        <f t="shared" si="5"/>
        <v>0</v>
      </c>
    </row>
    <row r="89" spans="1:11" x14ac:dyDescent="0.25">
      <c r="A89">
        <v>78</v>
      </c>
      <c r="B89" s="83">
        <v>0</v>
      </c>
      <c r="C89" s="83">
        <v>0</v>
      </c>
      <c r="D89" s="83">
        <v>0</v>
      </c>
      <c r="E89" s="83">
        <f t="shared" si="4"/>
        <v>0</v>
      </c>
      <c r="G89">
        <v>78</v>
      </c>
      <c r="H89" s="83">
        <v>0</v>
      </c>
      <c r="I89" s="83">
        <v>0</v>
      </c>
      <c r="J89" s="85">
        <v>0</v>
      </c>
      <c r="K89" s="83">
        <f t="shared" si="5"/>
        <v>0</v>
      </c>
    </row>
    <row r="90" spans="1:11" x14ac:dyDescent="0.25">
      <c r="A90">
        <v>79</v>
      </c>
      <c r="B90" s="83">
        <v>0</v>
      </c>
      <c r="C90" s="83">
        <v>0</v>
      </c>
      <c r="D90" s="83">
        <v>0</v>
      </c>
      <c r="E90" s="83">
        <f t="shared" si="4"/>
        <v>0</v>
      </c>
      <c r="G90">
        <v>79</v>
      </c>
      <c r="H90" s="83">
        <v>0</v>
      </c>
      <c r="I90" s="83">
        <v>0</v>
      </c>
      <c r="J90" s="83">
        <v>0</v>
      </c>
      <c r="K90" s="83">
        <f t="shared" si="5"/>
        <v>0</v>
      </c>
    </row>
    <row r="91" spans="1:11" x14ac:dyDescent="0.25">
      <c r="A91">
        <v>80</v>
      </c>
      <c r="B91" s="83">
        <v>0</v>
      </c>
      <c r="C91" s="83">
        <v>0</v>
      </c>
      <c r="D91" s="83">
        <v>0</v>
      </c>
      <c r="E91" s="83">
        <f t="shared" si="4"/>
        <v>0</v>
      </c>
      <c r="G91">
        <v>80</v>
      </c>
      <c r="H91" s="83">
        <v>0</v>
      </c>
      <c r="I91" s="83">
        <v>0</v>
      </c>
      <c r="J91" s="83">
        <v>0</v>
      </c>
      <c r="K91" s="83">
        <f t="shared" si="5"/>
        <v>0</v>
      </c>
    </row>
    <row r="92" spans="1:11" x14ac:dyDescent="0.25">
      <c r="A92">
        <v>81</v>
      </c>
      <c r="B92" s="83">
        <v>0</v>
      </c>
      <c r="C92" s="83">
        <v>0</v>
      </c>
      <c r="D92" s="83">
        <v>0</v>
      </c>
      <c r="E92" s="83">
        <f t="shared" si="4"/>
        <v>0</v>
      </c>
      <c r="G92">
        <v>81</v>
      </c>
      <c r="H92" s="83">
        <v>0</v>
      </c>
      <c r="I92" s="83">
        <v>0</v>
      </c>
      <c r="J92" s="85">
        <v>0</v>
      </c>
      <c r="K92" s="83">
        <f t="shared" si="5"/>
        <v>0</v>
      </c>
    </row>
    <row r="93" spans="1:11" x14ac:dyDescent="0.25">
      <c r="A93">
        <v>82</v>
      </c>
      <c r="B93" s="83">
        <v>0</v>
      </c>
      <c r="C93" s="83">
        <v>0</v>
      </c>
      <c r="D93" s="83">
        <v>0</v>
      </c>
      <c r="E93" s="83">
        <f t="shared" si="4"/>
        <v>0</v>
      </c>
      <c r="G93">
        <v>82</v>
      </c>
      <c r="H93" s="83">
        <v>0</v>
      </c>
      <c r="I93" s="83">
        <v>0</v>
      </c>
      <c r="J93" s="83">
        <v>0</v>
      </c>
      <c r="K93" s="83">
        <f t="shared" si="5"/>
        <v>0</v>
      </c>
    </row>
    <row r="94" spans="1:11" x14ac:dyDescent="0.25">
      <c r="A94">
        <v>83</v>
      </c>
      <c r="B94" s="83">
        <v>0</v>
      </c>
      <c r="C94" s="83">
        <v>0</v>
      </c>
      <c r="D94" s="83">
        <v>0</v>
      </c>
      <c r="E94" s="83">
        <f t="shared" si="4"/>
        <v>0</v>
      </c>
      <c r="G94">
        <v>83</v>
      </c>
      <c r="H94" s="83">
        <v>0</v>
      </c>
      <c r="I94" s="83">
        <v>0</v>
      </c>
      <c r="J94" s="83">
        <v>0</v>
      </c>
      <c r="K94" s="83">
        <f t="shared" si="5"/>
        <v>0</v>
      </c>
    </row>
    <row r="95" spans="1:11" x14ac:dyDescent="0.25">
      <c r="A95">
        <v>84</v>
      </c>
      <c r="B95" s="83">
        <v>0</v>
      </c>
      <c r="C95" s="83">
        <v>0</v>
      </c>
      <c r="D95" s="83">
        <v>0</v>
      </c>
      <c r="E95" s="83">
        <f t="shared" si="4"/>
        <v>0</v>
      </c>
      <c r="G95">
        <v>84</v>
      </c>
      <c r="H95" s="83">
        <v>0</v>
      </c>
      <c r="I95" s="83">
        <v>0</v>
      </c>
      <c r="J95" s="83">
        <v>0</v>
      </c>
      <c r="K95" s="83">
        <f t="shared" si="5"/>
        <v>0</v>
      </c>
    </row>
    <row r="96" spans="1:11" x14ac:dyDescent="0.25">
      <c r="A96">
        <v>85</v>
      </c>
      <c r="B96" s="83">
        <v>0</v>
      </c>
      <c r="C96" s="83">
        <v>0</v>
      </c>
      <c r="D96" s="83">
        <v>0</v>
      </c>
      <c r="E96" s="83">
        <f t="shared" si="4"/>
        <v>0</v>
      </c>
      <c r="G96">
        <v>85</v>
      </c>
      <c r="H96" s="83">
        <v>0</v>
      </c>
      <c r="I96" s="83">
        <v>0</v>
      </c>
      <c r="J96" s="83">
        <v>0</v>
      </c>
      <c r="K96" s="83">
        <f t="shared" si="5"/>
        <v>0</v>
      </c>
    </row>
    <row r="97" spans="1:12" x14ac:dyDescent="0.25">
      <c r="A97">
        <v>86</v>
      </c>
      <c r="B97" s="83">
        <v>0</v>
      </c>
      <c r="C97" s="83">
        <v>0</v>
      </c>
      <c r="D97" s="83">
        <v>0</v>
      </c>
      <c r="E97" s="83">
        <f t="shared" si="4"/>
        <v>0</v>
      </c>
      <c r="G97">
        <v>86</v>
      </c>
      <c r="H97" s="83">
        <v>0</v>
      </c>
      <c r="I97" s="83">
        <v>0</v>
      </c>
      <c r="J97" s="83">
        <v>0</v>
      </c>
      <c r="K97" s="83">
        <f t="shared" si="5"/>
        <v>0</v>
      </c>
    </row>
    <row r="98" spans="1:12" x14ac:dyDescent="0.25">
      <c r="A98">
        <v>87</v>
      </c>
      <c r="B98" s="83">
        <v>0</v>
      </c>
      <c r="C98" s="83">
        <v>0</v>
      </c>
      <c r="D98" s="83">
        <v>0</v>
      </c>
      <c r="E98" s="83">
        <f t="shared" si="4"/>
        <v>0</v>
      </c>
      <c r="G98">
        <v>87</v>
      </c>
      <c r="H98" s="83">
        <v>0</v>
      </c>
      <c r="I98" s="83">
        <v>0</v>
      </c>
      <c r="J98" s="83">
        <v>0</v>
      </c>
      <c r="K98" s="83">
        <f t="shared" si="5"/>
        <v>0</v>
      </c>
    </row>
    <row r="99" spans="1:12" x14ac:dyDescent="0.25">
      <c r="A99">
        <v>88</v>
      </c>
      <c r="B99" s="83">
        <v>0</v>
      </c>
      <c r="C99" s="83">
        <v>0</v>
      </c>
      <c r="D99" s="83">
        <v>0</v>
      </c>
      <c r="E99" s="83">
        <f t="shared" si="4"/>
        <v>0</v>
      </c>
      <c r="G99">
        <v>88</v>
      </c>
      <c r="H99" s="83">
        <v>0</v>
      </c>
      <c r="I99" s="83">
        <v>0</v>
      </c>
      <c r="J99" s="83">
        <v>0</v>
      </c>
      <c r="K99" s="83">
        <f t="shared" si="5"/>
        <v>0</v>
      </c>
    </row>
    <row r="100" spans="1:12" x14ac:dyDescent="0.25">
      <c r="A100">
        <v>89</v>
      </c>
      <c r="B100" s="83">
        <v>0</v>
      </c>
      <c r="C100" s="83">
        <v>0</v>
      </c>
      <c r="D100" s="83">
        <v>0</v>
      </c>
      <c r="E100" s="83">
        <f t="shared" si="4"/>
        <v>0</v>
      </c>
      <c r="G100">
        <v>89</v>
      </c>
      <c r="H100" s="83">
        <v>0</v>
      </c>
      <c r="I100" s="83">
        <v>0</v>
      </c>
      <c r="J100" s="83">
        <v>0</v>
      </c>
      <c r="K100" s="83">
        <f t="shared" si="5"/>
        <v>0</v>
      </c>
    </row>
    <row r="101" spans="1:12" ht="15.75" thickBot="1" x14ac:dyDescent="0.3">
      <c r="A101" s="1">
        <v>90</v>
      </c>
      <c r="B101" s="84">
        <v>56177.107199999999</v>
      </c>
      <c r="C101" s="84">
        <v>10417.5607</v>
      </c>
      <c r="D101" s="84">
        <v>42483.839500000002</v>
      </c>
      <c r="E101" s="84">
        <f t="shared" si="4"/>
        <v>109078.5074</v>
      </c>
      <c r="G101" s="1">
        <v>90</v>
      </c>
      <c r="H101" s="84">
        <v>21047.425647261214</v>
      </c>
      <c r="I101" s="84">
        <v>0</v>
      </c>
      <c r="J101" s="84">
        <v>0</v>
      </c>
      <c r="K101" s="84">
        <f t="shared" si="5"/>
        <v>21047.425647261214</v>
      </c>
      <c r="L101" s="7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01"/>
  <sheetViews>
    <sheetView workbookViewId="0">
      <selection activeCell="P12" sqref="P12"/>
    </sheetView>
  </sheetViews>
  <sheetFormatPr defaultRowHeight="15" x14ac:dyDescent="0.25"/>
  <cols>
    <col min="2" max="2" width="10.5703125" bestFit="1" customWidth="1" collapsed="1"/>
    <col min="3" max="4" width="9.5703125" bestFit="1" customWidth="1" collapsed="1"/>
    <col min="5" max="5" width="10.5703125" bestFit="1" customWidth="1" collapsed="1"/>
    <col min="8" max="8" width="10.5703125" bestFit="1" customWidth="1" collapsed="1"/>
    <col min="9" max="10" width="9.5703125" bestFit="1" customWidth="1" collapsed="1"/>
    <col min="11" max="11" width="15.85546875" bestFit="1" customWidth="1" collapsed="1"/>
    <col min="15" max="15" width="15.7109375" bestFit="1" customWidth="1" collapsed="1"/>
  </cols>
  <sheetData>
    <row r="1" spans="1:15" x14ac:dyDescent="0.25">
      <c r="A1" t="s">
        <v>0</v>
      </c>
    </row>
    <row r="2" spans="1:15" x14ac:dyDescent="0.25">
      <c r="A2" t="s">
        <v>247</v>
      </c>
    </row>
    <row r="3" spans="1:15" x14ac:dyDescent="0.25">
      <c r="A3" t="s">
        <v>249</v>
      </c>
    </row>
    <row r="4" spans="1:15" x14ac:dyDescent="0.25">
      <c r="A4" t="s">
        <v>6</v>
      </c>
    </row>
    <row r="5" spans="1:15" x14ac:dyDescent="0.25">
      <c r="A5" t="s">
        <v>7</v>
      </c>
    </row>
    <row r="9" spans="1:15" ht="15.75" thickBot="1" x14ac:dyDescent="0.3">
      <c r="A9" s="4" t="s">
        <v>193</v>
      </c>
      <c r="B9" s="1"/>
      <c r="C9" s="1"/>
      <c r="D9" s="1"/>
      <c r="E9" s="1"/>
      <c r="G9" s="4" t="s">
        <v>10</v>
      </c>
      <c r="H9" s="1"/>
      <c r="I9" s="1"/>
      <c r="J9" s="1"/>
      <c r="K9" s="1"/>
      <c r="M9" s="11" t="s">
        <v>36</v>
      </c>
    </row>
    <row r="10" spans="1:15" x14ac:dyDescent="0.25">
      <c r="A10" s="2" t="s">
        <v>13</v>
      </c>
      <c r="B10" s="5" t="s">
        <v>41</v>
      </c>
      <c r="C10" s="5" t="s">
        <v>42</v>
      </c>
      <c r="D10" s="5" t="s">
        <v>52</v>
      </c>
      <c r="E10" s="5" t="s">
        <v>200</v>
      </c>
      <c r="G10" s="2" t="s">
        <v>13</v>
      </c>
      <c r="H10" s="5" t="s">
        <v>41</v>
      </c>
      <c r="I10" s="5" t="s">
        <v>42</v>
      </c>
      <c r="J10" s="5" t="s">
        <v>43</v>
      </c>
      <c r="K10" s="5" t="s">
        <v>252</v>
      </c>
      <c r="M10" s="2"/>
      <c r="N10" s="5" t="s">
        <v>200</v>
      </c>
      <c r="O10" s="5" t="s">
        <v>252</v>
      </c>
    </row>
    <row r="11" spans="1:15" x14ac:dyDescent="0.25">
      <c r="A11">
        <v>0</v>
      </c>
      <c r="B11" s="83">
        <v>0</v>
      </c>
      <c r="C11" s="83">
        <v>0</v>
      </c>
      <c r="D11" s="83">
        <v>0</v>
      </c>
      <c r="E11" s="83">
        <f t="shared" ref="E11:E42" si="0">SUM(B11:D11)</f>
        <v>0</v>
      </c>
      <c r="G11">
        <v>0</v>
      </c>
      <c r="H11" s="83">
        <v>34790.274388201557</v>
      </c>
      <c r="I11" s="83">
        <v>8666.3209440579885</v>
      </c>
      <c r="J11" s="85">
        <v>11272.990519927867</v>
      </c>
      <c r="K11" s="83">
        <f t="shared" ref="K11:K42" si="1">SUM(H11:J11)</f>
        <v>54729.585852187411</v>
      </c>
      <c r="M11" t="s">
        <v>41</v>
      </c>
      <c r="N11" s="9">
        <v>21.087312209213582</v>
      </c>
      <c r="O11" s="9">
        <v>13.216179836930477</v>
      </c>
    </row>
    <row r="12" spans="1:15" x14ac:dyDescent="0.25">
      <c r="A12">
        <v>1</v>
      </c>
      <c r="B12" s="83">
        <v>6745.1783000000005</v>
      </c>
      <c r="C12" s="83">
        <v>0</v>
      </c>
      <c r="D12" s="83">
        <v>0</v>
      </c>
      <c r="E12" s="83">
        <f t="shared" si="0"/>
        <v>6745.1783000000005</v>
      </c>
      <c r="G12">
        <v>1</v>
      </c>
      <c r="H12" s="83">
        <v>18274.323794356867</v>
      </c>
      <c r="I12" s="83">
        <v>2423.0003508131431</v>
      </c>
      <c r="J12" s="85">
        <v>1299.9899928676034</v>
      </c>
      <c r="K12" s="83">
        <f t="shared" si="1"/>
        <v>21997.314138037611</v>
      </c>
      <c r="M12" t="s">
        <v>42</v>
      </c>
      <c r="N12" s="9">
        <v>24.505741344918366</v>
      </c>
      <c r="O12" s="9">
        <v>17.073804066739033</v>
      </c>
    </row>
    <row r="13" spans="1:15" x14ac:dyDescent="0.25">
      <c r="A13">
        <v>2</v>
      </c>
      <c r="B13" s="83">
        <v>6033.2902999999997</v>
      </c>
      <c r="C13" s="83">
        <v>0</v>
      </c>
      <c r="D13" s="83">
        <v>0</v>
      </c>
      <c r="E13" s="83">
        <f t="shared" si="0"/>
        <v>6033.2902999999997</v>
      </c>
      <c r="G13">
        <v>2</v>
      </c>
      <c r="H13" s="83">
        <v>23656.352360637378</v>
      </c>
      <c r="I13" s="83">
        <v>3253.52184935791</v>
      </c>
      <c r="J13" s="85">
        <v>2608.4216132462793</v>
      </c>
      <c r="K13" s="83">
        <f t="shared" si="1"/>
        <v>29518.295823241566</v>
      </c>
      <c r="M13" s="6" t="s">
        <v>43</v>
      </c>
      <c r="N13" s="18">
        <v>25.487335023638565</v>
      </c>
      <c r="O13" s="18">
        <v>21.718334420458572</v>
      </c>
    </row>
    <row r="14" spans="1:15" ht="15.75" thickBot="1" x14ac:dyDescent="0.3">
      <c r="A14">
        <v>3</v>
      </c>
      <c r="B14" s="83">
        <v>7285.3036000000002</v>
      </c>
      <c r="C14" s="83">
        <v>827.74030000000005</v>
      </c>
      <c r="D14" s="83">
        <v>112.982</v>
      </c>
      <c r="E14" s="83">
        <f t="shared" si="0"/>
        <v>8226.0259000000005</v>
      </c>
      <c r="G14">
        <v>3</v>
      </c>
      <c r="H14" s="83">
        <v>25252.066580786075</v>
      </c>
      <c r="I14" s="83">
        <v>3306.9078327502098</v>
      </c>
      <c r="J14" s="85">
        <v>2833.0959066505834</v>
      </c>
      <c r="K14" s="83">
        <f t="shared" si="1"/>
        <v>31392.070320186867</v>
      </c>
      <c r="M14" s="1" t="s">
        <v>3</v>
      </c>
      <c r="N14" s="19">
        <v>21.973485253303615</v>
      </c>
      <c r="O14" s="19">
        <v>15.727703317719085</v>
      </c>
    </row>
    <row r="15" spans="1:15" x14ac:dyDescent="0.25">
      <c r="A15">
        <v>4</v>
      </c>
      <c r="B15" s="83">
        <v>10392.525900000001</v>
      </c>
      <c r="C15" s="83">
        <v>728.3605</v>
      </c>
      <c r="D15" s="83">
        <v>12.928000000000001</v>
      </c>
      <c r="E15" s="83">
        <f t="shared" si="0"/>
        <v>11133.814400000001</v>
      </c>
      <c r="G15">
        <v>4</v>
      </c>
      <c r="H15" s="83">
        <v>25830.844290099038</v>
      </c>
      <c r="I15" s="83">
        <v>3644.0631850757118</v>
      </c>
      <c r="J15" s="85">
        <v>3231.8143918777669</v>
      </c>
      <c r="K15" s="83">
        <f t="shared" si="1"/>
        <v>32706.721867052518</v>
      </c>
    </row>
    <row r="16" spans="1:15" x14ac:dyDescent="0.25">
      <c r="A16">
        <v>5</v>
      </c>
      <c r="B16" s="83">
        <v>5646.9799000000003</v>
      </c>
      <c r="C16" s="83">
        <v>329.50459999999998</v>
      </c>
      <c r="D16" s="83">
        <v>7452.6958000000004</v>
      </c>
      <c r="E16" s="83">
        <f t="shared" si="0"/>
        <v>13429.1803</v>
      </c>
      <c r="G16">
        <v>5</v>
      </c>
      <c r="H16" s="83">
        <v>24539.092678801953</v>
      </c>
      <c r="I16" s="83">
        <v>3917.2160296252428</v>
      </c>
      <c r="J16" s="85">
        <v>3439.7762738385222</v>
      </c>
      <c r="K16" s="83">
        <f t="shared" si="1"/>
        <v>31896.084982265718</v>
      </c>
    </row>
    <row r="17" spans="1:11" x14ac:dyDescent="0.25">
      <c r="A17">
        <v>6</v>
      </c>
      <c r="B17" s="83">
        <v>5830.5564999999997</v>
      </c>
      <c r="C17" s="83">
        <v>1405.8462999999999</v>
      </c>
      <c r="D17" s="83">
        <v>224.76899999999998</v>
      </c>
      <c r="E17" s="83">
        <f t="shared" si="0"/>
        <v>7461.1718000000001</v>
      </c>
      <c r="G17">
        <v>6</v>
      </c>
      <c r="H17" s="83">
        <v>22026.049965414266</v>
      </c>
      <c r="I17" s="83">
        <v>3582.2114656831645</v>
      </c>
      <c r="J17" s="85">
        <v>3976.7419446484655</v>
      </c>
      <c r="K17" s="83">
        <f t="shared" si="1"/>
        <v>29585.003375745895</v>
      </c>
    </row>
    <row r="18" spans="1:11" x14ac:dyDescent="0.25">
      <c r="A18">
        <v>7</v>
      </c>
      <c r="B18" s="83">
        <v>9951.9981000000007</v>
      </c>
      <c r="C18" s="83">
        <v>795.16</v>
      </c>
      <c r="D18" s="83">
        <v>215.69199999999998</v>
      </c>
      <c r="E18" s="83">
        <f t="shared" si="0"/>
        <v>10962.8501</v>
      </c>
      <c r="G18">
        <v>7</v>
      </c>
      <c r="H18" s="83">
        <v>19856.411163767032</v>
      </c>
      <c r="I18" s="83">
        <v>3277.3096399435549</v>
      </c>
      <c r="J18" s="85">
        <v>3211.4486818491218</v>
      </c>
      <c r="K18" s="83">
        <f t="shared" si="1"/>
        <v>26345.169485559709</v>
      </c>
    </row>
    <row r="19" spans="1:11" x14ac:dyDescent="0.25">
      <c r="A19">
        <v>8</v>
      </c>
      <c r="B19" s="83">
        <v>2651.7325000000001</v>
      </c>
      <c r="C19" s="83">
        <v>0</v>
      </c>
      <c r="D19" s="83">
        <v>766.78899999999999</v>
      </c>
      <c r="E19" s="83">
        <f t="shared" si="0"/>
        <v>3418.5214999999998</v>
      </c>
      <c r="G19">
        <v>8</v>
      </c>
      <c r="H19" s="83">
        <v>16684.654762451264</v>
      </c>
      <c r="I19" s="83">
        <v>3063.0915756944682</v>
      </c>
      <c r="J19" s="85">
        <v>2823.6370051055401</v>
      </c>
      <c r="K19" s="83">
        <f t="shared" si="1"/>
        <v>22571.383343251269</v>
      </c>
    </row>
    <row r="20" spans="1:11" x14ac:dyDescent="0.25">
      <c r="A20">
        <v>9</v>
      </c>
      <c r="B20" s="83">
        <v>10667.088099999999</v>
      </c>
      <c r="C20" s="83">
        <v>1134.9395999999999</v>
      </c>
      <c r="D20" s="83">
        <v>80.25569999999999</v>
      </c>
      <c r="E20" s="83">
        <f t="shared" si="0"/>
        <v>11882.283399999998</v>
      </c>
      <c r="G20">
        <v>9</v>
      </c>
      <c r="H20" s="83">
        <v>15265.57236124357</v>
      </c>
      <c r="I20" s="83">
        <v>2677.1392425970325</v>
      </c>
      <c r="J20" s="85">
        <v>2702.7019680484991</v>
      </c>
      <c r="K20" s="83">
        <f t="shared" si="1"/>
        <v>20645.413571889101</v>
      </c>
    </row>
    <row r="21" spans="1:11" x14ac:dyDescent="0.25">
      <c r="A21">
        <v>10</v>
      </c>
      <c r="B21" s="83">
        <v>4602.3874000000005</v>
      </c>
      <c r="C21" s="83">
        <v>541.97919999999999</v>
      </c>
      <c r="D21" s="83">
        <v>0</v>
      </c>
      <c r="E21" s="83">
        <f t="shared" si="0"/>
        <v>5144.3666000000003</v>
      </c>
      <c r="G21">
        <v>10</v>
      </c>
      <c r="H21" s="83">
        <v>12368.344125300786</v>
      </c>
      <c r="I21" s="83">
        <v>2256.4246446744442</v>
      </c>
      <c r="J21" s="85">
        <v>2391.0706756857126</v>
      </c>
      <c r="K21" s="83">
        <f t="shared" si="1"/>
        <v>17015.839445660942</v>
      </c>
    </row>
    <row r="22" spans="1:11" x14ac:dyDescent="0.25">
      <c r="A22">
        <v>11</v>
      </c>
      <c r="B22" s="83">
        <v>8116.9630999999999</v>
      </c>
      <c r="C22" s="83">
        <v>1022.1395</v>
      </c>
      <c r="D22" s="83">
        <v>445.91759999999999</v>
      </c>
      <c r="E22" s="83">
        <f t="shared" si="0"/>
        <v>9585.0202000000008</v>
      </c>
      <c r="G22">
        <v>11</v>
      </c>
      <c r="H22" s="83">
        <v>9654.5706636121577</v>
      </c>
      <c r="I22" s="83">
        <v>2182.4040167436783</v>
      </c>
      <c r="J22" s="85">
        <v>2103.1315202452929</v>
      </c>
      <c r="K22" s="83">
        <f t="shared" si="1"/>
        <v>13940.106200601129</v>
      </c>
    </row>
    <row r="23" spans="1:11" x14ac:dyDescent="0.25">
      <c r="A23">
        <v>12</v>
      </c>
      <c r="B23" s="83">
        <v>20061.9584</v>
      </c>
      <c r="C23" s="83">
        <v>2444.9375999999997</v>
      </c>
      <c r="D23" s="83">
        <v>253.25909999999999</v>
      </c>
      <c r="E23" s="83">
        <f t="shared" si="0"/>
        <v>22760.1551</v>
      </c>
      <c r="G23">
        <v>12</v>
      </c>
      <c r="H23" s="83">
        <v>9327.758946905109</v>
      </c>
      <c r="I23" s="83">
        <v>1828.3404859005398</v>
      </c>
      <c r="J23" s="85">
        <v>2187.0399280584857</v>
      </c>
      <c r="K23" s="83">
        <f t="shared" si="1"/>
        <v>13343.139360864136</v>
      </c>
    </row>
    <row r="24" spans="1:11" x14ac:dyDescent="0.25">
      <c r="A24">
        <v>13</v>
      </c>
      <c r="B24" s="83">
        <v>7538.7794000000004</v>
      </c>
      <c r="C24" s="83">
        <v>241.2413</v>
      </c>
      <c r="D24" s="83">
        <v>924.3569</v>
      </c>
      <c r="E24" s="83">
        <f t="shared" si="0"/>
        <v>8704.3775999999998</v>
      </c>
      <c r="G24">
        <v>13</v>
      </c>
      <c r="H24" s="83">
        <v>7054.007546376306</v>
      </c>
      <c r="I24" s="83">
        <v>1809.923872193142</v>
      </c>
      <c r="J24" s="85">
        <v>1674.3898047526548</v>
      </c>
      <c r="K24" s="83">
        <f t="shared" si="1"/>
        <v>10538.321223322102</v>
      </c>
    </row>
    <row r="25" spans="1:11" x14ac:dyDescent="0.25">
      <c r="A25">
        <v>14</v>
      </c>
      <c r="B25" s="83">
        <v>11279.2145</v>
      </c>
      <c r="C25" s="83">
        <v>834.17840000000001</v>
      </c>
      <c r="D25" s="83">
        <v>1634.7037</v>
      </c>
      <c r="E25" s="83">
        <f t="shared" si="0"/>
        <v>13748.096600000001</v>
      </c>
      <c r="G25">
        <v>14</v>
      </c>
      <c r="H25" s="83">
        <v>6266.2072397364291</v>
      </c>
      <c r="I25" s="83">
        <v>1550.5269805228504</v>
      </c>
      <c r="J25" s="85">
        <v>1396.2416281996466</v>
      </c>
      <c r="K25" s="83">
        <f t="shared" si="1"/>
        <v>9212.9758484589256</v>
      </c>
    </row>
    <row r="26" spans="1:11" x14ac:dyDescent="0.25">
      <c r="A26">
        <v>15</v>
      </c>
      <c r="B26" s="83">
        <v>1343.0691999999999</v>
      </c>
      <c r="C26" s="83">
        <v>0</v>
      </c>
      <c r="D26" s="83">
        <v>196.95</v>
      </c>
      <c r="E26" s="83">
        <f t="shared" si="0"/>
        <v>1540.0192</v>
      </c>
      <c r="G26">
        <v>15</v>
      </c>
      <c r="H26" s="83">
        <v>6426.2926048909303</v>
      </c>
      <c r="I26" s="83">
        <v>1516.0379756752529</v>
      </c>
      <c r="J26" s="85">
        <v>1328.0430205709902</v>
      </c>
      <c r="K26" s="83">
        <f t="shared" si="1"/>
        <v>9270.373601137173</v>
      </c>
    </row>
    <row r="27" spans="1:11" x14ac:dyDescent="0.25">
      <c r="A27">
        <v>16</v>
      </c>
      <c r="B27" s="83">
        <v>25742.307499999999</v>
      </c>
      <c r="C27" s="83">
        <v>2312.2284</v>
      </c>
      <c r="D27" s="83">
        <v>1590.6269</v>
      </c>
      <c r="E27" s="83">
        <f t="shared" si="0"/>
        <v>29645.162799999998</v>
      </c>
      <c r="G27">
        <v>16</v>
      </c>
      <c r="H27" s="83">
        <v>5016.3029211634394</v>
      </c>
      <c r="I27" s="83">
        <v>1257.4131160829793</v>
      </c>
      <c r="J27" s="85">
        <v>1207.1595583181966</v>
      </c>
      <c r="K27" s="83">
        <f t="shared" si="1"/>
        <v>7480.8755955646157</v>
      </c>
    </row>
    <row r="28" spans="1:11" x14ac:dyDescent="0.25">
      <c r="A28">
        <v>17</v>
      </c>
      <c r="B28" s="83">
        <v>11071.697899999999</v>
      </c>
      <c r="C28" s="83">
        <v>666.92319999999995</v>
      </c>
      <c r="D28" s="83">
        <v>0</v>
      </c>
      <c r="E28" s="83">
        <f t="shared" si="0"/>
        <v>11738.621099999998</v>
      </c>
      <c r="G28">
        <v>17</v>
      </c>
      <c r="H28" s="83">
        <v>4850.4725450415881</v>
      </c>
      <c r="I28" s="83">
        <v>1265.0236739957318</v>
      </c>
      <c r="J28" s="85">
        <v>1251.5730690096823</v>
      </c>
      <c r="K28" s="83">
        <f t="shared" si="1"/>
        <v>7367.0692880470024</v>
      </c>
    </row>
    <row r="29" spans="1:11" x14ac:dyDescent="0.25">
      <c r="A29">
        <v>18</v>
      </c>
      <c r="B29" s="83">
        <v>37230.789199999999</v>
      </c>
      <c r="C29" s="83">
        <v>5722.6716999999999</v>
      </c>
      <c r="D29" s="83">
        <v>5352.9331999999995</v>
      </c>
      <c r="E29" s="83">
        <f t="shared" si="0"/>
        <v>48306.394099999998</v>
      </c>
      <c r="G29">
        <v>18</v>
      </c>
      <c r="H29" s="83">
        <v>63337.934872865633</v>
      </c>
      <c r="I29" s="83">
        <v>16522.304342777952</v>
      </c>
      <c r="J29" s="85">
        <v>14750.311992554749</v>
      </c>
      <c r="K29" s="83">
        <f t="shared" si="1"/>
        <v>94610.551208198332</v>
      </c>
    </row>
    <row r="30" spans="1:11" x14ac:dyDescent="0.25">
      <c r="A30">
        <v>19</v>
      </c>
      <c r="B30" s="83">
        <v>19208.2896</v>
      </c>
      <c r="C30" s="83">
        <v>5036.6940000000004</v>
      </c>
      <c r="D30" s="83">
        <v>4783.6117999999997</v>
      </c>
      <c r="E30" s="83">
        <f t="shared" si="0"/>
        <v>29028.595399999998</v>
      </c>
      <c r="G30">
        <v>19</v>
      </c>
      <c r="H30" s="83">
        <v>13062.224217144945</v>
      </c>
      <c r="I30" s="83">
        <v>4000.032242927577</v>
      </c>
      <c r="J30" s="85">
        <v>5522.6768675728717</v>
      </c>
      <c r="K30" s="83">
        <f t="shared" si="1"/>
        <v>22584.933327645394</v>
      </c>
    </row>
    <row r="31" spans="1:11" x14ac:dyDescent="0.25">
      <c r="A31">
        <v>20</v>
      </c>
      <c r="B31" s="83">
        <v>41266.024400000002</v>
      </c>
      <c r="C31" s="83">
        <v>2008.2398000000001</v>
      </c>
      <c r="D31" s="83">
        <v>3383.5686999999998</v>
      </c>
      <c r="E31" s="83">
        <f t="shared" si="0"/>
        <v>46657.832900000009</v>
      </c>
      <c r="G31">
        <v>20</v>
      </c>
      <c r="H31" s="83">
        <v>9358.9233477964426</v>
      </c>
      <c r="I31" s="83">
        <v>3261.3462296109669</v>
      </c>
      <c r="J31" s="85">
        <v>6650.1161379646301</v>
      </c>
      <c r="K31" s="83">
        <f t="shared" si="1"/>
        <v>19270.385715372038</v>
      </c>
    </row>
    <row r="32" spans="1:11" x14ac:dyDescent="0.25">
      <c r="A32">
        <v>21</v>
      </c>
      <c r="B32" s="83">
        <v>20348.698100000001</v>
      </c>
      <c r="C32" s="83">
        <v>3177.5144</v>
      </c>
      <c r="D32" s="83">
        <v>3402.5726</v>
      </c>
      <c r="E32" s="83">
        <f t="shared" si="0"/>
        <v>26928.785100000001</v>
      </c>
      <c r="G32">
        <v>21</v>
      </c>
      <c r="H32" s="83">
        <v>13573.75277228754</v>
      </c>
      <c r="I32" s="83">
        <v>5285.6523740586863</v>
      </c>
      <c r="J32" s="85">
        <v>9860.9604338622448</v>
      </c>
      <c r="K32" s="83">
        <f t="shared" si="1"/>
        <v>28720.365580208472</v>
      </c>
    </row>
    <row r="33" spans="1:11" x14ac:dyDescent="0.25">
      <c r="A33">
        <v>22</v>
      </c>
      <c r="B33" s="83">
        <v>21622.0733</v>
      </c>
      <c r="C33" s="83">
        <v>2015.7887000000001</v>
      </c>
      <c r="D33" s="83">
        <v>4173.3805000000002</v>
      </c>
      <c r="E33" s="83">
        <f t="shared" si="0"/>
        <v>27811.2425</v>
      </c>
      <c r="G33">
        <v>22</v>
      </c>
      <c r="H33" s="83">
        <v>15901.09567767672</v>
      </c>
      <c r="I33" s="83">
        <v>5500.9035150026803</v>
      </c>
      <c r="J33" s="85">
        <v>7385.728802132835</v>
      </c>
      <c r="K33" s="83">
        <f t="shared" si="1"/>
        <v>28787.727994812234</v>
      </c>
    </row>
    <row r="34" spans="1:11" x14ac:dyDescent="0.25">
      <c r="A34">
        <v>23</v>
      </c>
      <c r="B34" s="83">
        <v>3476.5962</v>
      </c>
      <c r="C34" s="83">
        <v>87.1083</v>
      </c>
      <c r="D34" s="83">
        <v>2692.1727000000001</v>
      </c>
      <c r="E34" s="83">
        <f t="shared" si="0"/>
        <v>6255.8771999999999</v>
      </c>
      <c r="G34">
        <v>23</v>
      </c>
      <c r="H34" s="83">
        <v>14601.199917258316</v>
      </c>
      <c r="I34" s="83">
        <v>4425.1448582936428</v>
      </c>
      <c r="J34" s="85">
        <v>5235.6463338262674</v>
      </c>
      <c r="K34" s="83">
        <f t="shared" si="1"/>
        <v>24261.991109378228</v>
      </c>
    </row>
    <row r="35" spans="1:11" x14ac:dyDescent="0.25">
      <c r="A35">
        <v>24</v>
      </c>
      <c r="B35" s="83">
        <v>14231.0566</v>
      </c>
      <c r="C35" s="83">
        <v>5333.9229000000005</v>
      </c>
      <c r="D35" s="83">
        <v>1554.6602</v>
      </c>
      <c r="E35" s="83">
        <f t="shared" si="0"/>
        <v>21119.6397</v>
      </c>
      <c r="G35">
        <v>24</v>
      </c>
      <c r="H35" s="83">
        <v>9216.1185572392114</v>
      </c>
      <c r="I35" s="83">
        <v>3352.2992186091064</v>
      </c>
      <c r="J35" s="85">
        <v>8039.6819099905533</v>
      </c>
      <c r="K35" s="83">
        <f t="shared" si="1"/>
        <v>20608.099685838872</v>
      </c>
    </row>
    <row r="36" spans="1:11" x14ac:dyDescent="0.25">
      <c r="A36">
        <v>25</v>
      </c>
      <c r="B36" s="83">
        <v>14298.2394</v>
      </c>
      <c r="C36" s="83">
        <v>294.77409999999998</v>
      </c>
      <c r="D36" s="83">
        <v>1148.9579000000001</v>
      </c>
      <c r="E36" s="83">
        <f t="shared" si="0"/>
        <v>15741.9714</v>
      </c>
      <c r="G36">
        <v>25</v>
      </c>
      <c r="H36" s="83">
        <v>7434.588958588578</v>
      </c>
      <c r="I36" s="83">
        <v>2704.1217808183851</v>
      </c>
      <c r="J36" s="85">
        <v>4615.7866828601473</v>
      </c>
      <c r="K36" s="83">
        <f t="shared" si="1"/>
        <v>14754.49742226711</v>
      </c>
    </row>
    <row r="37" spans="1:11" x14ac:dyDescent="0.25">
      <c r="A37">
        <v>26</v>
      </c>
      <c r="B37" s="83">
        <v>33839.313099999999</v>
      </c>
      <c r="C37" s="83">
        <v>7174.6509999999998</v>
      </c>
      <c r="D37" s="83">
        <v>887.428</v>
      </c>
      <c r="E37" s="83">
        <f t="shared" si="0"/>
        <v>41901.392099999997</v>
      </c>
      <c r="G37">
        <v>26</v>
      </c>
      <c r="H37" s="83">
        <v>8970.3370346151623</v>
      </c>
      <c r="I37" s="83">
        <v>3837.5727209761571</v>
      </c>
      <c r="J37" s="85">
        <v>9384.4646461272368</v>
      </c>
      <c r="K37" s="83">
        <f t="shared" si="1"/>
        <v>22192.374401718556</v>
      </c>
    </row>
    <row r="38" spans="1:11" x14ac:dyDescent="0.25">
      <c r="A38">
        <v>27</v>
      </c>
      <c r="B38" s="83">
        <v>3780.4168</v>
      </c>
      <c r="C38" s="83">
        <v>2004.8523</v>
      </c>
      <c r="D38" s="83">
        <v>451.75979999999998</v>
      </c>
      <c r="E38" s="83">
        <f t="shared" si="0"/>
        <v>6237.0288999999993</v>
      </c>
      <c r="G38">
        <v>27</v>
      </c>
      <c r="H38" s="83">
        <v>5882.1285511625138</v>
      </c>
      <c r="I38" s="83">
        <v>2334.5291758167441</v>
      </c>
      <c r="J38" s="85">
        <v>7797.426345906797</v>
      </c>
      <c r="K38" s="83">
        <f t="shared" si="1"/>
        <v>16014.084072886055</v>
      </c>
    </row>
    <row r="39" spans="1:11" x14ac:dyDescent="0.25">
      <c r="A39">
        <v>28</v>
      </c>
      <c r="B39" s="83">
        <v>11328.2202</v>
      </c>
      <c r="C39" s="83">
        <v>1681.9155000000001</v>
      </c>
      <c r="D39" s="83">
        <v>1986.3262</v>
      </c>
      <c r="E39" s="83">
        <f t="shared" si="0"/>
        <v>14996.461899999998</v>
      </c>
      <c r="G39">
        <v>28</v>
      </c>
      <c r="H39" s="83">
        <v>3732.1872812736015</v>
      </c>
      <c r="I39" s="83">
        <v>1582.3959784998185</v>
      </c>
      <c r="J39" s="85">
        <v>5423.8178123705529</v>
      </c>
      <c r="K39" s="83">
        <f t="shared" si="1"/>
        <v>10738.401072143974</v>
      </c>
    </row>
    <row r="40" spans="1:11" x14ac:dyDescent="0.25">
      <c r="A40">
        <v>29</v>
      </c>
      <c r="B40" s="83">
        <v>4032.5270000000005</v>
      </c>
      <c r="C40" s="83">
        <v>2926.6144000000004</v>
      </c>
      <c r="D40" s="83">
        <v>1539.4123</v>
      </c>
      <c r="E40" s="83">
        <f t="shared" si="0"/>
        <v>8498.5537000000004</v>
      </c>
      <c r="G40">
        <v>29</v>
      </c>
      <c r="H40" s="83">
        <v>3226.5234329319787</v>
      </c>
      <c r="I40" s="83">
        <v>1362.2557530570209</v>
      </c>
      <c r="J40" s="85">
        <v>1427.4175482554178</v>
      </c>
      <c r="K40" s="83">
        <f t="shared" si="1"/>
        <v>6016.1967342444168</v>
      </c>
    </row>
    <row r="41" spans="1:11" x14ac:dyDescent="0.25">
      <c r="A41">
        <v>30</v>
      </c>
      <c r="B41" s="83">
        <v>14496.886</v>
      </c>
      <c r="C41" s="83">
        <v>3870.1862000000001</v>
      </c>
      <c r="D41" s="83">
        <v>1444.3077000000001</v>
      </c>
      <c r="E41" s="83">
        <f t="shared" si="0"/>
        <v>19811.379900000004</v>
      </c>
      <c r="G41">
        <v>30</v>
      </c>
      <c r="H41" s="83">
        <v>4039.4619302271449</v>
      </c>
      <c r="I41" s="83">
        <v>1998.371653585649</v>
      </c>
      <c r="J41" s="85">
        <v>4526.6174444636845</v>
      </c>
      <c r="K41" s="83">
        <f t="shared" si="1"/>
        <v>10564.451028276479</v>
      </c>
    </row>
    <row r="42" spans="1:11" x14ac:dyDescent="0.25">
      <c r="A42">
        <v>31</v>
      </c>
      <c r="B42" s="83">
        <v>4371.8630999999996</v>
      </c>
      <c r="C42" s="83">
        <v>2765.5990999999999</v>
      </c>
      <c r="D42" s="83">
        <v>1153.2854</v>
      </c>
      <c r="E42" s="83">
        <f t="shared" si="0"/>
        <v>8290.7476000000006</v>
      </c>
      <c r="G42">
        <v>31</v>
      </c>
      <c r="H42" s="83">
        <v>4200.5808326605566</v>
      </c>
      <c r="I42" s="83">
        <v>1801.3108387580305</v>
      </c>
      <c r="J42" s="85">
        <v>2894.7638711510599</v>
      </c>
      <c r="K42" s="83">
        <f t="shared" si="1"/>
        <v>8896.6555425696461</v>
      </c>
    </row>
    <row r="43" spans="1:11" x14ac:dyDescent="0.25">
      <c r="A43">
        <v>32</v>
      </c>
      <c r="B43" s="83">
        <v>4797.0135</v>
      </c>
      <c r="C43" s="83">
        <v>679.53390000000002</v>
      </c>
      <c r="D43" s="83">
        <v>193.37780000000001</v>
      </c>
      <c r="E43" s="83">
        <f t="shared" ref="E43:E74" si="2">SUM(B43:D43)</f>
        <v>5669.9252000000006</v>
      </c>
      <c r="G43">
        <v>32</v>
      </c>
      <c r="H43" s="83">
        <v>4657.8754978695761</v>
      </c>
      <c r="I43" s="83">
        <v>1531.6972539000978</v>
      </c>
      <c r="J43" s="85">
        <v>4288.8865791523995</v>
      </c>
      <c r="K43" s="83">
        <f t="shared" ref="K43:K74" si="3">SUM(H43:J43)</f>
        <v>10478.459330922073</v>
      </c>
    </row>
    <row r="44" spans="1:11" x14ac:dyDescent="0.25">
      <c r="A44">
        <v>33</v>
      </c>
      <c r="B44" s="83">
        <v>3526.8323</v>
      </c>
      <c r="C44" s="83">
        <v>0</v>
      </c>
      <c r="D44" s="83">
        <v>2470.4290999999998</v>
      </c>
      <c r="E44" s="83">
        <f t="shared" si="2"/>
        <v>5997.2613999999994</v>
      </c>
      <c r="G44">
        <v>33</v>
      </c>
      <c r="H44" s="83">
        <v>1766.1270034742849</v>
      </c>
      <c r="I44" s="83">
        <v>1285.8815518692777</v>
      </c>
      <c r="J44" s="85">
        <v>4492.7600566992196</v>
      </c>
      <c r="K44" s="83">
        <f t="shared" si="3"/>
        <v>7544.7686120427825</v>
      </c>
    </row>
    <row r="45" spans="1:11" x14ac:dyDescent="0.25">
      <c r="A45">
        <v>34</v>
      </c>
      <c r="B45" s="83">
        <v>12890.1114</v>
      </c>
      <c r="C45" s="83">
        <v>645.07359999999994</v>
      </c>
      <c r="D45" s="83">
        <v>1201.6505</v>
      </c>
      <c r="E45" s="83">
        <f t="shared" si="2"/>
        <v>14736.835499999999</v>
      </c>
      <c r="G45">
        <v>34</v>
      </c>
      <c r="H45" s="83">
        <v>2636.9296545167199</v>
      </c>
      <c r="I45" s="83">
        <v>990.1778544723295</v>
      </c>
      <c r="J45" s="85">
        <v>1930.2010889914818</v>
      </c>
      <c r="K45" s="83">
        <f t="shared" si="3"/>
        <v>5557.308597980531</v>
      </c>
    </row>
    <row r="46" spans="1:11" x14ac:dyDescent="0.25">
      <c r="A46">
        <v>35</v>
      </c>
      <c r="B46" s="83">
        <v>0</v>
      </c>
      <c r="C46" s="83">
        <v>438.06880000000001</v>
      </c>
      <c r="D46" s="83">
        <v>388.37090000000001</v>
      </c>
      <c r="E46" s="83">
        <f t="shared" si="2"/>
        <v>826.43970000000002</v>
      </c>
      <c r="G46">
        <v>35</v>
      </c>
      <c r="H46" s="83">
        <v>2991.7401854168565</v>
      </c>
      <c r="I46" s="83">
        <v>951.26617348323896</v>
      </c>
      <c r="J46" s="85">
        <v>2265.8271818925832</v>
      </c>
      <c r="K46" s="83">
        <f t="shared" si="3"/>
        <v>6208.8335407926788</v>
      </c>
    </row>
    <row r="47" spans="1:11" x14ac:dyDescent="0.25">
      <c r="A47">
        <v>36</v>
      </c>
      <c r="B47" s="83">
        <v>264.50869999999998</v>
      </c>
      <c r="C47" s="83">
        <v>0</v>
      </c>
      <c r="D47" s="83">
        <v>1345.1967999999999</v>
      </c>
      <c r="E47" s="83">
        <f t="shared" si="2"/>
        <v>1609.7055</v>
      </c>
      <c r="G47">
        <v>36</v>
      </c>
      <c r="H47" s="83">
        <v>1086.2850899755158</v>
      </c>
      <c r="I47" s="83">
        <v>737.43655550471158</v>
      </c>
      <c r="J47" s="85">
        <v>1643.1739300078016</v>
      </c>
      <c r="K47" s="83">
        <f t="shared" si="3"/>
        <v>3466.895575488029</v>
      </c>
    </row>
    <row r="48" spans="1:11" x14ac:dyDescent="0.25">
      <c r="A48">
        <v>37</v>
      </c>
      <c r="B48" s="83">
        <v>4936.4268000000002</v>
      </c>
      <c r="C48" s="83">
        <v>1379.2523000000001</v>
      </c>
      <c r="D48" s="83">
        <v>327.40269999999998</v>
      </c>
      <c r="E48" s="83">
        <f t="shared" si="2"/>
        <v>6643.0817999999999</v>
      </c>
      <c r="G48">
        <v>37</v>
      </c>
      <c r="H48" s="83">
        <v>1009.459057008433</v>
      </c>
      <c r="I48" s="83">
        <v>667.36454365202724</v>
      </c>
      <c r="J48" s="85">
        <v>1397.1690353426293</v>
      </c>
      <c r="K48" s="83">
        <f t="shared" si="3"/>
        <v>3073.9926360030895</v>
      </c>
    </row>
    <row r="49" spans="1:11" x14ac:dyDescent="0.25">
      <c r="A49">
        <v>38</v>
      </c>
      <c r="B49" s="83">
        <v>3535.002</v>
      </c>
      <c r="C49" s="83">
        <v>1625.885</v>
      </c>
      <c r="D49" s="83">
        <v>953.40769999999998</v>
      </c>
      <c r="E49" s="83">
        <f t="shared" si="2"/>
        <v>6114.2946999999995</v>
      </c>
      <c r="G49">
        <v>38</v>
      </c>
      <c r="H49" s="83">
        <v>577.65559134045714</v>
      </c>
      <c r="I49" s="83">
        <v>496.01083241479307</v>
      </c>
      <c r="J49" s="85">
        <v>1298.6530369338725</v>
      </c>
      <c r="K49" s="83">
        <f t="shared" si="3"/>
        <v>2372.3194606891229</v>
      </c>
    </row>
    <row r="50" spans="1:11" x14ac:dyDescent="0.25">
      <c r="A50">
        <v>39</v>
      </c>
      <c r="B50" s="83">
        <v>551.82499999999993</v>
      </c>
      <c r="C50" s="83">
        <v>0</v>
      </c>
      <c r="D50" s="83">
        <v>1511.3800999999999</v>
      </c>
      <c r="E50" s="83">
        <f t="shared" si="2"/>
        <v>2063.2050999999997</v>
      </c>
      <c r="G50">
        <v>39</v>
      </c>
      <c r="H50" s="83">
        <v>414.23940259581309</v>
      </c>
      <c r="I50" s="83">
        <v>304.54334011906985</v>
      </c>
      <c r="J50" s="85">
        <v>959.83020447499371</v>
      </c>
      <c r="K50" s="83">
        <f t="shared" si="3"/>
        <v>1678.6129471898766</v>
      </c>
    </row>
    <row r="51" spans="1:11" x14ac:dyDescent="0.25">
      <c r="A51">
        <v>40</v>
      </c>
      <c r="B51" s="83">
        <v>0</v>
      </c>
      <c r="C51" s="83">
        <v>55.733899999999998</v>
      </c>
      <c r="D51" s="83">
        <v>145.33349999999999</v>
      </c>
      <c r="E51" s="83">
        <f t="shared" si="2"/>
        <v>201.06739999999999</v>
      </c>
      <c r="G51">
        <v>40</v>
      </c>
      <c r="H51" s="83">
        <v>644.07869164794954</v>
      </c>
      <c r="I51" s="83">
        <v>510.52810850218782</v>
      </c>
      <c r="J51" s="85">
        <v>1992.5762633382358</v>
      </c>
      <c r="K51" s="83">
        <f t="shared" si="3"/>
        <v>3147.1830634883731</v>
      </c>
    </row>
    <row r="52" spans="1:11" x14ac:dyDescent="0.25">
      <c r="A52">
        <v>41</v>
      </c>
      <c r="B52" s="83">
        <v>5402.1253999999999</v>
      </c>
      <c r="C52" s="83">
        <v>0</v>
      </c>
      <c r="D52" s="83">
        <v>316.66180000000003</v>
      </c>
      <c r="E52" s="83">
        <f t="shared" si="2"/>
        <v>5718.7871999999998</v>
      </c>
      <c r="G52">
        <v>41</v>
      </c>
      <c r="H52" s="83">
        <v>566.29785221871236</v>
      </c>
      <c r="I52" s="83">
        <v>287.2261974195319</v>
      </c>
      <c r="J52" s="85">
        <v>656.43743697397906</v>
      </c>
      <c r="K52" s="83">
        <f t="shared" si="3"/>
        <v>1509.9614866122233</v>
      </c>
    </row>
    <row r="53" spans="1:11" x14ac:dyDescent="0.25">
      <c r="A53">
        <v>42</v>
      </c>
      <c r="B53" s="83">
        <v>0</v>
      </c>
      <c r="C53" s="83">
        <v>0</v>
      </c>
      <c r="D53" s="83">
        <v>214.2046</v>
      </c>
      <c r="E53" s="83">
        <f t="shared" si="2"/>
        <v>214.2046</v>
      </c>
      <c r="G53">
        <v>42</v>
      </c>
      <c r="H53" s="83">
        <v>1163.4688902653397</v>
      </c>
      <c r="I53" s="83">
        <v>462.32754887674702</v>
      </c>
      <c r="J53" s="85">
        <v>788.52787482346389</v>
      </c>
      <c r="K53" s="83">
        <f t="shared" si="3"/>
        <v>2414.3243139655506</v>
      </c>
    </row>
    <row r="54" spans="1:11" x14ac:dyDescent="0.25">
      <c r="A54">
        <v>43</v>
      </c>
      <c r="B54" s="83">
        <v>353.84660000000002</v>
      </c>
      <c r="C54" s="83">
        <v>254.11340000000001</v>
      </c>
      <c r="D54" s="83">
        <v>460.91019999999997</v>
      </c>
      <c r="E54" s="83">
        <f t="shared" si="2"/>
        <v>1068.8702000000001</v>
      </c>
      <c r="G54">
        <v>43</v>
      </c>
      <c r="H54" s="83">
        <v>498.5022722291439</v>
      </c>
      <c r="I54" s="83">
        <v>377.89235761004784</v>
      </c>
      <c r="J54" s="85">
        <v>1747.5548249770054</v>
      </c>
      <c r="K54" s="83">
        <f t="shared" si="3"/>
        <v>2623.9494548161974</v>
      </c>
    </row>
    <row r="55" spans="1:11" x14ac:dyDescent="0.25">
      <c r="A55">
        <v>44</v>
      </c>
      <c r="B55" s="83">
        <v>0</v>
      </c>
      <c r="C55" s="83">
        <v>262.79070000000002</v>
      </c>
      <c r="D55" s="83">
        <v>1013.4291000000001</v>
      </c>
      <c r="E55" s="83">
        <f t="shared" si="2"/>
        <v>1276.2198000000001</v>
      </c>
      <c r="G55">
        <v>44</v>
      </c>
      <c r="H55" s="83">
        <v>188.73401267690895</v>
      </c>
      <c r="I55" s="83">
        <v>161.91528223205924</v>
      </c>
      <c r="J55" s="85">
        <v>387.43870528687944</v>
      </c>
      <c r="K55" s="83">
        <f t="shared" si="3"/>
        <v>738.0880001958476</v>
      </c>
    </row>
    <row r="56" spans="1:11" x14ac:dyDescent="0.25">
      <c r="A56">
        <v>45</v>
      </c>
      <c r="B56" s="83">
        <v>14075.8714</v>
      </c>
      <c r="C56" s="83">
        <v>3017.0855000000001</v>
      </c>
      <c r="D56" s="83">
        <v>3907.4936000000002</v>
      </c>
      <c r="E56" s="83">
        <f t="shared" si="2"/>
        <v>21000.450500000003</v>
      </c>
      <c r="G56">
        <v>45</v>
      </c>
      <c r="H56" s="83">
        <v>160.27182115593914</v>
      </c>
      <c r="I56" s="83">
        <v>186.43007255154885</v>
      </c>
      <c r="J56" s="85">
        <v>537.16962911861253</v>
      </c>
      <c r="K56" s="83">
        <f t="shared" si="3"/>
        <v>883.87152282610054</v>
      </c>
    </row>
    <row r="57" spans="1:11" x14ac:dyDescent="0.25">
      <c r="A57">
        <v>46</v>
      </c>
      <c r="B57" s="83">
        <v>522.32510000000002</v>
      </c>
      <c r="C57" s="83">
        <v>522.32510000000002</v>
      </c>
      <c r="D57" s="83">
        <v>427.75900000000001</v>
      </c>
      <c r="E57" s="83">
        <f t="shared" si="2"/>
        <v>1472.4092000000001</v>
      </c>
      <c r="G57">
        <v>46</v>
      </c>
      <c r="H57" s="83">
        <v>160.9705633469307</v>
      </c>
      <c r="I57" s="83">
        <v>138.76696198805371</v>
      </c>
      <c r="J57" s="85">
        <v>433.12318465925324</v>
      </c>
      <c r="K57" s="83">
        <f t="shared" si="3"/>
        <v>732.8607099942376</v>
      </c>
    </row>
    <row r="58" spans="1:11" x14ac:dyDescent="0.25">
      <c r="A58">
        <v>47</v>
      </c>
      <c r="B58" s="83">
        <v>321.005</v>
      </c>
      <c r="C58" s="83">
        <v>0</v>
      </c>
      <c r="D58" s="83">
        <v>667.40980000000002</v>
      </c>
      <c r="E58" s="83">
        <f t="shared" si="2"/>
        <v>988.41480000000001</v>
      </c>
      <c r="G58">
        <v>47</v>
      </c>
      <c r="H58" s="83">
        <v>95.766120239256182</v>
      </c>
      <c r="I58" s="83">
        <v>118.31833613563322</v>
      </c>
      <c r="J58" s="85">
        <v>496.45007279344662</v>
      </c>
      <c r="K58" s="83">
        <f t="shared" si="3"/>
        <v>710.53452916833601</v>
      </c>
    </row>
    <row r="59" spans="1:11" x14ac:dyDescent="0.25">
      <c r="A59">
        <v>48</v>
      </c>
      <c r="B59" s="83">
        <v>0</v>
      </c>
      <c r="C59" s="83">
        <v>0</v>
      </c>
      <c r="D59" s="83">
        <v>82.013999999999996</v>
      </c>
      <c r="E59" s="83">
        <f t="shared" si="2"/>
        <v>82.013999999999996</v>
      </c>
      <c r="G59">
        <v>48</v>
      </c>
      <c r="H59" s="83">
        <v>68.520028413485619</v>
      </c>
      <c r="I59" s="83">
        <v>83.390413962219611</v>
      </c>
      <c r="J59" s="85">
        <v>377.92022036297993</v>
      </c>
      <c r="K59" s="83">
        <f t="shared" si="3"/>
        <v>529.83066273868519</v>
      </c>
    </row>
    <row r="60" spans="1:11" x14ac:dyDescent="0.25">
      <c r="A60">
        <v>49</v>
      </c>
      <c r="B60" s="83">
        <v>1297.2364</v>
      </c>
      <c r="C60" s="83">
        <v>0</v>
      </c>
      <c r="D60" s="83">
        <v>138.9376</v>
      </c>
      <c r="E60" s="83">
        <f t="shared" si="2"/>
        <v>1436.174</v>
      </c>
      <c r="G60">
        <v>49</v>
      </c>
      <c r="H60" s="83">
        <v>117.03797969801353</v>
      </c>
      <c r="I60" s="83">
        <v>99.229327418892098</v>
      </c>
      <c r="J60" s="85">
        <v>506.05076925643345</v>
      </c>
      <c r="K60" s="83">
        <f t="shared" si="3"/>
        <v>722.31807637333907</v>
      </c>
    </row>
    <row r="61" spans="1:11" x14ac:dyDescent="0.25">
      <c r="A61">
        <v>50</v>
      </c>
      <c r="B61" s="83">
        <v>279.85169999999999</v>
      </c>
      <c r="C61" s="83">
        <v>0</v>
      </c>
      <c r="D61" s="83">
        <v>462.85199999999998</v>
      </c>
      <c r="E61" s="83">
        <f t="shared" si="2"/>
        <v>742.70370000000003</v>
      </c>
      <c r="G61">
        <v>50</v>
      </c>
      <c r="H61" s="83">
        <v>28.015023788903189</v>
      </c>
      <c r="I61" s="83">
        <v>107.95609797825978</v>
      </c>
      <c r="J61" s="85">
        <v>292.66007273411935</v>
      </c>
      <c r="K61" s="83">
        <f t="shared" si="3"/>
        <v>428.63119450128232</v>
      </c>
    </row>
    <row r="62" spans="1:11" x14ac:dyDescent="0.25">
      <c r="A62">
        <v>51</v>
      </c>
      <c r="B62" s="83">
        <v>0</v>
      </c>
      <c r="C62" s="83">
        <v>0</v>
      </c>
      <c r="D62" s="83">
        <v>27.320999999999998</v>
      </c>
      <c r="E62" s="83">
        <f t="shared" si="2"/>
        <v>27.320999999999998</v>
      </c>
      <c r="G62">
        <v>51</v>
      </c>
      <c r="H62" s="83">
        <v>50.784921755526582</v>
      </c>
      <c r="I62" s="83">
        <v>44.648745351811748</v>
      </c>
      <c r="J62" s="85">
        <v>501.05345998099978</v>
      </c>
      <c r="K62" s="83">
        <f t="shared" si="3"/>
        <v>596.48712708833807</v>
      </c>
    </row>
    <row r="63" spans="1:11" x14ac:dyDescent="0.25">
      <c r="A63">
        <v>52</v>
      </c>
      <c r="B63" s="83">
        <v>775.44090000000006</v>
      </c>
      <c r="C63" s="83">
        <v>0</v>
      </c>
      <c r="D63" s="83">
        <v>0</v>
      </c>
      <c r="E63" s="83">
        <f t="shared" si="2"/>
        <v>775.44090000000006</v>
      </c>
      <c r="G63">
        <v>52</v>
      </c>
      <c r="H63" s="83">
        <v>35.260835953029201</v>
      </c>
      <c r="I63" s="83">
        <v>95.097342817079593</v>
      </c>
      <c r="J63" s="85">
        <v>1021.4027464570353</v>
      </c>
      <c r="K63" s="83">
        <f t="shared" si="3"/>
        <v>1151.7609252271441</v>
      </c>
    </row>
    <row r="64" spans="1:11" x14ac:dyDescent="0.25">
      <c r="A64">
        <v>53</v>
      </c>
      <c r="B64" s="83">
        <v>0</v>
      </c>
      <c r="C64" s="83">
        <v>0</v>
      </c>
      <c r="D64" s="83">
        <v>227.03720000000001</v>
      </c>
      <c r="E64" s="83">
        <f t="shared" si="2"/>
        <v>227.03720000000001</v>
      </c>
      <c r="G64">
        <v>53</v>
      </c>
      <c r="H64" s="83">
        <v>17.001024295990501</v>
      </c>
      <c r="I64" s="83">
        <v>42.802385849268667</v>
      </c>
      <c r="J64" s="85">
        <v>476.82483834035366</v>
      </c>
      <c r="K64" s="83">
        <f t="shared" si="3"/>
        <v>536.62824848561286</v>
      </c>
    </row>
    <row r="65" spans="1:11" x14ac:dyDescent="0.25">
      <c r="A65">
        <v>54</v>
      </c>
      <c r="B65" s="83">
        <v>0</v>
      </c>
      <c r="C65" s="83">
        <v>0</v>
      </c>
      <c r="D65" s="83">
        <v>0</v>
      </c>
      <c r="E65" s="83">
        <f t="shared" si="2"/>
        <v>0</v>
      </c>
      <c r="G65">
        <v>54</v>
      </c>
      <c r="H65" s="83">
        <v>25.468731641893658</v>
      </c>
      <c r="I65" s="83">
        <v>34.241223688981712</v>
      </c>
      <c r="J65" s="85">
        <v>198.07464224841161</v>
      </c>
      <c r="K65" s="83">
        <f t="shared" si="3"/>
        <v>257.78459757928698</v>
      </c>
    </row>
    <row r="66" spans="1:11" x14ac:dyDescent="0.25">
      <c r="A66">
        <v>55</v>
      </c>
      <c r="B66" s="83">
        <v>1287.2831999999999</v>
      </c>
      <c r="C66" s="83">
        <v>1194.723</v>
      </c>
      <c r="D66" s="83">
        <v>31.814</v>
      </c>
      <c r="E66" s="83">
        <f t="shared" si="2"/>
        <v>2513.8201999999997</v>
      </c>
      <c r="G66">
        <v>55</v>
      </c>
      <c r="H66" s="83">
        <v>42.322917166866809</v>
      </c>
      <c r="I66" s="83">
        <v>43.520528544453512</v>
      </c>
      <c r="J66" s="85">
        <v>138.25408537047369</v>
      </c>
      <c r="K66" s="83">
        <f t="shared" si="3"/>
        <v>224.09753108179402</v>
      </c>
    </row>
    <row r="67" spans="1:11" x14ac:dyDescent="0.25">
      <c r="A67">
        <v>56</v>
      </c>
      <c r="B67" s="83">
        <v>0</v>
      </c>
      <c r="C67" s="83">
        <v>0</v>
      </c>
      <c r="D67" s="83">
        <v>0</v>
      </c>
      <c r="E67" s="83">
        <f t="shared" si="2"/>
        <v>0</v>
      </c>
      <c r="G67">
        <v>56</v>
      </c>
      <c r="H67" s="83">
        <v>20.459250927320639</v>
      </c>
      <c r="I67" s="83">
        <v>67.754103551555403</v>
      </c>
      <c r="J67" s="85">
        <v>402.02241100959719</v>
      </c>
      <c r="K67" s="83">
        <f t="shared" si="3"/>
        <v>490.23576548847325</v>
      </c>
    </row>
    <row r="68" spans="1:11" x14ac:dyDescent="0.25">
      <c r="A68">
        <v>57</v>
      </c>
      <c r="B68" s="83">
        <v>0</v>
      </c>
      <c r="C68" s="83">
        <v>0</v>
      </c>
      <c r="D68" s="83">
        <v>16.64</v>
      </c>
      <c r="E68" s="83">
        <f t="shared" si="2"/>
        <v>16.64</v>
      </c>
      <c r="G68">
        <v>57</v>
      </c>
      <c r="H68" s="83">
        <v>5.2557306590257902</v>
      </c>
      <c r="I68" s="83">
        <v>21.018967689494009</v>
      </c>
      <c r="J68" s="85">
        <v>313.07609616545722</v>
      </c>
      <c r="K68" s="83">
        <f t="shared" si="3"/>
        <v>339.35079451397701</v>
      </c>
    </row>
    <row r="69" spans="1:11" x14ac:dyDescent="0.25">
      <c r="A69">
        <v>58</v>
      </c>
      <c r="B69" s="83">
        <v>0</v>
      </c>
      <c r="C69" s="83">
        <v>0</v>
      </c>
      <c r="D69" s="83">
        <v>16.385000000000002</v>
      </c>
      <c r="E69" s="83">
        <f t="shared" si="2"/>
        <v>16.385000000000002</v>
      </c>
      <c r="G69">
        <v>58</v>
      </c>
      <c r="H69" s="83">
        <v>0.25</v>
      </c>
      <c r="I69" s="83">
        <v>30.161066799601191</v>
      </c>
      <c r="J69" s="85">
        <v>114.35308522203732</v>
      </c>
      <c r="K69" s="83">
        <f t="shared" si="3"/>
        <v>144.76415202163852</v>
      </c>
    </row>
    <row r="70" spans="1:11" x14ac:dyDescent="0.25">
      <c r="A70">
        <v>59</v>
      </c>
      <c r="B70" s="83">
        <v>0</v>
      </c>
      <c r="C70" s="83">
        <v>0</v>
      </c>
      <c r="D70" s="83">
        <v>0</v>
      </c>
      <c r="E70" s="83">
        <f t="shared" si="2"/>
        <v>0</v>
      </c>
      <c r="G70">
        <v>59</v>
      </c>
      <c r="H70" s="83">
        <v>5.25</v>
      </c>
      <c r="I70" s="83">
        <v>10.49649122807018</v>
      </c>
      <c r="J70" s="85">
        <v>169.26447025550488</v>
      </c>
      <c r="K70" s="83">
        <f t="shared" si="3"/>
        <v>185.01096148357504</v>
      </c>
    </row>
    <row r="71" spans="1:11" x14ac:dyDescent="0.25">
      <c r="A71">
        <v>60</v>
      </c>
      <c r="B71" s="83">
        <v>0</v>
      </c>
      <c r="C71" s="83">
        <v>0</v>
      </c>
      <c r="D71" s="83">
        <v>0</v>
      </c>
      <c r="E71" s="83">
        <f t="shared" si="2"/>
        <v>0</v>
      </c>
      <c r="G71">
        <v>60</v>
      </c>
      <c r="H71" s="83">
        <v>0</v>
      </c>
      <c r="I71" s="83">
        <v>20.287079365079329</v>
      </c>
      <c r="J71" s="85">
        <v>126.4183139151002</v>
      </c>
      <c r="K71" s="83">
        <f t="shared" si="3"/>
        <v>146.70539328017952</v>
      </c>
    </row>
    <row r="72" spans="1:11" x14ac:dyDescent="0.25">
      <c r="A72">
        <v>61</v>
      </c>
      <c r="B72" s="83">
        <v>0</v>
      </c>
      <c r="C72" s="83">
        <v>0</v>
      </c>
      <c r="D72" s="83">
        <v>0</v>
      </c>
      <c r="E72" s="83">
        <f t="shared" si="2"/>
        <v>0</v>
      </c>
      <c r="G72">
        <v>61</v>
      </c>
      <c r="H72" s="83">
        <v>4.9954954954954998</v>
      </c>
      <c r="I72" s="83">
        <v>35.42077269649581</v>
      </c>
      <c r="J72" s="85">
        <v>95.109765916956718</v>
      </c>
      <c r="K72" s="83">
        <f t="shared" si="3"/>
        <v>135.52603410894801</v>
      </c>
    </row>
    <row r="73" spans="1:11" x14ac:dyDescent="0.25">
      <c r="A73">
        <v>62</v>
      </c>
      <c r="B73" s="83">
        <v>0</v>
      </c>
      <c r="C73" s="83">
        <v>0</v>
      </c>
      <c r="D73" s="83">
        <v>21.709000000000003</v>
      </c>
      <c r="E73" s="83">
        <f t="shared" si="2"/>
        <v>21.709000000000003</v>
      </c>
      <c r="G73">
        <v>62</v>
      </c>
      <c r="H73" s="83">
        <v>0</v>
      </c>
      <c r="I73" s="83">
        <v>10.0094936708861</v>
      </c>
      <c r="J73" s="85">
        <v>95.608782830821013</v>
      </c>
      <c r="K73" s="83">
        <f t="shared" si="3"/>
        <v>105.61827650170711</v>
      </c>
    </row>
    <row r="74" spans="1:11" x14ac:dyDescent="0.25">
      <c r="A74">
        <v>63</v>
      </c>
      <c r="B74" s="83">
        <v>0</v>
      </c>
      <c r="C74" s="83">
        <v>0</v>
      </c>
      <c r="D74" s="83">
        <v>4.1280000000000001</v>
      </c>
      <c r="E74" s="83">
        <f t="shared" si="2"/>
        <v>4.1280000000000001</v>
      </c>
      <c r="G74">
        <v>63</v>
      </c>
      <c r="H74" s="83">
        <v>0</v>
      </c>
      <c r="I74" s="83">
        <v>45.122029902464618</v>
      </c>
      <c r="J74" s="85">
        <v>170.04519043754402</v>
      </c>
      <c r="K74" s="83">
        <f t="shared" si="3"/>
        <v>215.16722034000864</v>
      </c>
    </row>
    <row r="75" spans="1:11" x14ac:dyDescent="0.25">
      <c r="A75">
        <v>64</v>
      </c>
      <c r="B75" s="83">
        <v>0</v>
      </c>
      <c r="C75" s="83">
        <v>78.963099999999997</v>
      </c>
      <c r="D75" s="83">
        <v>10.791</v>
      </c>
      <c r="E75" s="83">
        <f t="shared" ref="E75:E101" si="4">SUM(B75:D75)</f>
        <v>89.754099999999994</v>
      </c>
      <c r="G75">
        <v>64</v>
      </c>
      <c r="H75" s="83">
        <v>16.976190476190482</v>
      </c>
      <c r="I75" s="83">
        <v>15.13192113521627</v>
      </c>
      <c r="J75" s="85">
        <v>274.04210774224055</v>
      </c>
      <c r="K75" s="83">
        <f t="shared" ref="K75:K101" si="5">SUM(H75:J75)</f>
        <v>306.15021935364729</v>
      </c>
    </row>
    <row r="76" spans="1:11" x14ac:dyDescent="0.25">
      <c r="A76">
        <v>65</v>
      </c>
      <c r="B76" s="83">
        <v>0</v>
      </c>
      <c r="C76" s="83">
        <v>0</v>
      </c>
      <c r="D76" s="83">
        <v>0</v>
      </c>
      <c r="E76" s="83">
        <f t="shared" si="4"/>
        <v>0</v>
      </c>
      <c r="G76">
        <v>65</v>
      </c>
      <c r="H76" s="83">
        <v>9.9916281119189296</v>
      </c>
      <c r="I76" s="83">
        <v>0.25</v>
      </c>
      <c r="J76" s="85">
        <v>116.52231653899592</v>
      </c>
      <c r="K76" s="83">
        <f t="shared" si="5"/>
        <v>126.76394465091485</v>
      </c>
    </row>
    <row r="77" spans="1:11" x14ac:dyDescent="0.25">
      <c r="A77">
        <v>66</v>
      </c>
      <c r="B77" s="83">
        <v>0</v>
      </c>
      <c r="C77" s="83">
        <v>0</v>
      </c>
      <c r="D77" s="83">
        <v>275.56139999999999</v>
      </c>
      <c r="E77" s="83">
        <f t="shared" si="4"/>
        <v>275.56139999999999</v>
      </c>
      <c r="G77">
        <v>66</v>
      </c>
      <c r="H77" s="83">
        <v>1.97619047619048</v>
      </c>
      <c r="I77" s="83">
        <v>25.649473251785111</v>
      </c>
      <c r="J77" s="85">
        <v>130.51075216081549</v>
      </c>
      <c r="K77" s="83">
        <f t="shared" si="5"/>
        <v>158.13641588879108</v>
      </c>
    </row>
    <row r="78" spans="1:11" x14ac:dyDescent="0.25">
      <c r="A78">
        <v>67</v>
      </c>
      <c r="B78" s="83">
        <v>0</v>
      </c>
      <c r="C78" s="83">
        <v>0</v>
      </c>
      <c r="D78" s="83">
        <v>495.27499999999998</v>
      </c>
      <c r="E78" s="83">
        <f t="shared" si="4"/>
        <v>495.27499999999998</v>
      </c>
      <c r="G78">
        <v>67</v>
      </c>
      <c r="H78" s="83">
        <v>9.0325219743069596</v>
      </c>
      <c r="I78" s="83">
        <v>0</v>
      </c>
      <c r="J78" s="85">
        <v>61.763524721472891</v>
      </c>
      <c r="K78" s="83">
        <f t="shared" si="5"/>
        <v>70.79604669577985</v>
      </c>
    </row>
    <row r="79" spans="1:11" x14ac:dyDescent="0.25">
      <c r="A79">
        <v>68</v>
      </c>
      <c r="B79" s="83">
        <v>0</v>
      </c>
      <c r="C79" s="83">
        <v>0</v>
      </c>
      <c r="D79" s="83">
        <v>0</v>
      </c>
      <c r="E79" s="83">
        <f t="shared" si="4"/>
        <v>0</v>
      </c>
      <c r="G79">
        <v>68</v>
      </c>
      <c r="H79" s="83">
        <v>0</v>
      </c>
      <c r="I79" s="83">
        <v>14.996632996632989</v>
      </c>
      <c r="J79" s="85">
        <v>20.595063430777721</v>
      </c>
      <c r="K79" s="83">
        <f t="shared" si="5"/>
        <v>35.59169642741071</v>
      </c>
    </row>
    <row r="80" spans="1:11" x14ac:dyDescent="0.25">
      <c r="A80">
        <v>69</v>
      </c>
      <c r="B80" s="83">
        <v>0</v>
      </c>
      <c r="C80" s="83">
        <v>0</v>
      </c>
      <c r="D80" s="83">
        <v>8.4849999999999994</v>
      </c>
      <c r="E80" s="83">
        <f t="shared" si="4"/>
        <v>8.4849999999999994</v>
      </c>
      <c r="G80">
        <v>69</v>
      </c>
      <c r="H80" s="83">
        <v>0</v>
      </c>
      <c r="I80" s="83">
        <v>1.9986876640419899</v>
      </c>
      <c r="J80" s="85">
        <v>20.74873335848044</v>
      </c>
      <c r="K80" s="83">
        <f t="shared" si="5"/>
        <v>22.747421022522431</v>
      </c>
    </row>
    <row r="81" spans="1:11" x14ac:dyDescent="0.25">
      <c r="A81">
        <v>70</v>
      </c>
      <c r="B81" s="83">
        <v>0</v>
      </c>
      <c r="C81" s="83">
        <v>0</v>
      </c>
      <c r="D81" s="83">
        <v>0</v>
      </c>
      <c r="E81" s="83">
        <f t="shared" si="4"/>
        <v>0</v>
      </c>
      <c r="G81">
        <v>70</v>
      </c>
      <c r="H81" s="83">
        <v>30.31425171866735</v>
      </c>
      <c r="I81" s="83">
        <v>10.26333333333333</v>
      </c>
      <c r="J81" s="85">
        <v>9.9755286291280605</v>
      </c>
      <c r="K81" s="83">
        <f t="shared" si="5"/>
        <v>50.553113681128735</v>
      </c>
    </row>
    <row r="82" spans="1:11" x14ac:dyDescent="0.25">
      <c r="A82">
        <v>71</v>
      </c>
      <c r="B82" s="83">
        <v>0</v>
      </c>
      <c r="C82" s="83">
        <v>0</v>
      </c>
      <c r="D82" s="83">
        <v>0</v>
      </c>
      <c r="E82" s="83">
        <f t="shared" si="4"/>
        <v>0</v>
      </c>
      <c r="G82">
        <v>71</v>
      </c>
      <c r="H82" s="83">
        <v>0</v>
      </c>
      <c r="I82" s="83">
        <v>5.0033444816053496</v>
      </c>
      <c r="J82" s="85">
        <v>5.0077220077220099</v>
      </c>
      <c r="K82" s="83">
        <f t="shared" si="5"/>
        <v>10.011066489327359</v>
      </c>
    </row>
    <row r="83" spans="1:11" x14ac:dyDescent="0.25">
      <c r="A83">
        <v>72</v>
      </c>
      <c r="B83" s="83">
        <v>99.986099999999993</v>
      </c>
      <c r="C83" s="83">
        <v>542.72389999999996</v>
      </c>
      <c r="D83" s="83">
        <v>11.159000000000001</v>
      </c>
      <c r="E83" s="83">
        <f t="shared" si="4"/>
        <v>653.86899999999991</v>
      </c>
      <c r="G83">
        <v>72</v>
      </c>
      <c r="H83" s="83">
        <v>0</v>
      </c>
      <c r="I83" s="83">
        <v>10.010309278350499</v>
      </c>
      <c r="J83" s="85">
        <v>1.75</v>
      </c>
      <c r="K83" s="83">
        <f t="shared" si="5"/>
        <v>11.760309278350499</v>
      </c>
    </row>
    <row r="84" spans="1:11" x14ac:dyDescent="0.25">
      <c r="A84">
        <v>73</v>
      </c>
      <c r="B84" s="83">
        <v>0</v>
      </c>
      <c r="C84" s="83">
        <v>0</v>
      </c>
      <c r="D84" s="83">
        <v>0</v>
      </c>
      <c r="E84" s="83">
        <f t="shared" si="4"/>
        <v>0</v>
      </c>
      <c r="G84">
        <v>73</v>
      </c>
      <c r="H84" s="83">
        <v>0</v>
      </c>
      <c r="I84" s="83">
        <v>0</v>
      </c>
      <c r="J84" s="85">
        <v>68.464474220665068</v>
      </c>
      <c r="K84" s="83">
        <f t="shared" si="5"/>
        <v>68.464474220665068</v>
      </c>
    </row>
    <row r="85" spans="1:11" x14ac:dyDescent="0.25">
      <c r="A85">
        <v>74</v>
      </c>
      <c r="B85" s="83">
        <v>0</v>
      </c>
      <c r="C85" s="83">
        <v>0</v>
      </c>
      <c r="D85" s="83">
        <v>0</v>
      </c>
      <c r="E85" s="83">
        <f t="shared" si="4"/>
        <v>0</v>
      </c>
      <c r="G85">
        <v>74</v>
      </c>
      <c r="H85" s="83">
        <v>0</v>
      </c>
      <c r="I85" s="83">
        <v>0</v>
      </c>
      <c r="J85" s="85">
        <v>10.234455958549219</v>
      </c>
      <c r="K85" s="83">
        <f t="shared" si="5"/>
        <v>10.234455958549219</v>
      </c>
    </row>
    <row r="86" spans="1:11" x14ac:dyDescent="0.25">
      <c r="A86">
        <v>75</v>
      </c>
      <c r="B86" s="83">
        <v>0</v>
      </c>
      <c r="C86" s="83">
        <v>0</v>
      </c>
      <c r="D86" s="83">
        <v>0</v>
      </c>
      <c r="E86" s="83">
        <f t="shared" si="4"/>
        <v>0</v>
      </c>
      <c r="G86">
        <v>75</v>
      </c>
      <c r="H86" s="83">
        <v>0</v>
      </c>
      <c r="I86" s="83">
        <v>10.016666666666699</v>
      </c>
      <c r="J86" s="85">
        <v>9.2413419913419901</v>
      </c>
      <c r="K86" s="83">
        <f t="shared" si="5"/>
        <v>19.258008658008691</v>
      </c>
    </row>
    <row r="87" spans="1:11" x14ac:dyDescent="0.25">
      <c r="A87">
        <v>76</v>
      </c>
      <c r="B87" s="83">
        <v>0</v>
      </c>
      <c r="C87" s="83">
        <v>0</v>
      </c>
      <c r="D87" s="83">
        <v>598.72389999999996</v>
      </c>
      <c r="E87" s="83">
        <f t="shared" si="4"/>
        <v>598.72389999999996</v>
      </c>
      <c r="G87">
        <v>76</v>
      </c>
      <c r="H87" s="83">
        <v>0</v>
      </c>
      <c r="I87" s="83">
        <v>0.25</v>
      </c>
      <c r="J87" s="85">
        <v>10.280856005308561</v>
      </c>
      <c r="K87" s="83">
        <f t="shared" si="5"/>
        <v>10.530856005308561</v>
      </c>
    </row>
    <row r="88" spans="1:11" x14ac:dyDescent="0.25">
      <c r="A88">
        <v>77</v>
      </c>
      <c r="B88" s="83">
        <v>1031.4047</v>
      </c>
      <c r="C88" s="83">
        <v>0</v>
      </c>
      <c r="D88" s="83">
        <v>0</v>
      </c>
      <c r="E88" s="83">
        <f t="shared" si="4"/>
        <v>1031.4047</v>
      </c>
      <c r="G88">
        <v>77</v>
      </c>
      <c r="H88" s="83">
        <v>20.268354263633917</v>
      </c>
      <c r="I88" s="83">
        <v>0</v>
      </c>
      <c r="J88" s="85">
        <v>15.284440720155001</v>
      </c>
      <c r="K88" s="83">
        <f t="shared" si="5"/>
        <v>35.552794983788914</v>
      </c>
    </row>
    <row r="89" spans="1:11" x14ac:dyDescent="0.25">
      <c r="A89">
        <v>78</v>
      </c>
      <c r="B89" s="83">
        <v>212.62309999999999</v>
      </c>
      <c r="C89" s="83">
        <v>0</v>
      </c>
      <c r="D89" s="83">
        <v>0</v>
      </c>
      <c r="E89" s="83">
        <f t="shared" si="4"/>
        <v>212.62309999999999</v>
      </c>
      <c r="G89">
        <v>78</v>
      </c>
      <c r="H89" s="83">
        <v>10.267254901960779</v>
      </c>
      <c r="I89" s="83">
        <v>0.5</v>
      </c>
      <c r="J89" s="85">
        <v>9.9770642201834896</v>
      </c>
      <c r="K89" s="83">
        <f t="shared" si="5"/>
        <v>20.744319122144269</v>
      </c>
    </row>
    <row r="90" spans="1:11" x14ac:dyDescent="0.25">
      <c r="A90">
        <v>79</v>
      </c>
      <c r="B90" s="83">
        <v>0</v>
      </c>
      <c r="C90" s="83">
        <v>0</v>
      </c>
      <c r="D90" s="83">
        <v>0</v>
      </c>
      <c r="E90" s="83">
        <f t="shared" si="4"/>
        <v>0</v>
      </c>
      <c r="G90">
        <v>79</v>
      </c>
      <c r="H90" s="83">
        <v>2</v>
      </c>
      <c r="I90" s="83">
        <v>0</v>
      </c>
      <c r="J90" s="85">
        <v>5.2210144927536204</v>
      </c>
      <c r="K90" s="83">
        <f t="shared" si="5"/>
        <v>7.2210144927536204</v>
      </c>
    </row>
    <row r="91" spans="1:11" x14ac:dyDescent="0.25">
      <c r="A91">
        <v>80</v>
      </c>
      <c r="B91" s="83">
        <v>0</v>
      </c>
      <c r="C91" s="83">
        <v>0</v>
      </c>
      <c r="D91" s="83">
        <v>0</v>
      </c>
      <c r="E91" s="83">
        <f t="shared" si="4"/>
        <v>0</v>
      </c>
      <c r="G91">
        <v>80</v>
      </c>
      <c r="H91" s="83">
        <v>5.0416666666666696</v>
      </c>
      <c r="I91" s="83">
        <v>0</v>
      </c>
      <c r="J91" s="85">
        <v>0.25</v>
      </c>
      <c r="K91" s="83">
        <f t="shared" si="5"/>
        <v>5.2916666666666696</v>
      </c>
    </row>
    <row r="92" spans="1:11" x14ac:dyDescent="0.25">
      <c r="A92">
        <v>81</v>
      </c>
      <c r="B92" s="83">
        <v>0</v>
      </c>
      <c r="C92" s="83">
        <v>0</v>
      </c>
      <c r="D92" s="83">
        <v>0</v>
      </c>
      <c r="E92" s="83">
        <f t="shared" si="4"/>
        <v>0</v>
      </c>
      <c r="G92">
        <v>81</v>
      </c>
      <c r="H92" s="83">
        <v>0.5</v>
      </c>
      <c r="I92" s="83">
        <v>0</v>
      </c>
      <c r="J92" s="85">
        <v>0.5</v>
      </c>
      <c r="K92" s="83">
        <f t="shared" si="5"/>
        <v>1</v>
      </c>
    </row>
    <row r="93" spans="1:11" x14ac:dyDescent="0.25">
      <c r="A93">
        <v>82</v>
      </c>
      <c r="B93" s="83">
        <v>0</v>
      </c>
      <c r="C93" s="83">
        <v>0</v>
      </c>
      <c r="D93" s="83">
        <v>0</v>
      </c>
      <c r="E93" s="83">
        <f t="shared" si="4"/>
        <v>0</v>
      </c>
      <c r="G93">
        <v>82</v>
      </c>
      <c r="H93" s="83">
        <v>0.25</v>
      </c>
      <c r="I93" s="83">
        <v>0</v>
      </c>
      <c r="J93" s="85">
        <v>0.5</v>
      </c>
      <c r="K93" s="83">
        <f t="shared" si="5"/>
        <v>0.75</v>
      </c>
    </row>
    <row r="94" spans="1:11" x14ac:dyDescent="0.25">
      <c r="A94">
        <v>83</v>
      </c>
      <c r="B94" s="83">
        <v>0</v>
      </c>
      <c r="C94" s="83">
        <v>0</v>
      </c>
      <c r="D94" s="83">
        <v>0</v>
      </c>
      <c r="E94" s="83">
        <f t="shared" si="4"/>
        <v>0</v>
      </c>
      <c r="G94">
        <v>83</v>
      </c>
      <c r="H94" s="83">
        <v>0</v>
      </c>
      <c r="I94" s="83">
        <v>0</v>
      </c>
      <c r="J94" s="85">
        <v>9.9913793103448292</v>
      </c>
      <c r="K94" s="83">
        <f t="shared" si="5"/>
        <v>9.9913793103448292</v>
      </c>
    </row>
    <row r="95" spans="1:11" x14ac:dyDescent="0.25">
      <c r="A95">
        <v>84</v>
      </c>
      <c r="B95" s="83">
        <v>0</v>
      </c>
      <c r="C95" s="83">
        <v>0</v>
      </c>
      <c r="D95" s="83">
        <v>11.269</v>
      </c>
      <c r="E95" s="83">
        <f t="shared" si="4"/>
        <v>11.269</v>
      </c>
      <c r="G95">
        <v>84</v>
      </c>
      <c r="H95" s="83">
        <v>0.25</v>
      </c>
      <c r="I95" s="83">
        <v>0</v>
      </c>
      <c r="J95" s="85">
        <v>0</v>
      </c>
      <c r="K95" s="83">
        <f t="shared" si="5"/>
        <v>0.25</v>
      </c>
    </row>
    <row r="96" spans="1:11" x14ac:dyDescent="0.25">
      <c r="A96">
        <v>85</v>
      </c>
      <c r="B96" s="83">
        <v>0</v>
      </c>
      <c r="C96" s="83">
        <v>0</v>
      </c>
      <c r="D96" s="83">
        <v>0</v>
      </c>
      <c r="E96" s="83">
        <f t="shared" si="4"/>
        <v>0</v>
      </c>
      <c r="G96">
        <v>85</v>
      </c>
      <c r="H96" s="83">
        <v>0.5</v>
      </c>
      <c r="I96" s="83">
        <v>0</v>
      </c>
      <c r="J96" s="85">
        <v>9.9142857142857093</v>
      </c>
      <c r="K96" s="83">
        <f t="shared" si="5"/>
        <v>10.414285714285709</v>
      </c>
    </row>
    <row r="97" spans="1:11" x14ac:dyDescent="0.25">
      <c r="A97">
        <v>86</v>
      </c>
      <c r="B97" s="83">
        <v>0</v>
      </c>
      <c r="C97" s="83">
        <v>0</v>
      </c>
      <c r="D97" s="83">
        <v>468.98939999999999</v>
      </c>
      <c r="E97" s="83">
        <f t="shared" si="4"/>
        <v>468.98939999999999</v>
      </c>
      <c r="G97">
        <v>86</v>
      </c>
      <c r="H97" s="83">
        <v>0</v>
      </c>
      <c r="I97" s="83">
        <v>0</v>
      </c>
      <c r="J97" s="85">
        <v>0</v>
      </c>
      <c r="K97" s="83">
        <f t="shared" si="5"/>
        <v>0</v>
      </c>
    </row>
    <row r="98" spans="1:11" x14ac:dyDescent="0.25">
      <c r="A98">
        <v>87</v>
      </c>
      <c r="B98" s="83">
        <v>0</v>
      </c>
      <c r="C98" s="83">
        <v>0</v>
      </c>
      <c r="D98" s="83">
        <v>13.487</v>
      </c>
      <c r="E98" s="83">
        <f t="shared" si="4"/>
        <v>13.487</v>
      </c>
      <c r="G98">
        <v>87</v>
      </c>
      <c r="H98" s="83">
        <v>0</v>
      </c>
      <c r="I98" s="83">
        <v>0</v>
      </c>
      <c r="J98" s="85">
        <v>0</v>
      </c>
      <c r="K98" s="83">
        <f t="shared" si="5"/>
        <v>0</v>
      </c>
    </row>
    <row r="99" spans="1:11" x14ac:dyDescent="0.25">
      <c r="A99">
        <v>88</v>
      </c>
      <c r="B99" s="83">
        <v>0</v>
      </c>
      <c r="C99" s="83">
        <v>0</v>
      </c>
      <c r="D99" s="83">
        <v>0</v>
      </c>
      <c r="E99" s="83">
        <f t="shared" si="4"/>
        <v>0</v>
      </c>
      <c r="G99">
        <v>88</v>
      </c>
      <c r="H99" s="83">
        <v>0</v>
      </c>
      <c r="I99" s="83">
        <v>0</v>
      </c>
      <c r="J99" s="85">
        <v>0</v>
      </c>
      <c r="K99" s="83">
        <f t="shared" si="5"/>
        <v>0</v>
      </c>
    </row>
    <row r="100" spans="1:11" x14ac:dyDescent="0.25">
      <c r="A100">
        <v>89</v>
      </c>
      <c r="B100" s="83">
        <v>2931.9002999999998</v>
      </c>
      <c r="C100" s="83">
        <v>0</v>
      </c>
      <c r="D100" s="83">
        <v>3.6749999999999998</v>
      </c>
      <c r="E100" s="83">
        <f t="shared" si="4"/>
        <v>2935.5753</v>
      </c>
      <c r="G100">
        <v>89</v>
      </c>
      <c r="H100" s="83">
        <v>17.482142857142861</v>
      </c>
      <c r="I100" s="83">
        <v>2.25</v>
      </c>
      <c r="J100" s="85">
        <v>6.7557306590257902</v>
      </c>
      <c r="K100" s="83">
        <f t="shared" si="5"/>
        <v>26.487873516168651</v>
      </c>
    </row>
    <row r="101" spans="1:11" ht="15.75" thickBot="1" x14ac:dyDescent="0.3">
      <c r="A101" s="1">
        <v>90</v>
      </c>
      <c r="B101" s="84">
        <v>56177.107199999999</v>
      </c>
      <c r="C101" s="84">
        <v>10417.5607</v>
      </c>
      <c r="D101" s="84">
        <v>42483.839500000002</v>
      </c>
      <c r="E101" s="84">
        <f t="shared" si="4"/>
        <v>109078.5074</v>
      </c>
      <c r="G101" s="1">
        <v>90</v>
      </c>
      <c r="H101" s="84">
        <v>21047.425647261214</v>
      </c>
      <c r="I101" s="84">
        <v>0</v>
      </c>
      <c r="J101" s="84">
        <v>0</v>
      </c>
      <c r="K101" s="84">
        <f t="shared" si="5"/>
        <v>21047.425647261214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2"/>
  <sheetViews>
    <sheetView workbookViewId="0">
      <selection activeCell="C2" sqref="C2"/>
    </sheetView>
  </sheetViews>
  <sheetFormatPr defaultRowHeight="15" x14ac:dyDescent="0.25"/>
  <cols>
    <col min="1" max="1" width="12.140625" customWidth="1" collapsed="1"/>
    <col min="5" max="5" width="9.5703125" bestFit="1" customWidth="1" collapsed="1"/>
    <col min="8" max="8" width="10.85546875" customWidth="1" collapsed="1"/>
    <col min="12" max="12" width="9.5703125" bestFit="1" customWidth="1" collapsed="1"/>
  </cols>
  <sheetData>
    <row r="1" spans="1:12" x14ac:dyDescent="0.25">
      <c r="A1" t="s">
        <v>14</v>
      </c>
    </row>
    <row r="2" spans="1:12" x14ac:dyDescent="0.25">
      <c r="A2" t="s">
        <v>250</v>
      </c>
    </row>
    <row r="3" spans="1:12" x14ac:dyDescent="0.25">
      <c r="A3" t="s">
        <v>251</v>
      </c>
    </row>
    <row r="4" spans="1:12" x14ac:dyDescent="0.25">
      <c r="A4" t="s">
        <v>6</v>
      </c>
    </row>
    <row r="5" spans="1:12" x14ac:dyDescent="0.25">
      <c r="A5" t="s">
        <v>7</v>
      </c>
    </row>
    <row r="9" spans="1:12" ht="15.75" thickBot="1" x14ac:dyDescent="0.3">
      <c r="A9" s="4" t="s">
        <v>193</v>
      </c>
      <c r="B9" s="1"/>
      <c r="C9" s="1"/>
      <c r="D9" s="1"/>
      <c r="E9" s="1"/>
      <c r="H9" s="4" t="s">
        <v>10</v>
      </c>
      <c r="I9" s="1"/>
      <c r="J9" s="1"/>
      <c r="K9" s="1"/>
      <c r="L9" s="1"/>
    </row>
    <row r="10" spans="1:12" x14ac:dyDescent="0.25">
      <c r="A10" s="2" t="s">
        <v>13</v>
      </c>
      <c r="B10" s="5" t="s">
        <v>41</v>
      </c>
      <c r="C10" s="5" t="s">
        <v>42</v>
      </c>
      <c r="D10" s="5" t="s">
        <v>43</v>
      </c>
      <c r="E10" s="5" t="s">
        <v>3</v>
      </c>
      <c r="H10" s="2" t="s">
        <v>13</v>
      </c>
      <c r="I10" s="5" t="s">
        <v>41</v>
      </c>
      <c r="J10" s="5" t="s">
        <v>42</v>
      </c>
      <c r="K10" s="5" t="s">
        <v>43</v>
      </c>
      <c r="L10" s="5" t="s">
        <v>3</v>
      </c>
    </row>
    <row r="11" spans="1:12" x14ac:dyDescent="0.25">
      <c r="A11" t="s">
        <v>15</v>
      </c>
      <c r="B11" s="13">
        <f>SUM(TDFD!B11:B15)</f>
        <v>30456.2981</v>
      </c>
      <c r="C11" s="13">
        <f>SUM(TDFD!C11:C15)</f>
        <v>1556.1008000000002</v>
      </c>
      <c r="D11" s="13">
        <f>SUM(TDFD!D11:D15)</f>
        <v>125.91</v>
      </c>
      <c r="E11" s="13">
        <f>SUM(TDFD!E11:E15)</f>
        <v>32138.308900000004</v>
      </c>
      <c r="H11" t="s">
        <v>15</v>
      </c>
      <c r="I11" s="13">
        <f>SUM(TDFD!H11:H15)</f>
        <v>127803.86141408091</v>
      </c>
      <c r="J11" s="13">
        <f>SUM(TDFD!I11:I15)</f>
        <v>21293.814162054965</v>
      </c>
      <c r="K11" s="13">
        <f>SUM(TDFD!J11:J15)</f>
        <v>21246.3124245701</v>
      </c>
      <c r="L11" s="13">
        <f>SUM(TDFD!K11:K15)</f>
        <v>170343.98800070598</v>
      </c>
    </row>
    <row r="12" spans="1:12" x14ac:dyDescent="0.25">
      <c r="A12" t="s">
        <v>16</v>
      </c>
      <c r="B12" s="13">
        <f>SUM(TDFD!B16:B20)</f>
        <v>34748.355100000001</v>
      </c>
      <c r="C12" s="13">
        <f>SUM(TDFD!C16:C20)</f>
        <v>3665.4504999999999</v>
      </c>
      <c r="D12" s="13">
        <f>SUM(TDFD!D16:D20)</f>
        <v>8740.201500000001</v>
      </c>
      <c r="E12" s="13">
        <f>SUM(TDFD!E16:E20)</f>
        <v>47154.007100000003</v>
      </c>
      <c r="H12" t="s">
        <v>16</v>
      </c>
      <c r="I12" s="13">
        <f>SUM(TDFD!H16:H20)</f>
        <v>98371.780931678077</v>
      </c>
      <c r="J12" s="13">
        <f>SUM(TDFD!I16:I20)</f>
        <v>16516.967953543462</v>
      </c>
      <c r="K12" s="13">
        <f>SUM(TDFD!J16:J20)</f>
        <v>16154.30587349015</v>
      </c>
      <c r="L12" s="13">
        <f>SUM(TDFD!K16:K20)</f>
        <v>131043.05475871169</v>
      </c>
    </row>
    <row r="13" spans="1:12" x14ac:dyDescent="0.25">
      <c r="A13" t="s">
        <v>17</v>
      </c>
      <c r="B13" s="13">
        <f>SUM(TDFD!B21:B25)</f>
        <v>51599.302800000005</v>
      </c>
      <c r="C13" s="13">
        <f>SUM(TDFD!C21:C25)</f>
        <v>5084.4759999999997</v>
      </c>
      <c r="D13" s="13">
        <f>SUM(TDFD!D21:D25)</f>
        <v>3258.2372999999998</v>
      </c>
      <c r="E13" s="13">
        <f>SUM(TDFD!E21:E25)</f>
        <v>59942.016099999993</v>
      </c>
      <c r="H13" t="s">
        <v>17</v>
      </c>
      <c r="I13" s="13">
        <f>SUM(TDFD!H21:H25)</f>
        <v>44670.888521930792</v>
      </c>
      <c r="J13" s="13">
        <f>SUM(TDFD!I21:I25)</f>
        <v>9627.6200000346544</v>
      </c>
      <c r="K13" s="13">
        <f>SUM(TDFD!J21:J25)</f>
        <v>9751.8735569417931</v>
      </c>
      <c r="L13" s="13">
        <f>SUM(TDFD!K21:K25)</f>
        <v>64050.382078907234</v>
      </c>
    </row>
    <row r="14" spans="1:12" x14ac:dyDescent="0.25">
      <c r="A14" t="s">
        <v>18</v>
      </c>
      <c r="B14" s="13">
        <f>SUM(TDFD!B26:B30)</f>
        <v>94596.153399999996</v>
      </c>
      <c r="C14" s="13">
        <f>SUM(TDFD!C26:C30)</f>
        <v>13738.5173</v>
      </c>
      <c r="D14" s="13">
        <f>SUM(TDFD!D26:D30)</f>
        <v>11924.121899999998</v>
      </c>
      <c r="E14" s="13">
        <f>SUM(TDFD!E26:E30)</f>
        <v>120258.79259999999</v>
      </c>
      <c r="H14" t="s">
        <v>18</v>
      </c>
      <c r="I14" s="13">
        <f>SUM(TDFD!H26:H30)</f>
        <v>92693.227161106537</v>
      </c>
      <c r="J14" s="13">
        <f>SUM(TDFD!I26:I30)</f>
        <v>24560.811351459492</v>
      </c>
      <c r="K14" s="13">
        <f>SUM(TDFD!J26:J30)</f>
        <v>24059.764508026488</v>
      </c>
      <c r="L14" s="13">
        <f>SUM(TDFD!K26:K30)</f>
        <v>141313.80302059252</v>
      </c>
    </row>
    <row r="15" spans="1:12" x14ac:dyDescent="0.25">
      <c r="A15" t="s">
        <v>19</v>
      </c>
      <c r="B15" s="13">
        <f>SUM(TDFD!B31:B35)</f>
        <v>100944.4486</v>
      </c>
      <c r="C15" s="13">
        <f>SUM(TDFD!C31:C35)</f>
        <v>12622.574100000002</v>
      </c>
      <c r="D15" s="13">
        <f>SUM(TDFD!D31:D35)</f>
        <v>15206.354699999998</v>
      </c>
      <c r="E15" s="13">
        <f>SUM(TDFD!E31:E35)</f>
        <v>128773.37740000001</v>
      </c>
      <c r="H15" t="s">
        <v>19</v>
      </c>
      <c r="I15" s="13">
        <f>SUM(TDFD!H31:H35)</f>
        <v>62651.090272258232</v>
      </c>
      <c r="J15" s="13">
        <f>SUM(TDFD!I31:I35)</f>
        <v>21825.346195575083</v>
      </c>
      <c r="K15" s="13">
        <f>SUM(TDFD!J31:J35)</f>
        <v>37172.133617776533</v>
      </c>
      <c r="L15" s="13">
        <f>SUM(TDFD!K31:K35)</f>
        <v>121648.57008560984</v>
      </c>
    </row>
    <row r="16" spans="1:12" x14ac:dyDescent="0.25">
      <c r="A16" t="s">
        <v>20</v>
      </c>
      <c r="B16" s="13">
        <f>SUM(TDFD!B36:B40)</f>
        <v>67278.716499999995</v>
      </c>
      <c r="C16" s="13">
        <f>SUM(TDFD!C36:C40)</f>
        <v>14082.807299999999</v>
      </c>
      <c r="D16" s="13">
        <f>SUM(TDFD!D36:D40)</f>
        <v>6013.8842000000004</v>
      </c>
      <c r="E16" s="13">
        <f>SUM(TDFD!E36:E40)</f>
        <v>87375.407999999996</v>
      </c>
      <c r="H16" t="s">
        <v>20</v>
      </c>
      <c r="I16" s="13">
        <f>SUM(TDFD!H36:H40)</f>
        <v>29245.765258571832</v>
      </c>
      <c r="J16" s="13">
        <f>SUM(TDFD!I36:I40)</f>
        <v>11820.875409168126</v>
      </c>
      <c r="K16" s="13">
        <f>SUM(TDFD!J36:J40)</f>
        <v>28648.913035520152</v>
      </c>
      <c r="L16" s="13">
        <f>SUM(TDFD!K36:K40)</f>
        <v>69715.553703260113</v>
      </c>
    </row>
    <row r="17" spans="1:12" x14ac:dyDescent="0.25">
      <c r="A17" t="s">
        <v>21</v>
      </c>
      <c r="B17" s="13">
        <f>SUM(TDFD!B41:B45)</f>
        <v>40082.706300000005</v>
      </c>
      <c r="C17" s="13">
        <f>SUM(TDFD!C41:C45)</f>
        <v>7960.3927999999996</v>
      </c>
      <c r="D17" s="13">
        <f>SUM(TDFD!D41:D45)</f>
        <v>6463.0504999999994</v>
      </c>
      <c r="E17" s="13">
        <f>SUM(TDFD!E41:E45)</f>
        <v>54506.149600000004</v>
      </c>
      <c r="H17" t="s">
        <v>21</v>
      </c>
      <c r="I17" s="13">
        <f>SUM(TDFD!H41:H45)</f>
        <v>17300.974918748281</v>
      </c>
      <c r="J17" s="13">
        <f>SUM(TDFD!I41:I45)</f>
        <v>7607.4391525853844</v>
      </c>
      <c r="K17" s="13">
        <f>SUM(TDFD!J41:J45)</f>
        <v>18133.229040457845</v>
      </c>
      <c r="L17" s="13">
        <f>SUM(TDFD!K41:K45)</f>
        <v>43041.643111791513</v>
      </c>
    </row>
    <row r="18" spans="1:12" x14ac:dyDescent="0.25">
      <c r="A18" t="s">
        <v>22</v>
      </c>
      <c r="B18" s="13">
        <f>SUM(TDFD!B46:B50)</f>
        <v>9287.7625000000007</v>
      </c>
      <c r="C18" s="13">
        <f>SUM(TDFD!C46:C50)</f>
        <v>3443.2061000000003</v>
      </c>
      <c r="D18" s="13">
        <f>SUM(TDFD!D46:D50)</f>
        <v>4525.7582000000002</v>
      </c>
      <c r="E18" s="13">
        <f>SUM(TDFD!E46:E50)</f>
        <v>17256.726799999997</v>
      </c>
      <c r="H18" t="s">
        <v>22</v>
      </c>
      <c r="I18" s="13">
        <f>SUM(TDFD!H46:H50)</f>
        <v>6079.3793263370753</v>
      </c>
      <c r="J18" s="13">
        <f>SUM(TDFD!I46:I50)</f>
        <v>3156.621445173841</v>
      </c>
      <c r="K18" s="13">
        <f>SUM(TDFD!J46:J50)</f>
        <v>7564.6533886518801</v>
      </c>
      <c r="L18" s="13">
        <f>SUM(TDFD!K46:K50)</f>
        <v>16800.654160162798</v>
      </c>
    </row>
    <row r="19" spans="1:12" x14ac:dyDescent="0.25">
      <c r="A19" t="s">
        <v>23</v>
      </c>
      <c r="B19" s="13">
        <f>SUM(TDFD!B51:B55)</f>
        <v>5755.9719999999998</v>
      </c>
      <c r="C19" s="13">
        <f>SUM(TDFD!C51:C55)</f>
        <v>572.63800000000003</v>
      </c>
      <c r="D19" s="13">
        <f>SUM(TDFD!D51:D55)</f>
        <v>2150.5392000000002</v>
      </c>
      <c r="E19" s="13">
        <f>SUM(TDFD!E51:E55)</f>
        <v>8479.1491999999998</v>
      </c>
      <c r="H19" t="s">
        <v>23</v>
      </c>
      <c r="I19" s="13">
        <f>SUM(TDFD!H51:H55)</f>
        <v>3061.0817190380544</v>
      </c>
      <c r="J19" s="13">
        <f>SUM(TDFD!I51:I55)</f>
        <v>1799.889494640574</v>
      </c>
      <c r="K19" s="13">
        <f>SUM(TDFD!J51:J55)</f>
        <v>5572.5351053995637</v>
      </c>
      <c r="L19" s="13">
        <f>SUM(TDFD!K51:K55)</f>
        <v>10433.506319078191</v>
      </c>
    </row>
    <row r="20" spans="1:12" x14ac:dyDescent="0.25">
      <c r="A20" t="s">
        <v>24</v>
      </c>
      <c r="B20" s="13">
        <f>SUM(TDFD!B56:B70)</f>
        <v>18559.013700000003</v>
      </c>
      <c r="C20" s="13">
        <f>SUM(TDFD!C56:C70)</f>
        <v>4734.1336000000001</v>
      </c>
      <c r="D20" s="13">
        <f>SUM(TDFD!D56:D70)</f>
        <v>6005.6632000000009</v>
      </c>
      <c r="E20" s="13">
        <f>SUM(TDFD!E56:E70)</f>
        <v>29298.810499999996</v>
      </c>
      <c r="H20" t="s">
        <v>24</v>
      </c>
      <c r="I20" s="13">
        <f>SUM(TDFD!H56:H70)</f>
        <v>832.63494904218146</v>
      </c>
      <c r="J20" s="13">
        <f>SUM(TDFD!I56:I70)</f>
        <v>1123.8320655549235</v>
      </c>
      <c r="K20" s="13">
        <f>SUM(TDFD!J56:J70)</f>
        <v>5977.6997839747146</v>
      </c>
      <c r="L20" s="13">
        <f>SUM(TDFD!K56:K70)</f>
        <v>7934.1667985718204</v>
      </c>
    </row>
    <row r="21" spans="1:12" x14ac:dyDescent="0.25">
      <c r="A21" t="s">
        <v>25</v>
      </c>
      <c r="B21" s="13">
        <f>SUM(TDFD!B71:B100)</f>
        <v>4275.9142000000002</v>
      </c>
      <c r="C21" s="13">
        <f>SUM(TDFD!C71:C100)</f>
        <v>621.6869999999999</v>
      </c>
      <c r="D21" s="13">
        <f>SUM(TDFD!D71:D100)</f>
        <v>1923.2527</v>
      </c>
      <c r="E21" s="13">
        <f>SUM(TDFD!E71:E100)</f>
        <v>6820.8539000000001</v>
      </c>
      <c r="H21" t="s">
        <v>25</v>
      </c>
      <c r="I21" s="13">
        <f>SUM(TDFD!H71:H100)</f>
        <v>129.84569694217393</v>
      </c>
      <c r="J21" s="13">
        <f>SUM(TDFD!I71:I100)</f>
        <v>207.15974444255809</v>
      </c>
      <c r="K21" s="13">
        <f>SUM(TDFD!J71:J100)</f>
        <v>1284.7128449826689</v>
      </c>
      <c r="L21" s="13">
        <f>SUM(TDFD!K71:K100)</f>
        <v>1621.7182863674004</v>
      </c>
    </row>
    <row r="22" spans="1:12" ht="15.75" thickBot="1" x14ac:dyDescent="0.3">
      <c r="A22" s="1" t="s">
        <v>26</v>
      </c>
      <c r="B22" s="14">
        <f>TDFD!B101</f>
        <v>56177.107199999999</v>
      </c>
      <c r="C22" s="14">
        <f>TDFD!C101</f>
        <v>10417.5607</v>
      </c>
      <c r="D22" s="14">
        <f>TDFD!D101</f>
        <v>42483.839500000002</v>
      </c>
      <c r="E22" s="14">
        <f>TDFD!E101</f>
        <v>109078.5074</v>
      </c>
      <c r="H22" s="1" t="s">
        <v>26</v>
      </c>
      <c r="I22" s="14">
        <f>TDFD!H101</f>
        <v>21047.425647261214</v>
      </c>
      <c r="J22" s="14">
        <f>TDFD!I101</f>
        <v>0</v>
      </c>
      <c r="K22" s="14">
        <f>TDFD!J101</f>
        <v>0</v>
      </c>
      <c r="L22" s="14">
        <f>TDFD!K101</f>
        <v>21047.425647261214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52"/>
  <sheetViews>
    <sheetView tabSelected="1" workbookViewId="0">
      <selection activeCell="L19" sqref="L19"/>
    </sheetView>
  </sheetViews>
  <sheetFormatPr defaultRowHeight="15" x14ac:dyDescent="0.25"/>
  <cols>
    <col min="1" max="1" width="18.5703125" customWidth="1" collapsed="1"/>
    <col min="4" max="4" width="12.28515625" bestFit="1" customWidth="1" collapsed="1"/>
    <col min="12" max="12" width="20" customWidth="1" collapsed="1"/>
    <col min="15" max="15" width="12.28515625" bestFit="1" customWidth="1" collapsed="1"/>
    <col min="20" max="21" width="9.5703125" bestFit="1" customWidth="1" collapsed="1"/>
    <col min="26" max="26" width="12.28515625" bestFit="1" customWidth="1" collapsed="1"/>
  </cols>
  <sheetData>
    <row r="1" spans="1:22" x14ac:dyDescent="0.25">
      <c r="A1" t="s">
        <v>27</v>
      </c>
    </row>
    <row r="2" spans="1:22" x14ac:dyDescent="0.25">
      <c r="A2" t="s">
        <v>247</v>
      </c>
    </row>
    <row r="5" spans="1:22" ht="15.75" thickBot="1" x14ac:dyDescent="0.3">
      <c r="A5" s="4" t="s">
        <v>194</v>
      </c>
      <c r="B5" s="1"/>
      <c r="C5" s="1"/>
      <c r="D5" s="1"/>
      <c r="E5" s="1"/>
      <c r="F5" s="1"/>
      <c r="G5" s="1"/>
      <c r="H5" s="1"/>
      <c r="I5" s="1"/>
      <c r="J5" s="1"/>
      <c r="L5" s="4" t="s">
        <v>28</v>
      </c>
      <c r="M5" s="1"/>
      <c r="N5" s="1"/>
      <c r="O5" s="1"/>
      <c r="P5" s="1"/>
      <c r="Q5" s="1"/>
      <c r="R5" s="1"/>
      <c r="S5" s="1"/>
      <c r="T5" s="1"/>
      <c r="U5" s="1"/>
    </row>
    <row r="6" spans="1:22" x14ac:dyDescent="0.25">
      <c r="A6" s="2" t="s">
        <v>11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12</v>
      </c>
      <c r="J6" s="3" t="s">
        <v>3</v>
      </c>
      <c r="L6" s="2" t="s">
        <v>11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12</v>
      </c>
      <c r="U6" s="3" t="s">
        <v>3</v>
      </c>
    </row>
    <row r="7" spans="1:22" x14ac:dyDescent="0.25">
      <c r="A7" s="52" t="s">
        <v>254</v>
      </c>
      <c r="B7" s="20">
        <v>22523.625499999998</v>
      </c>
      <c r="C7" s="20">
        <v>0</v>
      </c>
      <c r="D7" s="20">
        <v>176.3579</v>
      </c>
      <c r="E7" s="20">
        <v>0</v>
      </c>
      <c r="F7" s="20">
        <v>998.11929999999995</v>
      </c>
      <c r="G7" s="20">
        <v>277.97430000000003</v>
      </c>
      <c r="H7" s="20">
        <v>598.77660000000003</v>
      </c>
      <c r="I7" s="20">
        <v>7878.4522999999999</v>
      </c>
      <c r="J7" s="20">
        <f>SUM(B7:I7)</f>
        <v>32453.305899999999</v>
      </c>
      <c r="K7" s="20"/>
      <c r="L7" t="str">
        <f>$A$7</f>
        <v>Bellevue</v>
      </c>
      <c r="M7" s="20">
        <v>25712.5</v>
      </c>
      <c r="N7" s="20">
        <v>535</v>
      </c>
      <c r="O7" s="20">
        <v>2139.75</v>
      </c>
      <c r="P7" s="20">
        <v>1291.25</v>
      </c>
      <c r="Q7" s="20">
        <v>794.75</v>
      </c>
      <c r="R7" s="20">
        <v>99.75</v>
      </c>
      <c r="S7" s="20">
        <v>2350</v>
      </c>
      <c r="T7" s="20">
        <v>2344.5</v>
      </c>
      <c r="U7" s="20">
        <f>SUM(M7:T7)</f>
        <v>35267.5</v>
      </c>
    </row>
    <row r="8" spans="1:22" x14ac:dyDescent="0.25">
      <c r="A8" t="s">
        <v>255</v>
      </c>
      <c r="B8" s="21">
        <v>82.162300000000002</v>
      </c>
      <c r="C8" s="21">
        <v>4.4429999999999996</v>
      </c>
      <c r="D8" s="21">
        <v>0</v>
      </c>
      <c r="E8" s="21">
        <v>0</v>
      </c>
      <c r="F8" s="21">
        <v>110.09829999999999</v>
      </c>
      <c r="G8" s="21">
        <v>12.077</v>
      </c>
      <c r="H8" s="21">
        <v>0</v>
      </c>
      <c r="I8" s="21">
        <v>4018.4690000000001</v>
      </c>
      <c r="J8" s="21">
        <f t="shared" ref="J8:J12" si="0">SUM(B8:I8)</f>
        <v>4227.2496000000001</v>
      </c>
      <c r="K8" s="20"/>
      <c r="L8" s="7" t="str">
        <f>$A$8</f>
        <v>Bellevue Downtown</v>
      </c>
      <c r="M8" s="21">
        <v>620.75</v>
      </c>
      <c r="N8" s="21">
        <v>136.25</v>
      </c>
      <c r="O8" s="21">
        <v>137.25</v>
      </c>
      <c r="P8" s="21">
        <v>18.5</v>
      </c>
      <c r="Q8" s="21">
        <v>29</v>
      </c>
      <c r="R8" s="21">
        <v>6.25</v>
      </c>
      <c r="S8" s="21">
        <v>43.5</v>
      </c>
      <c r="T8" s="21">
        <v>1069.8725374786757</v>
      </c>
      <c r="U8" s="21">
        <f>SUM(M8:T8)</f>
        <v>2061.3725374786754</v>
      </c>
    </row>
    <row r="9" spans="1:22" x14ac:dyDescent="0.25">
      <c r="A9" t="s">
        <v>256</v>
      </c>
      <c r="B9" s="21">
        <v>2429.8960000000002</v>
      </c>
      <c r="C9" s="21">
        <v>169.87799999999999</v>
      </c>
      <c r="D9" s="21">
        <v>14636.3289</v>
      </c>
      <c r="E9" s="21">
        <v>130.96619999999999</v>
      </c>
      <c r="F9" s="21">
        <v>32.688000000000002</v>
      </c>
      <c r="G9" s="21">
        <v>4.1609999999999996</v>
      </c>
      <c r="H9" s="21">
        <v>10.346</v>
      </c>
      <c r="I9" s="21">
        <v>28396.036</v>
      </c>
      <c r="J9" s="21">
        <f t="shared" si="0"/>
        <v>45810.3001</v>
      </c>
      <c r="K9" s="20"/>
      <c r="L9" s="7" t="str">
        <f>$A$9</f>
        <v>Kirkland</v>
      </c>
      <c r="M9" s="21">
        <v>1604.75</v>
      </c>
      <c r="N9" s="21">
        <v>56.5</v>
      </c>
      <c r="O9" s="21">
        <v>19552</v>
      </c>
      <c r="P9" s="21">
        <v>2241.5</v>
      </c>
      <c r="Q9" s="21">
        <v>1153.25</v>
      </c>
      <c r="R9" s="21">
        <v>44.25</v>
      </c>
      <c r="S9" s="21">
        <v>2251.5</v>
      </c>
      <c r="T9" s="21">
        <v>5418.9547298933257</v>
      </c>
      <c r="U9" s="21">
        <f>SUM(M9:T9)</f>
        <v>32322.704729893325</v>
      </c>
      <c r="V9" s="7"/>
    </row>
    <row r="10" spans="1:22" x14ac:dyDescent="0.25">
      <c r="A10" t="s">
        <v>257</v>
      </c>
      <c r="B10" s="21">
        <v>1720.9702</v>
      </c>
      <c r="C10" s="21">
        <v>230.28989999999999</v>
      </c>
      <c r="D10" s="21">
        <v>3736.0108</v>
      </c>
      <c r="E10" s="21">
        <v>18799.060399999998</v>
      </c>
      <c r="F10" s="21">
        <v>802.52030000000002</v>
      </c>
      <c r="G10" s="21">
        <v>3.6749999999999998</v>
      </c>
      <c r="H10" s="21">
        <v>245.15270000000001</v>
      </c>
      <c r="I10" s="21">
        <v>20922.748800000001</v>
      </c>
      <c r="J10" s="21">
        <f t="shared" si="0"/>
        <v>46460.428099999997</v>
      </c>
      <c r="K10" s="20"/>
      <c r="L10" s="7" t="str">
        <f>$A$10</f>
        <v>Redmond</v>
      </c>
      <c r="M10" s="21">
        <v>3499</v>
      </c>
      <c r="N10" s="21">
        <v>42.75</v>
      </c>
      <c r="O10" s="21">
        <v>5096.25</v>
      </c>
      <c r="P10" s="21">
        <v>11692</v>
      </c>
      <c r="Q10" s="21">
        <v>286.75</v>
      </c>
      <c r="R10" s="21">
        <v>31.25</v>
      </c>
      <c r="S10" s="21">
        <v>1949</v>
      </c>
      <c r="T10" s="21">
        <v>5838.2308904845268</v>
      </c>
      <c r="U10" s="21">
        <f t="shared" ref="U10:U13" si="1">SUM(M10:T10)</f>
        <v>28435.230890484527</v>
      </c>
      <c r="V10" s="7"/>
    </row>
    <row r="11" spans="1:22" x14ac:dyDescent="0.25">
      <c r="A11" t="s">
        <v>253</v>
      </c>
      <c r="B11" s="21">
        <v>352.4101</v>
      </c>
      <c r="C11" s="21">
        <v>19.176000000000002</v>
      </c>
      <c r="D11" s="21">
        <v>706.44880000000001</v>
      </c>
      <c r="E11" s="21">
        <v>4.4429999999999996</v>
      </c>
      <c r="F11" s="21">
        <v>89339.202799999999</v>
      </c>
      <c r="G11" s="21">
        <v>2676.5947000000001</v>
      </c>
      <c r="H11" s="21">
        <v>3242.9781000000003</v>
      </c>
      <c r="I11" s="21">
        <v>16278.067500000001</v>
      </c>
      <c r="J11" s="21">
        <f t="shared" si="0"/>
        <v>112619.321</v>
      </c>
      <c r="K11" s="20"/>
      <c r="L11" s="7" t="str">
        <f>$A$11</f>
        <v>Seattle</v>
      </c>
      <c r="M11" s="21">
        <v>2551.3053444460725</v>
      </c>
      <c r="N11" s="21">
        <v>23.982647185098951</v>
      </c>
      <c r="O11" s="21">
        <v>4205.1787530808579</v>
      </c>
      <c r="P11" s="21">
        <v>235.6896037958586</v>
      </c>
      <c r="Q11" s="21">
        <v>94917.186154764728</v>
      </c>
      <c r="R11" s="21">
        <v>3484.5455418914034</v>
      </c>
      <c r="S11" s="21">
        <v>12065.226620230125</v>
      </c>
      <c r="T11" s="21">
        <v>2309.1428943957899</v>
      </c>
      <c r="U11" s="21">
        <f t="shared" si="1"/>
        <v>119792.25755978993</v>
      </c>
      <c r="V11" s="7"/>
    </row>
    <row r="12" spans="1:22" x14ac:dyDescent="0.25">
      <c r="A12" t="s">
        <v>258</v>
      </c>
      <c r="B12" s="21">
        <v>0</v>
      </c>
      <c r="C12" s="21">
        <v>0</v>
      </c>
      <c r="D12" s="21">
        <v>0</v>
      </c>
      <c r="E12" s="21">
        <v>0</v>
      </c>
      <c r="F12" s="21">
        <v>1835.1723</v>
      </c>
      <c r="G12" s="21">
        <v>799.15629999999999</v>
      </c>
      <c r="H12" s="21">
        <v>0</v>
      </c>
      <c r="I12" s="21">
        <v>31584.733799999998</v>
      </c>
      <c r="J12" s="21">
        <f t="shared" si="0"/>
        <v>34219.062399999995</v>
      </c>
      <c r="K12" s="20"/>
      <c r="L12" s="7" t="str">
        <f>$A$12</f>
        <v>Seattle Downtown</v>
      </c>
      <c r="M12" s="21">
        <v>354.74787581670711</v>
      </c>
      <c r="N12" s="21">
        <v>2</v>
      </c>
      <c r="O12" s="21">
        <v>99.127196732215751</v>
      </c>
      <c r="P12" s="21">
        <v>9.9682342702423909</v>
      </c>
      <c r="Q12" s="21">
        <v>1936.4140096188614</v>
      </c>
      <c r="R12" s="21">
        <v>2496.5998156716682</v>
      </c>
      <c r="S12" s="21">
        <v>244.59776609226802</v>
      </c>
      <c r="T12" s="21">
        <v>4066.7245950088954</v>
      </c>
      <c r="U12" s="21">
        <f t="shared" si="1"/>
        <v>9210.1794932108587</v>
      </c>
      <c r="V12" s="7"/>
    </row>
    <row r="13" spans="1:22" x14ac:dyDescent="0.25">
      <c r="A13" s="7" t="s">
        <v>259</v>
      </c>
      <c r="B13" s="21">
        <v>6247.4188999999997</v>
      </c>
      <c r="C13" s="21">
        <v>0</v>
      </c>
      <c r="D13" s="21">
        <v>9915.6819999999989</v>
      </c>
      <c r="E13" s="21">
        <v>2209.2274000000002</v>
      </c>
      <c r="F13" s="21">
        <v>13302.1106</v>
      </c>
      <c r="G13" s="21">
        <v>80.046999999999997</v>
      </c>
      <c r="H13" s="21">
        <v>398350.25270000001</v>
      </c>
      <c r="I13" s="21"/>
      <c r="J13" s="21">
        <f>SUM(B13:I13)</f>
        <v>430104.73859999998</v>
      </c>
      <c r="K13" s="20"/>
      <c r="L13" t="str">
        <f>$A$13</f>
        <v>Rest</v>
      </c>
      <c r="M13" s="21">
        <v>10538.834227581006</v>
      </c>
      <c r="N13" s="21">
        <v>160.13157768775537</v>
      </c>
      <c r="O13" s="21">
        <v>8331.3073752572873</v>
      </c>
      <c r="P13" s="21">
        <v>4733.7474213195546</v>
      </c>
      <c r="Q13" s="21">
        <v>10009.851510034732</v>
      </c>
      <c r="R13" s="21">
        <v>680.46134067010848</v>
      </c>
      <c r="S13" s="21">
        <v>537450.88730761257</v>
      </c>
      <c r="T13" s="21"/>
      <c r="U13" s="21">
        <f t="shared" si="1"/>
        <v>571905.22076016304</v>
      </c>
    </row>
    <row r="14" spans="1:22" x14ac:dyDescent="0.25">
      <c r="A14" s="25" t="s">
        <v>12</v>
      </c>
      <c r="B14" s="21"/>
      <c r="C14" s="21"/>
      <c r="D14" s="21"/>
      <c r="E14" s="21"/>
      <c r="F14" s="21"/>
      <c r="G14" s="21"/>
      <c r="H14" s="21"/>
      <c r="I14" s="21"/>
      <c r="J14" s="21"/>
      <c r="K14" s="20"/>
      <c r="L14" s="25" t="s">
        <v>12</v>
      </c>
      <c r="M14" s="21"/>
      <c r="N14" s="21"/>
      <c r="O14" s="21"/>
      <c r="P14" s="21"/>
      <c r="Q14" s="21"/>
      <c r="R14" s="21"/>
      <c r="S14" s="21"/>
      <c r="T14" s="21"/>
      <c r="U14" s="21"/>
    </row>
    <row r="15" spans="1:22" ht="15.75" thickBot="1" x14ac:dyDescent="0.3">
      <c r="A15" s="12" t="s">
        <v>3</v>
      </c>
      <c r="B15" s="53">
        <f t="shared" ref="B15:G15" si="2">SUM(B7:B13)</f>
        <v>33356.483</v>
      </c>
      <c r="C15" s="53">
        <f t="shared" si="2"/>
        <v>423.7869</v>
      </c>
      <c r="D15" s="53">
        <f t="shared" si="2"/>
        <v>29170.828399999999</v>
      </c>
      <c r="E15" s="53">
        <f t="shared" si="2"/>
        <v>21143.696999999996</v>
      </c>
      <c r="F15" s="53">
        <f t="shared" si="2"/>
        <v>106419.91160000001</v>
      </c>
      <c r="G15" s="53">
        <f t="shared" si="2"/>
        <v>3853.6853000000001</v>
      </c>
      <c r="H15" s="53"/>
      <c r="I15" s="53">
        <f>SUM(I7:I13)</f>
        <v>109078.5074</v>
      </c>
      <c r="J15" s="53">
        <f>SUM(J7:J13)</f>
        <v>705894.4057</v>
      </c>
      <c r="K15" s="20"/>
      <c r="L15" s="53" t="s">
        <v>3</v>
      </c>
      <c r="M15" s="53">
        <f t="shared" ref="M15:S15" si="3">SUM(M7:M13)</f>
        <v>44881.887447843787</v>
      </c>
      <c r="N15" s="53">
        <f t="shared" si="3"/>
        <v>956.61422487285427</v>
      </c>
      <c r="O15" s="53">
        <f t="shared" si="3"/>
        <v>39560.863325070364</v>
      </c>
      <c r="P15" s="53">
        <f t="shared" si="3"/>
        <v>20222.655259385654</v>
      </c>
      <c r="Q15" s="53">
        <f t="shared" si="3"/>
        <v>109127.20167441832</v>
      </c>
      <c r="R15" s="53">
        <f t="shared" si="3"/>
        <v>6843.1066982331795</v>
      </c>
      <c r="S15" s="53">
        <f t="shared" si="3"/>
        <v>556354.71169393498</v>
      </c>
      <c r="T15" s="53">
        <f>SUM(T7:T13)</f>
        <v>21047.425647261214</v>
      </c>
      <c r="U15" s="53">
        <f>SUM(U7:U13)</f>
        <v>798994.46597102028</v>
      </c>
    </row>
    <row r="18" spans="1:32" ht="15.75" thickBot="1" x14ac:dyDescent="0.3">
      <c r="A18" s="4" t="s">
        <v>195</v>
      </c>
      <c r="B18" s="1"/>
      <c r="C18" s="1"/>
      <c r="D18" s="1"/>
      <c r="E18" s="1"/>
      <c r="F18" s="1"/>
      <c r="G18" s="1"/>
      <c r="H18" s="1"/>
      <c r="I18" s="1"/>
      <c r="J18" s="1"/>
      <c r="L18" s="46"/>
      <c r="M18" s="7"/>
      <c r="N18" s="7"/>
      <c r="O18" s="7"/>
      <c r="P18" s="7"/>
      <c r="Q18" s="7"/>
      <c r="R18" s="7"/>
      <c r="S18" s="7"/>
      <c r="T18" s="7"/>
      <c r="U18" s="7"/>
    </row>
    <row r="19" spans="1:32" x14ac:dyDescent="0.25">
      <c r="A19" s="2" t="s">
        <v>11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12</v>
      </c>
      <c r="J19" s="3" t="s">
        <v>3</v>
      </c>
      <c r="L19" s="7"/>
      <c r="M19" s="47"/>
      <c r="N19" s="47"/>
      <c r="O19" s="47"/>
      <c r="P19" s="47"/>
      <c r="Q19" s="47"/>
      <c r="R19" s="47"/>
      <c r="S19" s="47"/>
      <c r="T19" s="47"/>
      <c r="U19" s="47"/>
    </row>
    <row r="20" spans="1:32" x14ac:dyDescent="0.25">
      <c r="A20" t="str">
        <f>$A$7</f>
        <v>Bellevue</v>
      </c>
      <c r="B20" s="20">
        <f t="shared" ref="B20:G26" si="4">($U7/$J7)*B7</f>
        <v>24476.765626556706</v>
      </c>
      <c r="C20" s="20">
        <f t="shared" si="4"/>
        <v>0</v>
      </c>
      <c r="D20" s="20">
        <f t="shared" si="4"/>
        <v>191.65080615870323</v>
      </c>
      <c r="E20" s="20">
        <f t="shared" si="4"/>
        <v>0</v>
      </c>
      <c r="F20" s="20">
        <f t="shared" si="4"/>
        <v>1084.6713897566287</v>
      </c>
      <c r="G20" s="20">
        <f t="shared" si="4"/>
        <v>302.07889006617353</v>
      </c>
      <c r="H20" s="20">
        <f t="shared" ref="H20" si="5">($U7/$J7)*H7</f>
        <v>650.69961764665709</v>
      </c>
      <c r="I20" s="20">
        <f t="shared" ref="I20:J26" si="6">($U7/$J7)*I7</f>
        <v>8561.6336698151299</v>
      </c>
      <c r="J20" s="20">
        <f t="shared" si="6"/>
        <v>35267.5</v>
      </c>
      <c r="K20" s="20"/>
      <c r="L20" s="21"/>
      <c r="M20" s="21"/>
      <c r="N20" s="21"/>
      <c r="O20" s="21"/>
      <c r="P20" s="21"/>
      <c r="Q20" s="21"/>
      <c r="R20" s="21"/>
      <c r="S20" s="21"/>
      <c r="T20" s="21"/>
      <c r="U20" s="21"/>
    </row>
    <row r="21" spans="1:32" x14ac:dyDescent="0.25">
      <c r="A21" t="str">
        <f>$A$8</f>
        <v>Bellevue Downtown</v>
      </c>
      <c r="B21" s="20">
        <f t="shared" si="4"/>
        <v>40.065556771496098</v>
      </c>
      <c r="C21" s="20">
        <f t="shared" si="4"/>
        <v>2.1665808860725315</v>
      </c>
      <c r="D21" s="20">
        <f t="shared" si="4"/>
        <v>0</v>
      </c>
      <c r="E21" s="20">
        <f t="shared" si="4"/>
        <v>0</v>
      </c>
      <c r="F21" s="20">
        <f t="shared" si="4"/>
        <v>53.68824496265573</v>
      </c>
      <c r="G21" s="20">
        <f t="shared" si="4"/>
        <v>5.8892184022277663</v>
      </c>
      <c r="H21" s="20">
        <f t="shared" ref="H21" si="7">($U8/$J8)*H8</f>
        <v>0</v>
      </c>
      <c r="I21" s="20">
        <f t="shared" si="6"/>
        <v>1959.5629364562233</v>
      </c>
      <c r="J21" s="20">
        <f t="shared" si="6"/>
        <v>2061.3725374786754</v>
      </c>
      <c r="K21" s="20"/>
      <c r="L21" s="21"/>
      <c r="M21" s="21"/>
      <c r="N21" s="21"/>
      <c r="O21" s="21"/>
      <c r="P21" s="21"/>
      <c r="Q21" s="21"/>
      <c r="R21" s="21"/>
      <c r="S21" s="21"/>
      <c r="T21" s="21"/>
      <c r="U21" s="21"/>
    </row>
    <row r="22" spans="1:32" x14ac:dyDescent="0.25">
      <c r="A22" t="str">
        <f>$A$9</f>
        <v>Kirkland</v>
      </c>
      <c r="B22" s="20">
        <f t="shared" si="4"/>
        <v>1714.4792931044096</v>
      </c>
      <c r="C22" s="20">
        <f t="shared" si="4"/>
        <v>119.86204897410872</v>
      </c>
      <c r="D22" s="20">
        <f t="shared" si="4"/>
        <v>10327.060428148217</v>
      </c>
      <c r="E22" s="20">
        <f t="shared" si="4"/>
        <v>92.406768847955107</v>
      </c>
      <c r="F22" s="20">
        <f t="shared" si="4"/>
        <v>23.06390855122892</v>
      </c>
      <c r="G22" s="20">
        <f t="shared" si="4"/>
        <v>2.9359068612843711</v>
      </c>
      <c r="H22" s="20">
        <f t="shared" ref="H22" si="8">($U9/$J9)*H9</f>
        <v>7.2999020396174243</v>
      </c>
      <c r="I22" s="20">
        <f t="shared" si="6"/>
        <v>20035.596473366502</v>
      </c>
      <c r="J22" s="20">
        <f t="shared" si="6"/>
        <v>32322.704729893321</v>
      </c>
      <c r="K22" s="20"/>
      <c r="L22" s="21"/>
      <c r="M22" s="21"/>
      <c r="N22" s="21"/>
      <c r="O22" s="21"/>
      <c r="P22" s="21"/>
      <c r="Q22" s="21"/>
      <c r="R22" s="21"/>
      <c r="S22" s="21"/>
      <c r="T22" s="21"/>
      <c r="U22" s="21"/>
    </row>
    <row r="23" spans="1:32" x14ac:dyDescent="0.25">
      <c r="A23" t="str">
        <f>$A$10</f>
        <v>Redmond</v>
      </c>
      <c r="B23" s="20">
        <f t="shared" si="4"/>
        <v>1053.2874317755873</v>
      </c>
      <c r="C23" s="20">
        <f t="shared" si="4"/>
        <v>140.94460051362705</v>
      </c>
      <c r="D23" s="20">
        <f t="shared" si="4"/>
        <v>2286.5551190937867</v>
      </c>
      <c r="E23" s="20">
        <f t="shared" si="4"/>
        <v>11505.611223547128</v>
      </c>
      <c r="F23" s="20">
        <f t="shared" si="4"/>
        <v>491.16745062452213</v>
      </c>
      <c r="G23" s="20">
        <f t="shared" si="4"/>
        <v>2.2492146068393768</v>
      </c>
      <c r="H23" s="20">
        <f t="shared" ref="H23" si="9">($U10/$J10)*H10</f>
        <v>150.04109761798958</v>
      </c>
      <c r="I23" s="20">
        <f t="shared" si="6"/>
        <v>12805.374752705045</v>
      </c>
      <c r="J23" s="20">
        <f t="shared" si="6"/>
        <v>28435.230890484523</v>
      </c>
      <c r="K23" s="20"/>
      <c r="L23" s="21"/>
      <c r="M23" s="21"/>
      <c r="N23" s="21"/>
      <c r="O23" s="21"/>
      <c r="P23" s="21"/>
      <c r="Q23" s="21"/>
      <c r="R23" s="21"/>
      <c r="S23" s="21"/>
      <c r="T23" s="21"/>
      <c r="U23" s="21"/>
    </row>
    <row r="24" spans="1:32" x14ac:dyDescent="0.25">
      <c r="A24" t="str">
        <f>$A$11</f>
        <v>Seattle</v>
      </c>
      <c r="B24" s="20">
        <f t="shared" si="4"/>
        <v>374.8557626792238</v>
      </c>
      <c r="C24" s="20">
        <f t="shared" si="4"/>
        <v>20.397355538722628</v>
      </c>
      <c r="D24" s="20">
        <f t="shared" si="4"/>
        <v>751.44385395827885</v>
      </c>
      <c r="E24" s="20">
        <f t="shared" si="4"/>
        <v>4.7259830339249387</v>
      </c>
      <c r="F24" s="20">
        <f t="shared" si="4"/>
        <v>95029.384806927628</v>
      </c>
      <c r="G24" s="20">
        <f t="shared" si="4"/>
        <v>2847.0720551189315</v>
      </c>
      <c r="H24" s="20">
        <f t="shared" ref="H24" si="10">($U11/$J11)*H11</f>
        <v>3449.5294800788065</v>
      </c>
      <c r="I24" s="20">
        <f t="shared" si="6"/>
        <v>17314.848262454412</v>
      </c>
      <c r="J24" s="20">
        <f t="shared" si="6"/>
        <v>119792.25755978991</v>
      </c>
      <c r="K24" s="20"/>
      <c r="L24" s="21"/>
      <c r="M24" s="21"/>
      <c r="N24" s="21"/>
      <c r="O24" s="21"/>
      <c r="P24" s="21"/>
      <c r="Q24" s="21"/>
      <c r="R24" s="21"/>
      <c r="S24" s="21"/>
      <c r="T24" s="21"/>
      <c r="U24" s="21"/>
    </row>
    <row r="25" spans="1:32" x14ac:dyDescent="0.25">
      <c r="A25" t="str">
        <f>$A$12</f>
        <v>Seattle Downtown</v>
      </c>
      <c r="B25" s="20">
        <f t="shared" si="4"/>
        <v>0</v>
      </c>
      <c r="C25" s="20">
        <f t="shared" si="4"/>
        <v>0</v>
      </c>
      <c r="D25" s="20">
        <f t="shared" si="4"/>
        <v>0</v>
      </c>
      <c r="E25" s="20">
        <f t="shared" si="4"/>
        <v>0</v>
      </c>
      <c r="F25" s="20">
        <f t="shared" si="4"/>
        <v>493.94299839052894</v>
      </c>
      <c r="G25" s="20">
        <f t="shared" si="4"/>
        <v>215.09569374204321</v>
      </c>
      <c r="H25" s="20">
        <f t="shared" ref="H25:H26" si="11">($U12/$J12)*H12</f>
        <v>0</v>
      </c>
      <c r="I25" s="20">
        <f t="shared" si="6"/>
        <v>8501.140801078287</v>
      </c>
      <c r="J25" s="20">
        <f t="shared" si="6"/>
        <v>9210.1794932108587</v>
      </c>
      <c r="K25" s="20"/>
      <c r="L25" s="21"/>
      <c r="M25" s="21"/>
      <c r="N25" s="21"/>
      <c r="O25" s="21"/>
      <c r="P25" s="21"/>
      <c r="Q25" s="21"/>
      <c r="R25" s="21"/>
      <c r="S25" s="21"/>
      <c r="T25" s="21"/>
      <c r="U25" s="21"/>
    </row>
    <row r="26" spans="1:32" x14ac:dyDescent="0.25">
      <c r="A26" t="str">
        <f>$A$13</f>
        <v>Rest</v>
      </c>
      <c r="B26" s="20">
        <f t="shared" si="4"/>
        <v>8307.119556077625</v>
      </c>
      <c r="C26" s="20">
        <f t="shared" si="4"/>
        <v>0</v>
      </c>
      <c r="D26" s="20">
        <f t="shared" si="4"/>
        <v>13184.765928541607</v>
      </c>
      <c r="E26" s="20">
        <f t="shared" si="4"/>
        <v>2937.5837337180201</v>
      </c>
      <c r="F26" s="20">
        <f t="shared" si="4"/>
        <v>17687.660275568756</v>
      </c>
      <c r="G26" s="20">
        <f t="shared" si="4"/>
        <v>106.43755601298732</v>
      </c>
      <c r="H26" s="20">
        <f t="shared" si="11"/>
        <v>529681.65371024399</v>
      </c>
      <c r="I26" s="20">
        <f t="shared" si="6"/>
        <v>0</v>
      </c>
      <c r="J26" s="20">
        <f t="shared" si="6"/>
        <v>571905.22076016304</v>
      </c>
      <c r="K26" s="20"/>
      <c r="L26" s="21"/>
      <c r="M26" s="21"/>
      <c r="N26" s="21"/>
      <c r="O26" s="21"/>
      <c r="P26" s="21"/>
      <c r="Q26" s="21"/>
      <c r="R26" s="21"/>
      <c r="S26" s="21"/>
      <c r="T26" s="21"/>
      <c r="U26" s="21"/>
    </row>
    <row r="27" spans="1:32" x14ac:dyDescent="0.25">
      <c r="A27" s="8" t="s">
        <v>12</v>
      </c>
      <c r="B27" s="22" t="e">
        <f>($U14/$J14)*B14</f>
        <v>#DIV/0!</v>
      </c>
      <c r="C27" s="22" t="e">
        <f t="shared" ref="C27:J27" si="12">($U14/$J14)*C14</f>
        <v>#DIV/0!</v>
      </c>
      <c r="D27" s="22" t="e">
        <f t="shared" si="12"/>
        <v>#DIV/0!</v>
      </c>
      <c r="E27" s="22" t="e">
        <f t="shared" si="12"/>
        <v>#DIV/0!</v>
      </c>
      <c r="F27" s="22" t="e">
        <f t="shared" si="12"/>
        <v>#DIV/0!</v>
      </c>
      <c r="G27" s="22" t="e">
        <f t="shared" si="12"/>
        <v>#DIV/0!</v>
      </c>
      <c r="H27" s="22" t="e">
        <f t="shared" si="12"/>
        <v>#DIV/0!</v>
      </c>
      <c r="I27" s="22" t="e">
        <f t="shared" si="12"/>
        <v>#DIV/0!</v>
      </c>
      <c r="J27" s="22" t="e">
        <f t="shared" si="12"/>
        <v>#DIV/0!</v>
      </c>
      <c r="K27" s="20"/>
      <c r="L27" s="25"/>
      <c r="M27" s="21"/>
      <c r="N27" s="21"/>
      <c r="O27" s="21"/>
      <c r="P27" s="21"/>
      <c r="Q27" s="21"/>
      <c r="R27" s="21"/>
      <c r="S27" s="21"/>
      <c r="T27" s="21"/>
      <c r="U27" s="21"/>
    </row>
    <row r="28" spans="1:32" ht="15.75" thickBot="1" x14ac:dyDescent="0.3">
      <c r="A28" s="1" t="s">
        <v>3</v>
      </c>
      <c r="B28" s="24">
        <f t="shared" ref="B28:H28" si="13">($U15/$J15)*B15</f>
        <v>37755.85286701248</v>
      </c>
      <c r="C28" s="24">
        <f t="shared" si="13"/>
        <v>479.6799423778379</v>
      </c>
      <c r="D28" s="24">
        <f t="shared" si="13"/>
        <v>33018.154374346632</v>
      </c>
      <c r="E28" s="24">
        <f t="shared" si="13"/>
        <v>23932.328626992628</v>
      </c>
      <c r="F28" s="24">
        <f t="shared" si="13"/>
        <v>120455.58053857401</v>
      </c>
      <c r="G28" s="24">
        <f t="shared" si="13"/>
        <v>4361.9459276497719</v>
      </c>
      <c r="H28" s="24">
        <f t="shared" si="13"/>
        <v>0</v>
      </c>
      <c r="I28" s="24">
        <f>($U15/$J15)*I15</f>
        <v>123464.81720952812</v>
      </c>
      <c r="J28" s="24">
        <f>($U15/$J15)*J15</f>
        <v>798994.46597102017</v>
      </c>
      <c r="K28" s="20"/>
      <c r="L28" s="21"/>
      <c r="M28" s="21"/>
      <c r="N28" s="21"/>
      <c r="O28" s="21"/>
      <c r="P28" s="21"/>
      <c r="Q28" s="21"/>
      <c r="R28" s="21"/>
      <c r="S28" s="21"/>
      <c r="T28" s="21"/>
      <c r="U28" s="21"/>
    </row>
    <row r="31" spans="1:32" ht="15.75" thickBot="1" x14ac:dyDescent="0.3">
      <c r="A31" s="4" t="s">
        <v>195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28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37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11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12</v>
      </c>
      <c r="J32" s="3" t="s">
        <v>3</v>
      </c>
      <c r="L32" s="2" t="s">
        <v>11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12</v>
      </c>
      <c r="U32" s="3" t="s">
        <v>3</v>
      </c>
      <c r="W32" s="2" t="s">
        <v>11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12</v>
      </c>
      <c r="AF32" s="3" t="s">
        <v>3</v>
      </c>
    </row>
    <row r="33" spans="1:32" x14ac:dyDescent="0.25">
      <c r="A33" t="str">
        <f>$A$7</f>
        <v>Bellevue</v>
      </c>
      <c r="B33" s="26">
        <f t="shared" ref="B33:J39" si="14">B20/$J$28</f>
        <v>3.0634462025728833E-2</v>
      </c>
      <c r="C33" s="26">
        <f t="shared" si="14"/>
        <v>0</v>
      </c>
      <c r="D33" s="26">
        <f t="shared" si="14"/>
        <v>2.3986499822096951E-4</v>
      </c>
      <c r="E33" s="26">
        <f t="shared" si="14"/>
        <v>0</v>
      </c>
      <c r="F33" s="26">
        <f t="shared" si="14"/>
        <v>1.3575455600163947E-3</v>
      </c>
      <c r="G33" s="26">
        <f t="shared" si="14"/>
        <v>3.7807382019731039E-4</v>
      </c>
      <c r="H33" s="26">
        <f t="shared" ref="H33" si="15">H20/$J$28</f>
        <v>8.1439815337877228E-4</v>
      </c>
      <c r="I33" s="26">
        <f t="shared" ref="I33:J39" si="16">I20/$J$28</f>
        <v>1.0715510600452224E-2</v>
      </c>
      <c r="J33" s="26">
        <f t="shared" si="16"/>
        <v>4.4139855157994505E-2</v>
      </c>
      <c r="L33" t="str">
        <f>$A$7</f>
        <v>Bellevue</v>
      </c>
      <c r="M33" s="26">
        <f t="shared" ref="M33:U39" si="17">M7/$U$15</f>
        <v>3.2181073956190076E-2</v>
      </c>
      <c r="N33" s="26">
        <f t="shared" si="17"/>
        <v>6.6959162145111104E-4</v>
      </c>
      <c r="O33" s="26">
        <f t="shared" si="17"/>
        <v>2.678053592523392E-3</v>
      </c>
      <c r="P33" s="26">
        <f t="shared" si="17"/>
        <v>1.6160937966331721E-3</v>
      </c>
      <c r="Q33" s="26">
        <f t="shared" si="17"/>
        <v>9.94687740464057E-4</v>
      </c>
      <c r="R33" s="26">
        <f t="shared" si="17"/>
        <v>1.2484441913971649E-4</v>
      </c>
      <c r="S33" s="26">
        <f t="shared" ref="S33" si="18">S7/$U$15</f>
        <v>2.9411968418880576E-3</v>
      </c>
      <c r="T33" s="26">
        <f t="shared" ref="T33:U38" si="19">T7/$U$15</f>
        <v>2.9343131897049154E-3</v>
      </c>
      <c r="U33" s="26">
        <f t="shared" si="19"/>
        <v>4.4139855157994498E-2</v>
      </c>
      <c r="W33" t="str">
        <f>$A$7</f>
        <v>Bellevue</v>
      </c>
      <c r="X33" s="26">
        <f t="shared" ref="X33:Z35" si="20">M33-B33</f>
        <v>1.5466119304612426E-3</v>
      </c>
      <c r="Y33" s="26">
        <f t="shared" si="20"/>
        <v>6.6959162145111104E-4</v>
      </c>
      <c r="Z33" s="26">
        <f t="shared" si="20"/>
        <v>2.4381885943024224E-3</v>
      </c>
      <c r="AA33" s="26">
        <f t="shared" ref="AA33:AA35" si="21">P33-E33</f>
        <v>1.6160937966331721E-3</v>
      </c>
      <c r="AB33" s="26">
        <f t="shared" ref="AB33:AB35" si="22">Q33-F33</f>
        <v>-3.6285781955233774E-4</v>
      </c>
      <c r="AC33" s="26">
        <f t="shared" ref="AC33:AD40" si="23">R33-G33</f>
        <v>-2.5322940105759393E-4</v>
      </c>
      <c r="AD33" s="26">
        <f t="shared" si="23"/>
        <v>2.1267986885092852E-3</v>
      </c>
      <c r="AE33" s="26">
        <f t="shared" ref="AE33:AF35" si="24">T33-I33</f>
        <v>-7.7811974107473078E-3</v>
      </c>
      <c r="AF33" s="26">
        <f t="shared" si="24"/>
        <v>0</v>
      </c>
    </row>
    <row r="34" spans="1:32" x14ac:dyDescent="0.25">
      <c r="A34" t="str">
        <f>$A$8</f>
        <v>Bellevue Downtown</v>
      </c>
      <c r="B34" s="26">
        <f t="shared" si="14"/>
        <v>5.0144974061621712E-5</v>
      </c>
      <c r="C34" s="26">
        <f t="shared" si="14"/>
        <v>2.711634408430451E-6</v>
      </c>
      <c r="D34" s="26">
        <f t="shared" si="14"/>
        <v>0</v>
      </c>
      <c r="E34" s="26">
        <f t="shared" si="14"/>
        <v>0</v>
      </c>
      <c r="F34" s="26">
        <f t="shared" si="14"/>
        <v>6.7194764481138503E-5</v>
      </c>
      <c r="G34" s="26">
        <f t="shared" si="14"/>
        <v>7.3707874748175925E-6</v>
      </c>
      <c r="H34" s="26">
        <f t="shared" ref="H34" si="25">H21/$J$28</f>
        <v>0</v>
      </c>
      <c r="I34" s="26">
        <f t="shared" si="16"/>
        <v>2.4525363064620991E-3</v>
      </c>
      <c r="J34" s="26">
        <f t="shared" si="16"/>
        <v>2.5799584668881074E-3</v>
      </c>
      <c r="L34" t="str">
        <f>$A$8</f>
        <v>Bellevue Downtown</v>
      </c>
      <c r="M34" s="26">
        <f t="shared" si="17"/>
        <v>7.7691401685191989E-4</v>
      </c>
      <c r="N34" s="26">
        <f t="shared" si="17"/>
        <v>1.7052683817329696E-4</v>
      </c>
      <c r="O34" s="26">
        <f t="shared" si="17"/>
        <v>1.7177841129750463E-4</v>
      </c>
      <c r="P34" s="26">
        <f t="shared" si="17"/>
        <v>2.3154102797842157E-5</v>
      </c>
      <c r="Q34" s="26">
        <f t="shared" si="17"/>
        <v>3.629562060202284E-5</v>
      </c>
      <c r="R34" s="26">
        <f t="shared" si="17"/>
        <v>7.8223320262980255E-6</v>
      </c>
      <c r="S34" s="26">
        <f t="shared" ref="S34" si="26">S8/$U$15</f>
        <v>5.4443430903034256E-5</v>
      </c>
      <c r="T34" s="26">
        <f t="shared" si="19"/>
        <v>1.3390237142361888E-3</v>
      </c>
      <c r="U34" s="26">
        <f t="shared" si="19"/>
        <v>2.5799584668881074E-3</v>
      </c>
      <c r="W34" t="str">
        <f>$A$8</f>
        <v>Bellevue Downtown</v>
      </c>
      <c r="X34" s="26">
        <f t="shared" si="20"/>
        <v>7.2676904279029815E-4</v>
      </c>
      <c r="Y34" s="26">
        <f t="shared" si="20"/>
        <v>1.678152037648665E-4</v>
      </c>
      <c r="Z34" s="26">
        <f t="shared" si="20"/>
        <v>1.7177841129750463E-4</v>
      </c>
      <c r="AA34" s="26">
        <f t="shared" si="21"/>
        <v>2.3154102797842157E-5</v>
      </c>
      <c r="AB34" s="26">
        <f t="shared" si="22"/>
        <v>-3.0899143879115663E-5</v>
      </c>
      <c r="AC34" s="26">
        <f t="shared" si="23"/>
        <v>4.5154455148043303E-7</v>
      </c>
      <c r="AD34" s="26">
        <f t="shared" si="23"/>
        <v>5.4443430903034256E-5</v>
      </c>
      <c r="AE34" s="26">
        <f t="shared" si="24"/>
        <v>-1.1135125922259103E-3</v>
      </c>
      <c r="AF34" s="26">
        <f t="shared" si="24"/>
        <v>0</v>
      </c>
    </row>
    <row r="35" spans="1:32" x14ac:dyDescent="0.25">
      <c r="A35" t="str">
        <f>$A$9</f>
        <v>Kirkland</v>
      </c>
      <c r="B35" s="26">
        <f t="shared" si="14"/>
        <v>2.1457962052600682E-3</v>
      </c>
      <c r="C35" s="26">
        <f t="shared" si="14"/>
        <v>1.5001611910845972E-4</v>
      </c>
      <c r="D35" s="26">
        <f t="shared" si="14"/>
        <v>1.2925071283939011E-2</v>
      </c>
      <c r="E35" s="26">
        <f t="shared" si="14"/>
        <v>1.1565382838497249E-4</v>
      </c>
      <c r="F35" s="26">
        <f t="shared" si="14"/>
        <v>2.8866168081901903E-5</v>
      </c>
      <c r="G35" s="26">
        <f t="shared" si="14"/>
        <v>3.6745021227604569E-6</v>
      </c>
      <c r="H35" s="26">
        <f t="shared" ref="H35" si="27">H22/$J$28</f>
        <v>9.136361202134026E-6</v>
      </c>
      <c r="I35" s="26">
        <f t="shared" si="16"/>
        <v>2.5076014073535775E-2</v>
      </c>
      <c r="J35" s="26">
        <f t="shared" si="16"/>
        <v>4.0454228541635079E-2</v>
      </c>
      <c r="L35" t="str">
        <f>$A$9</f>
        <v>Kirkland</v>
      </c>
      <c r="M35" s="26">
        <f t="shared" si="17"/>
        <v>2.0084619710722812E-3</v>
      </c>
      <c r="N35" s="26">
        <f t="shared" si="17"/>
        <v>7.0713881517734146E-5</v>
      </c>
      <c r="O35" s="26">
        <f t="shared" si="17"/>
        <v>2.447075772450864E-2</v>
      </c>
      <c r="P35" s="26">
        <f t="shared" si="17"/>
        <v>2.805401157911524E-3</v>
      </c>
      <c r="Q35" s="26">
        <f t="shared" si="17"/>
        <v>1.4433767054925118E-3</v>
      </c>
      <c r="R35" s="26">
        <f t="shared" si="17"/>
        <v>5.5382110746190023E-5</v>
      </c>
      <c r="S35" s="26">
        <f t="shared" ref="S35" si="28">S9/$U$15</f>
        <v>2.8179168891536007E-3</v>
      </c>
      <c r="T35" s="26">
        <f t="shared" si="19"/>
        <v>6.7822181012325965E-3</v>
      </c>
      <c r="U35" s="26">
        <f t="shared" si="19"/>
        <v>4.0454228541635079E-2</v>
      </c>
      <c r="W35" t="str">
        <f>$A$9</f>
        <v>Kirkland</v>
      </c>
      <c r="X35" s="26">
        <f t="shared" si="20"/>
        <v>-1.3733423418778702E-4</v>
      </c>
      <c r="Y35" s="26">
        <f t="shared" si="20"/>
        <v>-7.9302237590725571E-5</v>
      </c>
      <c r="Z35" s="26">
        <f t="shared" si="20"/>
        <v>1.1545686440569629E-2</v>
      </c>
      <c r="AA35" s="26">
        <f t="shared" si="21"/>
        <v>2.6897473295265516E-3</v>
      </c>
      <c r="AB35" s="26">
        <f t="shared" si="22"/>
        <v>1.4145105374106098E-3</v>
      </c>
      <c r="AC35" s="26">
        <f t="shared" si="23"/>
        <v>5.1707608623429566E-5</v>
      </c>
      <c r="AD35" s="26">
        <f t="shared" si="23"/>
        <v>2.8087805279514667E-3</v>
      </c>
      <c r="AE35" s="26">
        <f t="shared" si="24"/>
        <v>-1.8293795972303177E-2</v>
      </c>
      <c r="AF35" s="26">
        <f t="shared" si="24"/>
        <v>0</v>
      </c>
    </row>
    <row r="36" spans="1:32" x14ac:dyDescent="0.25">
      <c r="A36" t="str">
        <f>$A$10</f>
        <v>Redmond</v>
      </c>
      <c r="B36" s="26">
        <f t="shared" si="14"/>
        <v>1.3182662416760598E-3</v>
      </c>
      <c r="C36" s="26">
        <f t="shared" si="14"/>
        <v>1.7640247400504418E-4</v>
      </c>
      <c r="D36" s="26">
        <f t="shared" si="14"/>
        <v>2.8617909340772842E-3</v>
      </c>
      <c r="E36" s="26">
        <f t="shared" si="14"/>
        <v>1.4400113784973877E-2</v>
      </c>
      <c r="F36" s="26">
        <f t="shared" si="14"/>
        <v>6.1473198068725664E-4</v>
      </c>
      <c r="G36" s="26">
        <f t="shared" si="14"/>
        <v>2.8150565524955171E-6</v>
      </c>
      <c r="H36" s="26">
        <f t="shared" ref="H36" si="29">H23/$J$28</f>
        <v>1.8778740530529735E-4</v>
      </c>
      <c r="I36" s="26">
        <f t="shared" si="16"/>
        <v>1.6026862885893257E-2</v>
      </c>
      <c r="J36" s="26">
        <f t="shared" si="16"/>
        <v>3.5588770763170567E-2</v>
      </c>
      <c r="L36" t="str">
        <f>$A$10</f>
        <v>Redmond</v>
      </c>
      <c r="M36" s="26">
        <f t="shared" si="17"/>
        <v>4.379254361602687E-3</v>
      </c>
      <c r="N36" s="26">
        <f t="shared" si="17"/>
        <v>5.3504751059878496E-5</v>
      </c>
      <c r="O36" s="26">
        <f t="shared" si="17"/>
        <v>6.3783295342434102E-3</v>
      </c>
      <c r="P36" s="26">
        <f t="shared" si="17"/>
        <v>1.4633392968236243E-2</v>
      </c>
      <c r="Q36" s="26">
        <f t="shared" si="17"/>
        <v>3.588885933665534E-4</v>
      </c>
      <c r="R36" s="26">
        <f t="shared" si="17"/>
        <v>3.9111660131490126E-5</v>
      </c>
      <c r="S36" s="26">
        <f t="shared" ref="S36" si="30">S10/$U$15</f>
        <v>2.4393160190807764E-3</v>
      </c>
      <c r="T36" s="26">
        <f t="shared" si="19"/>
        <v>7.306972875449529E-3</v>
      </c>
      <c r="U36" s="26">
        <f t="shared" si="19"/>
        <v>3.5588770763170567E-2</v>
      </c>
      <c r="W36" t="str">
        <f>$A$10</f>
        <v>Redmond</v>
      </c>
      <c r="X36" s="26">
        <f t="shared" ref="X36:X38" si="31">M36-B36</f>
        <v>3.0609881199266274E-3</v>
      </c>
      <c r="Y36" s="26">
        <f t="shared" ref="Y36:Y38" si="32">N36-C36</f>
        <v>-1.2289772294516569E-4</v>
      </c>
      <c r="Z36" s="26">
        <f t="shared" ref="Z36:Z38" si="33">O36-D36</f>
        <v>3.516538600166126E-3</v>
      </c>
      <c r="AA36" s="26">
        <f t="shared" ref="AA36:AA38" si="34">P36-E36</f>
        <v>2.3327918326236652E-4</v>
      </c>
      <c r="AB36" s="26">
        <f t="shared" ref="AB36:AB38" si="35">Q36-F36</f>
        <v>-2.5584338732070324E-4</v>
      </c>
      <c r="AC36" s="26">
        <f t="shared" ref="AC36:AD38" si="36">R36-G36</f>
        <v>3.6296603578994611E-5</v>
      </c>
      <c r="AD36" s="26">
        <f t="shared" si="36"/>
        <v>2.2515286137754793E-3</v>
      </c>
      <c r="AE36" s="26">
        <f t="shared" ref="AE36:AE39" si="37">T36-I36</f>
        <v>-8.7198900104437285E-3</v>
      </c>
      <c r="AF36" s="26">
        <f t="shared" ref="AF36:AF39" si="38">U36-J36</f>
        <v>0</v>
      </c>
    </row>
    <row r="37" spans="1:32" x14ac:dyDescent="0.25">
      <c r="A37" t="str">
        <f>$A$11</f>
        <v>Seattle</v>
      </c>
      <c r="B37" s="26">
        <f t="shared" si="14"/>
        <v>4.6915939802369042E-4</v>
      </c>
      <c r="C37" s="26">
        <f t="shared" si="14"/>
        <v>2.5528781997173993E-5</v>
      </c>
      <c r="D37" s="26">
        <f t="shared" si="14"/>
        <v>9.4048693196522595E-4</v>
      </c>
      <c r="E37" s="26">
        <f t="shared" si="14"/>
        <v>5.9149133507219459E-6</v>
      </c>
      <c r="F37" s="26">
        <f t="shared" si="14"/>
        <v>0.11893622403434066</v>
      </c>
      <c r="G37" s="26">
        <f t="shared" si="14"/>
        <v>3.5633188668695932E-3</v>
      </c>
      <c r="H37" s="26">
        <f t="shared" ref="H37" si="39">H24/$J$28</f>
        <v>4.317338388428741E-3</v>
      </c>
      <c r="I37" s="26">
        <f t="shared" si="16"/>
        <v>2.1670798735022062E-2</v>
      </c>
      <c r="J37" s="26">
        <f t="shared" si="16"/>
        <v>0.14992877004999786</v>
      </c>
      <c r="L37" t="str">
        <f>$A$11</f>
        <v>Seattle</v>
      </c>
      <c r="M37" s="26">
        <f t="shared" si="17"/>
        <v>3.1931452007561327E-3</v>
      </c>
      <c r="N37" s="26">
        <f t="shared" si="17"/>
        <v>3.0016036664224915E-5</v>
      </c>
      <c r="O37" s="26">
        <f t="shared" si="17"/>
        <v>5.2630887098451826E-3</v>
      </c>
      <c r="P37" s="26">
        <f t="shared" si="17"/>
        <v>2.94982773766054E-4</v>
      </c>
      <c r="Q37" s="26">
        <f t="shared" si="17"/>
        <v>0.11879579921672123</v>
      </c>
      <c r="R37" s="26">
        <f t="shared" si="17"/>
        <v>4.361163550308981E-3</v>
      </c>
      <c r="S37" s="26">
        <f t="shared" ref="S37" si="40">S11/$U$15</f>
        <v>1.5100513375355135E-2</v>
      </c>
      <c r="T37" s="26">
        <f t="shared" si="19"/>
        <v>2.8900611865809132E-3</v>
      </c>
      <c r="U37" s="26">
        <f t="shared" si="19"/>
        <v>0.14992877004999786</v>
      </c>
      <c r="W37" t="str">
        <f>$A$11</f>
        <v>Seattle</v>
      </c>
      <c r="X37" s="26">
        <f t="shared" si="31"/>
        <v>2.7239858027324421E-3</v>
      </c>
      <c r="Y37" s="26">
        <f t="shared" si="32"/>
        <v>4.4872546670509221E-6</v>
      </c>
      <c r="Z37" s="26">
        <f t="shared" si="33"/>
        <v>4.3226017778799563E-3</v>
      </c>
      <c r="AA37" s="26">
        <f t="shared" si="34"/>
        <v>2.8906786041533203E-4</v>
      </c>
      <c r="AB37" s="26">
        <f t="shared" si="35"/>
        <v>-1.404248176194306E-4</v>
      </c>
      <c r="AC37" s="26">
        <f t="shared" si="36"/>
        <v>7.9784468343938779E-4</v>
      </c>
      <c r="AD37" s="26">
        <f t="shared" si="36"/>
        <v>1.0783174986926394E-2</v>
      </c>
      <c r="AE37" s="26">
        <f t="shared" si="37"/>
        <v>-1.8780737548441149E-2</v>
      </c>
      <c r="AF37" s="26">
        <f t="shared" si="38"/>
        <v>0</v>
      </c>
    </row>
    <row r="38" spans="1:32" x14ac:dyDescent="0.25">
      <c r="A38" t="str">
        <f>$A$12</f>
        <v>Seattle Downtown</v>
      </c>
      <c r="B38" s="26">
        <f t="shared" si="14"/>
        <v>0</v>
      </c>
      <c r="C38" s="26">
        <f t="shared" si="14"/>
        <v>0</v>
      </c>
      <c r="D38" s="26">
        <f t="shared" si="14"/>
        <v>0</v>
      </c>
      <c r="E38" s="26">
        <f t="shared" si="14"/>
        <v>0</v>
      </c>
      <c r="F38" s="26">
        <f t="shared" si="14"/>
        <v>6.182057816761455E-4</v>
      </c>
      <c r="G38" s="26">
        <f t="shared" si="14"/>
        <v>2.6920798942034826E-4</v>
      </c>
      <c r="H38" s="26">
        <f t="shared" ref="H38:H39" si="41">H25/$J$28</f>
        <v>0</v>
      </c>
      <c r="I38" s="26">
        <f t="shared" si="16"/>
        <v>1.0639799351734968E-2</v>
      </c>
      <c r="J38" s="26">
        <f t="shared" si="16"/>
        <v>1.152721312283146E-2</v>
      </c>
      <c r="L38" t="str">
        <f>$A$12</f>
        <v>Seattle Downtown</v>
      </c>
      <c r="M38" s="26">
        <f t="shared" si="17"/>
        <v>4.4399290724195565E-4</v>
      </c>
      <c r="N38" s="26">
        <f t="shared" si="17"/>
        <v>2.5031462484153683E-6</v>
      </c>
      <c r="O38" s="26">
        <f t="shared" si="17"/>
        <v>1.2406493530808899E-4</v>
      </c>
      <c r="P38" s="26">
        <f t="shared" si="17"/>
        <v>1.2475974108441374E-5</v>
      </c>
      <c r="Q38" s="26">
        <f t="shared" si="17"/>
        <v>2.4235637317782067E-3</v>
      </c>
      <c r="R38" s="26">
        <f t="shared" si="17"/>
        <v>3.1246772311965183E-3</v>
      </c>
      <c r="S38" s="26">
        <f t="shared" ref="S38" si="42">S12/$U$15</f>
        <v>3.0613199028232024E-4</v>
      </c>
      <c r="T38" s="26">
        <f t="shared" si="19"/>
        <v>5.0898032066675125E-3</v>
      </c>
      <c r="U38" s="26">
        <f t="shared" si="19"/>
        <v>1.152721312283146E-2</v>
      </c>
      <c r="W38" t="str">
        <f>$A$12</f>
        <v>Seattle Downtown</v>
      </c>
      <c r="X38" s="26">
        <f t="shared" si="31"/>
        <v>4.4399290724195565E-4</v>
      </c>
      <c r="Y38" s="26">
        <f t="shared" si="32"/>
        <v>2.5031462484153683E-6</v>
      </c>
      <c r="Z38" s="26">
        <f t="shared" si="33"/>
        <v>1.2406493530808899E-4</v>
      </c>
      <c r="AA38" s="26">
        <f t="shared" si="34"/>
        <v>1.2475974108441374E-5</v>
      </c>
      <c r="AB38" s="26">
        <f t="shared" si="35"/>
        <v>1.8053579501020613E-3</v>
      </c>
      <c r="AC38" s="26">
        <f t="shared" si="36"/>
        <v>2.8554692417761701E-3</v>
      </c>
      <c r="AD38" s="26">
        <f t="shared" si="36"/>
        <v>3.0613199028232024E-4</v>
      </c>
      <c r="AE38" s="26">
        <f t="shared" si="37"/>
        <v>-5.5499961450674552E-3</v>
      </c>
      <c r="AF38" s="26">
        <f t="shared" si="38"/>
        <v>0</v>
      </c>
    </row>
    <row r="39" spans="1:32" x14ac:dyDescent="0.25">
      <c r="A39" t="str">
        <f>$A$13</f>
        <v>Rest</v>
      </c>
      <c r="B39" s="26">
        <f t="shared" si="14"/>
        <v>1.0396967575966825E-2</v>
      </c>
      <c r="C39" s="26">
        <f t="shared" si="14"/>
        <v>0</v>
      </c>
      <c r="D39" s="26">
        <f t="shared" si="14"/>
        <v>1.6501698685131849E-2</v>
      </c>
      <c r="E39" s="26">
        <f t="shared" si="14"/>
        <v>3.6766008512311367E-3</v>
      </c>
      <c r="F39" s="26">
        <f t="shared" si="14"/>
        <v>2.2137400231017738E-2</v>
      </c>
      <c r="G39" s="26">
        <f t="shared" si="14"/>
        <v>1.3321438451220492E-4</v>
      </c>
      <c r="H39" s="26">
        <f t="shared" si="41"/>
        <v>0.66293532216962281</v>
      </c>
      <c r="I39" s="26">
        <f t="shared" si="16"/>
        <v>0</v>
      </c>
      <c r="J39" s="26">
        <f t="shared" si="14"/>
        <v>0.71578120389748268</v>
      </c>
      <c r="L39" t="str">
        <f>$A$13</f>
        <v>Rest</v>
      </c>
      <c r="M39" s="26">
        <f t="shared" si="17"/>
        <v>1.3190121679720435E-2</v>
      </c>
      <c r="N39" s="26">
        <f t="shared" si="17"/>
        <v>2.0041637897096946E-4</v>
      </c>
      <c r="O39" s="26">
        <f t="shared" si="17"/>
        <v>1.0427240400385283E-2</v>
      </c>
      <c r="P39" s="26">
        <f t="shared" si="17"/>
        <v>5.9246310493109829E-3</v>
      </c>
      <c r="Q39" s="26">
        <f t="shared" si="17"/>
        <v>1.2528061127269174E-2</v>
      </c>
      <c r="R39" s="26">
        <f t="shared" si="17"/>
        <v>8.516471260450369E-4</v>
      </c>
      <c r="S39" s="26">
        <f t="shared" ref="S39" si="43">S13/$U$15</f>
        <v>0.67265908613578063</v>
      </c>
      <c r="T39" s="26">
        <f t="shared" si="17"/>
        <v>0</v>
      </c>
      <c r="U39" s="26">
        <f t="shared" si="17"/>
        <v>0.71578120389748257</v>
      </c>
      <c r="W39" t="str">
        <f>$A$13</f>
        <v>Rest</v>
      </c>
      <c r="X39" s="26">
        <f t="shared" ref="X39" si="44">M39-B39</f>
        <v>2.7931541037536107E-3</v>
      </c>
      <c r="Y39" s="26">
        <f t="shared" ref="Y39" si="45">N39-C39</f>
        <v>2.0041637897096946E-4</v>
      </c>
      <c r="Z39" s="26">
        <f t="shared" ref="Z39" si="46">O39-D39</f>
        <v>-6.0744582847465662E-3</v>
      </c>
      <c r="AA39" s="26">
        <f t="shared" ref="AA39" si="47">P39-E39</f>
        <v>2.2480301980798462E-3</v>
      </c>
      <c r="AB39" s="26">
        <f t="shared" ref="AB39" si="48">Q39-F39</f>
        <v>-9.6093391037485633E-3</v>
      </c>
      <c r="AC39" s="26">
        <f t="shared" ref="AC39" si="49">R39-G39</f>
        <v>7.1843274153283196E-4</v>
      </c>
      <c r="AD39" s="26">
        <f t="shared" ref="AD39" si="50">S39-H39</f>
        <v>9.7237639661578168E-3</v>
      </c>
      <c r="AE39" s="26">
        <f t="shared" si="37"/>
        <v>0</v>
      </c>
      <c r="AF39" s="26">
        <f t="shared" si="38"/>
        <v>0</v>
      </c>
    </row>
    <row r="40" spans="1:32" x14ac:dyDescent="0.25">
      <c r="A40" s="8" t="s">
        <v>12</v>
      </c>
      <c r="B40" s="27" t="e">
        <f t="shared" ref="B40:H40" si="51">B27/$J$28</f>
        <v>#DIV/0!</v>
      </c>
      <c r="C40" s="27" t="e">
        <f t="shared" si="51"/>
        <v>#DIV/0!</v>
      </c>
      <c r="D40" s="27" t="e">
        <f t="shared" si="51"/>
        <v>#DIV/0!</v>
      </c>
      <c r="E40" s="27" t="e">
        <f t="shared" si="51"/>
        <v>#DIV/0!</v>
      </c>
      <c r="F40" s="27" t="e">
        <f t="shared" si="51"/>
        <v>#DIV/0!</v>
      </c>
      <c r="G40" s="27" t="e">
        <f t="shared" si="51"/>
        <v>#DIV/0!</v>
      </c>
      <c r="H40" s="27" t="e">
        <f t="shared" si="51"/>
        <v>#DIV/0!</v>
      </c>
      <c r="I40" s="27" t="e">
        <f>I27/$J$28</f>
        <v>#DIV/0!</v>
      </c>
      <c r="J40" s="27" t="e">
        <f>J27/$J$28</f>
        <v>#DIV/0!</v>
      </c>
      <c r="L40" s="23" t="s">
        <v>12</v>
      </c>
      <c r="M40" s="27">
        <f>M14/$U$15</f>
        <v>0</v>
      </c>
      <c r="N40" s="27">
        <f t="shared" ref="N40:U40" si="52">N14/$U$15</f>
        <v>0</v>
      </c>
      <c r="O40" s="27">
        <f t="shared" si="52"/>
        <v>0</v>
      </c>
      <c r="P40" s="27">
        <f t="shared" si="52"/>
        <v>0</v>
      </c>
      <c r="Q40" s="27">
        <f t="shared" si="52"/>
        <v>0</v>
      </c>
      <c r="R40" s="27">
        <f t="shared" si="52"/>
        <v>0</v>
      </c>
      <c r="S40" s="27">
        <f t="shared" si="52"/>
        <v>0</v>
      </c>
      <c r="T40" s="27">
        <f t="shared" si="52"/>
        <v>0</v>
      </c>
      <c r="U40" s="27">
        <f t="shared" si="52"/>
        <v>0</v>
      </c>
      <c r="W40" s="23" t="s">
        <v>12</v>
      </c>
      <c r="X40" s="27" t="e">
        <f t="shared" ref="X40:Z41" si="53">M40-B40</f>
        <v>#DIV/0!</v>
      </c>
      <c r="Y40" s="27" t="e">
        <f t="shared" si="53"/>
        <v>#DIV/0!</v>
      </c>
      <c r="Z40" s="27" t="e">
        <f t="shared" si="53"/>
        <v>#DIV/0!</v>
      </c>
      <c r="AA40" s="27" t="e">
        <f t="shared" ref="AA40:AA41" si="54">P40-E40</f>
        <v>#DIV/0!</v>
      </c>
      <c r="AB40" s="27" t="e">
        <f t="shared" ref="AB40:AB41" si="55">Q40-F40</f>
        <v>#DIV/0!</v>
      </c>
      <c r="AC40" s="27" t="e">
        <f t="shared" ref="AC40:AD41" si="56">R40-G40</f>
        <v>#DIV/0!</v>
      </c>
      <c r="AD40" s="26" t="e">
        <f t="shared" si="23"/>
        <v>#DIV/0!</v>
      </c>
      <c r="AE40" s="27" t="e">
        <f>T40-I40</f>
        <v>#DIV/0!</v>
      </c>
      <c r="AF40" s="27" t="e">
        <f>U40-J40</f>
        <v>#DIV/0!</v>
      </c>
    </row>
    <row r="41" spans="1:32" ht="15.75" thickBot="1" x14ac:dyDescent="0.3">
      <c r="A41" s="1" t="s">
        <v>3</v>
      </c>
      <c r="B41" s="28">
        <f>B28/$J$28</f>
        <v>4.7254210729892464E-2</v>
      </c>
      <c r="C41" s="28">
        <f>C28/$J$28</f>
        <v>6.0035452410159252E-4</v>
      </c>
      <c r="D41" s="28">
        <f>D28/$J$28</f>
        <v>4.132463462587263E-2</v>
      </c>
      <c r="E41" s="28">
        <f t="shared" ref="E41:H41" si="57">E28/$J$28</f>
        <v>2.9953059309250164E-2</v>
      </c>
      <c r="F41" s="28">
        <f t="shared" si="57"/>
        <v>0.15075896726291341</v>
      </c>
      <c r="G41" s="28">
        <f t="shared" si="57"/>
        <v>5.4592942922936103E-3</v>
      </c>
      <c r="H41" s="28">
        <f t="shared" si="57"/>
        <v>0</v>
      </c>
      <c r="I41" s="28">
        <f>I28/$J$28</f>
        <v>0.15452524700465978</v>
      </c>
      <c r="J41" s="28">
        <f>J28/$J$28</f>
        <v>1</v>
      </c>
      <c r="L41" s="24" t="s">
        <v>3</v>
      </c>
      <c r="M41" s="28">
        <f>M15/$U$15</f>
        <v>5.6172964093435487E-2</v>
      </c>
      <c r="N41" s="28">
        <f>N15/$U$15</f>
        <v>1.1972726540856304E-3</v>
      </c>
      <c r="O41" s="28">
        <f>O15/$U$15</f>
        <v>4.9513313308111505E-2</v>
      </c>
      <c r="P41" s="28">
        <f t="shared" ref="P41:S41" si="58">P15/$U$15</f>
        <v>2.5310131822764259E-2</v>
      </c>
      <c r="Q41" s="28">
        <f t="shared" si="58"/>
        <v>0.13658067273569374</v>
      </c>
      <c r="R41" s="28">
        <f t="shared" si="58"/>
        <v>8.5646484295942311E-3</v>
      </c>
      <c r="S41" s="28">
        <f t="shared" si="58"/>
        <v>0.69631860468244355</v>
      </c>
      <c r="T41" s="28">
        <f>T15/$U$15</f>
        <v>2.6342392273871657E-2</v>
      </c>
      <c r="U41" s="28">
        <f>U15/$U$15</f>
        <v>1</v>
      </c>
      <c r="W41" s="24" t="s">
        <v>3</v>
      </c>
      <c r="X41" s="28">
        <f t="shared" si="53"/>
        <v>8.9187533635430236E-3</v>
      </c>
      <c r="Y41" s="28">
        <f t="shared" si="53"/>
        <v>5.9691812998403785E-4</v>
      </c>
      <c r="Z41" s="28">
        <f t="shared" si="53"/>
        <v>8.1886786822388744E-3</v>
      </c>
      <c r="AA41" s="28">
        <f t="shared" si="54"/>
        <v>-4.6429274864859052E-3</v>
      </c>
      <c r="AB41" s="28">
        <f t="shared" si="55"/>
        <v>-1.4178294527219665E-2</v>
      </c>
      <c r="AC41" s="28">
        <f t="shared" si="56"/>
        <v>3.1053541373006208E-3</v>
      </c>
      <c r="AD41" s="28">
        <f t="shared" si="56"/>
        <v>0.69631860468244355</v>
      </c>
      <c r="AE41" s="28">
        <f>T41-I41</f>
        <v>-0.12818285473078811</v>
      </c>
      <c r="AF41" s="28">
        <f>U41-J41</f>
        <v>0</v>
      </c>
    </row>
    <row r="44" spans="1:32" ht="15.75" thickBot="1" x14ac:dyDescent="0.3">
      <c r="A44" s="39" t="s">
        <v>196</v>
      </c>
      <c r="B44" s="37"/>
      <c r="C44" s="37"/>
      <c r="D44" s="37"/>
      <c r="E44" s="37"/>
      <c r="F44" s="37"/>
      <c r="G44" s="37"/>
      <c r="H44" s="37"/>
      <c r="I44" s="37"/>
      <c r="J44" s="7"/>
      <c r="L44" s="39" t="s">
        <v>38</v>
      </c>
      <c r="M44" s="37"/>
      <c r="N44" s="37"/>
      <c r="O44" s="37"/>
      <c r="P44" s="37"/>
      <c r="Q44" s="37"/>
      <c r="R44" s="37"/>
      <c r="S44" s="37"/>
      <c r="T44" s="37"/>
      <c r="U44" s="7"/>
      <c r="W44" s="39" t="s">
        <v>39</v>
      </c>
      <c r="X44" s="37"/>
      <c r="Y44" s="37"/>
      <c r="Z44" s="37"/>
      <c r="AA44" s="37"/>
      <c r="AB44" s="37"/>
      <c r="AC44" s="37"/>
      <c r="AD44" s="37"/>
      <c r="AE44" s="37"/>
      <c r="AF44" s="7"/>
    </row>
    <row r="45" spans="1:32" x14ac:dyDescent="0.25">
      <c r="A45" s="29" t="s">
        <v>11</v>
      </c>
      <c r="B45" s="30" t="str">
        <f>$A$7</f>
        <v>Bellevue</v>
      </c>
      <c r="C45" s="30" t="str">
        <f>$A$8</f>
        <v>Bellevue Downtown</v>
      </c>
      <c r="D45" s="30" t="str">
        <f>$A$9</f>
        <v>Kirkland</v>
      </c>
      <c r="E45" s="30" t="str">
        <f>$A$10</f>
        <v>Redmond</v>
      </c>
      <c r="F45" s="30" t="str">
        <f>$A$11</f>
        <v>Seattle</v>
      </c>
      <c r="G45" s="30" t="str">
        <f>$A$12</f>
        <v>Seattle Downtown</v>
      </c>
      <c r="H45" s="30"/>
      <c r="I45" s="30" t="s">
        <v>3</v>
      </c>
      <c r="J45" s="7"/>
      <c r="L45" s="29" t="s">
        <v>11</v>
      </c>
      <c r="M45" s="30" t="str">
        <f>$A$7</f>
        <v>Bellevue</v>
      </c>
      <c r="N45" s="30" t="str">
        <f>$A$8</f>
        <v>Bellevue Downtown</v>
      </c>
      <c r="O45" s="30" t="str">
        <f>$A$9</f>
        <v>Kirkland</v>
      </c>
      <c r="P45" s="30" t="str">
        <f>$A$10</f>
        <v>Redmond</v>
      </c>
      <c r="Q45" s="30" t="str">
        <f>$A$11</f>
        <v>Seattle</v>
      </c>
      <c r="R45" s="30" t="str">
        <f>$A$12</f>
        <v>Seattle Downtown</v>
      </c>
      <c r="S45" s="30"/>
      <c r="T45" s="30" t="s">
        <v>3</v>
      </c>
      <c r="U45" s="7"/>
      <c r="W45" s="29" t="s">
        <v>11</v>
      </c>
      <c r="X45" s="30" t="str">
        <f>$A$7</f>
        <v>Bellevue</v>
      </c>
      <c r="Y45" s="30" t="str">
        <f>$A$8</f>
        <v>Bellevue Downtown</v>
      </c>
      <c r="Z45" s="30" t="str">
        <f>$A$9</f>
        <v>Kirkland</v>
      </c>
      <c r="AA45" s="30" t="str">
        <f>$A$10</f>
        <v>Redmond</v>
      </c>
      <c r="AB45" s="30" t="str">
        <f>$A$11</f>
        <v>Seattle</v>
      </c>
      <c r="AC45" s="30" t="str">
        <f>$A$12</f>
        <v>Seattle Downtown</v>
      </c>
      <c r="AD45" s="30"/>
      <c r="AE45" s="30" t="s">
        <v>3</v>
      </c>
      <c r="AF45" s="7"/>
    </row>
    <row r="46" spans="1:32" x14ac:dyDescent="0.25">
      <c r="A46" s="35" t="str">
        <f>$A$7</f>
        <v>Bellevue</v>
      </c>
      <c r="B46" s="36"/>
      <c r="C46" s="36"/>
      <c r="D46" s="36"/>
      <c r="E46" s="36"/>
      <c r="F46" s="36"/>
      <c r="G46" s="36"/>
      <c r="H46" s="36"/>
      <c r="I46" s="36"/>
      <c r="J46" s="7"/>
      <c r="L46" s="35" t="str">
        <f>$A$7</f>
        <v>Bellevue</v>
      </c>
      <c r="M46" s="36"/>
      <c r="N46" s="36"/>
      <c r="O46" s="36"/>
      <c r="P46" s="36"/>
      <c r="Q46" s="36"/>
      <c r="R46" s="36"/>
      <c r="S46" s="36"/>
      <c r="T46" s="36"/>
      <c r="U46" s="7"/>
      <c r="W46" s="35" t="str">
        <f>$A$7</f>
        <v>Bellevue</v>
      </c>
      <c r="X46" s="36"/>
      <c r="Y46" s="36"/>
      <c r="Z46" s="36"/>
      <c r="AA46" s="36"/>
      <c r="AB46" s="36"/>
      <c r="AC46" s="36"/>
      <c r="AD46" s="36"/>
      <c r="AE46" s="36"/>
      <c r="AF46" s="7"/>
    </row>
    <row r="47" spans="1:32" x14ac:dyDescent="0.25">
      <c r="A47" s="31" t="str">
        <f>$A$8</f>
        <v>Bellevue Downtown</v>
      </c>
      <c r="B47" s="32"/>
      <c r="C47" s="32"/>
      <c r="D47" s="32"/>
      <c r="E47" s="32"/>
      <c r="F47" s="32"/>
      <c r="G47" s="32"/>
      <c r="H47" s="32"/>
      <c r="I47" s="32"/>
      <c r="J47" s="7"/>
      <c r="L47" s="31" t="str">
        <f>$A$8</f>
        <v>Bellevue Downtown</v>
      </c>
      <c r="M47" s="32"/>
      <c r="N47" s="32"/>
      <c r="O47" s="32"/>
      <c r="P47" s="32"/>
      <c r="Q47" s="32"/>
      <c r="R47" s="32"/>
      <c r="S47" s="32"/>
      <c r="T47" s="32"/>
      <c r="U47" s="7"/>
      <c r="W47" s="31" t="str">
        <f>$A$8</f>
        <v>Bellevue Downtown</v>
      </c>
      <c r="X47" s="32"/>
      <c r="Y47" s="32"/>
      <c r="Z47" s="32"/>
      <c r="AA47" s="32"/>
      <c r="AB47" s="32"/>
      <c r="AC47" s="32"/>
      <c r="AD47" s="32"/>
      <c r="AE47" s="32"/>
      <c r="AF47" s="7"/>
    </row>
    <row r="48" spans="1:32" x14ac:dyDescent="0.25">
      <c r="A48" s="31" t="str">
        <f>$A$9</f>
        <v>Kirkland</v>
      </c>
      <c r="B48" s="32"/>
      <c r="C48" s="32"/>
      <c r="D48" s="32"/>
      <c r="E48" s="32"/>
      <c r="F48" s="32"/>
      <c r="G48" s="32"/>
      <c r="H48" s="32"/>
      <c r="I48" s="32"/>
      <c r="J48" s="7"/>
      <c r="L48" s="31" t="str">
        <f>$A$9</f>
        <v>Kirkland</v>
      </c>
      <c r="M48" s="32"/>
      <c r="N48" s="32"/>
      <c r="O48" s="32"/>
      <c r="P48" s="32"/>
      <c r="Q48" s="32"/>
      <c r="R48" s="32"/>
      <c r="S48" s="32"/>
      <c r="T48" s="32"/>
      <c r="U48" s="7"/>
      <c r="W48" s="31" t="str">
        <f>$A$9</f>
        <v>Kirkland</v>
      </c>
      <c r="X48" s="32"/>
      <c r="Y48" s="32"/>
      <c r="Z48" s="32"/>
      <c r="AA48" s="32"/>
      <c r="AB48" s="32"/>
      <c r="AC48" s="32"/>
      <c r="AD48" s="32"/>
      <c r="AE48" s="32"/>
      <c r="AF48" s="7"/>
    </row>
    <row r="49" spans="1:32" x14ac:dyDescent="0.25">
      <c r="A49" s="31" t="str">
        <f>$A$10</f>
        <v>Redmond</v>
      </c>
      <c r="B49" s="32"/>
      <c r="C49" s="32"/>
      <c r="D49" s="32"/>
      <c r="E49" s="32"/>
      <c r="F49" s="32"/>
      <c r="G49" s="32"/>
      <c r="H49" s="32"/>
      <c r="I49" s="32"/>
      <c r="J49" s="7"/>
      <c r="L49" s="31" t="str">
        <f>$A$10</f>
        <v>Redmond</v>
      </c>
      <c r="M49" s="32"/>
      <c r="N49" s="32"/>
      <c r="O49" s="32"/>
      <c r="P49" s="32"/>
      <c r="Q49" s="32"/>
      <c r="R49" s="32"/>
      <c r="S49" s="32"/>
      <c r="T49" s="32"/>
      <c r="U49" s="7"/>
      <c r="W49" s="31" t="str">
        <f>$A$10</f>
        <v>Redmond</v>
      </c>
      <c r="X49" s="32"/>
      <c r="Y49" s="32"/>
      <c r="Z49" s="32"/>
      <c r="AA49" s="32"/>
      <c r="AB49" s="32"/>
      <c r="AC49" s="32"/>
      <c r="AD49" s="32"/>
      <c r="AE49" s="32"/>
      <c r="AF49" s="7"/>
    </row>
    <row r="50" spans="1:32" x14ac:dyDescent="0.25">
      <c r="A50" s="31" t="str">
        <f>$A$11</f>
        <v>Seattle</v>
      </c>
      <c r="B50" s="32"/>
      <c r="C50" s="32"/>
      <c r="D50" s="32"/>
      <c r="E50" s="32"/>
      <c r="F50" s="32"/>
      <c r="G50" s="32"/>
      <c r="H50" s="32"/>
      <c r="I50" s="32"/>
      <c r="J50" s="7"/>
      <c r="L50" s="31" t="str">
        <f>$A$11</f>
        <v>Seattle</v>
      </c>
      <c r="M50" s="32"/>
      <c r="N50" s="32"/>
      <c r="O50" s="32"/>
      <c r="P50" s="32"/>
      <c r="Q50" s="32"/>
      <c r="R50" s="32"/>
      <c r="S50" s="32"/>
      <c r="T50" s="32"/>
      <c r="U50" s="7"/>
      <c r="W50" s="31" t="str">
        <f>$A$11</f>
        <v>Seattle</v>
      </c>
      <c r="X50" s="32"/>
      <c r="Y50" s="32"/>
      <c r="Z50" s="32"/>
      <c r="AA50" s="32"/>
      <c r="AB50" s="32"/>
      <c r="AC50" s="32"/>
      <c r="AD50" s="32"/>
      <c r="AE50" s="32"/>
      <c r="AF50" s="7"/>
    </row>
    <row r="51" spans="1:32" x14ac:dyDescent="0.25">
      <c r="A51" s="48" t="str">
        <f>$A$12</f>
        <v>Seattle Downtown</v>
      </c>
      <c r="B51" s="49"/>
      <c r="C51" s="49"/>
      <c r="D51" s="49"/>
      <c r="E51" s="49"/>
      <c r="F51" s="49"/>
      <c r="G51" s="49"/>
      <c r="H51" s="49"/>
      <c r="I51" s="49"/>
      <c r="J51" s="7"/>
      <c r="L51" s="48" t="str">
        <f>$A$12</f>
        <v>Seattle Downtown</v>
      </c>
      <c r="M51" s="49"/>
      <c r="N51" s="49"/>
      <c r="O51" s="49"/>
      <c r="P51" s="49"/>
      <c r="Q51" s="49"/>
      <c r="R51" s="49"/>
      <c r="S51" s="49"/>
      <c r="T51" s="49"/>
      <c r="U51" s="7"/>
      <c r="W51" s="48" t="str">
        <f>$A$12</f>
        <v>Seattle Downtown</v>
      </c>
      <c r="X51" s="49"/>
      <c r="Y51" s="49"/>
      <c r="Z51" s="49"/>
      <c r="AA51" s="49"/>
      <c r="AB51" s="49"/>
      <c r="AC51" s="49"/>
      <c r="AD51" s="49"/>
      <c r="AE51" s="49"/>
      <c r="AF51" s="7"/>
    </row>
    <row r="52" spans="1:32" ht="15.75" thickBot="1" x14ac:dyDescent="0.3">
      <c r="A52" s="37" t="s">
        <v>3</v>
      </c>
      <c r="B52" s="38"/>
      <c r="C52" s="38"/>
      <c r="D52" s="38"/>
      <c r="E52" s="38"/>
      <c r="F52" s="38"/>
      <c r="G52" s="38"/>
      <c r="H52" s="38"/>
      <c r="I52" s="38"/>
      <c r="L52" s="40" t="s">
        <v>3</v>
      </c>
      <c r="M52" s="38"/>
      <c r="N52" s="38"/>
      <c r="O52" s="38"/>
      <c r="P52" s="38"/>
      <c r="Q52" s="38"/>
      <c r="R52" s="38"/>
      <c r="S52" s="38"/>
      <c r="T52" s="38"/>
      <c r="W52" s="40" t="s">
        <v>3</v>
      </c>
      <c r="X52" s="38"/>
      <c r="Y52" s="38"/>
      <c r="Z52" s="38"/>
      <c r="AA52" s="38"/>
      <c r="AB52" s="38"/>
      <c r="AC52" s="38"/>
      <c r="AD52" s="38"/>
      <c r="AE52" s="38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36"/>
  <sheetViews>
    <sheetView topLeftCell="A10" workbookViewId="0">
      <selection activeCell="G14" sqref="G14"/>
    </sheetView>
  </sheetViews>
  <sheetFormatPr defaultRowHeight="15" x14ac:dyDescent="0.25"/>
  <cols>
    <col min="1" max="1" width="18.28515625" customWidth="1" collapsed="1"/>
    <col min="2" max="2" width="11.5703125" bestFit="1" customWidth="1" collapsed="1"/>
    <col min="3" max="3" width="10.5703125" bestFit="1" customWidth="1" collapsed="1"/>
    <col min="4" max="4" width="12.28515625" bestFit="1" customWidth="1" collapsed="1"/>
    <col min="5" max="5" width="11.5703125" bestFit="1" customWidth="1" collapsed="1"/>
    <col min="8" max="8" width="19.85546875" customWidth="1" collapsed="1"/>
    <col min="9" max="10" width="11.5703125" bestFit="1" customWidth="1" collapsed="1"/>
    <col min="11" max="11" width="12.28515625" bestFit="1" customWidth="1" collapsed="1"/>
    <col min="12" max="12" width="11.5703125" bestFit="1" customWidth="1" collapsed="1"/>
    <col min="13" max="13" width="9.5703125" bestFit="1" customWidth="1" collapsed="1"/>
    <col min="15" max="15" width="18.42578125" customWidth="1" collapsed="1"/>
  </cols>
  <sheetData>
    <row r="1" spans="1:19" x14ac:dyDescent="0.25">
      <c r="A1" t="s">
        <v>29</v>
      </c>
    </row>
    <row r="2" spans="1:19" x14ac:dyDescent="0.25">
      <c r="A2" t="s">
        <v>247</v>
      </c>
    </row>
    <row r="3" spans="1:19" x14ac:dyDescent="0.25">
      <c r="A3" t="s">
        <v>30</v>
      </c>
    </row>
    <row r="5" spans="1:19" ht="15.75" thickBot="1" x14ac:dyDescent="0.3">
      <c r="A5" s="4" t="s">
        <v>199</v>
      </c>
      <c r="B5" s="1"/>
      <c r="C5" s="1"/>
      <c r="D5" s="1"/>
      <c r="H5" s="4" t="s">
        <v>32</v>
      </c>
      <c r="I5" s="1"/>
      <c r="J5" s="1"/>
      <c r="K5" s="1"/>
      <c r="O5" s="4" t="s">
        <v>68</v>
      </c>
      <c r="P5" s="1"/>
      <c r="Q5" s="1"/>
      <c r="R5" s="1"/>
      <c r="S5" s="1"/>
    </row>
    <row r="6" spans="1:19" x14ac:dyDescent="0.25">
      <c r="A6" s="2"/>
      <c r="B6" s="5" t="s">
        <v>41</v>
      </c>
      <c r="C6" s="5" t="s">
        <v>42</v>
      </c>
      <c r="D6" s="5" t="s">
        <v>43</v>
      </c>
      <c r="E6" s="3" t="s">
        <v>3</v>
      </c>
      <c r="H6" s="2"/>
      <c r="I6" s="5" t="s">
        <v>41</v>
      </c>
      <c r="J6" s="5" t="s">
        <v>42</v>
      </c>
      <c r="K6" s="5" t="s">
        <v>43</v>
      </c>
      <c r="L6" s="3" t="s">
        <v>3</v>
      </c>
      <c r="O6" s="2"/>
      <c r="P6" s="5" t="s">
        <v>41</v>
      </c>
      <c r="Q6" s="5" t="s">
        <v>42</v>
      </c>
      <c r="R6" s="5" t="s">
        <v>43</v>
      </c>
      <c r="S6" s="3" t="s">
        <v>3</v>
      </c>
    </row>
    <row r="7" spans="1:19" x14ac:dyDescent="0.25">
      <c r="A7" s="52" t="s">
        <v>254</v>
      </c>
      <c r="B7" s="83">
        <v>0</v>
      </c>
      <c r="C7" s="83">
        <v>0</v>
      </c>
      <c r="D7" s="83">
        <v>0</v>
      </c>
      <c r="E7" s="83">
        <f>SUM(B7:D7)</f>
        <v>0</v>
      </c>
      <c r="H7" s="15" t="str">
        <f>$A$7</f>
        <v>Bellevue</v>
      </c>
      <c r="I7" s="83">
        <v>57.25</v>
      </c>
      <c r="J7" s="83">
        <v>17.75</v>
      </c>
      <c r="K7" s="83">
        <v>9</v>
      </c>
      <c r="L7" s="83">
        <f>SUM(I7:K7)</f>
        <v>84</v>
      </c>
      <c r="O7" s="15" t="str">
        <f>$A$7</f>
        <v>Bellevue</v>
      </c>
      <c r="P7" s="20">
        <f>I7-B7</f>
        <v>57.25</v>
      </c>
      <c r="Q7" s="20">
        <f t="shared" ref="Q7:S14" si="0">J7-C7</f>
        <v>17.75</v>
      </c>
      <c r="R7" s="20">
        <f t="shared" si="0"/>
        <v>9</v>
      </c>
      <c r="S7" s="20">
        <f t="shared" si="0"/>
        <v>84</v>
      </c>
    </row>
    <row r="8" spans="1:19" x14ac:dyDescent="0.25">
      <c r="A8" s="7" t="s">
        <v>255</v>
      </c>
      <c r="B8" s="83">
        <v>0</v>
      </c>
      <c r="C8" s="83">
        <v>0</v>
      </c>
      <c r="D8" s="83">
        <v>0</v>
      </c>
      <c r="E8" s="83">
        <f>SUM(B8:D8)</f>
        <v>0</v>
      </c>
      <c r="H8" t="str">
        <f>$A$8</f>
        <v>Bellevue Downtown</v>
      </c>
      <c r="I8" s="83">
        <v>0.5</v>
      </c>
      <c r="J8" s="83">
        <v>0.25</v>
      </c>
      <c r="K8" s="83">
        <v>0.25</v>
      </c>
      <c r="L8" s="83">
        <f>SUM(I8:K8)</f>
        <v>1</v>
      </c>
      <c r="O8" t="str">
        <f>$A$8</f>
        <v>Bellevue Downtown</v>
      </c>
      <c r="P8" s="20">
        <f t="shared" ref="P8:P14" si="1">I8-B8</f>
        <v>0.5</v>
      </c>
      <c r="Q8" s="20">
        <f t="shared" si="0"/>
        <v>0.25</v>
      </c>
      <c r="R8" s="20">
        <f t="shared" si="0"/>
        <v>0.25</v>
      </c>
      <c r="S8" s="20">
        <f t="shared" si="0"/>
        <v>1</v>
      </c>
    </row>
    <row r="9" spans="1:19" x14ac:dyDescent="0.25">
      <c r="A9" s="7" t="s">
        <v>256</v>
      </c>
      <c r="B9" s="83">
        <v>0</v>
      </c>
      <c r="C9" s="83">
        <v>0</v>
      </c>
      <c r="D9" s="83">
        <v>0</v>
      </c>
      <c r="E9" s="83">
        <f t="shared" ref="E9:E11" si="2">SUM(B9:D9)</f>
        <v>0</v>
      </c>
      <c r="H9" t="str">
        <f>$A$9</f>
        <v>Kirkland</v>
      </c>
      <c r="I9" s="83">
        <v>47.5</v>
      </c>
      <c r="J9" s="83">
        <v>17.25</v>
      </c>
      <c r="K9" s="83">
        <v>9.75</v>
      </c>
      <c r="L9" s="83">
        <f t="shared" ref="L9:L11" si="3">SUM(I9:K9)</f>
        <v>74.5</v>
      </c>
      <c r="O9" t="str">
        <f>$A$9</f>
        <v>Kirkland</v>
      </c>
      <c r="P9" s="20">
        <f t="shared" ref="P9:P11" si="4">I9-B9</f>
        <v>47.5</v>
      </c>
      <c r="Q9" s="20">
        <f t="shared" ref="Q9:Q11" si="5">J9-C9</f>
        <v>17.25</v>
      </c>
      <c r="R9" s="20">
        <f t="shared" ref="R9:R11" si="6">K9-D9</f>
        <v>9.75</v>
      </c>
      <c r="S9" s="20">
        <f t="shared" ref="S9:S11" si="7">L9-E9</f>
        <v>74.5</v>
      </c>
    </row>
    <row r="10" spans="1:19" x14ac:dyDescent="0.25">
      <c r="A10" s="7" t="s">
        <v>257</v>
      </c>
      <c r="B10" s="83">
        <v>0</v>
      </c>
      <c r="C10" s="83">
        <v>0</v>
      </c>
      <c r="D10" s="83">
        <v>0</v>
      </c>
      <c r="E10" s="83">
        <f t="shared" si="2"/>
        <v>0</v>
      </c>
      <c r="H10" t="str">
        <f>$A$10</f>
        <v>Redmond</v>
      </c>
      <c r="I10" s="83">
        <v>76.25</v>
      </c>
      <c r="J10" s="83">
        <v>38</v>
      </c>
      <c r="K10" s="83">
        <v>20.25</v>
      </c>
      <c r="L10" s="83">
        <f t="shared" si="3"/>
        <v>134.5</v>
      </c>
      <c r="O10" s="7" t="str">
        <f>$A$10</f>
        <v>Redmond</v>
      </c>
      <c r="P10" s="21">
        <f t="shared" si="4"/>
        <v>76.25</v>
      </c>
      <c r="Q10" s="21">
        <f t="shared" si="5"/>
        <v>38</v>
      </c>
      <c r="R10" s="21">
        <f t="shared" si="6"/>
        <v>20.25</v>
      </c>
      <c r="S10" s="21">
        <f t="shared" si="7"/>
        <v>134.5</v>
      </c>
    </row>
    <row r="11" spans="1:19" x14ac:dyDescent="0.25">
      <c r="A11" s="7" t="s">
        <v>253</v>
      </c>
      <c r="B11" s="83">
        <v>0</v>
      </c>
      <c r="C11" s="83">
        <v>0</v>
      </c>
      <c r="D11" s="83">
        <v>996.87599999999998</v>
      </c>
      <c r="E11" s="83">
        <f t="shared" si="2"/>
        <v>996.87599999999998</v>
      </c>
      <c r="H11" t="str">
        <f>$A$11</f>
        <v>Seattle</v>
      </c>
      <c r="I11" s="83">
        <v>469.1560113932963</v>
      </c>
      <c r="J11" s="83">
        <v>93.899791456897731</v>
      </c>
      <c r="K11" s="83">
        <v>39.976575780941531</v>
      </c>
      <c r="L11" s="83">
        <f t="shared" si="3"/>
        <v>603.03237863113554</v>
      </c>
      <c r="O11" s="7" t="str">
        <f>$A$11</f>
        <v>Seattle</v>
      </c>
      <c r="P11" s="21">
        <f t="shared" si="4"/>
        <v>469.1560113932963</v>
      </c>
      <c r="Q11" s="21">
        <f t="shared" si="5"/>
        <v>93.899791456897731</v>
      </c>
      <c r="R11" s="21">
        <f t="shared" si="6"/>
        <v>-956.89942421905846</v>
      </c>
      <c r="S11" s="21">
        <f t="shared" si="7"/>
        <v>-393.84362136886443</v>
      </c>
    </row>
    <row r="12" spans="1:19" x14ac:dyDescent="0.25">
      <c r="A12" s="7" t="s">
        <v>258</v>
      </c>
      <c r="B12" s="87">
        <v>0</v>
      </c>
      <c r="C12" s="87">
        <v>0</v>
      </c>
      <c r="D12" s="87">
        <v>14.496</v>
      </c>
      <c r="E12" s="87">
        <f>SUM(B12:D12)</f>
        <v>14.496</v>
      </c>
      <c r="H12" s="7" t="str">
        <f>$A$12</f>
        <v>Seattle Downtown</v>
      </c>
      <c r="I12" s="87">
        <v>11.98513490582047</v>
      </c>
      <c r="J12" s="87">
        <v>4</v>
      </c>
      <c r="K12" s="87">
        <v>7.9328176035757201</v>
      </c>
      <c r="L12" s="87">
        <f>SUM(I12:K12)</f>
        <v>23.917952509396191</v>
      </c>
      <c r="O12" s="7" t="str">
        <f>$A$12</f>
        <v>Seattle Downtown</v>
      </c>
      <c r="P12" s="21">
        <f t="shared" si="1"/>
        <v>11.98513490582047</v>
      </c>
      <c r="Q12" s="21">
        <f t="shared" si="0"/>
        <v>4</v>
      </c>
      <c r="R12" s="21">
        <f t="shared" si="0"/>
        <v>-6.5631823964242804</v>
      </c>
      <c r="S12" s="21">
        <f t="shared" si="0"/>
        <v>9.4219525093961902</v>
      </c>
    </row>
    <row r="13" spans="1:19" x14ac:dyDescent="0.25">
      <c r="A13" s="7" t="s">
        <v>259</v>
      </c>
      <c r="B13" s="86">
        <v>2443.4439000000002</v>
      </c>
      <c r="C13" s="86">
        <v>0</v>
      </c>
      <c r="D13" s="86">
        <v>0</v>
      </c>
      <c r="E13" s="83">
        <f>SUM(B13:D13)</f>
        <v>2443.4439000000002</v>
      </c>
      <c r="H13" s="7" t="str">
        <f>$A$13</f>
        <v>Rest</v>
      </c>
      <c r="I13" s="87">
        <v>29658.041011494897</v>
      </c>
      <c r="J13" s="87">
        <v>8108.0013459039938</v>
      </c>
      <c r="K13" s="87">
        <v>9508.0837940601377</v>
      </c>
      <c r="L13" s="87">
        <f>SUM(I13:K13)</f>
        <v>47274.12615145903</v>
      </c>
      <c r="O13" s="7" t="str">
        <f>$A$13</f>
        <v>Rest</v>
      </c>
      <c r="P13" s="21">
        <f t="shared" si="1"/>
        <v>27214.597111494899</v>
      </c>
      <c r="Q13" s="21">
        <f t="shared" si="0"/>
        <v>8108.0013459039938</v>
      </c>
      <c r="R13" s="21">
        <f t="shared" si="0"/>
        <v>9508.0837940601377</v>
      </c>
      <c r="S13" s="21">
        <f t="shared" si="0"/>
        <v>44830.682251459031</v>
      </c>
    </row>
    <row r="14" spans="1:19" ht="15.75" thickBot="1" x14ac:dyDescent="0.3">
      <c r="A14" s="12" t="s">
        <v>3</v>
      </c>
      <c r="B14" s="84">
        <f>SUM(B7:B13)</f>
        <v>2443.4439000000002</v>
      </c>
      <c r="C14" s="84">
        <f t="shared" ref="C14" si="8">SUM(C7:C13)</f>
        <v>0</v>
      </c>
      <c r="D14" s="84">
        <f t="shared" ref="D14" si="9">SUM(D7:D13)</f>
        <v>1011.372</v>
      </c>
      <c r="E14" s="82">
        <f t="shared" ref="E14" si="10">SUM(E7:E13)</f>
        <v>3454.8159000000001</v>
      </c>
      <c r="H14" s="12" t="s">
        <v>3</v>
      </c>
      <c r="I14" s="82">
        <f>SUM(I7:I13)</f>
        <v>30320.682157794014</v>
      </c>
      <c r="J14" s="82">
        <f t="shared" ref="J14:L14" si="11">SUM(J7:J13)</f>
        <v>8279.1511373608919</v>
      </c>
      <c r="K14" s="82">
        <f t="shared" si="11"/>
        <v>9595.2431874446556</v>
      </c>
      <c r="L14" s="82">
        <f t="shared" si="11"/>
        <v>48195.076482599565</v>
      </c>
      <c r="O14" s="12" t="s">
        <v>3</v>
      </c>
      <c r="P14" s="12">
        <f t="shared" si="1"/>
        <v>27877.238257794015</v>
      </c>
      <c r="Q14" s="12">
        <f t="shared" si="0"/>
        <v>8279.1511373608919</v>
      </c>
      <c r="R14" s="12">
        <f t="shared" si="0"/>
        <v>8583.8711874446562</v>
      </c>
      <c r="S14" s="12">
        <f t="shared" si="0"/>
        <v>44740.260582599563</v>
      </c>
    </row>
    <row r="15" spans="1:19" x14ac:dyDescent="0.25">
      <c r="O15" s="20"/>
      <c r="P15" s="20"/>
      <c r="Q15" s="20"/>
      <c r="R15" s="20"/>
      <c r="S15" s="20"/>
    </row>
    <row r="16" spans="1:19" ht="15.75" thickBot="1" x14ac:dyDescent="0.3">
      <c r="A16" s="4" t="s">
        <v>197</v>
      </c>
      <c r="B16" s="1"/>
      <c r="C16" s="1"/>
      <c r="D16" s="1"/>
      <c r="H16" s="4" t="s">
        <v>31</v>
      </c>
      <c r="I16" s="1"/>
      <c r="J16" s="1"/>
      <c r="K16" s="1"/>
      <c r="O16" s="42" t="s">
        <v>69</v>
      </c>
      <c r="P16" s="24"/>
      <c r="Q16" s="24"/>
      <c r="R16" s="24"/>
      <c r="S16" s="24"/>
    </row>
    <row r="17" spans="1:20" x14ac:dyDescent="0.25">
      <c r="A17" s="2"/>
      <c r="B17" s="5" t="s">
        <v>41</v>
      </c>
      <c r="C17" s="5" t="s">
        <v>42</v>
      </c>
      <c r="D17" s="5" t="s">
        <v>43</v>
      </c>
      <c r="E17" s="3" t="s">
        <v>3</v>
      </c>
      <c r="H17" s="2"/>
      <c r="I17" s="5" t="s">
        <v>41</v>
      </c>
      <c r="J17" s="5" t="s">
        <v>42</v>
      </c>
      <c r="K17" s="5" t="s">
        <v>43</v>
      </c>
      <c r="L17" s="3" t="s">
        <v>3</v>
      </c>
      <c r="O17" s="43"/>
      <c r="P17" s="5" t="s">
        <v>41</v>
      </c>
      <c r="Q17" s="5" t="s">
        <v>42</v>
      </c>
      <c r="R17" s="5" t="s">
        <v>43</v>
      </c>
      <c r="S17" s="44" t="s">
        <v>3</v>
      </c>
    </row>
    <row r="18" spans="1:20" x14ac:dyDescent="0.25">
      <c r="A18" s="15" t="str">
        <f>$A$7</f>
        <v>Bellevue</v>
      </c>
      <c r="B18" s="83">
        <v>21927.493999999999</v>
      </c>
      <c r="C18" s="83">
        <v>1905.2952</v>
      </c>
      <c r="D18" s="83">
        <v>2247.1352000000002</v>
      </c>
      <c r="E18" s="83">
        <f>SUM(B18:D18)</f>
        <v>26079.9244</v>
      </c>
      <c r="H18" s="15" t="str">
        <f>$A$7</f>
        <v>Bellevue</v>
      </c>
      <c r="I18" s="83">
        <v>21597.75</v>
      </c>
      <c r="J18" s="83">
        <v>5102.75</v>
      </c>
      <c r="K18" s="83">
        <v>7125.5</v>
      </c>
      <c r="L18" s="83">
        <f>SUM(I18:K18)</f>
        <v>33826</v>
      </c>
      <c r="O18" s="15" t="str">
        <f>$A$7</f>
        <v>Bellevue</v>
      </c>
      <c r="P18" s="20">
        <f>I18-B18</f>
        <v>-329.74399999999878</v>
      </c>
      <c r="Q18" s="20">
        <f t="shared" ref="Q18:Q25" si="12">J18-C18</f>
        <v>3197.4548</v>
      </c>
      <c r="R18" s="20">
        <f t="shared" ref="R18:R25" si="13">K18-D18</f>
        <v>4878.3647999999994</v>
      </c>
      <c r="S18" s="20">
        <f t="shared" ref="S18:S25" si="14">L18-E18</f>
        <v>7746.0756000000001</v>
      </c>
    </row>
    <row r="19" spans="1:20" x14ac:dyDescent="0.25">
      <c r="A19" t="str">
        <f>$A$8</f>
        <v>Bellevue Downtown</v>
      </c>
      <c r="B19" s="83">
        <v>164.3246</v>
      </c>
      <c r="C19" s="83">
        <v>0</v>
      </c>
      <c r="D19" s="83">
        <v>128.39019999999999</v>
      </c>
      <c r="E19" s="83">
        <f>SUM(B19:D19)</f>
        <v>292.71479999999997</v>
      </c>
      <c r="H19" t="str">
        <f>$A$8</f>
        <v>Bellevue Downtown</v>
      </c>
      <c r="I19" s="83">
        <v>504.5</v>
      </c>
      <c r="J19" s="83">
        <v>141.5</v>
      </c>
      <c r="K19" s="83">
        <v>375.75</v>
      </c>
      <c r="L19" s="83">
        <f>SUM(I19:K19)</f>
        <v>1021.75</v>
      </c>
      <c r="O19" t="str">
        <f>$A$8</f>
        <v>Bellevue Downtown</v>
      </c>
      <c r="P19" s="20">
        <f t="shared" ref="P19:P25" si="15">I19-B19</f>
        <v>340.17539999999997</v>
      </c>
      <c r="Q19" s="20">
        <f t="shared" si="12"/>
        <v>141.5</v>
      </c>
      <c r="R19" s="20">
        <f t="shared" si="13"/>
        <v>247.35980000000001</v>
      </c>
      <c r="S19" s="20">
        <f t="shared" si="14"/>
        <v>729.03520000000003</v>
      </c>
    </row>
    <row r="20" spans="1:20" x14ac:dyDescent="0.25">
      <c r="A20" t="str">
        <f>$A$9</f>
        <v>Kirkland</v>
      </c>
      <c r="B20" s="83">
        <v>15498.8351</v>
      </c>
      <c r="C20" s="83">
        <v>2170.0192999999999</v>
      </c>
      <c r="D20" s="83">
        <v>1471.8117999999999</v>
      </c>
      <c r="E20" s="83">
        <f t="shared" ref="E20:E22" si="16">SUM(B20:D20)</f>
        <v>19140.6662</v>
      </c>
      <c r="H20" t="str">
        <f>$A$9</f>
        <v>Kirkland</v>
      </c>
      <c r="I20" s="83">
        <v>17436.25</v>
      </c>
      <c r="J20" s="83">
        <v>4245</v>
      </c>
      <c r="K20" s="83">
        <v>5958.25</v>
      </c>
      <c r="L20" s="83">
        <f t="shared" ref="L20:L22" si="17">SUM(I20:K20)</f>
        <v>27639.5</v>
      </c>
      <c r="O20" t="str">
        <f>$A$9</f>
        <v>Kirkland</v>
      </c>
      <c r="P20" s="20">
        <f t="shared" ref="P20:P22" si="18">I20-B20</f>
        <v>1937.4148999999998</v>
      </c>
      <c r="Q20" s="20">
        <f t="shared" ref="Q20:Q22" si="19">J20-C20</f>
        <v>2074.9807000000001</v>
      </c>
      <c r="R20" s="20">
        <f t="shared" ref="R20:R22" si="20">K20-D20</f>
        <v>4486.4382000000005</v>
      </c>
      <c r="S20" s="20">
        <f t="shared" ref="S20:S22" si="21">L20-E20</f>
        <v>8498.8338000000003</v>
      </c>
    </row>
    <row r="21" spans="1:20" x14ac:dyDescent="0.25">
      <c r="A21" t="str">
        <f>$A$10</f>
        <v>Redmond</v>
      </c>
      <c r="B21" s="83">
        <v>22665.746500000001</v>
      </c>
      <c r="C21" s="83">
        <v>3936.4520000000002</v>
      </c>
      <c r="D21" s="83">
        <v>3498.5259999999998</v>
      </c>
      <c r="E21" s="83">
        <f t="shared" si="16"/>
        <v>30100.724500000004</v>
      </c>
      <c r="H21" t="str">
        <f>$A$10</f>
        <v>Redmond</v>
      </c>
      <c r="I21" s="83">
        <v>15664.5</v>
      </c>
      <c r="J21" s="83">
        <v>3558.5</v>
      </c>
      <c r="K21" s="83">
        <v>4049.5</v>
      </c>
      <c r="L21" s="83">
        <f t="shared" si="17"/>
        <v>23272.5</v>
      </c>
      <c r="O21" s="7" t="str">
        <f>$A$10</f>
        <v>Redmond</v>
      </c>
      <c r="P21" s="21">
        <f t="shared" si="18"/>
        <v>-7001.2465000000011</v>
      </c>
      <c r="Q21" s="21">
        <f t="shared" si="19"/>
        <v>-377.95200000000023</v>
      </c>
      <c r="R21" s="21">
        <f t="shared" si="20"/>
        <v>550.97400000000016</v>
      </c>
      <c r="S21" s="21">
        <f t="shared" si="21"/>
        <v>-6828.2245000000039</v>
      </c>
      <c r="T21" s="7"/>
    </row>
    <row r="22" spans="1:20" x14ac:dyDescent="0.25">
      <c r="A22" t="str">
        <f>$A$11</f>
        <v>Seattle</v>
      </c>
      <c r="B22" s="83">
        <v>73648.718999999997</v>
      </c>
      <c r="C22" s="83">
        <v>4756.9449000000004</v>
      </c>
      <c r="D22" s="83">
        <v>33744.542199999996</v>
      </c>
      <c r="E22" s="83">
        <f t="shared" si="16"/>
        <v>112150.2061</v>
      </c>
      <c r="H22" t="str">
        <f>$A$11</f>
        <v>Seattle</v>
      </c>
      <c r="I22" s="83">
        <v>61354.289169221025</v>
      </c>
      <c r="J22" s="83">
        <v>14046.617217852569</v>
      </c>
      <c r="K22" s="83">
        <v>44363.558882830301</v>
      </c>
      <c r="L22" s="83">
        <f t="shared" si="17"/>
        <v>119764.4652699039</v>
      </c>
      <c r="O22" s="7" t="str">
        <f>$A$11</f>
        <v>Seattle</v>
      </c>
      <c r="P22" s="21">
        <f t="shared" si="18"/>
        <v>-12294.429830778972</v>
      </c>
      <c r="Q22" s="21">
        <f t="shared" si="19"/>
        <v>9289.6723178525681</v>
      </c>
      <c r="R22" s="21">
        <f t="shared" si="20"/>
        <v>10619.016682830304</v>
      </c>
      <c r="S22" s="21">
        <f t="shared" si="21"/>
        <v>7614.259169903904</v>
      </c>
      <c r="T22" s="7"/>
    </row>
    <row r="23" spans="1:20" x14ac:dyDescent="0.25">
      <c r="A23" s="7" t="str">
        <f>$A$12</f>
        <v>Seattle Downtown</v>
      </c>
      <c r="B23" s="87">
        <v>686.47450000000003</v>
      </c>
      <c r="C23" s="87">
        <v>178.05780000000001</v>
      </c>
      <c r="D23" s="87">
        <v>2427.9771000000001</v>
      </c>
      <c r="E23" s="87">
        <f>SUM(B23:D23)</f>
        <v>3292.5093999999999</v>
      </c>
      <c r="H23" s="7" t="str">
        <f>$A$12</f>
        <v>Seattle Downtown</v>
      </c>
      <c r="I23" s="87">
        <v>1149.3870875037874</v>
      </c>
      <c r="J23" s="87">
        <v>349.8528243173281</v>
      </c>
      <c r="K23" s="87">
        <v>3672.0072762668869</v>
      </c>
      <c r="L23" s="87">
        <f>SUM(I23:K23)</f>
        <v>5171.2471880880021</v>
      </c>
      <c r="O23" s="7" t="str">
        <f>$A$12</f>
        <v>Seattle Downtown</v>
      </c>
      <c r="P23" s="21">
        <f t="shared" si="15"/>
        <v>462.91258750378734</v>
      </c>
      <c r="Q23" s="21">
        <f t="shared" si="12"/>
        <v>171.79502431732809</v>
      </c>
      <c r="R23" s="21">
        <f t="shared" si="13"/>
        <v>1244.0301762668869</v>
      </c>
      <c r="S23" s="21">
        <f t="shared" si="14"/>
        <v>1878.7377880880022</v>
      </c>
      <c r="T23" s="7"/>
    </row>
    <row r="24" spans="1:20" x14ac:dyDescent="0.25">
      <c r="A24" s="7" t="str">
        <f>$A$13</f>
        <v>Rest</v>
      </c>
      <c r="B24" s="86">
        <v>381324.3322</v>
      </c>
      <c r="C24" s="86">
        <v>65552.774999999994</v>
      </c>
      <c r="D24" s="86">
        <v>67960.553100000005</v>
      </c>
      <c r="E24" s="86">
        <f>SUM(B24:D24)</f>
        <v>514837.66029999999</v>
      </c>
      <c r="H24" s="7" t="str">
        <f>$A$13</f>
        <v>Rest</v>
      </c>
      <c r="I24" s="87">
        <v>386181.27956027054</v>
      </c>
      <c r="J24" s="87">
        <v>92096.156932063168</v>
      </c>
      <c r="K24" s="87">
        <v>110021.5670206947</v>
      </c>
      <c r="L24" s="87">
        <f>SUM(I24:K24)</f>
        <v>588299.00351302838</v>
      </c>
      <c r="O24" s="7" t="str">
        <f>$A$13</f>
        <v>Rest</v>
      </c>
      <c r="P24" s="21">
        <f t="shared" si="15"/>
        <v>4856.9473602705402</v>
      </c>
      <c r="Q24" s="21">
        <f t="shared" si="12"/>
        <v>26543.381932063174</v>
      </c>
      <c r="R24" s="21">
        <f t="shared" si="13"/>
        <v>42061.013920694691</v>
      </c>
      <c r="S24" s="21">
        <f t="shared" si="14"/>
        <v>73461.343213028391</v>
      </c>
      <c r="T24" s="7"/>
    </row>
    <row r="25" spans="1:20" ht="15.75" thickBot="1" x14ac:dyDescent="0.3">
      <c r="A25" s="12" t="s">
        <v>3</v>
      </c>
      <c r="B25" s="84">
        <f>SUM(B18:B24)</f>
        <v>515915.92590000003</v>
      </c>
      <c r="C25" s="84">
        <f t="shared" ref="C25" si="22">SUM(C18:C24)</f>
        <v>78499.544199999989</v>
      </c>
      <c r="D25" s="84">
        <f t="shared" ref="D25" si="23">SUM(D18:D24)</f>
        <v>111478.9356</v>
      </c>
      <c r="E25" s="84">
        <f t="shared" ref="E25" si="24">SUM(E18:E24)</f>
        <v>705894.4057</v>
      </c>
      <c r="H25" s="12" t="s">
        <v>3</v>
      </c>
      <c r="I25" s="82">
        <f>SUM(I18:I24)</f>
        <v>503887.95581699535</v>
      </c>
      <c r="J25" s="82">
        <f t="shared" ref="J25" si="25">SUM(J18:J24)</f>
        <v>119540.37697423306</v>
      </c>
      <c r="K25" s="82">
        <f t="shared" ref="K25" si="26">SUM(K18:K24)</f>
        <v>175566.13317979188</v>
      </c>
      <c r="L25" s="82">
        <f t="shared" ref="L25" si="27">SUM(L18:L24)</f>
        <v>798994.46597102028</v>
      </c>
      <c r="O25" s="12" t="s">
        <v>3</v>
      </c>
      <c r="P25" s="12">
        <f t="shared" si="15"/>
        <v>-12027.970083004679</v>
      </c>
      <c r="Q25" s="12">
        <f t="shared" si="12"/>
        <v>41040.832774233073</v>
      </c>
      <c r="R25" s="12">
        <f t="shared" si="13"/>
        <v>64087.197579791886</v>
      </c>
      <c r="S25" s="12">
        <f t="shared" si="14"/>
        <v>93100.06027102028</v>
      </c>
      <c r="T25" s="7"/>
    </row>
    <row r="27" spans="1:20" ht="15.75" thickBot="1" x14ac:dyDescent="0.3">
      <c r="A27" s="4" t="s">
        <v>198</v>
      </c>
      <c r="B27" s="1"/>
      <c r="C27" s="1"/>
      <c r="D27" s="1"/>
      <c r="H27" s="4" t="s">
        <v>33</v>
      </c>
      <c r="I27" s="1"/>
      <c r="J27" s="1"/>
      <c r="K27" s="1"/>
      <c r="O27" s="4" t="s">
        <v>70</v>
      </c>
      <c r="P27" s="1"/>
      <c r="Q27" s="1"/>
      <c r="R27" s="1"/>
      <c r="S27" s="1"/>
    </row>
    <row r="28" spans="1:20" x14ac:dyDescent="0.25">
      <c r="A28" s="2"/>
      <c r="B28" s="5" t="s">
        <v>41</v>
      </c>
      <c r="C28" s="5" t="s">
        <v>42</v>
      </c>
      <c r="D28" s="5" t="s">
        <v>43</v>
      </c>
      <c r="E28" s="3" t="s">
        <v>3</v>
      </c>
      <c r="H28" s="2"/>
      <c r="I28" s="5" t="s">
        <v>41</v>
      </c>
      <c r="J28" s="5" t="s">
        <v>42</v>
      </c>
      <c r="K28" s="5" t="s">
        <v>43</v>
      </c>
      <c r="L28" s="3" t="s">
        <v>3</v>
      </c>
      <c r="O28" s="2"/>
      <c r="P28" s="5" t="s">
        <v>41</v>
      </c>
      <c r="Q28" s="5" t="s">
        <v>42</v>
      </c>
      <c r="R28" s="5" t="s">
        <v>43</v>
      </c>
      <c r="S28" s="3" t="s">
        <v>3</v>
      </c>
    </row>
    <row r="29" spans="1:20" x14ac:dyDescent="0.25">
      <c r="A29" s="15" t="str">
        <f>$A$7</f>
        <v>Bellevue</v>
      </c>
      <c r="B29" s="16">
        <f t="shared" ref="B29:E29" si="28">IF(B18&lt;&gt;0,B7/B18,0)</f>
        <v>0</v>
      </c>
      <c r="C29" s="16">
        <f t="shared" si="28"/>
        <v>0</v>
      </c>
      <c r="D29" s="16">
        <f t="shared" si="28"/>
        <v>0</v>
      </c>
      <c r="E29" s="16">
        <f t="shared" si="28"/>
        <v>0</v>
      </c>
      <c r="H29" s="15" t="str">
        <f>$A$7</f>
        <v>Bellevue</v>
      </c>
      <c r="I29" s="16">
        <f t="shared" ref="I29:L30" si="29">IF(I18&lt;&gt;0,I7/I18,0)</f>
        <v>2.650739081617298E-3</v>
      </c>
      <c r="J29" s="16">
        <f t="shared" si="29"/>
        <v>3.4785164862084169E-3</v>
      </c>
      <c r="K29" s="16">
        <f t="shared" si="29"/>
        <v>1.2630692582976633E-3</v>
      </c>
      <c r="L29" s="16">
        <f t="shared" si="29"/>
        <v>2.4832968722284634E-3</v>
      </c>
      <c r="O29" s="15" t="str">
        <f>$A$7</f>
        <v>Bellevue</v>
      </c>
      <c r="P29" s="26">
        <f t="shared" ref="P29:S36" si="30">I29-B29</f>
        <v>2.650739081617298E-3</v>
      </c>
      <c r="Q29" s="26">
        <f t="shared" si="30"/>
        <v>3.4785164862084169E-3</v>
      </c>
      <c r="R29" s="26">
        <f t="shared" si="30"/>
        <v>1.2630692582976633E-3</v>
      </c>
      <c r="S29" s="26">
        <f t="shared" si="30"/>
        <v>2.4832968722284634E-3</v>
      </c>
    </row>
    <row r="30" spans="1:20" x14ac:dyDescent="0.25">
      <c r="A30" t="str">
        <f>$A$8</f>
        <v>Bellevue Downtown</v>
      </c>
      <c r="B30" s="16">
        <f t="shared" ref="B30:E30" si="31">IF(B19&lt;&gt;0,B8/B19,0)</f>
        <v>0</v>
      </c>
      <c r="C30" s="16">
        <f t="shared" si="31"/>
        <v>0</v>
      </c>
      <c r="D30" s="16">
        <f t="shared" si="31"/>
        <v>0</v>
      </c>
      <c r="E30" s="16">
        <f t="shared" si="31"/>
        <v>0</v>
      </c>
      <c r="H30" t="str">
        <f>$A$8</f>
        <v>Bellevue Downtown</v>
      </c>
      <c r="I30" s="16">
        <f t="shared" si="29"/>
        <v>9.9108027750247768E-4</v>
      </c>
      <c r="J30" s="16">
        <f t="shared" si="29"/>
        <v>1.7667844522968198E-3</v>
      </c>
      <c r="K30" s="16">
        <f t="shared" si="29"/>
        <v>6.6533599467731206E-4</v>
      </c>
      <c r="L30" s="16">
        <f t="shared" si="29"/>
        <v>9.7871299241497427E-4</v>
      </c>
      <c r="O30" t="str">
        <f>$A$8</f>
        <v>Bellevue Downtown</v>
      </c>
      <c r="P30" s="26">
        <f t="shared" si="30"/>
        <v>9.9108027750247768E-4</v>
      </c>
      <c r="Q30" s="26">
        <f t="shared" si="30"/>
        <v>1.7667844522968198E-3</v>
      </c>
      <c r="R30" s="26">
        <f t="shared" si="30"/>
        <v>6.6533599467731206E-4</v>
      </c>
      <c r="S30" s="26">
        <f t="shared" si="30"/>
        <v>9.7871299241497427E-4</v>
      </c>
    </row>
    <row r="31" spans="1:20" x14ac:dyDescent="0.25">
      <c r="A31" t="str">
        <f>$A$9</f>
        <v>Kirkland</v>
      </c>
      <c r="B31" s="16">
        <f t="shared" ref="B31:E31" si="32">IF(B20&lt;&gt;0,B9/B20,0)</f>
        <v>0</v>
      </c>
      <c r="C31" s="16">
        <f t="shared" si="32"/>
        <v>0</v>
      </c>
      <c r="D31" s="16">
        <f t="shared" si="32"/>
        <v>0</v>
      </c>
      <c r="E31" s="16">
        <f t="shared" si="32"/>
        <v>0</v>
      </c>
      <c r="H31" t="str">
        <f>$A$9</f>
        <v>Kirkland</v>
      </c>
      <c r="I31" s="16">
        <f t="shared" ref="I31:L31" si="33">IF(I20&lt;&gt;0,I9/I20,0)</f>
        <v>2.7242096207613451E-3</v>
      </c>
      <c r="J31" s="16">
        <f t="shared" si="33"/>
        <v>4.0636042402826854E-3</v>
      </c>
      <c r="K31" s="16">
        <f t="shared" si="33"/>
        <v>1.6363865228884321E-3</v>
      </c>
      <c r="L31" s="16">
        <f t="shared" si="33"/>
        <v>2.6954177897574125E-3</v>
      </c>
      <c r="O31" t="str">
        <f>$A$9</f>
        <v>Kirkland</v>
      </c>
      <c r="P31" s="26">
        <f t="shared" ref="P31:P33" si="34">I31-B31</f>
        <v>2.7242096207613451E-3</v>
      </c>
      <c r="Q31" s="26">
        <f t="shared" ref="Q31:Q33" si="35">J31-C31</f>
        <v>4.0636042402826854E-3</v>
      </c>
      <c r="R31" s="26">
        <f t="shared" ref="R31:R33" si="36">K31-D31</f>
        <v>1.6363865228884321E-3</v>
      </c>
      <c r="S31" s="26">
        <f t="shared" ref="S31:S33" si="37">L31-E31</f>
        <v>2.6954177897574125E-3</v>
      </c>
    </row>
    <row r="32" spans="1:20" x14ac:dyDescent="0.25">
      <c r="A32" t="str">
        <f>$A$10</f>
        <v>Redmond</v>
      </c>
      <c r="B32" s="16">
        <f t="shared" ref="B32:E32" si="38">IF(B21&lt;&gt;0,B10/B21,0)</f>
        <v>0</v>
      </c>
      <c r="C32" s="16">
        <f t="shared" si="38"/>
        <v>0</v>
      </c>
      <c r="D32" s="16">
        <f t="shared" si="38"/>
        <v>0</v>
      </c>
      <c r="E32" s="16">
        <f t="shared" si="38"/>
        <v>0</v>
      </c>
      <c r="H32" t="str">
        <f>$A$10</f>
        <v>Redmond</v>
      </c>
      <c r="I32" s="16">
        <f t="shared" ref="I32:L32" si="39">IF(I21&lt;&gt;0,I10/I21,0)</f>
        <v>4.8676944683839251E-3</v>
      </c>
      <c r="J32" s="16">
        <f t="shared" si="39"/>
        <v>1.0678656737389349E-2</v>
      </c>
      <c r="K32" s="16">
        <f t="shared" si="39"/>
        <v>5.0006173601679221E-3</v>
      </c>
      <c r="L32" s="16">
        <f t="shared" si="39"/>
        <v>5.7793533139972068E-3</v>
      </c>
      <c r="O32" t="str">
        <f>$A$10</f>
        <v>Redmond</v>
      </c>
      <c r="P32" s="26">
        <f t="shared" si="34"/>
        <v>4.8676944683839251E-3</v>
      </c>
      <c r="Q32" s="26">
        <f t="shared" si="35"/>
        <v>1.0678656737389349E-2</v>
      </c>
      <c r="R32" s="26">
        <f t="shared" si="36"/>
        <v>5.0006173601679221E-3</v>
      </c>
      <c r="S32" s="26">
        <f t="shared" si="37"/>
        <v>5.7793533139972068E-3</v>
      </c>
    </row>
    <row r="33" spans="1:19" x14ac:dyDescent="0.25">
      <c r="A33" s="7" t="str">
        <f>$A$11</f>
        <v>Seattle</v>
      </c>
      <c r="B33" s="50">
        <f t="shared" ref="B33:E33" si="40">IF(B22&lt;&gt;0,B11/B22,0)</f>
        <v>0</v>
      </c>
      <c r="C33" s="50">
        <f t="shared" si="40"/>
        <v>0</v>
      </c>
      <c r="D33" s="50">
        <f t="shared" si="40"/>
        <v>2.9541843954842571E-2</v>
      </c>
      <c r="E33" s="50">
        <f t="shared" si="40"/>
        <v>8.8887576284177698E-3</v>
      </c>
      <c r="H33" s="7" t="str">
        <f>$A$11</f>
        <v>Seattle</v>
      </c>
      <c r="I33" s="50">
        <f t="shared" ref="I33:L33" si="41">IF(I22&lt;&gt;0,I11/I22,0)</f>
        <v>7.6466701472055025E-3</v>
      </c>
      <c r="J33" s="50">
        <f t="shared" si="41"/>
        <v>6.6848686769619987E-3</v>
      </c>
      <c r="K33" s="50">
        <f t="shared" si="41"/>
        <v>9.0111291311241871E-4</v>
      </c>
      <c r="L33" s="50">
        <f t="shared" si="41"/>
        <v>5.035152766491531E-3</v>
      </c>
      <c r="O33" s="7" t="str">
        <f>$A$11</f>
        <v>Seattle</v>
      </c>
      <c r="P33" s="51">
        <f t="shared" si="34"/>
        <v>7.6466701472055025E-3</v>
      </c>
      <c r="Q33" s="51">
        <f t="shared" si="35"/>
        <v>6.6848686769619987E-3</v>
      </c>
      <c r="R33" s="51">
        <f t="shared" si="36"/>
        <v>-2.8640731041730153E-2</v>
      </c>
      <c r="S33" s="51">
        <f t="shared" si="37"/>
        <v>-3.8536048619262388E-3</v>
      </c>
    </row>
    <row r="34" spans="1:19" x14ac:dyDescent="0.25">
      <c r="A34" s="7" t="str">
        <f>$A$12</f>
        <v>Seattle Downtown</v>
      </c>
      <c r="B34" s="50">
        <f t="shared" ref="B34:E35" si="42">IF(B23&lt;&gt;0,B12/B23,0)</f>
        <v>0</v>
      </c>
      <c r="C34" s="50">
        <f t="shared" si="42"/>
        <v>0</v>
      </c>
      <c r="D34" s="50">
        <f t="shared" si="42"/>
        <v>5.9704022743871845E-3</v>
      </c>
      <c r="E34" s="50">
        <f t="shared" si="42"/>
        <v>4.4027209155424133E-3</v>
      </c>
      <c r="H34" s="7" t="str">
        <f>$A$12</f>
        <v>Seattle Downtown</v>
      </c>
      <c r="I34" s="50">
        <f t="shared" ref="I34:L35" si="43">IF(I23&lt;&gt;0,I12/I23,0)</f>
        <v>1.0427413911399955E-2</v>
      </c>
      <c r="J34" s="50">
        <f t="shared" si="43"/>
        <v>1.1433379186820192E-2</v>
      </c>
      <c r="K34" s="50">
        <f t="shared" si="43"/>
        <v>2.160349097031351E-3</v>
      </c>
      <c r="L34" s="50">
        <f t="shared" si="43"/>
        <v>4.6251806652157978E-3</v>
      </c>
      <c r="O34" s="7" t="str">
        <f>$A$12</f>
        <v>Seattle Downtown</v>
      </c>
      <c r="P34" s="51">
        <f t="shared" si="30"/>
        <v>1.0427413911399955E-2</v>
      </c>
      <c r="Q34" s="51">
        <f t="shared" si="30"/>
        <v>1.1433379186820192E-2</v>
      </c>
      <c r="R34" s="51">
        <f t="shared" si="30"/>
        <v>-3.8100531773558335E-3</v>
      </c>
      <c r="S34" s="51">
        <f t="shared" si="30"/>
        <v>2.2245974967338451E-4</v>
      </c>
    </row>
    <row r="35" spans="1:19" x14ac:dyDescent="0.25">
      <c r="A35" s="7" t="str">
        <f>$A$13</f>
        <v>Rest</v>
      </c>
      <c r="B35" s="50">
        <f t="shared" si="42"/>
        <v>6.4077838566001695E-3</v>
      </c>
      <c r="C35" s="50">
        <f t="shared" si="42"/>
        <v>0</v>
      </c>
      <c r="D35" s="50">
        <f t="shared" si="42"/>
        <v>0</v>
      </c>
      <c r="E35" s="50">
        <f t="shared" si="42"/>
        <v>4.7460473240752941E-3</v>
      </c>
      <c r="H35" s="7" t="str">
        <f>$A$13</f>
        <v>Rest</v>
      </c>
      <c r="I35" s="50">
        <f t="shared" si="43"/>
        <v>7.6798235909481025E-2</v>
      </c>
      <c r="J35" s="50">
        <f t="shared" si="43"/>
        <v>8.8038433046506451E-2</v>
      </c>
      <c r="K35" s="50">
        <f t="shared" si="43"/>
        <v>8.6420181529242343E-2</v>
      </c>
      <c r="L35" s="50">
        <f t="shared" si="43"/>
        <v>8.0357311280762872E-2</v>
      </c>
      <c r="O35" s="7" t="str">
        <f>$A$13</f>
        <v>Rest</v>
      </c>
      <c r="P35" s="51">
        <f t="shared" si="30"/>
        <v>7.0390452052880859E-2</v>
      </c>
      <c r="Q35" s="51">
        <f t="shared" si="30"/>
        <v>8.8038433046506451E-2</v>
      </c>
      <c r="R35" s="51">
        <f t="shared" si="30"/>
        <v>8.6420181529242343E-2</v>
      </c>
      <c r="S35" s="51">
        <f t="shared" si="30"/>
        <v>7.5611263956687574E-2</v>
      </c>
    </row>
    <row r="36" spans="1:19" ht="15.75" thickBot="1" x14ac:dyDescent="0.3">
      <c r="A36" s="12" t="s">
        <v>3</v>
      </c>
      <c r="B36" s="17">
        <f>IF(B25&lt;&gt;0,B14/B25,0)</f>
        <v>4.7361280730721482E-3</v>
      </c>
      <c r="C36" s="17">
        <f t="shared" ref="C36:E36" si="44">IF(C25&lt;&gt;0,C14/C25,0)</f>
        <v>0</v>
      </c>
      <c r="D36" s="17">
        <f t="shared" si="44"/>
        <v>9.0723148239316345E-3</v>
      </c>
      <c r="E36" s="17">
        <f t="shared" si="44"/>
        <v>4.8942389571341519E-3</v>
      </c>
      <c r="H36" s="12" t="s">
        <v>3</v>
      </c>
      <c r="I36" s="17">
        <f>IF(I25&lt;&gt;0,I14/I25,0)</f>
        <v>6.0173460801682739E-2</v>
      </c>
      <c r="J36" s="17">
        <f t="shared" ref="J36:L36" si="45">IF(J25&lt;&gt;0,J14/J25,0)</f>
        <v>6.9258198333651433E-2</v>
      </c>
      <c r="K36" s="17">
        <f t="shared" si="45"/>
        <v>5.4653155558301567E-2</v>
      </c>
      <c r="L36" s="17">
        <f t="shared" si="45"/>
        <v>6.0319662444755423E-2</v>
      </c>
      <c r="O36" s="12" t="s">
        <v>3</v>
      </c>
      <c r="P36" s="45">
        <f t="shared" si="30"/>
        <v>5.5437332728610594E-2</v>
      </c>
      <c r="Q36" s="45">
        <f t="shared" ref="Q36" si="46">J36-C36</f>
        <v>6.9258198333651433E-2</v>
      </c>
      <c r="R36" s="45">
        <f t="shared" ref="R36" si="47">K36-D36</f>
        <v>4.558084073436993E-2</v>
      </c>
      <c r="S36" s="45">
        <f t="shared" ref="S36" si="48">L36-E36</f>
        <v>5.5425423487621271E-2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35"/>
  <sheetViews>
    <sheetView workbookViewId="0">
      <selection activeCell="B16" sqref="B16"/>
    </sheetView>
  </sheetViews>
  <sheetFormatPr defaultRowHeight="15" x14ac:dyDescent="0.25"/>
  <cols>
    <col min="3" max="3" width="27.42578125" bestFit="1" customWidth="1" collapsed="1"/>
  </cols>
  <sheetData>
    <row r="1" spans="1:2" x14ac:dyDescent="0.25">
      <c r="A1" s="11" t="s">
        <v>44</v>
      </c>
    </row>
    <row r="2" spans="1:2" x14ac:dyDescent="0.25">
      <c r="A2" s="41"/>
    </row>
    <row r="3" spans="1:2" x14ac:dyDescent="0.25">
      <c r="A3" s="11"/>
    </row>
    <row r="12" spans="1:2" x14ac:dyDescent="0.25">
      <c r="A12" s="11" t="s">
        <v>45</v>
      </c>
    </row>
    <row r="13" spans="1:2" x14ac:dyDescent="0.25">
      <c r="A13">
        <v>1</v>
      </c>
      <c r="B13" t="s">
        <v>46</v>
      </c>
    </row>
    <row r="15" spans="1:2" x14ac:dyDescent="0.25">
      <c r="A15">
        <v>2</v>
      </c>
      <c r="B15" t="s">
        <v>47</v>
      </c>
    </row>
    <row r="16" spans="1:2" x14ac:dyDescent="0.25">
      <c r="B16" t="s">
        <v>48</v>
      </c>
    </row>
    <row r="18" spans="1:4" x14ac:dyDescent="0.25">
      <c r="A18">
        <v>3</v>
      </c>
      <c r="B18" t="s">
        <v>49</v>
      </c>
    </row>
    <row r="19" spans="1:4" x14ac:dyDescent="0.25">
      <c r="B19" t="s">
        <v>50</v>
      </c>
    </row>
    <row r="20" spans="1:4" x14ac:dyDescent="0.25">
      <c r="B20" t="s">
        <v>51</v>
      </c>
      <c r="C20" t="s">
        <v>54</v>
      </c>
      <c r="D20" t="s">
        <v>57</v>
      </c>
    </row>
    <row r="21" spans="1:4" x14ac:dyDescent="0.25">
      <c r="B21" t="s">
        <v>41</v>
      </c>
      <c r="C21" t="s">
        <v>53</v>
      </c>
      <c r="D21" t="s">
        <v>58</v>
      </c>
    </row>
    <row r="22" spans="1:4" x14ac:dyDescent="0.25">
      <c r="B22" t="s">
        <v>42</v>
      </c>
      <c r="C22" t="s">
        <v>55</v>
      </c>
      <c r="D22" t="s">
        <v>59</v>
      </c>
    </row>
    <row r="23" spans="1:4" x14ac:dyDescent="0.25">
      <c r="B23" t="s">
        <v>52</v>
      </c>
      <c r="C23" t="s">
        <v>56</v>
      </c>
      <c r="D23" t="s">
        <v>60</v>
      </c>
    </row>
    <row r="25" spans="1:4" x14ac:dyDescent="0.25">
      <c r="A25" s="11" t="s">
        <v>61</v>
      </c>
    </row>
    <row r="26" spans="1:4" x14ac:dyDescent="0.25">
      <c r="A26">
        <v>1</v>
      </c>
      <c r="B26" t="s">
        <v>62</v>
      </c>
    </row>
    <row r="28" spans="1:4" x14ac:dyDescent="0.25">
      <c r="A28">
        <v>2</v>
      </c>
      <c r="B28" t="s">
        <v>63</v>
      </c>
    </row>
    <row r="30" spans="1:4" x14ac:dyDescent="0.25">
      <c r="A30" s="11" t="s">
        <v>64</v>
      </c>
    </row>
    <row r="31" spans="1:4" x14ac:dyDescent="0.25">
      <c r="A31">
        <v>1</v>
      </c>
      <c r="B31" t="s">
        <v>65</v>
      </c>
    </row>
    <row r="33" spans="1:2" x14ac:dyDescent="0.25">
      <c r="A33" s="11">
        <v>2</v>
      </c>
      <c r="B33" t="s">
        <v>66</v>
      </c>
    </row>
    <row r="35" spans="1:2" x14ac:dyDescent="0.25">
      <c r="A35">
        <v>3</v>
      </c>
      <c r="B35" t="s">
        <v>67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61"/>
  <sheetViews>
    <sheetView workbookViewId="0">
      <selection activeCell="A32" sqref="A32:E32"/>
    </sheetView>
  </sheetViews>
  <sheetFormatPr defaultRowHeight="15" x14ac:dyDescent="0.25"/>
  <sheetData>
    <row r="1" spans="1:6" x14ac:dyDescent="0.25">
      <c r="A1" t="s">
        <v>133</v>
      </c>
      <c r="B1" t="s">
        <v>135</v>
      </c>
      <c r="F1" t="s">
        <v>134</v>
      </c>
    </row>
    <row r="2" spans="1:6" x14ac:dyDescent="0.25">
      <c r="A2">
        <v>1</v>
      </c>
      <c r="B2" t="s">
        <v>71</v>
      </c>
      <c r="C2" t="s">
        <v>72</v>
      </c>
      <c r="D2">
        <v>1</v>
      </c>
      <c r="E2">
        <v>0</v>
      </c>
      <c r="F2" t="s">
        <v>138</v>
      </c>
    </row>
    <row r="3" spans="1:6" x14ac:dyDescent="0.25">
      <c r="A3">
        <v>2</v>
      </c>
      <c r="B3" t="s">
        <v>73</v>
      </c>
      <c r="C3" t="s">
        <v>72</v>
      </c>
      <c r="D3">
        <v>1</v>
      </c>
      <c r="E3">
        <v>0</v>
      </c>
      <c r="F3" t="s">
        <v>139</v>
      </c>
    </row>
    <row r="4" spans="1:6" x14ac:dyDescent="0.25">
      <c r="A4">
        <v>3</v>
      </c>
      <c r="B4" t="s">
        <v>74</v>
      </c>
      <c r="C4" t="s">
        <v>72</v>
      </c>
      <c r="D4">
        <v>1</v>
      </c>
      <c r="E4">
        <v>0</v>
      </c>
      <c r="F4" t="s">
        <v>140</v>
      </c>
    </row>
    <row r="5" spans="1:6" x14ac:dyDescent="0.25">
      <c r="A5">
        <v>4</v>
      </c>
      <c r="B5" t="s">
        <v>75</v>
      </c>
      <c r="C5" t="s">
        <v>72</v>
      </c>
      <c r="D5">
        <v>0.5</v>
      </c>
      <c r="E5">
        <v>0</v>
      </c>
      <c r="F5" t="s">
        <v>141</v>
      </c>
    </row>
    <row r="6" spans="1:6" x14ac:dyDescent="0.25">
      <c r="A6">
        <v>5</v>
      </c>
      <c r="B6" t="s">
        <v>76</v>
      </c>
      <c r="C6" t="s">
        <v>72</v>
      </c>
      <c r="D6">
        <v>0.1</v>
      </c>
      <c r="E6">
        <v>0</v>
      </c>
      <c r="F6" t="s">
        <v>142</v>
      </c>
    </row>
    <row r="7" spans="1:6" x14ac:dyDescent="0.25">
      <c r="A7">
        <v>6</v>
      </c>
      <c r="B7" t="s">
        <v>77</v>
      </c>
      <c r="C7" t="s">
        <v>72</v>
      </c>
      <c r="D7">
        <v>1</v>
      </c>
      <c r="E7">
        <v>0</v>
      </c>
      <c r="F7" t="s">
        <v>188</v>
      </c>
    </row>
    <row r="8" spans="1:6" x14ac:dyDescent="0.25">
      <c r="A8">
        <v>7</v>
      </c>
      <c r="B8" t="s">
        <v>78</v>
      </c>
      <c r="C8" t="s">
        <v>72</v>
      </c>
      <c r="D8">
        <v>-21.977719252</v>
      </c>
      <c r="E8">
        <v>0</v>
      </c>
      <c r="F8" t="s">
        <v>143</v>
      </c>
    </row>
    <row r="9" spans="1:6" x14ac:dyDescent="0.25">
      <c r="A9">
        <v>8</v>
      </c>
      <c r="B9" t="s">
        <v>79</v>
      </c>
      <c r="C9" t="s">
        <v>72</v>
      </c>
      <c r="D9">
        <v>-1.4857940511400001</v>
      </c>
      <c r="E9">
        <v>0</v>
      </c>
      <c r="F9" t="s">
        <v>144</v>
      </c>
    </row>
    <row r="10" spans="1:6" x14ac:dyDescent="0.25">
      <c r="A10">
        <v>9</v>
      </c>
      <c r="B10" t="s">
        <v>80</v>
      </c>
      <c r="C10" t="s">
        <v>72</v>
      </c>
      <c r="D10">
        <v>-4.85028348146</v>
      </c>
      <c r="E10">
        <v>0</v>
      </c>
      <c r="F10" t="s">
        <v>145</v>
      </c>
    </row>
    <row r="11" spans="1:6" x14ac:dyDescent="0.25">
      <c r="A11">
        <v>10</v>
      </c>
      <c r="B11" t="s">
        <v>81</v>
      </c>
      <c r="C11" t="s">
        <v>72</v>
      </c>
      <c r="D11">
        <v>-15.3921330935</v>
      </c>
      <c r="E11">
        <v>0</v>
      </c>
      <c r="F11" t="s">
        <v>146</v>
      </c>
    </row>
    <row r="12" spans="1:6" x14ac:dyDescent="0.25">
      <c r="A12">
        <v>11</v>
      </c>
      <c r="B12" t="s">
        <v>82</v>
      </c>
      <c r="C12" t="s">
        <v>72</v>
      </c>
      <c r="D12">
        <v>-11.245247773539999</v>
      </c>
      <c r="E12">
        <v>0</v>
      </c>
      <c r="F12" t="s">
        <v>147</v>
      </c>
    </row>
    <row r="13" spans="1:6" x14ac:dyDescent="0.25">
      <c r="A13">
        <v>12</v>
      </c>
      <c r="B13" t="s">
        <v>83</v>
      </c>
      <c r="C13" t="s">
        <v>72</v>
      </c>
      <c r="D13">
        <v>-4.2752113423699996</v>
      </c>
      <c r="E13">
        <v>0</v>
      </c>
      <c r="F13" t="s">
        <v>148</v>
      </c>
    </row>
    <row r="14" spans="1:6" x14ac:dyDescent="0.25">
      <c r="A14">
        <v>13</v>
      </c>
      <c r="B14" t="s">
        <v>84</v>
      </c>
      <c r="C14" t="s">
        <v>72</v>
      </c>
      <c r="D14">
        <v>-6.5192578502799998</v>
      </c>
      <c r="E14">
        <v>0</v>
      </c>
      <c r="F14" t="s">
        <v>149</v>
      </c>
    </row>
    <row r="15" spans="1:6" x14ac:dyDescent="0.25">
      <c r="A15">
        <v>14</v>
      </c>
      <c r="B15" t="s">
        <v>85</v>
      </c>
      <c r="C15" t="s">
        <v>72</v>
      </c>
      <c r="D15">
        <v>-3.04866060786</v>
      </c>
      <c r="E15">
        <v>0</v>
      </c>
      <c r="F15" t="s">
        <v>150</v>
      </c>
    </row>
    <row r="16" spans="1:6" x14ac:dyDescent="0.25">
      <c r="A16">
        <v>15</v>
      </c>
      <c r="B16" t="s">
        <v>86</v>
      </c>
      <c r="C16" t="s">
        <v>72</v>
      </c>
      <c r="D16">
        <v>0</v>
      </c>
      <c r="E16">
        <v>0</v>
      </c>
      <c r="F16" t="s">
        <v>189</v>
      </c>
    </row>
    <row r="17" spans="1:6" x14ac:dyDescent="0.25">
      <c r="A17">
        <v>16</v>
      </c>
      <c r="B17" t="s">
        <v>87</v>
      </c>
      <c r="C17" t="s">
        <v>72</v>
      </c>
      <c r="D17">
        <v>-2.2084934246199999</v>
      </c>
      <c r="E17">
        <v>0</v>
      </c>
      <c r="F17" t="s">
        <v>190</v>
      </c>
    </row>
    <row r="18" spans="1:6" x14ac:dyDescent="0.25">
      <c r="A18">
        <v>17</v>
      </c>
      <c r="B18" t="s">
        <v>88</v>
      </c>
      <c r="C18" t="s">
        <v>72</v>
      </c>
      <c r="D18">
        <v>0</v>
      </c>
      <c r="E18">
        <v>0</v>
      </c>
      <c r="F18" t="s">
        <v>151</v>
      </c>
    </row>
    <row r="19" spans="1:6" x14ac:dyDescent="0.25">
      <c r="A19">
        <v>18</v>
      </c>
      <c r="B19" t="s">
        <v>89</v>
      </c>
      <c r="C19" t="s">
        <v>72</v>
      </c>
      <c r="D19">
        <v>0</v>
      </c>
      <c r="E19">
        <v>0</v>
      </c>
      <c r="F19" t="s">
        <v>152</v>
      </c>
    </row>
    <row r="20" spans="1:6" x14ac:dyDescent="0.25">
      <c r="A20">
        <v>19</v>
      </c>
      <c r="B20" t="s">
        <v>90</v>
      </c>
      <c r="C20" t="s">
        <v>72</v>
      </c>
      <c r="D20">
        <v>0</v>
      </c>
      <c r="E20">
        <v>0</v>
      </c>
      <c r="F20" t="s">
        <v>153</v>
      </c>
    </row>
    <row r="21" spans="1:6" x14ac:dyDescent="0.25">
      <c r="A21">
        <v>20</v>
      </c>
      <c r="B21" t="s">
        <v>91</v>
      </c>
      <c r="C21" t="s">
        <v>72</v>
      </c>
      <c r="D21">
        <v>0</v>
      </c>
      <c r="E21">
        <v>0</v>
      </c>
      <c r="F21" t="s">
        <v>154</v>
      </c>
    </row>
    <row r="22" spans="1:6" x14ac:dyDescent="0.25">
      <c r="A22">
        <v>21</v>
      </c>
      <c r="B22" t="s">
        <v>92</v>
      </c>
      <c r="C22" t="s">
        <v>72</v>
      </c>
      <c r="D22">
        <v>0</v>
      </c>
      <c r="E22">
        <v>0</v>
      </c>
      <c r="F22" t="s">
        <v>191</v>
      </c>
    </row>
    <row r="23" spans="1:6" x14ac:dyDescent="0.25">
      <c r="A23">
        <v>30</v>
      </c>
      <c r="B23" t="s">
        <v>93</v>
      </c>
      <c r="C23" t="s">
        <v>72</v>
      </c>
      <c r="D23">
        <v>0</v>
      </c>
      <c r="E23">
        <v>0</v>
      </c>
      <c r="F23" t="s">
        <v>155</v>
      </c>
    </row>
    <row r="24" spans="1:6" x14ac:dyDescent="0.25">
      <c r="A24">
        <v>31</v>
      </c>
      <c r="B24" t="s">
        <v>94</v>
      </c>
      <c r="C24" t="s">
        <v>72</v>
      </c>
      <c r="D24">
        <v>0</v>
      </c>
      <c r="E24">
        <v>0</v>
      </c>
      <c r="F24" t="s">
        <v>156</v>
      </c>
    </row>
    <row r="25" spans="1:6" x14ac:dyDescent="0.25">
      <c r="A25">
        <v>32</v>
      </c>
      <c r="B25" t="s">
        <v>95</v>
      </c>
      <c r="C25" t="s">
        <v>72</v>
      </c>
      <c r="D25">
        <v>0</v>
      </c>
      <c r="E25">
        <v>0</v>
      </c>
      <c r="F25" t="s">
        <v>157</v>
      </c>
    </row>
    <row r="26" spans="1:6" x14ac:dyDescent="0.25">
      <c r="A26">
        <v>33</v>
      </c>
      <c r="B26" t="s">
        <v>96</v>
      </c>
      <c r="C26" t="s">
        <v>72</v>
      </c>
      <c r="D26">
        <v>0.20475756801299999</v>
      </c>
      <c r="E26">
        <v>0</v>
      </c>
      <c r="F26" t="s">
        <v>158</v>
      </c>
    </row>
    <row r="27" spans="1:6" x14ac:dyDescent="0.25">
      <c r="A27">
        <v>34</v>
      </c>
      <c r="B27" t="s">
        <v>97</v>
      </c>
      <c r="C27" t="s">
        <v>72</v>
      </c>
      <c r="D27">
        <v>0.73914409694299998</v>
      </c>
      <c r="E27">
        <v>0</v>
      </c>
      <c r="F27" t="s">
        <v>159</v>
      </c>
    </row>
    <row r="28" spans="1:6" x14ac:dyDescent="0.25">
      <c r="A28">
        <v>35</v>
      </c>
      <c r="B28" t="s">
        <v>98</v>
      </c>
      <c r="C28" t="s">
        <v>72</v>
      </c>
      <c r="D28">
        <v>0.91950533972299997</v>
      </c>
      <c r="E28">
        <v>0</v>
      </c>
      <c r="F28" t="s">
        <v>160</v>
      </c>
    </row>
    <row r="29" spans="1:6" x14ac:dyDescent="0.25">
      <c r="A29">
        <v>36</v>
      </c>
      <c r="B29" t="s">
        <v>99</v>
      </c>
      <c r="C29" t="s">
        <v>72</v>
      </c>
      <c r="D29">
        <v>0</v>
      </c>
      <c r="E29">
        <v>0</v>
      </c>
      <c r="F29" t="s">
        <v>161</v>
      </c>
    </row>
    <row r="30" spans="1:6" x14ac:dyDescent="0.25">
      <c r="A30">
        <v>37</v>
      </c>
      <c r="B30" t="s">
        <v>100</v>
      </c>
      <c r="C30" t="s">
        <v>72</v>
      </c>
      <c r="D30">
        <v>0.47967991030399998</v>
      </c>
      <c r="E30">
        <v>0</v>
      </c>
      <c r="F30" t="s">
        <v>162</v>
      </c>
    </row>
    <row r="31" spans="1:6" x14ac:dyDescent="0.25">
      <c r="A31">
        <v>38</v>
      </c>
      <c r="B31" t="s">
        <v>101</v>
      </c>
      <c r="C31" t="s">
        <v>72</v>
      </c>
      <c r="D31">
        <v>-0.117361085083</v>
      </c>
      <c r="E31">
        <v>0</v>
      </c>
      <c r="F31" t="s">
        <v>163</v>
      </c>
    </row>
    <row r="32" spans="1:6" x14ac:dyDescent="0.25">
      <c r="A32">
        <v>50</v>
      </c>
      <c r="B32" t="s">
        <v>102</v>
      </c>
      <c r="C32" t="s">
        <v>103</v>
      </c>
      <c r="D32">
        <v>-49.658779198200001</v>
      </c>
      <c r="E32">
        <v>33.148214292299997</v>
      </c>
      <c r="F32">
        <v>1</v>
      </c>
    </row>
    <row r="33" spans="1:6" x14ac:dyDescent="0.25">
      <c r="A33">
        <v>51</v>
      </c>
      <c r="B33" t="s">
        <v>104</v>
      </c>
      <c r="C33" t="s">
        <v>103</v>
      </c>
      <c r="D33">
        <v>17.602734273900001</v>
      </c>
      <c r="E33">
        <v>9.4985609110600002</v>
      </c>
      <c r="F33" t="s">
        <v>136</v>
      </c>
    </row>
    <row r="34" spans="1:6" x14ac:dyDescent="0.25">
      <c r="A34">
        <v>52</v>
      </c>
      <c r="B34" t="s">
        <v>105</v>
      </c>
      <c r="C34" t="s">
        <v>103</v>
      </c>
      <c r="D34">
        <v>4.20952630757</v>
      </c>
      <c r="E34">
        <v>2.7008716882299999</v>
      </c>
      <c r="F34" t="s">
        <v>137</v>
      </c>
    </row>
    <row r="35" spans="1:6" x14ac:dyDescent="0.25">
      <c r="A35">
        <v>60</v>
      </c>
      <c r="B35" t="s">
        <v>106</v>
      </c>
      <c r="C35" t="s">
        <v>72</v>
      </c>
      <c r="D35">
        <v>0.20359321296800001</v>
      </c>
      <c r="E35">
        <v>0</v>
      </c>
    </row>
    <row r="36" spans="1:6" x14ac:dyDescent="0.25">
      <c r="A36">
        <v>61</v>
      </c>
      <c r="B36" t="s">
        <v>107</v>
      </c>
      <c r="C36" t="s">
        <v>72</v>
      </c>
      <c r="D36">
        <v>-3.7139025588600001</v>
      </c>
      <c r="E36">
        <v>0</v>
      </c>
      <c r="F36" t="s">
        <v>164</v>
      </c>
    </row>
    <row r="37" spans="1:6" x14ac:dyDescent="0.25">
      <c r="A37">
        <v>62</v>
      </c>
      <c r="B37" t="s">
        <v>108</v>
      </c>
      <c r="C37" t="s">
        <v>72</v>
      </c>
      <c r="D37">
        <v>-14.9292134206</v>
      </c>
      <c r="E37">
        <v>0</v>
      </c>
      <c r="F37" t="s">
        <v>165</v>
      </c>
    </row>
    <row r="38" spans="1:6" x14ac:dyDescent="0.25">
      <c r="A38">
        <v>63</v>
      </c>
      <c r="B38" t="s">
        <v>109</v>
      </c>
      <c r="C38" t="s">
        <v>72</v>
      </c>
      <c r="D38">
        <v>-18.363643827400001</v>
      </c>
      <c r="E38">
        <v>0</v>
      </c>
      <c r="F38" t="s">
        <v>166</v>
      </c>
    </row>
    <row r="39" spans="1:6" x14ac:dyDescent="0.25">
      <c r="A39">
        <v>64</v>
      </c>
      <c r="B39" t="s">
        <v>110</v>
      </c>
      <c r="C39" t="s">
        <v>72</v>
      </c>
      <c r="D39">
        <v>-19.6107408341</v>
      </c>
      <c r="E39">
        <v>0</v>
      </c>
      <c r="F39" t="s">
        <v>167</v>
      </c>
    </row>
    <row r="40" spans="1:6" x14ac:dyDescent="0.25">
      <c r="A40">
        <v>65</v>
      </c>
      <c r="B40" t="s">
        <v>111</v>
      </c>
      <c r="C40" t="s">
        <v>72</v>
      </c>
      <c r="D40">
        <v>-29.386377866</v>
      </c>
      <c r="E40">
        <v>0</v>
      </c>
      <c r="F40" t="s">
        <v>168</v>
      </c>
    </row>
    <row r="41" spans="1:6" x14ac:dyDescent="0.25">
      <c r="A41">
        <v>66</v>
      </c>
      <c r="B41" t="s">
        <v>112</v>
      </c>
      <c r="C41" t="s">
        <v>72</v>
      </c>
      <c r="D41">
        <v>0</v>
      </c>
      <c r="E41">
        <v>0</v>
      </c>
      <c r="F41" t="s">
        <v>169</v>
      </c>
    </row>
    <row r="42" spans="1:6" x14ac:dyDescent="0.25">
      <c r="A42">
        <v>67</v>
      </c>
      <c r="B42" t="s">
        <v>113</v>
      </c>
      <c r="C42" t="s">
        <v>72</v>
      </c>
      <c r="D42">
        <v>-6.7290240321499999</v>
      </c>
      <c r="E42">
        <v>0</v>
      </c>
      <c r="F42" t="s">
        <v>170</v>
      </c>
    </row>
    <row r="43" spans="1:6" x14ac:dyDescent="0.25">
      <c r="A43">
        <v>68</v>
      </c>
      <c r="B43" t="s">
        <v>114</v>
      </c>
      <c r="C43" t="s">
        <v>72</v>
      </c>
      <c r="D43">
        <v>-26.1597322567</v>
      </c>
      <c r="E43">
        <v>0</v>
      </c>
      <c r="F43" t="s">
        <v>171</v>
      </c>
    </row>
    <row r="44" spans="1:6" x14ac:dyDescent="0.25">
      <c r="A44">
        <v>69</v>
      </c>
      <c r="B44" t="s">
        <v>115</v>
      </c>
      <c r="C44" t="s">
        <v>72</v>
      </c>
      <c r="D44">
        <v>-0.14966845132199999</v>
      </c>
      <c r="E44">
        <v>0</v>
      </c>
      <c r="F44" t="s">
        <v>172</v>
      </c>
    </row>
    <row r="45" spans="1:6" x14ac:dyDescent="0.25">
      <c r="A45">
        <v>70</v>
      </c>
      <c r="B45" t="s">
        <v>116</v>
      </c>
      <c r="C45" t="s">
        <v>72</v>
      </c>
      <c r="D45">
        <v>-28.815960729</v>
      </c>
      <c r="E45">
        <v>0</v>
      </c>
      <c r="F45" t="s">
        <v>173</v>
      </c>
    </row>
    <row r="46" spans="1:6" x14ac:dyDescent="0.25">
      <c r="A46">
        <v>71</v>
      </c>
      <c r="B46" t="s">
        <v>117</v>
      </c>
      <c r="C46" t="s">
        <v>72</v>
      </c>
      <c r="D46">
        <v>-38.204969650199999</v>
      </c>
      <c r="E46">
        <v>0</v>
      </c>
      <c r="F46" t="s">
        <v>174</v>
      </c>
    </row>
    <row r="47" spans="1:6" x14ac:dyDescent="0.25">
      <c r="A47">
        <v>72</v>
      </c>
      <c r="B47" t="s">
        <v>118</v>
      </c>
      <c r="C47" t="s">
        <v>72</v>
      </c>
      <c r="D47">
        <v>0</v>
      </c>
      <c r="E47">
        <v>0</v>
      </c>
      <c r="F47" t="s">
        <v>175</v>
      </c>
    </row>
    <row r="48" spans="1:6" x14ac:dyDescent="0.25">
      <c r="A48">
        <v>73</v>
      </c>
      <c r="B48" t="s">
        <v>119</v>
      </c>
      <c r="C48" t="s">
        <v>72</v>
      </c>
      <c r="D48">
        <v>-0.78460574570499997</v>
      </c>
      <c r="E48">
        <v>0</v>
      </c>
      <c r="F48" t="s">
        <v>176</v>
      </c>
    </row>
    <row r="49" spans="1:6" x14ac:dyDescent="0.25">
      <c r="A49">
        <v>74</v>
      </c>
      <c r="B49" t="s">
        <v>120</v>
      </c>
      <c r="C49" t="s">
        <v>72</v>
      </c>
      <c r="D49">
        <v>-60</v>
      </c>
      <c r="E49">
        <v>0</v>
      </c>
      <c r="F49" t="s">
        <v>177</v>
      </c>
    </row>
    <row r="50" spans="1:6" x14ac:dyDescent="0.25">
      <c r="A50">
        <v>75</v>
      </c>
      <c r="B50" t="s">
        <v>121</v>
      </c>
      <c r="C50" t="s">
        <v>72</v>
      </c>
      <c r="D50">
        <v>-40</v>
      </c>
      <c r="E50">
        <v>0</v>
      </c>
      <c r="F50" t="s">
        <v>178</v>
      </c>
    </row>
    <row r="51" spans="1:6" x14ac:dyDescent="0.25">
      <c r="A51">
        <v>76</v>
      </c>
      <c r="B51" t="s">
        <v>122</v>
      </c>
      <c r="C51" t="s">
        <v>72</v>
      </c>
      <c r="D51">
        <v>-19.3366724551</v>
      </c>
      <c r="E51">
        <v>0</v>
      </c>
      <c r="F51" t="s">
        <v>179</v>
      </c>
    </row>
    <row r="52" spans="1:6" x14ac:dyDescent="0.25">
      <c r="A52">
        <v>77</v>
      </c>
      <c r="B52" t="s">
        <v>123</v>
      </c>
      <c r="C52" t="s">
        <v>72</v>
      </c>
      <c r="D52">
        <v>-29.8899113495</v>
      </c>
      <c r="E52">
        <v>0</v>
      </c>
      <c r="F52" t="s">
        <v>180</v>
      </c>
    </row>
    <row r="53" spans="1:6" x14ac:dyDescent="0.25">
      <c r="A53">
        <v>78</v>
      </c>
      <c r="B53" t="s">
        <v>124</v>
      </c>
      <c r="C53" t="s">
        <v>72</v>
      </c>
      <c r="D53">
        <v>0</v>
      </c>
      <c r="E53">
        <v>0</v>
      </c>
      <c r="F53" t="s">
        <v>181</v>
      </c>
    </row>
    <row r="54" spans="1:6" x14ac:dyDescent="0.25">
      <c r="A54">
        <v>79</v>
      </c>
      <c r="B54" t="s">
        <v>125</v>
      </c>
      <c r="C54" t="s">
        <v>72</v>
      </c>
      <c r="D54">
        <v>-4.6085602533700003</v>
      </c>
      <c r="E54">
        <v>0</v>
      </c>
      <c r="F54" t="s">
        <v>182</v>
      </c>
    </row>
    <row r="55" spans="1:6" x14ac:dyDescent="0.25">
      <c r="A55">
        <v>80</v>
      </c>
      <c r="B55" t="s">
        <v>126</v>
      </c>
      <c r="C55" t="s">
        <v>72</v>
      </c>
      <c r="D55">
        <v>-20</v>
      </c>
      <c r="E55">
        <v>0</v>
      </c>
      <c r="F55" t="s">
        <v>183</v>
      </c>
    </row>
    <row r="56" spans="1:6" x14ac:dyDescent="0.25">
      <c r="A56">
        <v>81</v>
      </c>
      <c r="B56" t="s">
        <v>127</v>
      </c>
      <c r="C56" t="s">
        <v>72</v>
      </c>
      <c r="D56">
        <v>-16.8297323695</v>
      </c>
      <c r="E56">
        <v>0</v>
      </c>
      <c r="F56" t="s">
        <v>184</v>
      </c>
    </row>
    <row r="57" spans="1:6" x14ac:dyDescent="0.25">
      <c r="A57">
        <v>82</v>
      </c>
      <c r="B57" t="s">
        <v>128</v>
      </c>
      <c r="C57" t="s">
        <v>72</v>
      </c>
      <c r="D57">
        <v>-30</v>
      </c>
      <c r="E57">
        <v>0</v>
      </c>
      <c r="F57" t="s">
        <v>185</v>
      </c>
    </row>
    <row r="58" spans="1:6" x14ac:dyDescent="0.25">
      <c r="A58">
        <v>83</v>
      </c>
      <c r="B58" t="s">
        <v>129</v>
      </c>
      <c r="C58" t="s">
        <v>72</v>
      </c>
      <c r="D58">
        <v>0</v>
      </c>
      <c r="E58">
        <v>0</v>
      </c>
      <c r="F58" t="s">
        <v>186</v>
      </c>
    </row>
    <row r="59" spans="1:6" x14ac:dyDescent="0.25">
      <c r="A59">
        <v>84</v>
      </c>
      <c r="B59" t="s">
        <v>130</v>
      </c>
      <c r="C59" t="s">
        <v>72</v>
      </c>
      <c r="D59">
        <v>-3.8243167264700002</v>
      </c>
      <c r="E59">
        <v>0</v>
      </c>
      <c r="F59" t="s">
        <v>187</v>
      </c>
    </row>
    <row r="60" spans="1:6" x14ac:dyDescent="0.25">
      <c r="A60">
        <v>98</v>
      </c>
      <c r="B60" t="s">
        <v>131</v>
      </c>
      <c r="C60" t="s">
        <v>72</v>
      </c>
      <c r="D60">
        <v>0</v>
      </c>
      <c r="E60">
        <v>0</v>
      </c>
      <c r="F60">
        <v>100</v>
      </c>
    </row>
    <row r="61" spans="1:6" x14ac:dyDescent="0.25">
      <c r="A61">
        <v>99</v>
      </c>
      <c r="B61" t="s">
        <v>132</v>
      </c>
      <c r="C61" t="s">
        <v>103</v>
      </c>
      <c r="D61">
        <v>0.11248071060500001</v>
      </c>
      <c r="E61" s="54">
        <v>6.8437874180799996E-2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K250"/>
  <sheetViews>
    <sheetView workbookViewId="0">
      <selection activeCell="A8" sqref="A8:K250"/>
    </sheetView>
  </sheetViews>
  <sheetFormatPr defaultRowHeight="15" x14ac:dyDescent="0.25"/>
  <sheetData>
    <row r="1" spans="1:10" x14ac:dyDescent="0.25">
      <c r="A1" s="55" t="s">
        <v>201</v>
      </c>
    </row>
    <row r="2" spans="1:10" x14ac:dyDescent="0.25">
      <c r="A2">
        <v>1</v>
      </c>
      <c r="B2" t="s">
        <v>202</v>
      </c>
    </row>
    <row r="3" spans="1:10" x14ac:dyDescent="0.25">
      <c r="A3">
        <v>2</v>
      </c>
      <c r="B3" t="s">
        <v>203</v>
      </c>
    </row>
    <row r="4" spans="1:10" x14ac:dyDescent="0.25">
      <c r="A4">
        <v>3</v>
      </c>
      <c r="B4" t="s">
        <v>204</v>
      </c>
    </row>
    <row r="5" spans="1:10" x14ac:dyDescent="0.25">
      <c r="A5">
        <v>4</v>
      </c>
      <c r="B5" t="s">
        <v>205</v>
      </c>
    </row>
    <row r="8" spans="1:10" x14ac:dyDescent="0.25">
      <c r="A8" t="s">
        <v>206</v>
      </c>
      <c r="B8" t="s">
        <v>207</v>
      </c>
      <c r="C8" t="s">
        <v>208</v>
      </c>
      <c r="D8" t="s">
        <v>209</v>
      </c>
      <c r="E8" t="s">
        <v>210</v>
      </c>
      <c r="F8" t="s">
        <v>211</v>
      </c>
      <c r="G8" t="s">
        <v>212</v>
      </c>
      <c r="H8" t="s">
        <v>213</v>
      </c>
    </row>
    <row r="9" spans="1:10" x14ac:dyDescent="0.25">
      <c r="A9" t="s">
        <v>214</v>
      </c>
      <c r="B9" t="s">
        <v>215</v>
      </c>
      <c r="C9" t="s">
        <v>216</v>
      </c>
      <c r="D9" t="s">
        <v>217</v>
      </c>
      <c r="E9">
        <v>4</v>
      </c>
      <c r="F9" s="56">
        <v>0.50597222222222216</v>
      </c>
      <c r="G9" t="s">
        <v>218</v>
      </c>
      <c r="H9">
        <v>29</v>
      </c>
      <c r="I9" t="s">
        <v>219</v>
      </c>
      <c r="J9">
        <v>12</v>
      </c>
    </row>
    <row r="10" spans="1:10" x14ac:dyDescent="0.25">
      <c r="A10" t="s">
        <v>220</v>
      </c>
    </row>
    <row r="11" spans="1:10" x14ac:dyDescent="0.25">
      <c r="B11">
        <v>1</v>
      </c>
      <c r="C11" t="s">
        <v>71</v>
      </c>
      <c r="D11" t="s">
        <v>72</v>
      </c>
      <c r="E11">
        <v>1</v>
      </c>
      <c r="F11">
        <v>0</v>
      </c>
    </row>
    <row r="12" spans="1:10" x14ac:dyDescent="0.25">
      <c r="B12">
        <v>2</v>
      </c>
      <c r="C12" t="s">
        <v>73</v>
      </c>
      <c r="D12" t="s">
        <v>72</v>
      </c>
      <c r="E12">
        <v>1</v>
      </c>
      <c r="F12">
        <v>0</v>
      </c>
    </row>
    <row r="13" spans="1:10" x14ac:dyDescent="0.25">
      <c r="B13">
        <v>3</v>
      </c>
      <c r="C13" t="s">
        <v>74</v>
      </c>
      <c r="D13" t="s">
        <v>72</v>
      </c>
      <c r="E13">
        <v>1</v>
      </c>
      <c r="F13">
        <v>0</v>
      </c>
    </row>
    <row r="14" spans="1:10" x14ac:dyDescent="0.25">
      <c r="B14">
        <v>4</v>
      </c>
      <c r="C14" t="s">
        <v>75</v>
      </c>
      <c r="D14" t="s">
        <v>72</v>
      </c>
      <c r="E14">
        <v>0.5</v>
      </c>
      <c r="F14">
        <v>0</v>
      </c>
    </row>
    <row r="15" spans="1:10" x14ac:dyDescent="0.25">
      <c r="B15">
        <v>5</v>
      </c>
      <c r="C15" t="s">
        <v>76</v>
      </c>
      <c r="D15" t="s">
        <v>72</v>
      </c>
      <c r="E15">
        <v>0.1</v>
      </c>
      <c r="F15">
        <v>0</v>
      </c>
    </row>
    <row r="16" spans="1:10" x14ac:dyDescent="0.25">
      <c r="B16">
        <v>6</v>
      </c>
      <c r="C16" t="s">
        <v>77</v>
      </c>
      <c r="D16" t="s">
        <v>72</v>
      </c>
      <c r="E16">
        <v>1</v>
      </c>
      <c r="F16">
        <v>0</v>
      </c>
    </row>
    <row r="17" spans="2:6" x14ac:dyDescent="0.25">
      <c r="B17">
        <v>7</v>
      </c>
      <c r="C17" t="s">
        <v>78</v>
      </c>
      <c r="D17" t="s">
        <v>72</v>
      </c>
      <c r="E17">
        <v>-21.977719252</v>
      </c>
      <c r="F17">
        <v>0</v>
      </c>
    </row>
    <row r="18" spans="2:6" x14ac:dyDescent="0.25">
      <c r="B18">
        <v>8</v>
      </c>
      <c r="C18" t="s">
        <v>79</v>
      </c>
      <c r="D18" t="s">
        <v>72</v>
      </c>
      <c r="E18">
        <v>-1.4857940511400001</v>
      </c>
      <c r="F18">
        <v>0</v>
      </c>
    </row>
    <row r="19" spans="2:6" x14ac:dyDescent="0.25">
      <c r="B19">
        <v>9</v>
      </c>
      <c r="C19" t="s">
        <v>80</v>
      </c>
      <c r="D19" t="s">
        <v>72</v>
      </c>
      <c r="E19">
        <v>-4.85028348146</v>
      </c>
      <c r="F19">
        <v>0</v>
      </c>
    </row>
    <row r="20" spans="2:6" x14ac:dyDescent="0.25">
      <c r="B20">
        <v>10</v>
      </c>
      <c r="C20" t="s">
        <v>81</v>
      </c>
      <c r="D20" t="s">
        <v>72</v>
      </c>
      <c r="E20">
        <v>-15.3921330935</v>
      </c>
      <c r="F20">
        <v>0</v>
      </c>
    </row>
    <row r="21" spans="2:6" x14ac:dyDescent="0.25">
      <c r="B21">
        <v>11</v>
      </c>
      <c r="C21" t="s">
        <v>82</v>
      </c>
      <c r="D21" t="s">
        <v>72</v>
      </c>
      <c r="E21">
        <v>-9.7518039976427993</v>
      </c>
      <c r="F21">
        <v>0</v>
      </c>
    </row>
    <row r="22" spans="2:6" x14ac:dyDescent="0.25">
      <c r="B22">
        <v>12</v>
      </c>
      <c r="C22" t="s">
        <v>83</v>
      </c>
      <c r="D22" t="s">
        <v>72</v>
      </c>
      <c r="E22">
        <v>-1.0599160072038001</v>
      </c>
      <c r="F22">
        <v>0</v>
      </c>
    </row>
    <row r="23" spans="2:6" x14ac:dyDescent="0.25">
      <c r="B23">
        <v>13</v>
      </c>
      <c r="C23" t="s">
        <v>84</v>
      </c>
      <c r="D23" t="s">
        <v>72</v>
      </c>
      <c r="E23">
        <v>-6.5192578502799998</v>
      </c>
      <c r="F23">
        <v>0</v>
      </c>
    </row>
    <row r="24" spans="2:6" x14ac:dyDescent="0.25">
      <c r="B24">
        <v>14</v>
      </c>
      <c r="C24" t="s">
        <v>85</v>
      </c>
      <c r="D24" t="s">
        <v>72</v>
      </c>
      <c r="E24">
        <v>-3.04866060786</v>
      </c>
      <c r="F24">
        <v>0</v>
      </c>
    </row>
    <row r="25" spans="2:6" x14ac:dyDescent="0.25">
      <c r="B25">
        <v>15</v>
      </c>
      <c r="C25" t="s">
        <v>86</v>
      </c>
      <c r="D25" t="s">
        <v>72</v>
      </c>
      <c r="E25">
        <v>0</v>
      </c>
      <c r="F25">
        <v>0</v>
      </c>
    </row>
    <row r="26" spans="2:6" x14ac:dyDescent="0.25">
      <c r="B26">
        <v>16</v>
      </c>
      <c r="C26" t="s">
        <v>87</v>
      </c>
      <c r="D26" t="s">
        <v>72</v>
      </c>
      <c r="E26">
        <v>-2.2084934246199999</v>
      </c>
      <c r="F26">
        <v>0</v>
      </c>
    </row>
    <row r="27" spans="2:6" x14ac:dyDescent="0.25">
      <c r="B27">
        <v>17</v>
      </c>
      <c r="C27" t="s">
        <v>88</v>
      </c>
      <c r="D27" t="s">
        <v>72</v>
      </c>
      <c r="E27">
        <v>0</v>
      </c>
      <c r="F27">
        <v>0</v>
      </c>
    </row>
    <row r="28" spans="2:6" x14ac:dyDescent="0.25">
      <c r="B28">
        <v>18</v>
      </c>
      <c r="C28" t="s">
        <v>89</v>
      </c>
      <c r="D28" t="s">
        <v>72</v>
      </c>
      <c r="E28">
        <v>0</v>
      </c>
      <c r="F28">
        <v>0</v>
      </c>
    </row>
    <row r="29" spans="2:6" x14ac:dyDescent="0.25">
      <c r="B29">
        <v>19</v>
      </c>
      <c r="C29" t="s">
        <v>90</v>
      </c>
      <c r="D29" t="s">
        <v>72</v>
      </c>
      <c r="E29">
        <v>0</v>
      </c>
      <c r="F29">
        <v>0</v>
      </c>
    </row>
    <row r="30" spans="2:6" x14ac:dyDescent="0.25">
      <c r="B30">
        <v>20</v>
      </c>
      <c r="C30" t="s">
        <v>91</v>
      </c>
      <c r="D30" t="s">
        <v>72</v>
      </c>
      <c r="E30">
        <v>0</v>
      </c>
      <c r="F30">
        <v>0</v>
      </c>
    </row>
    <row r="31" spans="2:6" x14ac:dyDescent="0.25">
      <c r="B31">
        <v>21</v>
      </c>
      <c r="C31" t="s">
        <v>92</v>
      </c>
      <c r="D31" t="s">
        <v>72</v>
      </c>
      <c r="E31">
        <v>0</v>
      </c>
      <c r="F31">
        <v>0</v>
      </c>
    </row>
    <row r="32" spans="2:6" x14ac:dyDescent="0.25">
      <c r="B32">
        <v>30</v>
      </c>
      <c r="C32" t="s">
        <v>93</v>
      </c>
      <c r="D32" t="s">
        <v>72</v>
      </c>
      <c r="E32">
        <v>0</v>
      </c>
      <c r="F32">
        <v>0</v>
      </c>
    </row>
    <row r="33" spans="2:6" x14ac:dyDescent="0.25">
      <c r="B33">
        <v>31</v>
      </c>
      <c r="C33" t="s">
        <v>94</v>
      </c>
      <c r="D33" t="s">
        <v>72</v>
      </c>
      <c r="E33">
        <v>0</v>
      </c>
      <c r="F33">
        <v>0</v>
      </c>
    </row>
    <row r="34" spans="2:6" x14ac:dyDescent="0.25">
      <c r="B34">
        <v>32</v>
      </c>
      <c r="C34" t="s">
        <v>95</v>
      </c>
      <c r="D34" t="s">
        <v>72</v>
      </c>
      <c r="E34">
        <v>0</v>
      </c>
      <c r="F34">
        <v>0</v>
      </c>
    </row>
    <row r="35" spans="2:6" x14ac:dyDescent="0.25">
      <c r="B35">
        <v>33</v>
      </c>
      <c r="C35" t="s">
        <v>96</v>
      </c>
      <c r="D35" t="s">
        <v>72</v>
      </c>
      <c r="E35">
        <v>0.20475756801299999</v>
      </c>
      <c r="F35">
        <v>0</v>
      </c>
    </row>
    <row r="36" spans="2:6" x14ac:dyDescent="0.25">
      <c r="B36">
        <v>34</v>
      </c>
      <c r="C36" t="s">
        <v>97</v>
      </c>
      <c r="D36" t="s">
        <v>72</v>
      </c>
      <c r="E36">
        <v>0.73914409694299998</v>
      </c>
      <c r="F36">
        <v>0</v>
      </c>
    </row>
    <row r="37" spans="2:6" x14ac:dyDescent="0.25">
      <c r="B37">
        <v>35</v>
      </c>
      <c r="C37" t="s">
        <v>98</v>
      </c>
      <c r="D37" t="s">
        <v>72</v>
      </c>
      <c r="E37">
        <v>0.91950533972299997</v>
      </c>
      <c r="F37">
        <v>0</v>
      </c>
    </row>
    <row r="38" spans="2:6" x14ac:dyDescent="0.25">
      <c r="B38">
        <v>36</v>
      </c>
      <c r="C38" t="s">
        <v>99</v>
      </c>
      <c r="D38" t="s">
        <v>72</v>
      </c>
      <c r="E38">
        <v>0</v>
      </c>
      <c r="F38">
        <v>0</v>
      </c>
    </row>
    <row r="39" spans="2:6" x14ac:dyDescent="0.25">
      <c r="B39">
        <v>37</v>
      </c>
      <c r="C39" t="s">
        <v>100</v>
      </c>
      <c r="D39" t="s">
        <v>72</v>
      </c>
      <c r="E39">
        <v>0.47967991030399998</v>
      </c>
      <c r="F39">
        <v>0</v>
      </c>
    </row>
    <row r="40" spans="2:6" x14ac:dyDescent="0.25">
      <c r="B40">
        <v>38</v>
      </c>
      <c r="C40" t="s">
        <v>101</v>
      </c>
      <c r="D40" t="s">
        <v>72</v>
      </c>
      <c r="E40">
        <v>-0.117361085083</v>
      </c>
      <c r="F40">
        <v>0</v>
      </c>
    </row>
    <row r="41" spans="2:6" x14ac:dyDescent="0.25">
      <c r="B41">
        <v>50</v>
      </c>
      <c r="C41" t="s">
        <v>102</v>
      </c>
      <c r="D41" t="s">
        <v>103</v>
      </c>
      <c r="E41">
        <v>-52.496387392000003</v>
      </c>
      <c r="F41">
        <v>33.148214292299997</v>
      </c>
    </row>
    <row r="42" spans="2:6" x14ac:dyDescent="0.25">
      <c r="B42">
        <v>51</v>
      </c>
      <c r="C42" t="s">
        <v>104</v>
      </c>
      <c r="D42" t="s">
        <v>103</v>
      </c>
      <c r="E42">
        <v>17.602734273900001</v>
      </c>
      <c r="F42">
        <v>9.4985609110600002</v>
      </c>
    </row>
    <row r="43" spans="2:6" x14ac:dyDescent="0.25">
      <c r="B43">
        <v>52</v>
      </c>
      <c r="C43" t="s">
        <v>105</v>
      </c>
      <c r="D43" t="s">
        <v>103</v>
      </c>
      <c r="E43">
        <v>4.20952630757</v>
      </c>
      <c r="F43">
        <v>2.7008716882299999</v>
      </c>
    </row>
    <row r="44" spans="2:6" x14ac:dyDescent="0.25">
      <c r="B44">
        <v>60</v>
      </c>
      <c r="C44" t="s">
        <v>106</v>
      </c>
      <c r="D44" t="s">
        <v>72</v>
      </c>
      <c r="E44">
        <v>0.20359321296800001</v>
      </c>
      <c r="F44">
        <v>0</v>
      </c>
    </row>
    <row r="45" spans="2:6" x14ac:dyDescent="0.25">
      <c r="B45">
        <v>61</v>
      </c>
      <c r="C45" t="s">
        <v>107</v>
      </c>
      <c r="D45" t="s">
        <v>72</v>
      </c>
      <c r="E45">
        <v>-3.7139025588600001</v>
      </c>
      <c r="F45">
        <v>0</v>
      </c>
    </row>
    <row r="46" spans="2:6" x14ac:dyDescent="0.25">
      <c r="B46">
        <v>62</v>
      </c>
      <c r="C46" t="s">
        <v>108</v>
      </c>
      <c r="D46" t="s">
        <v>72</v>
      </c>
      <c r="E46">
        <v>-14.9292134206</v>
      </c>
      <c r="F46">
        <v>0</v>
      </c>
    </row>
    <row r="47" spans="2:6" x14ac:dyDescent="0.25">
      <c r="B47">
        <v>63</v>
      </c>
      <c r="C47" t="s">
        <v>109</v>
      </c>
      <c r="D47" t="s">
        <v>72</v>
      </c>
      <c r="E47">
        <v>-18.363643827400001</v>
      </c>
      <c r="F47">
        <v>0</v>
      </c>
    </row>
    <row r="48" spans="2:6" x14ac:dyDescent="0.25">
      <c r="B48">
        <v>64</v>
      </c>
      <c r="C48" t="s">
        <v>110</v>
      </c>
      <c r="D48" t="s">
        <v>72</v>
      </c>
      <c r="E48">
        <v>-19.6107408341</v>
      </c>
      <c r="F48">
        <v>0</v>
      </c>
    </row>
    <row r="49" spans="2:6" x14ac:dyDescent="0.25">
      <c r="B49">
        <v>65</v>
      </c>
      <c r="C49" t="s">
        <v>111</v>
      </c>
      <c r="D49" t="s">
        <v>72</v>
      </c>
      <c r="E49">
        <v>-29.386377866</v>
      </c>
      <c r="F49">
        <v>0</v>
      </c>
    </row>
    <row r="50" spans="2:6" x14ac:dyDescent="0.25">
      <c r="B50">
        <v>66</v>
      </c>
      <c r="C50" t="s">
        <v>112</v>
      </c>
      <c r="D50" t="s">
        <v>72</v>
      </c>
      <c r="E50">
        <v>0</v>
      </c>
      <c r="F50">
        <v>0</v>
      </c>
    </row>
    <row r="51" spans="2:6" x14ac:dyDescent="0.25">
      <c r="B51">
        <v>67</v>
      </c>
      <c r="C51" t="s">
        <v>113</v>
      </c>
      <c r="D51" t="s">
        <v>72</v>
      </c>
      <c r="E51">
        <v>-6.7290240321499999</v>
      </c>
      <c r="F51">
        <v>0</v>
      </c>
    </row>
    <row r="52" spans="2:6" x14ac:dyDescent="0.25">
      <c r="B52">
        <v>68</v>
      </c>
      <c r="C52" t="s">
        <v>114</v>
      </c>
      <c r="D52" t="s">
        <v>72</v>
      </c>
      <c r="E52">
        <v>-26.1597322567</v>
      </c>
      <c r="F52">
        <v>0</v>
      </c>
    </row>
    <row r="53" spans="2:6" x14ac:dyDescent="0.25">
      <c r="B53">
        <v>69</v>
      </c>
      <c r="C53" t="s">
        <v>115</v>
      </c>
      <c r="D53" t="s">
        <v>72</v>
      </c>
      <c r="E53">
        <v>-0.14966845132199999</v>
      </c>
      <c r="F53">
        <v>0</v>
      </c>
    </row>
    <row r="54" spans="2:6" x14ac:dyDescent="0.25">
      <c r="B54">
        <v>70</v>
      </c>
      <c r="C54" t="s">
        <v>116</v>
      </c>
      <c r="D54" t="s">
        <v>72</v>
      </c>
      <c r="E54">
        <v>-28.815960729</v>
      </c>
      <c r="F54">
        <v>0</v>
      </c>
    </row>
    <row r="55" spans="2:6" x14ac:dyDescent="0.25">
      <c r="B55">
        <v>71</v>
      </c>
      <c r="C55" t="s">
        <v>117</v>
      </c>
      <c r="D55" t="s">
        <v>72</v>
      </c>
      <c r="E55">
        <v>-38.204969650199999</v>
      </c>
      <c r="F55">
        <v>0</v>
      </c>
    </row>
    <row r="56" spans="2:6" x14ac:dyDescent="0.25">
      <c r="B56">
        <v>72</v>
      </c>
      <c r="C56" t="s">
        <v>118</v>
      </c>
      <c r="D56" t="s">
        <v>72</v>
      </c>
      <c r="E56">
        <v>0</v>
      </c>
      <c r="F56">
        <v>0</v>
      </c>
    </row>
    <row r="57" spans="2:6" x14ac:dyDescent="0.25">
      <c r="B57">
        <v>73</v>
      </c>
      <c r="C57" t="s">
        <v>119</v>
      </c>
      <c r="D57" t="s">
        <v>72</v>
      </c>
      <c r="E57">
        <v>-0.78460574570499997</v>
      </c>
      <c r="F57">
        <v>0</v>
      </c>
    </row>
    <row r="58" spans="2:6" x14ac:dyDescent="0.25">
      <c r="B58">
        <v>74</v>
      </c>
      <c r="C58" t="s">
        <v>120</v>
      </c>
      <c r="D58" t="s">
        <v>72</v>
      </c>
      <c r="E58">
        <v>-60</v>
      </c>
      <c r="F58">
        <v>0</v>
      </c>
    </row>
    <row r="59" spans="2:6" x14ac:dyDescent="0.25">
      <c r="B59">
        <v>75</v>
      </c>
      <c r="C59" t="s">
        <v>121</v>
      </c>
      <c r="D59" t="s">
        <v>72</v>
      </c>
      <c r="E59">
        <v>-40</v>
      </c>
      <c r="F59">
        <v>0</v>
      </c>
    </row>
    <row r="60" spans="2:6" x14ac:dyDescent="0.25">
      <c r="B60">
        <v>76</v>
      </c>
      <c r="C60" t="s">
        <v>122</v>
      </c>
      <c r="D60" t="s">
        <v>72</v>
      </c>
      <c r="E60">
        <v>-19.3366724551</v>
      </c>
      <c r="F60">
        <v>0</v>
      </c>
    </row>
    <row r="61" spans="2:6" x14ac:dyDescent="0.25">
      <c r="B61">
        <v>77</v>
      </c>
      <c r="C61" t="s">
        <v>123</v>
      </c>
      <c r="D61" t="s">
        <v>72</v>
      </c>
      <c r="E61">
        <v>-29.8899113495</v>
      </c>
      <c r="F61">
        <v>0</v>
      </c>
    </row>
    <row r="62" spans="2:6" x14ac:dyDescent="0.25">
      <c r="B62">
        <v>78</v>
      </c>
      <c r="C62" t="s">
        <v>124</v>
      </c>
      <c r="D62" t="s">
        <v>72</v>
      </c>
      <c r="E62">
        <v>0</v>
      </c>
      <c r="F62">
        <v>0</v>
      </c>
    </row>
    <row r="63" spans="2:6" x14ac:dyDescent="0.25">
      <c r="B63">
        <v>79</v>
      </c>
      <c r="C63" t="s">
        <v>125</v>
      </c>
      <c r="D63" t="s">
        <v>72</v>
      </c>
      <c r="E63">
        <v>-4.6085602533700003</v>
      </c>
      <c r="F63">
        <v>0</v>
      </c>
    </row>
    <row r="64" spans="2:6" x14ac:dyDescent="0.25">
      <c r="B64">
        <v>80</v>
      </c>
      <c r="C64" t="s">
        <v>126</v>
      </c>
      <c r="D64" t="s">
        <v>72</v>
      </c>
      <c r="E64">
        <v>-20</v>
      </c>
      <c r="F64">
        <v>0</v>
      </c>
    </row>
    <row r="65" spans="2:11" x14ac:dyDescent="0.25">
      <c r="B65">
        <v>81</v>
      </c>
      <c r="C65" t="s">
        <v>127</v>
      </c>
      <c r="D65" t="s">
        <v>72</v>
      </c>
      <c r="E65">
        <v>-16.8297323695</v>
      </c>
      <c r="F65">
        <v>0</v>
      </c>
    </row>
    <row r="66" spans="2:11" x14ac:dyDescent="0.25">
      <c r="B66">
        <v>82</v>
      </c>
      <c r="C66" t="s">
        <v>128</v>
      </c>
      <c r="D66" t="s">
        <v>72</v>
      </c>
      <c r="E66">
        <v>-30</v>
      </c>
      <c r="F66">
        <v>0</v>
      </c>
    </row>
    <row r="67" spans="2:11" x14ac:dyDescent="0.25">
      <c r="B67">
        <v>83</v>
      </c>
      <c r="C67" t="s">
        <v>129</v>
      </c>
      <c r="D67" t="s">
        <v>72</v>
      </c>
      <c r="E67">
        <v>0</v>
      </c>
      <c r="F67">
        <v>0</v>
      </c>
    </row>
    <row r="68" spans="2:11" x14ac:dyDescent="0.25">
      <c r="B68">
        <v>84</v>
      </c>
      <c r="C68" t="s">
        <v>130</v>
      </c>
      <c r="D68" t="s">
        <v>72</v>
      </c>
      <c r="E68">
        <v>-3.8243167264700002</v>
      </c>
      <c r="F68">
        <v>0</v>
      </c>
    </row>
    <row r="69" spans="2:11" x14ac:dyDescent="0.25">
      <c r="B69">
        <v>98</v>
      </c>
      <c r="C69" t="s">
        <v>131</v>
      </c>
      <c r="D69" t="s">
        <v>72</v>
      </c>
      <c r="E69">
        <v>0</v>
      </c>
      <c r="F69">
        <v>0</v>
      </c>
    </row>
    <row r="70" spans="2:11" x14ac:dyDescent="0.25">
      <c r="B70">
        <v>99</v>
      </c>
      <c r="C70" t="s">
        <v>132</v>
      </c>
      <c r="D70" t="s">
        <v>103</v>
      </c>
      <c r="E70">
        <v>0.11248071060500001</v>
      </c>
      <c r="F70" s="54">
        <v>6.8437874180799996E-2</v>
      </c>
    </row>
    <row r="71" spans="2:11" x14ac:dyDescent="0.25">
      <c r="B71">
        <v>-1</v>
      </c>
    </row>
    <row r="72" spans="2:11" x14ac:dyDescent="0.25">
      <c r="B72">
        <v>1846</v>
      </c>
      <c r="C72" s="54">
        <v>-4533.6591421499998</v>
      </c>
      <c r="D72" s="54">
        <v>-7099.1720403199997</v>
      </c>
      <c r="E72" s="54">
        <v>-3827.4189976100001</v>
      </c>
    </row>
    <row r="73" spans="2:11" x14ac:dyDescent="0.25">
      <c r="B73">
        <v>24</v>
      </c>
      <c r="C73" t="s">
        <v>221</v>
      </c>
      <c r="D73" t="s">
        <v>218</v>
      </c>
      <c r="E73">
        <v>29</v>
      </c>
      <c r="F73" t="s">
        <v>219</v>
      </c>
      <c r="G73">
        <v>12</v>
      </c>
    </row>
    <row r="74" spans="2:11" x14ac:dyDescent="0.25"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</row>
    <row r="75" spans="2:11" x14ac:dyDescent="0.25"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</row>
    <row r="76" spans="2:11" x14ac:dyDescent="0.25"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</row>
    <row r="77" spans="2:11" x14ac:dyDescent="0.25"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</row>
    <row r="78" spans="2:11" x14ac:dyDescent="0.25"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</row>
    <row r="79" spans="2:11" x14ac:dyDescent="0.25"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</row>
    <row r="80" spans="2:11" x14ac:dyDescent="0.25"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</row>
    <row r="81" spans="2:11" x14ac:dyDescent="0.25"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</row>
    <row r="82" spans="2:11" x14ac:dyDescent="0.25"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</row>
    <row r="83" spans="2:11" x14ac:dyDescent="0.25"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</row>
    <row r="84" spans="2:11" x14ac:dyDescent="0.25"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</row>
    <row r="85" spans="2:11" x14ac:dyDescent="0.25"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</row>
    <row r="86" spans="2:11" x14ac:dyDescent="0.25"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</row>
    <row r="87" spans="2:11" x14ac:dyDescent="0.25"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2:11" x14ac:dyDescent="0.25"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2:11" x14ac:dyDescent="0.25"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</row>
    <row r="90" spans="2:11" x14ac:dyDescent="0.25"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</row>
    <row r="91" spans="2:11" x14ac:dyDescent="0.25"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2:11" x14ac:dyDescent="0.25"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2:11" x14ac:dyDescent="0.25"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2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25"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2:11" x14ac:dyDescent="0.25"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2:11" x14ac:dyDescent="0.25"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25"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2:11" x14ac:dyDescent="0.2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2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2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25"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2:11" x14ac:dyDescent="0.25"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2:11" x14ac:dyDescent="0.2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2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2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25"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2:11" x14ac:dyDescent="0.25"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2:11" x14ac:dyDescent="0.25"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2:11" x14ac:dyDescent="0.25"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2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2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2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2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-92121</v>
      </c>
      <c r="H123">
        <v>0</v>
      </c>
      <c r="I123">
        <v>0</v>
      </c>
      <c r="J123">
        <v>0</v>
      </c>
      <c r="K123">
        <v>0</v>
      </c>
    </row>
    <row r="124" spans="2:11" x14ac:dyDescent="0.2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2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-98684</v>
      </c>
      <c r="I126">
        <v>91083</v>
      </c>
      <c r="J126">
        <v>0</v>
      </c>
      <c r="K126">
        <v>0</v>
      </c>
    </row>
    <row r="127" spans="2:11" x14ac:dyDescent="0.2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2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2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2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25"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2:11" x14ac:dyDescent="0.25"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2:11" x14ac:dyDescent="0.25"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2:11" x14ac:dyDescent="0.25"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2:11" x14ac:dyDescent="0.25"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25"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2:11" x14ac:dyDescent="0.25"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2:11" x14ac:dyDescent="0.25"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2:11" x14ac:dyDescent="0.25"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2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2:11" x14ac:dyDescent="0.2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2:11" x14ac:dyDescent="0.25"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2:11" x14ac:dyDescent="0.25"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2:11" x14ac:dyDescent="0.25"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2:11" x14ac:dyDescent="0.25"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</row>
    <row r="164" spans="2:11" x14ac:dyDescent="0.25"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2:11" x14ac:dyDescent="0.25"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2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2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25"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2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2:11" x14ac:dyDescent="0.25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2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2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2:11" x14ac:dyDescent="0.2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2:11" x14ac:dyDescent="0.25"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2:11" x14ac:dyDescent="0.2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2:11" x14ac:dyDescent="0.2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2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2:11" x14ac:dyDescent="0.25"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2:11" x14ac:dyDescent="0.2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2:11" x14ac:dyDescent="0.25"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2:11" x14ac:dyDescent="0.25"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2:11" x14ac:dyDescent="0.2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</row>
    <row r="199" spans="2:11" x14ac:dyDescent="0.25"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</row>
    <row r="200" spans="2:11" x14ac:dyDescent="0.2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2:11" x14ac:dyDescent="0.25"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2:11" x14ac:dyDescent="0.25"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2:11" x14ac:dyDescent="0.25"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2:11" x14ac:dyDescent="0.25"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2:11" x14ac:dyDescent="0.25"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</row>
    <row r="206" spans="2:11" x14ac:dyDescent="0.25"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</row>
    <row r="207" spans="2:11" x14ac:dyDescent="0.25"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2:11" x14ac:dyDescent="0.25"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2:11" x14ac:dyDescent="0.25"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</row>
    <row r="210" spans="2:11" x14ac:dyDescent="0.25"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2:11" x14ac:dyDescent="0.25"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2:11" x14ac:dyDescent="0.25"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2:11" x14ac:dyDescent="0.25"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2:11" x14ac:dyDescent="0.25"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2:11" x14ac:dyDescent="0.25"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2:11" x14ac:dyDescent="0.25"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</row>
    <row r="217" spans="2:11" x14ac:dyDescent="0.25"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2:11" x14ac:dyDescent="0.25"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2:11" x14ac:dyDescent="0.25"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2:11" x14ac:dyDescent="0.25"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2:11" x14ac:dyDescent="0.25"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2:11" x14ac:dyDescent="0.25"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2:11" x14ac:dyDescent="0.25"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 x14ac:dyDescent="0.25"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2:11" x14ac:dyDescent="0.25"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2:11" x14ac:dyDescent="0.25"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2:11" x14ac:dyDescent="0.25"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</row>
    <row r="228" spans="2:11" x14ac:dyDescent="0.25"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</row>
    <row r="229" spans="2:11" x14ac:dyDescent="0.25"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</row>
    <row r="230" spans="2:11" x14ac:dyDescent="0.25"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</row>
    <row r="231" spans="2:11" x14ac:dyDescent="0.25"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2:11" x14ac:dyDescent="0.25"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</row>
    <row r="233" spans="2:11" x14ac:dyDescent="0.25"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</row>
    <row r="234" spans="2:11" x14ac:dyDescent="0.25"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</row>
    <row r="235" spans="2:11" x14ac:dyDescent="0.25"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</row>
    <row r="236" spans="2:11" x14ac:dyDescent="0.25"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</row>
    <row r="237" spans="2:11" x14ac:dyDescent="0.25"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</row>
    <row r="238" spans="2:11" x14ac:dyDescent="0.25"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</row>
    <row r="239" spans="2:11" x14ac:dyDescent="0.25"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</row>
    <row r="240" spans="2:11" x14ac:dyDescent="0.25"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2:11" x14ac:dyDescent="0.25"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</row>
    <row r="242" spans="2:11" x14ac:dyDescent="0.2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2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2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2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25">
      <c r="B248">
        <v>0</v>
      </c>
      <c r="C248">
        <v>99135</v>
      </c>
      <c r="D248">
        <v>-90225</v>
      </c>
      <c r="E248">
        <v>-96126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2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25"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U62"/>
  <sheetViews>
    <sheetView workbookViewId="0">
      <selection activeCell="H13" sqref="H13"/>
    </sheetView>
  </sheetViews>
  <sheetFormatPr defaultRowHeight="15" x14ac:dyDescent="0.25"/>
  <cols>
    <col min="1" max="1" width="12.7109375" bestFit="1" customWidth="1" collapsed="1"/>
    <col min="2" max="3" width="11.5703125" bestFit="1" customWidth="1" collapsed="1"/>
    <col min="5" max="5" width="11.85546875" bestFit="1" customWidth="1" collapsed="1"/>
    <col min="6" max="6" width="7.7109375" customWidth="1" collapsed="1"/>
    <col min="7" max="7" width="7.140625" bestFit="1" customWidth="1" collapsed="1"/>
    <col min="8" max="8" width="17.5703125" bestFit="1" customWidth="1" collapsed="1"/>
    <col min="9" max="9" width="11" bestFit="1" customWidth="1" collapsed="1"/>
    <col min="11" max="11" width="8.42578125" customWidth="1" collapsed="1"/>
    <col min="12" max="13" width="17.5703125" bestFit="1" customWidth="1" collapsed="1"/>
    <col min="19" max="19" width="11.7109375" bestFit="1" customWidth="1" collapsed="1"/>
    <col min="20" max="21" width="17.5703125" bestFit="1" customWidth="1" collapsed="1"/>
  </cols>
  <sheetData>
    <row r="1" spans="1:21" x14ac:dyDescent="0.25">
      <c r="K1" s="55" t="s">
        <v>201</v>
      </c>
      <c r="R1" s="55" t="s">
        <v>235</v>
      </c>
    </row>
    <row r="2" spans="1:21" x14ac:dyDescent="0.25">
      <c r="B2" s="11"/>
      <c r="F2" s="11"/>
      <c r="K2">
        <v>1</v>
      </c>
      <c r="L2" t="s">
        <v>239</v>
      </c>
      <c r="T2" t="s">
        <v>233</v>
      </c>
      <c r="U2" t="s">
        <v>234</v>
      </c>
    </row>
    <row r="3" spans="1:21" x14ac:dyDescent="0.25">
      <c r="K3">
        <v>2</v>
      </c>
      <c r="L3" t="s">
        <v>237</v>
      </c>
      <c r="R3">
        <v>1</v>
      </c>
      <c r="S3" t="s">
        <v>71</v>
      </c>
      <c r="T3" s="59">
        <f>SchoolLocationCoefficient!E11</f>
        <v>1</v>
      </c>
      <c r="U3" s="60">
        <f>T3</f>
        <v>1</v>
      </c>
    </row>
    <row r="4" spans="1:21" x14ac:dyDescent="0.25">
      <c r="D4" s="58"/>
      <c r="E4" s="70"/>
      <c r="F4" s="70"/>
      <c r="G4" s="70"/>
      <c r="H4" s="70"/>
      <c r="I4" s="70"/>
      <c r="L4" t="s">
        <v>236</v>
      </c>
      <c r="R4">
        <v>2</v>
      </c>
      <c r="S4" t="s">
        <v>73</v>
      </c>
      <c r="T4" s="59">
        <f>SchoolLocationCoefficient!E12</f>
        <v>1</v>
      </c>
      <c r="U4" s="60">
        <f t="shared" ref="U4:U62" si="0">T4</f>
        <v>1</v>
      </c>
    </row>
    <row r="5" spans="1:21" x14ac:dyDescent="0.25">
      <c r="E5" s="7"/>
      <c r="F5" s="33"/>
      <c r="G5" s="33"/>
      <c r="H5" s="80" t="s">
        <v>245</v>
      </c>
      <c r="I5" s="33"/>
      <c r="R5">
        <v>3</v>
      </c>
      <c r="S5" t="s">
        <v>74</v>
      </c>
      <c r="T5" s="59">
        <f>SchoolLocationCoefficient!E13</f>
        <v>1</v>
      </c>
      <c r="U5" s="60">
        <f t="shared" si="0"/>
        <v>1</v>
      </c>
    </row>
    <row r="6" spans="1:21" ht="15.75" thickBot="1" x14ac:dyDescent="0.3">
      <c r="A6" s="55" t="s">
        <v>222</v>
      </c>
      <c r="E6" s="76" t="s">
        <v>240</v>
      </c>
      <c r="F6" s="33"/>
      <c r="G6" s="33"/>
      <c r="H6" s="80" t="s">
        <v>246</v>
      </c>
      <c r="I6" s="33"/>
      <c r="R6">
        <v>4</v>
      </c>
      <c r="S6" t="s">
        <v>75</v>
      </c>
      <c r="T6" s="59">
        <f>SchoolLocationCoefficient!E14</f>
        <v>0.5</v>
      </c>
      <c r="U6" s="60">
        <f t="shared" si="0"/>
        <v>0.5</v>
      </c>
    </row>
    <row r="7" spans="1:21" x14ac:dyDescent="0.25">
      <c r="A7" s="5" t="s">
        <v>2</v>
      </c>
      <c r="B7" s="5" t="s">
        <v>200</v>
      </c>
      <c r="C7" s="5" t="s">
        <v>223</v>
      </c>
      <c r="D7" s="7"/>
      <c r="E7" s="5" t="s">
        <v>2</v>
      </c>
      <c r="F7" s="5" t="s">
        <v>200</v>
      </c>
      <c r="G7" s="5" t="s">
        <v>223</v>
      </c>
      <c r="H7" t="s">
        <v>244</v>
      </c>
      <c r="I7" s="5" t="s">
        <v>232</v>
      </c>
      <c r="J7" s="5" t="s">
        <v>228</v>
      </c>
      <c r="K7" s="5" t="s">
        <v>229</v>
      </c>
      <c r="L7" s="5" t="s">
        <v>230</v>
      </c>
      <c r="M7" s="5" t="s">
        <v>231</v>
      </c>
      <c r="R7">
        <v>5</v>
      </c>
      <c r="S7" t="s">
        <v>76</v>
      </c>
      <c r="T7" s="59">
        <f>SchoolLocationCoefficient!E15</f>
        <v>0.1</v>
      </c>
      <c r="U7" s="60">
        <f t="shared" si="0"/>
        <v>0.1</v>
      </c>
    </row>
    <row r="8" spans="1:21" x14ac:dyDescent="0.25">
      <c r="A8" s="57" t="s">
        <v>224</v>
      </c>
      <c r="B8" s="83">
        <f>TLFD!B11</f>
        <v>20622.883600000001</v>
      </c>
      <c r="C8" s="83">
        <f>TLFD!H11</f>
        <v>116037.52755905656</v>
      </c>
      <c r="D8" s="7"/>
      <c r="E8" s="57" t="s">
        <v>224</v>
      </c>
      <c r="F8" s="72">
        <f>B8/B$11</f>
        <v>4.0140947791351966E-2</v>
      </c>
      <c r="G8" s="72">
        <f>C8/C$11</f>
        <v>0.23028438409668928</v>
      </c>
      <c r="H8" s="7">
        <v>1</v>
      </c>
      <c r="I8">
        <v>10</v>
      </c>
      <c r="J8" s="9">
        <f>F8/G8</f>
        <v>0.17431033349833233</v>
      </c>
      <c r="K8" s="9">
        <f>(LN(J8)-LN(J8))*H8</f>
        <v>0</v>
      </c>
      <c r="L8" s="59">
        <f>T12</f>
        <v>-15.3921330935</v>
      </c>
      <c r="M8" s="59">
        <f>L8+K8</f>
        <v>-15.3921330935</v>
      </c>
      <c r="R8">
        <v>6</v>
      </c>
      <c r="S8" t="s">
        <v>77</v>
      </c>
      <c r="T8" s="59">
        <f>SchoolLocationCoefficient!E16</f>
        <v>1</v>
      </c>
      <c r="U8" s="60">
        <f t="shared" si="0"/>
        <v>1</v>
      </c>
    </row>
    <row r="9" spans="1:21" x14ac:dyDescent="0.25">
      <c r="A9" s="57" t="s">
        <v>226</v>
      </c>
      <c r="B9" s="83">
        <f>SUM(TLFD!B12:B15)</f>
        <v>222281.21739999999</v>
      </c>
      <c r="C9" s="83">
        <f>SUM(TLFD!H12:H15)</f>
        <v>242299.76086807399</v>
      </c>
      <c r="E9" s="57" t="s">
        <v>226</v>
      </c>
      <c r="F9" s="72">
        <f t="shared" ref="F9:F10" si="1">B9/B$11</f>
        <v>0.43265427452888089</v>
      </c>
      <c r="G9" s="72">
        <f t="shared" ref="G9:G10" si="2">C9/C$11</f>
        <v>0.48086039380562945</v>
      </c>
      <c r="H9">
        <v>0.1</v>
      </c>
      <c r="I9">
        <v>11</v>
      </c>
      <c r="J9" s="9">
        <f t="shared" ref="J9:J10" si="3">F9/G9</f>
        <v>0.89975028116739808</v>
      </c>
      <c r="K9" s="9">
        <f>(LN(J9)-LN(J8))*H9</f>
        <v>0.16412800229807503</v>
      </c>
      <c r="L9" s="59">
        <f t="shared" ref="L9:L10" si="4">T13</f>
        <v>-9.7518039976427993</v>
      </c>
      <c r="M9" s="59">
        <f t="shared" ref="M9:M10" si="5">L9+K9</f>
        <v>-9.5876759953447248</v>
      </c>
      <c r="R9">
        <v>7</v>
      </c>
      <c r="S9" t="s">
        <v>78</v>
      </c>
      <c r="T9" s="59">
        <f>SchoolLocationCoefficient!E17</f>
        <v>-21.977719252</v>
      </c>
      <c r="U9" s="60">
        <f t="shared" si="0"/>
        <v>-21.977719252</v>
      </c>
    </row>
    <row r="10" spans="1:21" x14ac:dyDescent="0.25">
      <c r="A10" s="69" t="s">
        <v>227</v>
      </c>
      <c r="B10" s="86">
        <f>SUM(TLFD!B16:B101)</f>
        <v>270857.64939999999</v>
      </c>
      <c r="C10" s="86">
        <f>SUM(TLFD!H16:H101)</f>
        <v>145550.66738986477</v>
      </c>
      <c r="E10" s="69" t="s">
        <v>227</v>
      </c>
      <c r="F10" s="75">
        <f t="shared" si="1"/>
        <v>0.52720477767976703</v>
      </c>
      <c r="G10" s="75">
        <f t="shared" si="2"/>
        <v>0.28885522209768122</v>
      </c>
      <c r="H10">
        <v>0.1</v>
      </c>
      <c r="I10" s="6">
        <v>12</v>
      </c>
      <c r="J10" s="18">
        <f t="shared" si="3"/>
        <v>1.825152316275189</v>
      </c>
      <c r="K10" s="18">
        <f>(LN(J10)-LN(J9)-LN(J8))*H10</f>
        <v>0.24542195065612812</v>
      </c>
      <c r="L10" s="74">
        <f t="shared" si="4"/>
        <v>-1.0599160072038001</v>
      </c>
      <c r="M10" s="74">
        <f t="shared" si="5"/>
        <v>-0.81449405654767193</v>
      </c>
      <c r="R10">
        <v>8</v>
      </c>
      <c r="S10" t="s">
        <v>79</v>
      </c>
      <c r="T10" s="59">
        <f>SchoolLocationCoefficient!E18</f>
        <v>-1.4857940511400001</v>
      </c>
      <c r="U10" s="60">
        <f t="shared" si="0"/>
        <v>-1.4857940511400001</v>
      </c>
    </row>
    <row r="11" spans="1:21" ht="15.75" thickBot="1" x14ac:dyDescent="0.3">
      <c r="A11" s="71" t="s">
        <v>3</v>
      </c>
      <c r="B11" s="82">
        <f>SUM(B8:B10)</f>
        <v>513761.75040000002</v>
      </c>
      <c r="C11" s="82">
        <f>SUM(C8:C10)</f>
        <v>503887.95581699535</v>
      </c>
      <c r="D11" s="58"/>
      <c r="E11" s="71" t="s">
        <v>3</v>
      </c>
      <c r="F11" s="73">
        <f>SUM(F8:F10)</f>
        <v>0.99999999999999989</v>
      </c>
      <c r="G11" s="73">
        <f>SUM(G8:G10)</f>
        <v>1</v>
      </c>
      <c r="R11">
        <v>9</v>
      </c>
      <c r="S11" t="s">
        <v>80</v>
      </c>
      <c r="T11" s="59">
        <f>SchoolLocationCoefficient!E19</f>
        <v>-4.85028348146</v>
      </c>
      <c r="U11" s="60">
        <f t="shared" si="0"/>
        <v>-4.85028348146</v>
      </c>
    </row>
    <row r="12" spans="1:21" x14ac:dyDescent="0.25">
      <c r="A12" s="67"/>
      <c r="B12" s="68"/>
      <c r="C12" s="68"/>
      <c r="R12" s="61">
        <v>10</v>
      </c>
      <c r="S12" s="61" t="s">
        <v>81</v>
      </c>
      <c r="T12" s="59">
        <f>SchoolLocationCoefficient!E20</f>
        <v>-15.3921330935</v>
      </c>
      <c r="U12" s="60">
        <f>M8</f>
        <v>-15.3921330935</v>
      </c>
    </row>
    <row r="13" spans="1:21" x14ac:dyDescent="0.25">
      <c r="A13" s="67"/>
      <c r="B13" s="68"/>
      <c r="C13" s="68"/>
      <c r="D13" s="7"/>
      <c r="R13" s="61">
        <v>11</v>
      </c>
      <c r="S13" s="61" t="s">
        <v>82</v>
      </c>
      <c r="T13" s="59">
        <f>SchoolLocationCoefficient!E21</f>
        <v>-9.7518039976427993</v>
      </c>
      <c r="U13" s="60">
        <f t="shared" ref="U13:U14" si="6">M9</f>
        <v>-9.5876759953447248</v>
      </c>
    </row>
    <row r="14" spans="1:21" x14ac:dyDescent="0.25">
      <c r="A14" s="63" t="s">
        <v>238</v>
      </c>
      <c r="R14" s="61">
        <v>12</v>
      </c>
      <c r="S14" s="61" t="s">
        <v>83</v>
      </c>
      <c r="T14" s="59">
        <f>SchoolLocationCoefficient!E22</f>
        <v>-1.0599160072038001</v>
      </c>
      <c r="U14" s="60">
        <f t="shared" si="6"/>
        <v>-0.81449405654767193</v>
      </c>
    </row>
    <row r="15" spans="1:21" ht="15.75" thickBot="1" x14ac:dyDescent="0.3">
      <c r="R15">
        <v>13</v>
      </c>
      <c r="S15" t="s">
        <v>84</v>
      </c>
      <c r="T15" s="59">
        <f>SchoolLocationCoefficient!E23</f>
        <v>-6.5192578502799998</v>
      </c>
      <c r="U15" s="60">
        <f t="shared" si="0"/>
        <v>-6.5192578502799998</v>
      </c>
    </row>
    <row r="16" spans="1:21" x14ac:dyDescent="0.25">
      <c r="A16" s="5" t="s">
        <v>2</v>
      </c>
      <c r="B16" s="5" t="s">
        <v>200</v>
      </c>
      <c r="C16" s="5" t="s">
        <v>223</v>
      </c>
      <c r="D16" s="58"/>
      <c r="E16" s="5" t="s">
        <v>2</v>
      </c>
      <c r="F16" s="5" t="s">
        <v>200</v>
      </c>
      <c r="G16" s="5" t="s">
        <v>223</v>
      </c>
      <c r="I16" s="5" t="s">
        <v>232</v>
      </c>
      <c r="J16" s="5" t="s">
        <v>228</v>
      </c>
      <c r="K16" s="5" t="s">
        <v>229</v>
      </c>
      <c r="L16" s="5" t="s">
        <v>230</v>
      </c>
      <c r="M16" s="5" t="s">
        <v>231</v>
      </c>
      <c r="R16">
        <v>14</v>
      </c>
      <c r="S16" t="s">
        <v>85</v>
      </c>
      <c r="T16" s="59">
        <f>SchoolLocationCoefficient!E24</f>
        <v>-3.04866060786</v>
      </c>
      <c r="U16" s="60">
        <f t="shared" si="0"/>
        <v>-3.04866060786</v>
      </c>
    </row>
    <row r="17" spans="1:21" x14ac:dyDescent="0.25">
      <c r="A17" s="64" t="s">
        <v>225</v>
      </c>
      <c r="B17" s="81">
        <f>SchoolAtHome!E14</f>
        <v>3454.8159000000001</v>
      </c>
      <c r="C17" s="81">
        <f>SchoolAtHome!L14</f>
        <v>48195.076482599565</v>
      </c>
      <c r="E17" s="64" t="s">
        <v>225</v>
      </c>
      <c r="F17" s="77">
        <f>B17/B18</f>
        <v>4.8942389571341519E-3</v>
      </c>
      <c r="G17" s="77">
        <f>C17/C18</f>
        <v>6.0319662444755423E-2</v>
      </c>
      <c r="I17" s="65">
        <v>50</v>
      </c>
      <c r="J17" s="66">
        <f>F17/G17</f>
        <v>8.1138367801985078E-2</v>
      </c>
      <c r="K17" s="66">
        <f>LN(J17)</f>
        <v>-2.5115993372308467</v>
      </c>
      <c r="L17" s="79">
        <f>T33</f>
        <v>-52.496387392000003</v>
      </c>
      <c r="M17" s="78">
        <f t="shared" ref="M17" si="7">L17+K17</f>
        <v>-55.007986729230851</v>
      </c>
      <c r="R17">
        <v>15</v>
      </c>
      <c r="S17" t="s">
        <v>86</v>
      </c>
      <c r="T17" s="59">
        <f>SchoolLocationCoefficient!E25</f>
        <v>0</v>
      </c>
      <c r="U17" s="60">
        <f t="shared" si="0"/>
        <v>0</v>
      </c>
    </row>
    <row r="18" spans="1:21" ht="15.75" thickBot="1" x14ac:dyDescent="0.3">
      <c r="A18" s="12" t="s">
        <v>3</v>
      </c>
      <c r="B18" s="82">
        <f>SchoolAtHome!E25</f>
        <v>705894.4057</v>
      </c>
      <c r="C18" s="82">
        <f>SchoolAtHome!L25</f>
        <v>798994.46597102028</v>
      </c>
      <c r="E18" s="12" t="s">
        <v>3</v>
      </c>
      <c r="F18" s="73">
        <f>B18/B18</f>
        <v>1</v>
      </c>
      <c r="G18" s="73">
        <f>C18/C18</f>
        <v>1</v>
      </c>
      <c r="R18">
        <v>16</v>
      </c>
      <c r="S18" t="s">
        <v>87</v>
      </c>
      <c r="T18" s="59">
        <f>SchoolLocationCoefficient!E26</f>
        <v>-2.2084934246199999</v>
      </c>
      <c r="U18" s="60">
        <f t="shared" si="0"/>
        <v>-2.2084934246199999</v>
      </c>
    </row>
    <row r="19" spans="1:21" x14ac:dyDescent="0.25">
      <c r="R19">
        <v>17</v>
      </c>
      <c r="S19" t="s">
        <v>88</v>
      </c>
      <c r="T19" s="59">
        <f>SchoolLocationCoefficient!E27</f>
        <v>0</v>
      </c>
      <c r="U19" s="60">
        <f t="shared" si="0"/>
        <v>0</v>
      </c>
    </row>
    <row r="20" spans="1:21" x14ac:dyDescent="0.25">
      <c r="R20">
        <v>18</v>
      </c>
      <c r="S20" t="s">
        <v>89</v>
      </c>
      <c r="T20" s="59">
        <f>SchoolLocationCoefficient!E28</f>
        <v>0</v>
      </c>
      <c r="U20" s="60">
        <f t="shared" si="0"/>
        <v>0</v>
      </c>
    </row>
    <row r="21" spans="1:21" x14ac:dyDescent="0.25">
      <c r="R21">
        <v>19</v>
      </c>
      <c r="S21" t="s">
        <v>90</v>
      </c>
      <c r="T21" s="59">
        <f>SchoolLocationCoefficient!E29</f>
        <v>0</v>
      </c>
      <c r="U21" s="60">
        <f t="shared" si="0"/>
        <v>0</v>
      </c>
    </row>
    <row r="22" spans="1:21" x14ac:dyDescent="0.25">
      <c r="G22" s="7"/>
      <c r="R22">
        <v>20</v>
      </c>
      <c r="S22" t="s">
        <v>91</v>
      </c>
      <c r="T22" s="59">
        <f>SchoolLocationCoefficient!E30</f>
        <v>0</v>
      </c>
      <c r="U22" s="60">
        <f t="shared" si="0"/>
        <v>0</v>
      </c>
    </row>
    <row r="23" spans="1:21" x14ac:dyDescent="0.25">
      <c r="G23" s="7"/>
      <c r="R23">
        <v>21</v>
      </c>
      <c r="S23" t="s">
        <v>92</v>
      </c>
      <c r="T23" s="59">
        <f>SchoolLocationCoefficient!E31</f>
        <v>0</v>
      </c>
      <c r="U23" s="60">
        <f t="shared" si="0"/>
        <v>0</v>
      </c>
    </row>
    <row r="24" spans="1:21" x14ac:dyDescent="0.25">
      <c r="R24">
        <v>30</v>
      </c>
      <c r="S24" t="s">
        <v>93</v>
      </c>
      <c r="T24" s="59">
        <f>SchoolLocationCoefficient!E32</f>
        <v>0</v>
      </c>
      <c r="U24" s="60">
        <f t="shared" si="0"/>
        <v>0</v>
      </c>
    </row>
    <row r="25" spans="1:21" x14ac:dyDescent="0.25">
      <c r="R25">
        <v>31</v>
      </c>
      <c r="S25" t="s">
        <v>94</v>
      </c>
      <c r="T25" s="59">
        <f>SchoolLocationCoefficient!E33</f>
        <v>0</v>
      </c>
      <c r="U25" s="60">
        <f t="shared" si="0"/>
        <v>0</v>
      </c>
    </row>
    <row r="26" spans="1:21" x14ac:dyDescent="0.25">
      <c r="R26">
        <v>32</v>
      </c>
      <c r="S26" t="s">
        <v>95</v>
      </c>
      <c r="T26" s="59">
        <f>SchoolLocationCoefficient!E34</f>
        <v>0</v>
      </c>
      <c r="U26" s="60">
        <f t="shared" si="0"/>
        <v>0</v>
      </c>
    </row>
    <row r="27" spans="1:21" x14ac:dyDescent="0.25">
      <c r="R27">
        <v>33</v>
      </c>
      <c r="S27" t="s">
        <v>96</v>
      </c>
      <c r="T27" s="59">
        <f>SchoolLocationCoefficient!E35</f>
        <v>0.20475756801299999</v>
      </c>
      <c r="U27" s="60">
        <f t="shared" si="0"/>
        <v>0.20475756801299999</v>
      </c>
    </row>
    <row r="28" spans="1:21" x14ac:dyDescent="0.25">
      <c r="J28" t="s">
        <v>241</v>
      </c>
      <c r="R28">
        <v>34</v>
      </c>
      <c r="S28" t="s">
        <v>97</v>
      </c>
      <c r="T28" s="59">
        <f>SchoolLocationCoefficient!E36</f>
        <v>0.73914409694299998</v>
      </c>
      <c r="U28" s="60">
        <f t="shared" si="0"/>
        <v>0.73914409694299998</v>
      </c>
    </row>
    <row r="29" spans="1:21" x14ac:dyDescent="0.25">
      <c r="J29" t="s">
        <v>242</v>
      </c>
      <c r="R29">
        <v>35</v>
      </c>
      <c r="S29" t="s">
        <v>98</v>
      </c>
      <c r="T29" s="59">
        <f>SchoolLocationCoefficient!E37</f>
        <v>0.91950533972299997</v>
      </c>
      <c r="U29" s="60">
        <f t="shared" si="0"/>
        <v>0.91950533972299997</v>
      </c>
    </row>
    <row r="30" spans="1:21" x14ac:dyDescent="0.25">
      <c r="J30" t="s">
        <v>243</v>
      </c>
      <c r="R30">
        <v>36</v>
      </c>
      <c r="S30" t="s">
        <v>99</v>
      </c>
      <c r="T30" s="59">
        <f>SchoolLocationCoefficient!E38</f>
        <v>0</v>
      </c>
      <c r="U30" s="60">
        <f t="shared" si="0"/>
        <v>0</v>
      </c>
    </row>
    <row r="31" spans="1:21" x14ac:dyDescent="0.25">
      <c r="R31">
        <v>37</v>
      </c>
      <c r="S31" t="s">
        <v>100</v>
      </c>
      <c r="T31" s="59">
        <f>SchoolLocationCoefficient!E39</f>
        <v>0.47967991030399998</v>
      </c>
      <c r="U31" s="60">
        <f t="shared" si="0"/>
        <v>0.47967991030399998</v>
      </c>
    </row>
    <row r="32" spans="1:21" x14ac:dyDescent="0.25">
      <c r="R32">
        <v>38</v>
      </c>
      <c r="S32" t="s">
        <v>101</v>
      </c>
      <c r="T32" s="59">
        <f>SchoolLocationCoefficient!E40</f>
        <v>-0.117361085083</v>
      </c>
      <c r="U32" s="60">
        <f t="shared" si="0"/>
        <v>-0.117361085083</v>
      </c>
    </row>
    <row r="33" spans="18:21" x14ac:dyDescent="0.25">
      <c r="R33" s="61">
        <v>50</v>
      </c>
      <c r="S33" s="61" t="s">
        <v>102</v>
      </c>
      <c r="T33" s="59">
        <f>SchoolLocationCoefficient!E41</f>
        <v>-52.496387392000003</v>
      </c>
      <c r="U33" s="62">
        <f>M17</f>
        <v>-55.007986729230851</v>
      </c>
    </row>
    <row r="34" spans="18:21" x14ac:dyDescent="0.25">
      <c r="R34">
        <v>51</v>
      </c>
      <c r="S34" t="s">
        <v>104</v>
      </c>
      <c r="T34" s="59">
        <f>SchoolLocationCoefficient!E42</f>
        <v>17.602734273900001</v>
      </c>
      <c r="U34" s="60">
        <f t="shared" si="0"/>
        <v>17.602734273900001</v>
      </c>
    </row>
    <row r="35" spans="18:21" x14ac:dyDescent="0.25">
      <c r="R35">
        <v>52</v>
      </c>
      <c r="S35" t="s">
        <v>105</v>
      </c>
      <c r="T35" s="59">
        <f>SchoolLocationCoefficient!E43</f>
        <v>4.20952630757</v>
      </c>
      <c r="U35" s="60">
        <f t="shared" si="0"/>
        <v>4.20952630757</v>
      </c>
    </row>
    <row r="36" spans="18:21" x14ac:dyDescent="0.25">
      <c r="R36">
        <v>60</v>
      </c>
      <c r="S36" t="s">
        <v>106</v>
      </c>
      <c r="T36" s="59">
        <f>SchoolLocationCoefficient!E44</f>
        <v>0.20359321296800001</v>
      </c>
      <c r="U36" s="60">
        <f t="shared" si="0"/>
        <v>0.20359321296800001</v>
      </c>
    </row>
    <row r="37" spans="18:21" x14ac:dyDescent="0.25">
      <c r="R37">
        <v>61</v>
      </c>
      <c r="S37" t="s">
        <v>107</v>
      </c>
      <c r="T37" s="59">
        <f>SchoolLocationCoefficient!E45</f>
        <v>-3.7139025588600001</v>
      </c>
      <c r="U37" s="60">
        <f t="shared" si="0"/>
        <v>-3.7139025588600001</v>
      </c>
    </row>
    <row r="38" spans="18:21" x14ac:dyDescent="0.25">
      <c r="R38">
        <v>62</v>
      </c>
      <c r="S38" t="s">
        <v>108</v>
      </c>
      <c r="T38" s="59">
        <f>SchoolLocationCoefficient!E46</f>
        <v>-14.9292134206</v>
      </c>
      <c r="U38" s="60">
        <f t="shared" si="0"/>
        <v>-14.9292134206</v>
      </c>
    </row>
    <row r="39" spans="18:21" x14ac:dyDescent="0.25">
      <c r="R39">
        <v>63</v>
      </c>
      <c r="S39" t="s">
        <v>109</v>
      </c>
      <c r="T39" s="59">
        <f>SchoolLocationCoefficient!E47</f>
        <v>-18.363643827400001</v>
      </c>
      <c r="U39" s="60">
        <f t="shared" si="0"/>
        <v>-18.363643827400001</v>
      </c>
    </row>
    <row r="40" spans="18:21" x14ac:dyDescent="0.25">
      <c r="R40">
        <v>64</v>
      </c>
      <c r="S40" t="s">
        <v>110</v>
      </c>
      <c r="T40" s="59">
        <f>SchoolLocationCoefficient!E48</f>
        <v>-19.6107408341</v>
      </c>
      <c r="U40" s="60">
        <f t="shared" si="0"/>
        <v>-19.6107408341</v>
      </c>
    </row>
    <row r="41" spans="18:21" x14ac:dyDescent="0.25">
      <c r="R41">
        <v>65</v>
      </c>
      <c r="S41" t="s">
        <v>111</v>
      </c>
      <c r="T41" s="59">
        <f>SchoolLocationCoefficient!E49</f>
        <v>-29.386377866</v>
      </c>
      <c r="U41" s="60">
        <f t="shared" si="0"/>
        <v>-29.386377866</v>
      </c>
    </row>
    <row r="42" spans="18:21" x14ac:dyDescent="0.25">
      <c r="R42">
        <v>66</v>
      </c>
      <c r="S42" t="s">
        <v>112</v>
      </c>
      <c r="T42" s="59">
        <f>SchoolLocationCoefficient!E50</f>
        <v>0</v>
      </c>
      <c r="U42" s="60">
        <f t="shared" si="0"/>
        <v>0</v>
      </c>
    </row>
    <row r="43" spans="18:21" x14ac:dyDescent="0.25">
      <c r="R43">
        <v>67</v>
      </c>
      <c r="S43" t="s">
        <v>113</v>
      </c>
      <c r="T43" s="59">
        <f>SchoolLocationCoefficient!E51</f>
        <v>-6.7290240321499999</v>
      </c>
      <c r="U43" s="60">
        <f t="shared" si="0"/>
        <v>-6.7290240321499999</v>
      </c>
    </row>
    <row r="44" spans="18:21" x14ac:dyDescent="0.25">
      <c r="R44">
        <v>68</v>
      </c>
      <c r="S44" t="s">
        <v>114</v>
      </c>
      <c r="T44" s="59">
        <f>SchoolLocationCoefficient!E52</f>
        <v>-26.1597322567</v>
      </c>
      <c r="U44" s="60">
        <f t="shared" si="0"/>
        <v>-26.1597322567</v>
      </c>
    </row>
    <row r="45" spans="18:21" x14ac:dyDescent="0.25">
      <c r="R45">
        <v>69</v>
      </c>
      <c r="S45" t="s">
        <v>115</v>
      </c>
      <c r="T45" s="59">
        <f>SchoolLocationCoefficient!E53</f>
        <v>-0.14966845132199999</v>
      </c>
      <c r="U45" s="60">
        <f t="shared" si="0"/>
        <v>-0.14966845132199999</v>
      </c>
    </row>
    <row r="46" spans="18:21" x14ac:dyDescent="0.25">
      <c r="R46">
        <v>70</v>
      </c>
      <c r="S46" t="s">
        <v>116</v>
      </c>
      <c r="T46" s="59">
        <f>SchoolLocationCoefficient!E54</f>
        <v>-28.815960729</v>
      </c>
      <c r="U46" s="60">
        <f t="shared" si="0"/>
        <v>-28.815960729</v>
      </c>
    </row>
    <row r="47" spans="18:21" x14ac:dyDescent="0.25">
      <c r="R47">
        <v>71</v>
      </c>
      <c r="S47" t="s">
        <v>117</v>
      </c>
      <c r="T47" s="59">
        <f>SchoolLocationCoefficient!E55</f>
        <v>-38.204969650199999</v>
      </c>
      <c r="U47" s="60">
        <f t="shared" si="0"/>
        <v>-38.204969650199999</v>
      </c>
    </row>
    <row r="48" spans="18:21" x14ac:dyDescent="0.25">
      <c r="R48">
        <v>72</v>
      </c>
      <c r="S48" t="s">
        <v>118</v>
      </c>
      <c r="T48" s="59">
        <f>SchoolLocationCoefficient!E56</f>
        <v>0</v>
      </c>
      <c r="U48" s="60">
        <f t="shared" si="0"/>
        <v>0</v>
      </c>
    </row>
    <row r="49" spans="18:21" x14ac:dyDescent="0.25">
      <c r="R49">
        <v>73</v>
      </c>
      <c r="S49" t="s">
        <v>119</v>
      </c>
      <c r="T49" s="59">
        <f>SchoolLocationCoefficient!E57</f>
        <v>-0.78460574570499997</v>
      </c>
      <c r="U49" s="60">
        <f t="shared" si="0"/>
        <v>-0.78460574570499997</v>
      </c>
    </row>
    <row r="50" spans="18:21" x14ac:dyDescent="0.25">
      <c r="R50">
        <v>74</v>
      </c>
      <c r="S50" t="s">
        <v>120</v>
      </c>
      <c r="T50" s="59">
        <f>SchoolLocationCoefficient!E58</f>
        <v>-60</v>
      </c>
      <c r="U50" s="60">
        <f t="shared" si="0"/>
        <v>-60</v>
      </c>
    </row>
    <row r="51" spans="18:21" x14ac:dyDescent="0.25">
      <c r="R51">
        <v>75</v>
      </c>
      <c r="S51" t="s">
        <v>121</v>
      </c>
      <c r="T51" s="59">
        <f>SchoolLocationCoefficient!E59</f>
        <v>-40</v>
      </c>
      <c r="U51" s="60">
        <f t="shared" si="0"/>
        <v>-40</v>
      </c>
    </row>
    <row r="52" spans="18:21" x14ac:dyDescent="0.25">
      <c r="R52">
        <v>76</v>
      </c>
      <c r="S52" t="s">
        <v>122</v>
      </c>
      <c r="T52" s="59">
        <f>SchoolLocationCoefficient!E60</f>
        <v>-19.3366724551</v>
      </c>
      <c r="U52" s="60">
        <f t="shared" si="0"/>
        <v>-19.3366724551</v>
      </c>
    </row>
    <row r="53" spans="18:21" x14ac:dyDescent="0.25">
      <c r="R53">
        <v>77</v>
      </c>
      <c r="S53" t="s">
        <v>123</v>
      </c>
      <c r="T53" s="59">
        <f>SchoolLocationCoefficient!E61</f>
        <v>-29.8899113495</v>
      </c>
      <c r="U53" s="60">
        <f t="shared" si="0"/>
        <v>-29.8899113495</v>
      </c>
    </row>
    <row r="54" spans="18:21" x14ac:dyDescent="0.25">
      <c r="R54">
        <v>78</v>
      </c>
      <c r="S54" t="s">
        <v>124</v>
      </c>
      <c r="T54" s="59">
        <f>SchoolLocationCoefficient!E62</f>
        <v>0</v>
      </c>
      <c r="U54" s="60">
        <f t="shared" si="0"/>
        <v>0</v>
      </c>
    </row>
    <row r="55" spans="18:21" x14ac:dyDescent="0.25">
      <c r="R55">
        <v>79</v>
      </c>
      <c r="S55" t="s">
        <v>125</v>
      </c>
      <c r="T55" s="59">
        <f>SchoolLocationCoefficient!E63</f>
        <v>-4.6085602533700003</v>
      </c>
      <c r="U55" s="60">
        <f t="shared" si="0"/>
        <v>-4.6085602533700003</v>
      </c>
    </row>
    <row r="56" spans="18:21" x14ac:dyDescent="0.25">
      <c r="R56">
        <v>80</v>
      </c>
      <c r="S56" t="s">
        <v>126</v>
      </c>
      <c r="T56" s="59">
        <f>SchoolLocationCoefficient!E64</f>
        <v>-20</v>
      </c>
      <c r="U56" s="60">
        <f t="shared" si="0"/>
        <v>-20</v>
      </c>
    </row>
    <row r="57" spans="18:21" x14ac:dyDescent="0.25">
      <c r="R57">
        <v>81</v>
      </c>
      <c r="S57" t="s">
        <v>127</v>
      </c>
      <c r="T57" s="59">
        <f>SchoolLocationCoefficient!E65</f>
        <v>-16.8297323695</v>
      </c>
      <c r="U57" s="60">
        <f t="shared" si="0"/>
        <v>-16.8297323695</v>
      </c>
    </row>
    <row r="58" spans="18:21" x14ac:dyDescent="0.25">
      <c r="R58">
        <v>82</v>
      </c>
      <c r="S58" t="s">
        <v>128</v>
      </c>
      <c r="T58" s="59">
        <f>SchoolLocationCoefficient!E66</f>
        <v>-30</v>
      </c>
      <c r="U58" s="60">
        <f t="shared" si="0"/>
        <v>-30</v>
      </c>
    </row>
    <row r="59" spans="18:21" x14ac:dyDescent="0.25">
      <c r="R59">
        <v>83</v>
      </c>
      <c r="S59" t="s">
        <v>129</v>
      </c>
      <c r="T59" s="59">
        <f>SchoolLocationCoefficient!E67</f>
        <v>0</v>
      </c>
      <c r="U59" s="60">
        <f t="shared" si="0"/>
        <v>0</v>
      </c>
    </row>
    <row r="60" spans="18:21" x14ac:dyDescent="0.25">
      <c r="R60">
        <v>84</v>
      </c>
      <c r="S60" t="s">
        <v>130</v>
      </c>
      <c r="T60" s="59">
        <f>SchoolLocationCoefficient!E68</f>
        <v>-3.8243167264700002</v>
      </c>
      <c r="U60" s="60">
        <f t="shared" si="0"/>
        <v>-3.8243167264700002</v>
      </c>
    </row>
    <row r="61" spans="18:21" x14ac:dyDescent="0.25">
      <c r="R61">
        <v>98</v>
      </c>
      <c r="S61" t="s">
        <v>131</v>
      </c>
      <c r="T61" s="59">
        <f>SchoolLocationCoefficient!E69</f>
        <v>0</v>
      </c>
      <c r="U61" s="60">
        <f t="shared" si="0"/>
        <v>0</v>
      </c>
    </row>
    <row r="62" spans="18:21" x14ac:dyDescent="0.25">
      <c r="R62">
        <v>99</v>
      </c>
      <c r="S62" t="s">
        <v>132</v>
      </c>
      <c r="T62" s="59">
        <f>SchoolLocationCoefficient!E70</f>
        <v>0.11248071060500001</v>
      </c>
      <c r="U62" s="60">
        <f t="shared" si="0"/>
        <v>0.11248071060500001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21</vt:i4>
      </vt:variant>
    </vt:vector>
  </HeadingPairs>
  <TitlesOfParts>
    <vt:vector size="30" baseType="lpstr">
      <vt:lpstr>TLFD</vt:lpstr>
      <vt:lpstr>TDFD</vt:lpstr>
      <vt:lpstr>TDFD_Agg</vt:lpstr>
      <vt:lpstr>County_Flow</vt:lpstr>
      <vt:lpstr>SchoolAtHome</vt:lpstr>
      <vt:lpstr>Documentation</vt:lpstr>
      <vt:lpstr>CoeffDef</vt:lpstr>
      <vt:lpstr>SchoolLocationCoefficient</vt:lpstr>
      <vt:lpstr>Calibration</vt:lpstr>
      <vt:lpstr>athm</vt:lpstr>
      <vt:lpstr>avgdist</vt:lpstr>
      <vt:lpstr>avgtime</vt:lpstr>
      <vt:lpstr>flows</vt:lpstr>
      <vt:lpstr>out1</vt:lpstr>
      <vt:lpstr>out10</vt:lpstr>
      <vt:lpstr>out11</vt:lpstr>
      <vt:lpstr>out12</vt:lpstr>
      <vt:lpstr>out13</vt:lpstr>
      <vt:lpstr>out14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Sch_dist</vt:lpstr>
      <vt:lpstr>Sch_time</vt:lpstr>
      <vt:lpstr>tot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Bhargava Sana</dc:creator>
  <cp:lastModifiedBy>Nagendra Dhakar</cp:lastModifiedBy>
  <dcterms:created xsi:type="dcterms:W3CDTF">2011-01-31T15:16:09Z</dcterms:created>
  <dcterms:modified xsi:type="dcterms:W3CDTF">2017-06-23T18:05:20Z</dcterms:modified>
</cp:coreProperties>
</file>