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8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SchoolAtHome!$B$18:$D$24</definedName>
    <definedName name="out13">SchoolAtHome!$B$7:$D$13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County_Flow!$M$7:$T$13</definedName>
    <definedName name="out12">SchoolAtHome!$I$18:$K$24</definedName>
    <definedName name="out14">SchoolAtHome!$I$7:$K$13</definedName>
  </definedNames>
  <calcPr calcId="145621"/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Q33" s="1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4"/>
  <c i="1" r="H23"/>
  <c i="1" r="H25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G26" s="1"/>
  <c i="1" r="U9"/>
  <c i="1" r="H22" s="1"/>
  <c i="1" r="U8"/>
  <c i="1" r="H21" s="1"/>
  <c i="1" r="U7"/>
  <c i="1" r="J7"/>
  <c i="1" l="1" r="J26"/>
  <c i="1" r="D26"/>
  <c i="1" r="B26"/>
  <c i="1" r="E26"/>
  <c i="1" r="F26"/>
  <c i="1" r="C26"/>
  <c i="1" r="H26"/>
  <c i="1" r="I26"/>
  <c i="1" r="H20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5" l="1" r="G17"/>
  <c i="1" r="H28"/>
  <c i="1" r="O39"/>
  <c i="1" r="P39"/>
  <c i="1" r="M39"/>
  <c i="1" r="S34"/>
  <c i="1" r="Q39"/>
  <c i="1" r="S33"/>
  <c i="1" r="T40"/>
  <c i="1" r="R39"/>
  <c i="1" r="S39"/>
  <c i="1" r="N40"/>
  <c i="1" r="Q40"/>
  <c i="1" r="U40"/>
  <c i="1" r="T39"/>
  <c i="1" r="P40"/>
  <c i="1" r="S38"/>
  <c i="1" r="N39"/>
  <c i="1" r="S36"/>
  <c i="1" r="M40"/>
  <c i="1" r="R40"/>
  <c i="1" r="S35"/>
  <c i="1" r="S37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F35"/>
  <c i="1" r="H40"/>
  <c i="1" r="AD40" s="1"/>
  <c i="1" r="G39"/>
  <c i="1" r="H35"/>
  <c i="1" r="J39"/>
  <c i="1" r="H36"/>
  <c i="1" r="AD36" s="1"/>
  <c i="1" r="E39"/>
  <c i="1" r="H38"/>
  <c i="1" r="D39"/>
  <c i="1" r="H37"/>
  <c i="1" r="B39"/>
  <c i="1" r="X39" s="1"/>
  <c i="1" r="C39"/>
  <c i="1" r="F39"/>
  <c i="1" r="H39"/>
  <c i="1" r="H34"/>
  <c i="1" r="AD38"/>
  <c i="1" r="AD39"/>
  <c i="1" r="AB39"/>
  <c i="1" r="AD34"/>
  <c i="1" r="AD37"/>
  <c i="1" r="AC39"/>
  <c i="1" r="AD35"/>
  <c i="1" r="AA39"/>
  <c i="1" r="Z39"/>
  <c i="1" r="AF39"/>
  <c i="1" r="H41"/>
  <c i="1" r="AD41" s="1"/>
  <c i="1" r="Y39"/>
  <c i="1" r="I39"/>
  <c i="1" r="AE39" s="1"/>
  <c i="1" r="H33"/>
  <c i="1" r="AD33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AB35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<sst xmlns="http://schemas.openxmlformats.org/spreadsheetml/2006/main" count="679" uniqueCount="266">
  <si>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</si>
  <si>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</si>
  <si>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</si>
  <si>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</si>
  <si>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</si>
  <si>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</si>
  <si>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</si>
  <si>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</si>
  <si>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</si>
  <si>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</si>
  <si>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</si>
  <si>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</si>
  <si>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</si>
  <si>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</si>
  <si>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</si>
  <si>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</si>
  <si>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NERPM TAZs were renumbered to the DaySim format</t>
  </si>
  <si>
    <t>Households in the JAX (4-county) region were isolated from NHTS data and geocoded to TAZs using x-y coordinates with the spatial join feature in ArcGIS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</si>
  <si>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</si>
  <si>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</si>
  <si>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</si>
  <si>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</si>
  <si>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</si>
  <si>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</si>
  <si>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</si>
  <si>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</si>
  <si>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</si>
  <si>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</si>
  <si>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</si>
  <si>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</si>
  <si>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</si>
  <si>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</si>
  <si>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</si>
  <si>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</si>
  <si>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Both HH and usual school TAZs were merged into the person file</t>
  </si>
  <si>
    <t>Observed Sources: NHTS (2009), 4-county Jacksonville Region only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</si>
  <si>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</si>
  <si>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</si>
  <si>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</si>
  <si>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</si>
  <si>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</si>
  <si>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</si>
  <si>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</si>
  <si>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</si>
  <si>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</si>
  <si>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</si>
  <si>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</si>
  <si>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</si>
  <si>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</si>
  <si>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</si>
  <si>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</si>
  <si>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</si>
  <si>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</si>
  <si>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Persons living in these households were isolated and their usual school locations were geocoded to TAZs using the x-y coordinates</t>
  </si>
  <si>
    <t>AM Auto skims (time and distance) were merged into person file using origin (HH) and destination (school) TAZ ids</t>
  </si>
  <si>
    <t>Usual school locations of persons in NHTS were determined by analyzing the school trips made by all persons and choosing the location for which the dwell time was maximum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</si>
  <si>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</si>
  <si>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</si>
  <si>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</si>
  <si>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</si>
  <si>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</si>
  <si>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</si>
  <si>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</si>
  <si>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</si>
  <si>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</si>
  <si>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</si>
  <si>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</si>
  <si>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</si>
  <si>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</si>
  <si>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</si>
  <si>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</si>
  <si>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</si>
  <si>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</si>
  <si>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</si>
  <si>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</si>
  <si>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</si>
  <si>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</si>
  <si>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Observed Sources: NHTS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</si>
  <si>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</si>
  <si>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</si>
  <si>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</si>
  <si>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</si>
  <si>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</si>
  <si>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</si>
  <si>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</si>
  <si>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</si>
  <si>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</si>
  <si>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</si>
  <si>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</si>
  <si>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</si>
  <si>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</si>
  <si>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</si>
  <si>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</si>
  <si>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</si>
  <si>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</si>
  <si>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</si>
  <si>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</si>
  <si>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</si>
  <si>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</si>
  <si>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</si>
  <si>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</si>
  <si>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</si>
  <si>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</si>
  <si>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</si>
  <si>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</si>
  <si>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</si>
  <si>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</si>
  <si>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</si>
  <si>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</si>
  <si>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</si>
  <si>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</si>
  <si>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</si>
  <si>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</si>
  <si>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</si>
  <si>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</si>
  <si>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</si>
  <si>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</si>
  <si>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</si>
  <si>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</si>
  <si>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</si>
  <si>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</si>
  <si>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</si>
  <si>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</si>
  <si>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</si>
  <si>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</si>
  <si>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</si>
  <si>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</si>
  <si>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</si>
  <si>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</si>
  <si>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</si>
  <si>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</si>
  <si>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</si>
  <si>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</si>
  <si>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</si>
  <si>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</si>
  <si>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</si>
  <si>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</si>
  <si>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</si>
  <si>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</si>
  <si>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</si>
  <si>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</si>
  <si>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</si>
  <si>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</si>
  <si>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</si>
  <si>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</si>
  <si>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</si>
  <si>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</si>
  <si>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</si>
  <si>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</si>
  <si>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</si>
  <si>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</si>
  <si>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</si>
  <si>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</si>
  <si>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</si>
  <si>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</si>
  <si>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</si>
  <si>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</si>
  <si>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</si>
  <si>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</si>
  <si>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</si>
  <si>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</si>
  <si>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</si>
  <si>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</si>
  <si>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</si>
  <si>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</si>
  <si>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</si>
  <si>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</si>
  <si>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</si>
  <si>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</si>
  <si>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</si>
  <si>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</si>
  <si>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</si>
  <si>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</si>
  <si>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</si>
  <si>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</si>
  <si>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</si>
  <si>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</si>
  <si>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</si>
  <si>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</si>
  <si>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</si>
  <si>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</si>
  <si>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</si>
  <si>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</si>
  <si>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</si>
  <si>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</si>
  <si>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</si>
  <si>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</si>
  <si>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</si>
  <si>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</si>
  <si>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</si>
  <si>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</si>
  <si>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</si>
  <si>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</si>
  <si>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</si>
  <si>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</si>
  <si>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</si>
  <si>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</si>
  <si>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</si>
  <si>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</si>
  <si>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</si>
  <si>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</si>
  <si>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</si>
  <si>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</si>
  <si>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</si>
  <si>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</si>
  <si>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</si>
  <si>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</si>
  <si>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</si>
  <si>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</si>
  <si>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</si>
  <si>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</si>
  <si>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</si>
  <si>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</si>
  <si>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</si>
  <si>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</si>
  <si>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</si>
  <si>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Observed Sources: Survey, 4-county Jacksonville Region only</t>
  </si>
  <si>
    <t>Table X. Weighted School at Home Counts by County: Survey</t>
  </si>
  <si>
    <t>Observed Sources: Survey (2009), 4-county Jacksonville Region only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</si>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</sst>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m/dd/yyyy\ hh:mm:ss"/>
    <numFmt numFmtId="166" formatCode="0.0000000000000"/>
    <numFmt numFmtId="167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Alignment="1" borderId="0" fillId="0" fontId="2" numFmtId="0" xfId="1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applyNumberFormat="1" borderId="5" fillId="0" fontId="0" numFmtId="1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Border="1" applyNumberFormat="1" borderId="3" fillId="0" fontId="0" numFmtId="1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Border="1" applyNumberFormat="1" borderId="4" fillId="0" fontId="0" numFmtId="1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14474.004379444077</c:v>
                </c:pt>
                <c:pt idx="1">
                  <c:v>38648.709607300261</c:v>
                </c:pt>
                <c:pt idx="2">
                  <c:v>39439.868690695708</c:v>
                </c:pt>
                <c:pt idx="3">
                  <c:v>26618.932683012037</c:v>
                </c:pt>
                <c:pt idx="4">
                  <c:v>23498.654818640334</c:v>
                </c:pt>
                <c:pt idx="5">
                  <c:v>16693.723964352488</c:v>
                </c:pt>
                <c:pt idx="6">
                  <c:v>14277.194352415798</c:v>
                </c:pt>
                <c:pt idx="7">
                  <c:v>12674.241971258101</c:v>
                </c:pt>
                <c:pt idx="8">
                  <c:v>6905.9312138915402</c:v>
                </c:pt>
                <c:pt idx="9">
                  <c:v>7970.3181340707742</c:v>
                </c:pt>
                <c:pt idx="10">
                  <c:v>5908.6991230527183</c:v>
                </c:pt>
                <c:pt idx="11">
                  <c:v>7145.9400388989079</c:v>
                </c:pt>
                <c:pt idx="12">
                  <c:v>5528.9803905827666</c:v>
                </c:pt>
                <c:pt idx="13">
                  <c:v>5045.2308368169133</c:v>
                </c:pt>
                <c:pt idx="14">
                  <c:v>5947.133407228871</c:v>
                </c:pt>
                <c:pt idx="15">
                  <c:v>4713.6591659823998</c:v>
                </c:pt>
                <c:pt idx="16">
                  <c:v>1724.3005057131843</c:v>
                </c:pt>
                <c:pt idx="17">
                  <c:v>1715.235402111339</c:v>
                </c:pt>
                <c:pt idx="18">
                  <c:v>442.01039968118323</c:v>
                </c:pt>
                <c:pt idx="19">
                  <c:v>1019.4954473823868</c:v>
                </c:pt>
                <c:pt idx="20">
                  <c:v>781.92021147562082</c:v>
                </c:pt>
                <c:pt idx="21">
                  <c:v>542.29769224841198</c:v>
                </c:pt>
                <c:pt idx="22">
                  <c:v>444.63870164768582</c:v>
                </c:pt>
                <c:pt idx="23">
                  <c:v>556.15522772866109</c:v>
                </c:pt>
                <c:pt idx="24">
                  <c:v>506.12224879416397</c:v>
                </c:pt>
                <c:pt idx="25">
                  <c:v>1131.1992065993686</c:v>
                </c:pt>
                <c:pt idx="26">
                  <c:v>394.89697712799864</c:v>
                </c:pt>
                <c:pt idx="27">
                  <c:v>2170.0849644105483</c:v>
                </c:pt>
                <c:pt idx="28">
                  <c:v>1267.6813488137034</c:v>
                </c:pt>
                <c:pt idx="29">
                  <c:v>373.25240346408322</c:v>
                </c:pt>
                <c:pt idx="30">
                  <c:v>354.27248528745008</c:v>
                </c:pt>
                <c:pt idx="31">
                  <c:v>687.54021352329596</c:v>
                </c:pt>
                <c:pt idx="32">
                  <c:v>50.020377960500099</c:v>
                </c:pt>
                <c:pt idx="33">
                  <c:v>0</c:v>
                </c:pt>
                <c:pt idx="34">
                  <c:v>548.84343469860414</c:v>
                </c:pt>
                <c:pt idx="35">
                  <c:v>66.409570740295194</c:v>
                </c:pt>
                <c:pt idx="36">
                  <c:v>366.082424987433</c:v>
                </c:pt>
                <c:pt idx="37">
                  <c:v>248.28897831103799</c:v>
                </c:pt>
                <c:pt idx="38">
                  <c:v>53.740541973535102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48.485455860049797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178.42366388132899</c:v>
                </c:pt>
                <c:pt idx="48">
                  <c:v>51.787570040342004</c:v>
                </c:pt>
                <c:pt idx="49">
                  <c:v>139.31933184590338</c:v>
                </c:pt>
                <c:pt idx="50">
                  <c:v>0</c:v>
                </c:pt>
                <c:pt idx="51">
                  <c:v>35.796826948541302</c:v>
                </c:pt>
                <c:pt idx="52">
                  <c:v>208.5172498519118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48780</c:v>
                </c:pt>
                <c:pt idx="1">
                  <c:v>63205</c:v>
                </c:pt>
                <c:pt idx="2">
                  <c:v>44335</c:v>
                </c:pt>
                <c:pt idx="3">
                  <c:v>29345</c:v>
                </c:pt>
                <c:pt idx="4">
                  <c:v>18520</c:v>
                </c:pt>
                <c:pt idx="5">
                  <c:v>14240</c:v>
                </c:pt>
                <c:pt idx="6">
                  <c:v>12390</c:v>
                </c:pt>
                <c:pt idx="7">
                  <c:v>10780</c:v>
                </c:pt>
                <c:pt idx="8">
                  <c:v>10575</c:v>
                </c:pt>
                <c:pt idx="9">
                  <c:v>9220</c:v>
                </c:pt>
                <c:pt idx="10">
                  <c:v>8775</c:v>
                </c:pt>
                <c:pt idx="11">
                  <c:v>7950</c:v>
                </c:pt>
                <c:pt idx="12">
                  <c:v>7315</c:v>
                </c:pt>
                <c:pt idx="13">
                  <c:v>7040</c:v>
                </c:pt>
                <c:pt idx="14">
                  <c:v>5940</c:v>
                </c:pt>
                <c:pt idx="15">
                  <c:v>4920</c:v>
                </c:pt>
                <c:pt idx="16">
                  <c:v>4440</c:v>
                </c:pt>
                <c:pt idx="17">
                  <c:v>4225</c:v>
                </c:pt>
                <c:pt idx="18">
                  <c:v>3505</c:v>
                </c:pt>
                <c:pt idx="19">
                  <c:v>2970</c:v>
                </c:pt>
                <c:pt idx="20">
                  <c:v>2685</c:v>
                </c:pt>
                <c:pt idx="21">
                  <c:v>2475</c:v>
                </c:pt>
                <c:pt idx="22">
                  <c:v>2275</c:v>
                </c:pt>
                <c:pt idx="23">
                  <c:v>1975</c:v>
                </c:pt>
                <c:pt idx="24">
                  <c:v>1570</c:v>
                </c:pt>
                <c:pt idx="25">
                  <c:v>1465</c:v>
                </c:pt>
                <c:pt idx="26">
                  <c:v>1365</c:v>
                </c:pt>
                <c:pt idx="27">
                  <c:v>1235</c:v>
                </c:pt>
                <c:pt idx="28">
                  <c:v>1105</c:v>
                </c:pt>
                <c:pt idx="29">
                  <c:v>845</c:v>
                </c:pt>
                <c:pt idx="30">
                  <c:v>700</c:v>
                </c:pt>
                <c:pt idx="31">
                  <c:v>775</c:v>
                </c:pt>
                <c:pt idx="32">
                  <c:v>685</c:v>
                </c:pt>
                <c:pt idx="33">
                  <c:v>470</c:v>
                </c:pt>
                <c:pt idx="34">
                  <c:v>455</c:v>
                </c:pt>
                <c:pt idx="35">
                  <c:v>395</c:v>
                </c:pt>
                <c:pt idx="36">
                  <c:v>375</c:v>
                </c:pt>
                <c:pt idx="37">
                  <c:v>250</c:v>
                </c:pt>
                <c:pt idx="38">
                  <c:v>175</c:v>
                </c:pt>
                <c:pt idx="39">
                  <c:v>205</c:v>
                </c:pt>
                <c:pt idx="40">
                  <c:v>110</c:v>
                </c:pt>
                <c:pt idx="41">
                  <c:v>130</c:v>
                </c:pt>
                <c:pt idx="42">
                  <c:v>100</c:v>
                </c:pt>
                <c:pt idx="43">
                  <c:v>120</c:v>
                </c:pt>
                <c:pt idx="44">
                  <c:v>140</c:v>
                </c:pt>
                <c:pt idx="45">
                  <c:v>100</c:v>
                </c:pt>
                <c:pt idx="46">
                  <c:v>45</c:v>
                </c:pt>
                <c:pt idx="47">
                  <c:v>65</c:v>
                </c:pt>
                <c:pt idx="48">
                  <c:v>35</c:v>
                </c:pt>
                <c:pt idx="49">
                  <c:v>50</c:v>
                </c:pt>
                <c:pt idx="50">
                  <c:v>25</c:v>
                </c:pt>
                <c:pt idx="51">
                  <c:v>25</c:v>
                </c:pt>
                <c:pt idx="52">
                  <c:v>30</c:v>
                </c:pt>
                <c:pt idx="53">
                  <c:v>20</c:v>
                </c:pt>
                <c:pt idx="54">
                  <c:v>25</c:v>
                </c:pt>
                <c:pt idx="55">
                  <c:v>5</c:v>
                </c:pt>
                <c:pt idx="56">
                  <c:v>10</c:v>
                </c:pt>
                <c:pt idx="57">
                  <c:v>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969.56272511539248</c:v>
                </c:pt>
                <c:pt idx="3">
                  <c:v>13236.110368138292</c:v>
                </c:pt>
                <c:pt idx="4">
                  <c:v>11408.906369681508</c:v>
                </c:pt>
                <c:pt idx="5">
                  <c:v>27307.51901176522</c:v>
                </c:pt>
                <c:pt idx="6">
                  <c:v>21534.356632862768</c:v>
                </c:pt>
                <c:pt idx="7">
                  <c:v>17099.37921391381</c:v>
                </c:pt>
                <c:pt idx="8">
                  <c:v>20522.174375390714</c:v>
                </c:pt>
                <c:pt idx="9">
                  <c:v>16681.163235045959</c:v>
                </c:pt>
                <c:pt idx="10">
                  <c:v>14033.270810391734</c:v>
                </c:pt>
                <c:pt idx="11">
                  <c:v>9156.3363994766605</c:v>
                </c:pt>
                <c:pt idx="12">
                  <c:v>14275.733665089458</c:v>
                </c:pt>
                <c:pt idx="13">
                  <c:v>10453.656118664674</c:v>
                </c:pt>
                <c:pt idx="14">
                  <c:v>7910.3781803955544</c:v>
                </c:pt>
                <c:pt idx="15">
                  <c:v>5598.8600356514053</c:v>
                </c:pt>
                <c:pt idx="16">
                  <c:v>4870.3071765360128</c:v>
                </c:pt>
                <c:pt idx="17">
                  <c:v>5089.8763913950233</c:v>
                </c:pt>
                <c:pt idx="18">
                  <c:v>2431.3128804858402</c:v>
                </c:pt>
                <c:pt idx="19">
                  <c:v>2996.3800871291569</c:v>
                </c:pt>
                <c:pt idx="20">
                  <c:v>1537.3358158409089</c:v>
                </c:pt>
                <c:pt idx="21">
                  <c:v>5425.2193016441433</c:v>
                </c:pt>
                <c:pt idx="22">
                  <c:v>3463.5328374459614</c:v>
                </c:pt>
                <c:pt idx="23">
                  <c:v>5889.251186385839</c:v>
                </c:pt>
                <c:pt idx="24">
                  <c:v>2148.7011487160125</c:v>
                </c:pt>
                <c:pt idx="25">
                  <c:v>3647.574751277878</c:v>
                </c:pt>
                <c:pt idx="26">
                  <c:v>3515.8548142201398</c:v>
                </c:pt>
                <c:pt idx="27">
                  <c:v>1715.3910928606965</c:v>
                </c:pt>
                <c:pt idx="28">
                  <c:v>2501.3072259998248</c:v>
                </c:pt>
                <c:pt idx="29">
                  <c:v>589.36103034721373</c:v>
                </c:pt>
                <c:pt idx="30">
                  <c:v>1298.2861331964218</c:v>
                </c:pt>
                <c:pt idx="31">
                  <c:v>42.832754174231397</c:v>
                </c:pt>
                <c:pt idx="32">
                  <c:v>672.08091974741706</c:v>
                </c:pt>
                <c:pt idx="33">
                  <c:v>1232.1105808369894</c:v>
                </c:pt>
                <c:pt idx="34">
                  <c:v>83.408383223706906</c:v>
                </c:pt>
                <c:pt idx="35">
                  <c:v>1473.4864283193726</c:v>
                </c:pt>
                <c:pt idx="36">
                  <c:v>447.13569604237375</c:v>
                </c:pt>
                <c:pt idx="37">
                  <c:v>1065.3055583026483</c:v>
                </c:pt>
                <c:pt idx="38">
                  <c:v>131.5873075767644</c:v>
                </c:pt>
                <c:pt idx="39">
                  <c:v>1213.4308849254967</c:v>
                </c:pt>
                <c:pt idx="40">
                  <c:v>82.593932695325407</c:v>
                </c:pt>
                <c:pt idx="41">
                  <c:v>1240.2313526955127</c:v>
                </c:pt>
                <c:pt idx="42">
                  <c:v>0</c:v>
                </c:pt>
                <c:pt idx="43">
                  <c:v>189.11891134113228</c:v>
                </c:pt>
                <c:pt idx="44">
                  <c:v>1024.441176096773</c:v>
                </c:pt>
                <c:pt idx="45">
                  <c:v>1112.9279751078986</c:v>
                </c:pt>
                <c:pt idx="46">
                  <c:v>1350.4226961664137</c:v>
                </c:pt>
                <c:pt idx="47">
                  <c:v>492.67394688875669</c:v>
                </c:pt>
                <c:pt idx="48">
                  <c:v>0</c:v>
                </c:pt>
                <c:pt idx="49">
                  <c:v>0</c:v>
                </c:pt>
                <c:pt idx="50">
                  <c:v>76.510484000817598</c:v>
                </c:pt>
                <c:pt idx="51">
                  <c:v>293.35538073419099</c:v>
                </c:pt>
                <c:pt idx="52">
                  <c:v>864.53302089145097</c:v>
                </c:pt>
                <c:pt idx="53">
                  <c:v>120.60217053173199</c:v>
                </c:pt>
                <c:pt idx="54">
                  <c:v>0</c:v>
                </c:pt>
                <c:pt idx="55">
                  <c:v>53.740541973535102</c:v>
                </c:pt>
                <c:pt idx="56">
                  <c:v>366.082424987433</c:v>
                </c:pt>
                <c:pt idx="57">
                  <c:v>0</c:v>
                </c:pt>
                <c:pt idx="58">
                  <c:v>178.42366388132899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3270</c:v>
                </c:pt>
                <c:pt idx="1">
                  <c:v>7330</c:v>
                </c:pt>
                <c:pt idx="2">
                  <c:v>10490</c:v>
                </c:pt>
                <c:pt idx="3">
                  <c:v>19725</c:v>
                </c:pt>
                <c:pt idx="4">
                  <c:v>24685</c:v>
                </c:pt>
                <c:pt idx="5">
                  <c:v>30120</c:v>
                </c:pt>
                <c:pt idx="6">
                  <c:v>31000</c:v>
                </c:pt>
                <c:pt idx="7">
                  <c:v>24510</c:v>
                </c:pt>
                <c:pt idx="8">
                  <c:v>18770</c:v>
                </c:pt>
                <c:pt idx="9">
                  <c:v>14420</c:v>
                </c:pt>
                <c:pt idx="10">
                  <c:v>11980</c:v>
                </c:pt>
                <c:pt idx="11">
                  <c:v>11125</c:v>
                </c:pt>
                <c:pt idx="12">
                  <c:v>8515</c:v>
                </c:pt>
                <c:pt idx="13">
                  <c:v>7775</c:v>
                </c:pt>
                <c:pt idx="14">
                  <c:v>7340</c:v>
                </c:pt>
                <c:pt idx="15">
                  <c:v>6830</c:v>
                </c:pt>
                <c:pt idx="16">
                  <c:v>6550</c:v>
                </c:pt>
                <c:pt idx="17">
                  <c:v>6120</c:v>
                </c:pt>
                <c:pt idx="18">
                  <c:v>5710</c:v>
                </c:pt>
                <c:pt idx="19">
                  <c:v>5585</c:v>
                </c:pt>
                <c:pt idx="20">
                  <c:v>5040</c:v>
                </c:pt>
                <c:pt idx="21">
                  <c:v>4895</c:v>
                </c:pt>
                <c:pt idx="22">
                  <c:v>4605</c:v>
                </c:pt>
                <c:pt idx="23">
                  <c:v>4560</c:v>
                </c:pt>
                <c:pt idx="24">
                  <c:v>4285</c:v>
                </c:pt>
                <c:pt idx="25">
                  <c:v>3950</c:v>
                </c:pt>
                <c:pt idx="26">
                  <c:v>3745</c:v>
                </c:pt>
                <c:pt idx="27">
                  <c:v>3460</c:v>
                </c:pt>
                <c:pt idx="28">
                  <c:v>3465</c:v>
                </c:pt>
                <c:pt idx="29">
                  <c:v>3320</c:v>
                </c:pt>
                <c:pt idx="30">
                  <c:v>3010</c:v>
                </c:pt>
                <c:pt idx="31">
                  <c:v>2580</c:v>
                </c:pt>
                <c:pt idx="32">
                  <c:v>2765</c:v>
                </c:pt>
                <c:pt idx="33">
                  <c:v>2535</c:v>
                </c:pt>
                <c:pt idx="34">
                  <c:v>2495</c:v>
                </c:pt>
                <c:pt idx="35">
                  <c:v>2200</c:v>
                </c:pt>
                <c:pt idx="36">
                  <c:v>2250</c:v>
                </c:pt>
                <c:pt idx="37">
                  <c:v>1830</c:v>
                </c:pt>
                <c:pt idx="38">
                  <c:v>1830</c:v>
                </c:pt>
                <c:pt idx="39">
                  <c:v>1500</c:v>
                </c:pt>
                <c:pt idx="40">
                  <c:v>1365</c:v>
                </c:pt>
                <c:pt idx="41">
                  <c:v>1180</c:v>
                </c:pt>
                <c:pt idx="42">
                  <c:v>1235</c:v>
                </c:pt>
                <c:pt idx="43">
                  <c:v>1060</c:v>
                </c:pt>
                <c:pt idx="44">
                  <c:v>835</c:v>
                </c:pt>
                <c:pt idx="45">
                  <c:v>1045</c:v>
                </c:pt>
                <c:pt idx="46">
                  <c:v>860</c:v>
                </c:pt>
                <c:pt idx="47">
                  <c:v>785</c:v>
                </c:pt>
                <c:pt idx="48">
                  <c:v>620</c:v>
                </c:pt>
                <c:pt idx="49">
                  <c:v>595</c:v>
                </c:pt>
                <c:pt idx="50">
                  <c:v>635</c:v>
                </c:pt>
                <c:pt idx="51">
                  <c:v>535</c:v>
                </c:pt>
                <c:pt idx="52">
                  <c:v>500</c:v>
                </c:pt>
                <c:pt idx="53">
                  <c:v>340</c:v>
                </c:pt>
                <c:pt idx="54">
                  <c:v>315</c:v>
                </c:pt>
                <c:pt idx="55">
                  <c:v>360</c:v>
                </c:pt>
                <c:pt idx="56">
                  <c:v>275</c:v>
                </c:pt>
                <c:pt idx="57">
                  <c:v>335</c:v>
                </c:pt>
                <c:pt idx="58">
                  <c:v>260</c:v>
                </c:pt>
                <c:pt idx="59">
                  <c:v>195</c:v>
                </c:pt>
                <c:pt idx="60">
                  <c:v>175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1"/>
  <sheetViews>
    <sheetView workbookViewId="0">
      <selection activeCell="O14" sqref="O14"/>
    </sheetView>
  </sheetViews>
  <sheetFormatPr defaultRowHeight="15" x14ac:dyDescent="0.25"/>
  <cols>
    <col min="1" max="1" customWidth="true" width="13.5703125" collapsed="true"/>
  </cols>
  <sheetData>
    <row r="1" spans="1:19" x14ac:dyDescent="0.25">
      <c r="A1" t="s">
        <v>1</v>
      </c>
    </row>
    <row r="2" spans="1:19" x14ac:dyDescent="0.25">
      <c r="A2" t="s">
        <v>218</v>
      </c>
    </row>
    <row r="3" spans="1:19" x14ac:dyDescent="0.25">
      <c r="A3" t="s">
        <v>5</v>
      </c>
    </row>
    <row r="4" spans="1:19" x14ac:dyDescent="0.25">
      <c r="A4" t="s">
        <v>4</v>
      </c>
    </row>
    <row r="5" spans="1:19" x14ac:dyDescent="0.25">
      <c r="A5" t="s">
        <v>6</v>
      </c>
    </row>
    <row r="6" spans="1:19" x14ac:dyDescent="0.25">
      <c r="A6" t="s">
        <v>7</v>
      </c>
    </row>
    <row r="7" spans="1:19" x14ac:dyDescent="0.25">
      <c r="A7" t="s">
        <v>11</v>
      </c>
    </row>
    <row ht="15.75" r="9" spans="1:19" thickBot="1" x14ac:dyDescent="0.3">
      <c r="A9" s="4" t="s">
        <v>209</v>
      </c>
      <c r="B9" s="1"/>
      <c r="C9" s="1"/>
      <c r="D9" s="1"/>
      <c r="E9" s="1"/>
      <c r="G9" s="4" t="s">
        <v>12</v>
      </c>
      <c r="H9" s="1"/>
      <c r="I9" s="1"/>
      <c r="J9" s="1"/>
      <c r="K9" s="1"/>
      <c r="L9" s="7"/>
      <c r="M9" s="11" t="s">
        <v>41</v>
      </c>
      <c r="Q9" s="11" t="s">
        <v>47</v>
      </c>
    </row>
    <row r="10" spans="1:19" x14ac:dyDescent="0.25">
      <c r="A10" s="2" t="s">
        <v>2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2</v>
      </c>
      <c r="H10" s="5" t="s">
        <v>48</v>
      </c>
      <c r="I10" s="5" t="s">
        <v>49</v>
      </c>
      <c r="J10" s="5" t="s">
        <v>50</v>
      </c>
      <c r="K10" s="5" t="s">
        <v>42</v>
      </c>
      <c r="L10" s="5"/>
      <c r="M10" s="2"/>
      <c r="N10" s="5" t="s">
        <v>219</v>
      </c>
      <c r="O10" s="5" t="s">
        <v>42</v>
      </c>
      <c r="Q10" s="30"/>
      <c r="R10" s="35" t="s">
        <v>219</v>
      </c>
      <c r="S10" s="35" t="s">
        <v>42</v>
      </c>
    </row>
    <row ht="15.75" r="11" spans="1:19" thickBot="1" x14ac:dyDescent="0.3">
      <c r="A11">
        <v>0</v>
      </c>
      <c r="B11" s="9" t="n">
        <v>123508.3771</v>
      </c>
      <c r="C11" s="9" t="n">
        <v>5239.0209</v>
      </c>
      <c r="D11" s="9" t="n">
        <v>8955.4406</v>
      </c>
      <c r="E11" s="9">
        <f ref="E11:E42" si="0" t="shared">SUM(B11:D11)</f>
        <v>14474.004379444077</v>
      </c>
      <c r="G11">
        <v>0</v>
      </c>
      <c r="H11" t="n">
        <v>89005.0</v>
      </c>
      <c r="I11" t="n">
        <v>14505.0</v>
      </c>
      <c r="J11" s="20" t="n">
        <v>17725.0</v>
      </c>
      <c r="K11">
        <f ref="K11:K42" si="1" t="shared">SUM(H11:J11)</f>
        <v>48780</v>
      </c>
      <c r="M11" t="s">
        <v>48</v>
      </c>
      <c r="N11" s="9" t="n">
        <v>3.4178860928769366</v>
      </c>
      <c r="O11" s="9" t="n">
        <v>4.692673456072931</v>
      </c>
      <c r="Q11" s="1" t="s">
        <v>3</v>
      </c>
      <c r="R11" s="10"/>
      <c r="S11" s="10"/>
    </row>
    <row r="12" spans="1:19" x14ac:dyDescent="0.25">
      <c r="A12">
        <v>1</v>
      </c>
      <c r="B12" s="9" t="n">
        <v>103080.98329999999</v>
      </c>
      <c r="C12" s="9" t="n">
        <v>13850.0637</v>
      </c>
      <c r="D12" s="9" t="n">
        <v>14546.5621</v>
      </c>
      <c r="E12" s="9">
        <f si="0" t="shared"/>
        <v>38648.709607300261</v>
      </c>
      <c r="G12">
        <v>1</v>
      </c>
      <c r="H12" t="n">
        <v>69588.0</v>
      </c>
      <c r="I12" t="n">
        <v>12040.0</v>
      </c>
      <c r="J12" s="20" t="n">
        <v>9238.0</v>
      </c>
      <c r="K12">
        <f si="1" t="shared"/>
        <v>63205</v>
      </c>
      <c r="M12" t="s">
        <v>49</v>
      </c>
      <c r="N12" s="9" t="n">
        <v>4.75629498079892</v>
      </c>
      <c r="O12" s="9" t="n">
        <v>5.710495616316947</v>
      </c>
      <c r="R12" s="9"/>
      <c r="S12" s="9"/>
    </row>
    <row r="13" spans="1:19" x14ac:dyDescent="0.25">
      <c r="A13">
        <v>2</v>
      </c>
      <c r="B13" s="9" t="n">
        <v>56097.0253</v>
      </c>
      <c r="C13" s="9" t="n">
        <v>10799.0388</v>
      </c>
      <c r="D13" s="9" t="n">
        <v>4558.8024</v>
      </c>
      <c r="E13" s="9">
        <f si="0" t="shared"/>
        <v>39439.868690695708</v>
      </c>
      <c r="G13">
        <v>2</v>
      </c>
      <c r="H13" t="n">
        <v>40226.0</v>
      </c>
      <c r="I13" t="n">
        <v>8500.0</v>
      </c>
      <c r="J13" s="20" t="n">
        <v>4913.0</v>
      </c>
      <c r="K13">
        <f si="1" t="shared"/>
        <v>44335</v>
      </c>
      <c r="M13" s="6" t="s">
        <v>50</v>
      </c>
      <c r="N13" s="18" t="n">
        <v>7.0979657411671955</v>
      </c>
      <c r="O13" s="18" t="n">
        <v>8.777898197291485</v>
      </c>
      <c r="Q13" s="7"/>
      <c r="R13" s="34"/>
      <c r="S13" s="34"/>
    </row>
    <row ht="15.75" r="14" spans="1:19" thickBot="1" x14ac:dyDescent="0.3">
      <c r="A14">
        <v>3</v>
      </c>
      <c r="B14" s="9" t="n">
        <v>41090.5463</v>
      </c>
      <c r="C14" s="9" t="n">
        <v>9746.1099</v>
      </c>
      <c r="D14" s="9" t="n">
        <v>4294.3282</v>
      </c>
      <c r="E14" s="9">
        <f si="0" t="shared"/>
        <v>26618.932683012037</v>
      </c>
      <c r="G14">
        <v>3</v>
      </c>
      <c r="H14" t="n">
        <v>23511.0</v>
      </c>
      <c r="I14" t="n">
        <v>5853.0</v>
      </c>
      <c r="J14" s="20" t="n">
        <v>4103.0</v>
      </c>
      <c r="K14">
        <f si="1" t="shared"/>
        <v>29345</v>
      </c>
      <c r="M14" s="1" t="s">
        <v>3</v>
      </c>
      <c r="N14" s="10" t="n">
        <v>3.996002362560764</v>
      </c>
      <c r="O14" s="10" t="n">
        <v>5.7663810846305115</v>
      </c>
    </row>
    <row r="15" spans="1:19" x14ac:dyDescent="0.25">
      <c r="A15">
        <v>4</v>
      </c>
      <c r="B15" s="9" t="n">
        <v>22670.927</v>
      </c>
      <c r="C15" s="9" t="n">
        <v>10388.9041</v>
      </c>
      <c r="D15" s="9" t="n">
        <v>3294.5644</v>
      </c>
      <c r="E15" s="9">
        <f si="0" t="shared"/>
        <v>23498.654818640334</v>
      </c>
      <c r="G15">
        <v>4</v>
      </c>
      <c r="H15" t="n">
        <v>85590.0</v>
      </c>
      <c r="I15" t="n">
        <v>22665.0</v>
      </c>
      <c r="J15" s="20" t="n">
        <v>20884.0</v>
      </c>
      <c r="K15">
        <f si="1" t="shared"/>
        <v>18520</v>
      </c>
    </row>
    <row r="16" spans="1:19" x14ac:dyDescent="0.25">
      <c r="A16">
        <v>5</v>
      </c>
      <c r="B16" s="9" t="n">
        <v>41754.8893</v>
      </c>
      <c r="C16" s="9" t="n">
        <v>3088.7138</v>
      </c>
      <c r="D16" s="9" t="n">
        <v>3947.2338</v>
      </c>
      <c r="E16" s="9">
        <f si="0" t="shared"/>
        <v>16693.723964352488</v>
      </c>
      <c r="G16">
        <v>5</v>
      </c>
      <c r="H16" t="n">
        <v>35181.0</v>
      </c>
      <c r="I16" t="n">
        <v>11925.0</v>
      </c>
      <c r="J16" s="20" t="n">
        <v>18788.0</v>
      </c>
      <c r="K16">
        <f si="1" t="shared"/>
        <v>14240</v>
      </c>
    </row>
    <row r="17" spans="1:11" x14ac:dyDescent="0.25">
      <c r="A17">
        <v>6</v>
      </c>
      <c r="B17" s="9" t="n">
        <v>11127.3026</v>
      </c>
      <c r="C17" s="9" t="n">
        <v>1976.7915</v>
      </c>
      <c r="D17" s="9" t="n">
        <v>5592.084</v>
      </c>
      <c r="E17" s="9">
        <f si="0" t="shared"/>
        <v>14277.194352415798</v>
      </c>
      <c r="G17">
        <v>6</v>
      </c>
      <c r="H17" t="n">
        <v>37297.0</v>
      </c>
      <c r="I17" t="n">
        <v>11497.0</v>
      </c>
      <c r="J17" s="20" t="n">
        <v>15679.0</v>
      </c>
      <c r="K17">
        <f si="1" t="shared"/>
        <v>12390</v>
      </c>
    </row>
    <row r="18" spans="1:11" x14ac:dyDescent="0.25">
      <c r="A18">
        <v>7</v>
      </c>
      <c r="B18" s="9" t="n">
        <v>9980.1244</v>
      </c>
      <c r="C18" s="9" t="n">
        <v>1667.3262</v>
      </c>
      <c r="D18" s="9" t="n">
        <v>2267.5128</v>
      </c>
      <c r="E18" s="9">
        <f si="0" t="shared"/>
        <v>12674.241971258101</v>
      </c>
      <c r="G18">
        <v>7</v>
      </c>
      <c r="H18" t="n">
        <v>18233.0</v>
      </c>
      <c r="I18" t="n">
        <v>5649.0</v>
      </c>
      <c r="J18" s="20" t="n">
        <v>11004.0</v>
      </c>
      <c r="K18">
        <f si="1" t="shared"/>
        <v>10780</v>
      </c>
    </row>
    <row r="19" spans="1:11" x14ac:dyDescent="0.25">
      <c r="A19">
        <v>8</v>
      </c>
      <c r="B19" s="9" t="n">
        <v>17822.9756</v>
      </c>
      <c r="C19" s="9" t="n">
        <v>2183.5302</v>
      </c>
      <c r="D19" s="9" t="n">
        <v>3730.1446</v>
      </c>
      <c r="E19" s="9">
        <f si="0" t="shared"/>
        <v>6905.9312138915402</v>
      </c>
      <c r="G19">
        <v>8</v>
      </c>
      <c r="H19" t="n">
        <v>20383.0</v>
      </c>
      <c r="I19" t="n">
        <v>5846.0</v>
      </c>
      <c r="J19" s="20" t="n">
        <v>11852.0</v>
      </c>
      <c r="K19">
        <f si="1" t="shared"/>
        <v>10575</v>
      </c>
    </row>
    <row r="20" spans="1:11" x14ac:dyDescent="0.25">
      <c r="A20">
        <v>9</v>
      </c>
      <c r="B20" s="9" t="n">
        <v>5437.1362</v>
      </c>
      <c r="C20" s="9" t="n">
        <v>250.9536</v>
      </c>
      <c r="D20" s="9" t="n">
        <v>2310.8752</v>
      </c>
      <c r="E20" s="9">
        <f si="0" t="shared"/>
        <v>7970.3181340707742</v>
      </c>
      <c r="G20">
        <v>9</v>
      </c>
      <c r="H20" t="n">
        <v>17787.0</v>
      </c>
      <c r="I20" t="n">
        <v>5243.0</v>
      </c>
      <c r="J20" s="20" t="n">
        <v>11806.0</v>
      </c>
      <c r="K20">
        <f si="1" t="shared"/>
        <v>9220</v>
      </c>
    </row>
    <row r="21" spans="1:11" x14ac:dyDescent="0.25">
      <c r="A21">
        <v>10</v>
      </c>
      <c r="B21" s="9" t="n">
        <v>5962.9443</v>
      </c>
      <c r="C21" s="9" t="n">
        <v>3217.6363</v>
      </c>
      <c r="D21" s="9" t="n">
        <v>1419.6895</v>
      </c>
      <c r="E21" s="9">
        <f si="0" t="shared"/>
        <v>5908.6991230527183</v>
      </c>
      <c r="G21">
        <v>10</v>
      </c>
      <c r="H21" t="n">
        <v>7861.0</v>
      </c>
      <c r="I21" t="n">
        <v>2303.0</v>
      </c>
      <c r="J21" s="20" t="n">
        <v>3601.0</v>
      </c>
      <c r="K21">
        <f si="1" t="shared"/>
        <v>8775</v>
      </c>
    </row>
    <row r="22" spans="1:11" x14ac:dyDescent="0.25">
      <c r="A22">
        <v>11</v>
      </c>
      <c r="B22" s="9" t="n">
        <v>3337.1918</v>
      </c>
      <c r="C22" s="9" t="n">
        <v>349.4206</v>
      </c>
      <c r="D22" s="9" t="n">
        <v>1351.573</v>
      </c>
      <c r="E22" s="9">
        <f si="0" t="shared"/>
        <v>7145.9400388989079</v>
      </c>
      <c r="G22">
        <v>11</v>
      </c>
      <c r="H22" t="n">
        <v>9232.0</v>
      </c>
      <c r="I22" t="n">
        <v>2427.0</v>
      </c>
      <c r="J22" s="20" t="n">
        <v>4937.0</v>
      </c>
      <c r="K22">
        <f si="1" t="shared"/>
        <v>7950</v>
      </c>
    </row>
    <row r="23" spans="1:11" x14ac:dyDescent="0.25">
      <c r="A23">
        <v>12</v>
      </c>
      <c r="B23" s="9" t="n">
        <v>4221.9161</v>
      </c>
      <c r="C23" s="9" t="n">
        <v>1507.2988</v>
      </c>
      <c r="D23" s="9" t="n">
        <v>1846.5716</v>
      </c>
      <c r="E23" s="9">
        <f si="0" t="shared"/>
        <v>5528.9803905827666</v>
      </c>
      <c r="G23">
        <v>12</v>
      </c>
      <c r="H23" t="n">
        <v>5359.0</v>
      </c>
      <c r="I23" t="n">
        <v>1494.0</v>
      </c>
      <c r="J23" s="20" t="n">
        <v>4175.0</v>
      </c>
      <c r="K23">
        <f si="1" t="shared"/>
        <v>7315</v>
      </c>
    </row>
    <row r="24" spans="1:11" x14ac:dyDescent="0.25">
      <c r="A24">
        <v>13</v>
      </c>
      <c r="B24" s="9" t="n">
        <v>2665.7147</v>
      </c>
      <c r="C24" s="9" t="n">
        <v>0.0</v>
      </c>
      <c r="D24" s="9" t="n">
        <v>1535.2966999999999</v>
      </c>
      <c r="E24" s="9">
        <f si="0" t="shared"/>
        <v>5045.2308368169133</v>
      </c>
      <c r="G24">
        <v>13</v>
      </c>
      <c r="H24" t="n">
        <v>6194.0</v>
      </c>
      <c r="I24" t="n">
        <v>1799.0</v>
      </c>
      <c r="J24" s="20" t="n">
        <v>5291.0</v>
      </c>
      <c r="K24">
        <f si="1" t="shared"/>
        <v>7040</v>
      </c>
    </row>
    <row r="25" spans="1:11" x14ac:dyDescent="0.25">
      <c r="A25">
        <v>14</v>
      </c>
      <c r="B25" s="9" t="n">
        <v>522.3251</v>
      </c>
      <c r="C25" s="9" t="n">
        <v>1137.475</v>
      </c>
      <c r="D25" s="9" t="n">
        <v>879.4916</v>
      </c>
      <c r="E25" s="9">
        <f si="0" t="shared"/>
        <v>5947.133407228871</v>
      </c>
      <c r="G25">
        <v>14</v>
      </c>
      <c r="H25" t="n">
        <v>3503.0</v>
      </c>
      <c r="I25" t="n">
        <v>1099.0</v>
      </c>
      <c r="J25" s="20" t="n">
        <v>3795.0</v>
      </c>
      <c r="K25">
        <f si="1" t="shared"/>
        <v>5940</v>
      </c>
    </row>
    <row r="26" spans="1:11" x14ac:dyDescent="0.25">
      <c r="A26">
        <v>15</v>
      </c>
      <c r="B26" s="9" t="n">
        <v>82.1623</v>
      </c>
      <c r="C26" s="9" t="n">
        <v>1006.7866</v>
      </c>
      <c r="D26" s="9" t="n">
        <v>1073.7719</v>
      </c>
      <c r="E26" s="9">
        <f si="0" t="shared"/>
        <v>4713.6591659823998</v>
      </c>
      <c r="G26">
        <v>15</v>
      </c>
      <c r="H26" t="n">
        <v>4117.0</v>
      </c>
      <c r="I26" t="n">
        <v>1228.0</v>
      </c>
      <c r="J26" s="20" t="n">
        <v>2512.0</v>
      </c>
      <c r="K26">
        <f si="1" t="shared"/>
        <v>4920</v>
      </c>
    </row>
    <row r="27" spans="1:11" x14ac:dyDescent="0.25">
      <c r="A27">
        <v>16</v>
      </c>
      <c r="B27" s="9" t="n">
        <v>2301.3882</v>
      </c>
      <c r="C27" s="9" t="n">
        <v>254.1134</v>
      </c>
      <c r="D27" s="9" t="n">
        <v>1670.0171</v>
      </c>
      <c r="E27" s="9">
        <f si="0" t="shared"/>
        <v>1724.3005057131843</v>
      </c>
      <c r="G27">
        <v>16</v>
      </c>
      <c r="H27" t="n">
        <v>2825.0</v>
      </c>
      <c r="I27" t="n">
        <v>973.0</v>
      </c>
      <c r="J27" s="20" t="n">
        <v>2886.0</v>
      </c>
      <c r="K27">
        <f si="1" t="shared"/>
        <v>4440</v>
      </c>
    </row>
    <row r="28" spans="1:11" x14ac:dyDescent="0.25">
      <c r="A28">
        <v>17</v>
      </c>
      <c r="B28" s="9" t="n">
        <v>6222.5291</v>
      </c>
      <c r="C28" s="9" t="n">
        <v>0.0</v>
      </c>
      <c r="D28" s="9" t="n">
        <v>1009.2792999999999</v>
      </c>
      <c r="E28" s="9">
        <f si="0" t="shared"/>
        <v>1715.235402111339</v>
      </c>
      <c r="G28">
        <v>17</v>
      </c>
      <c r="H28" t="n">
        <v>2149.0</v>
      </c>
      <c r="I28" t="n">
        <v>638.0</v>
      </c>
      <c r="J28" s="20" t="n">
        <v>2224.0</v>
      </c>
      <c r="K28">
        <f si="1" t="shared"/>
        <v>4225</v>
      </c>
    </row>
    <row r="29" spans="1:11" x14ac:dyDescent="0.25">
      <c r="A29">
        <v>18</v>
      </c>
      <c r="B29" s="9" t="n">
        <v>279.8517</v>
      </c>
      <c r="C29" s="9" t="n">
        <v>438.0688</v>
      </c>
      <c r="D29" s="9" t="n">
        <v>428.4083</v>
      </c>
      <c r="E29" s="9">
        <f si="0" t="shared"/>
        <v>442.01039968118323</v>
      </c>
      <c r="G29">
        <v>18</v>
      </c>
      <c r="H29" t="n">
        <v>1379.0</v>
      </c>
      <c r="I29" t="n">
        <v>549.0</v>
      </c>
      <c r="J29" s="20" t="n">
        <v>2642.0</v>
      </c>
      <c r="K29">
        <f si="1" t="shared"/>
        <v>3505</v>
      </c>
    </row>
    <row r="30" spans="1:11" x14ac:dyDescent="0.25">
      <c r="A30">
        <v>19</v>
      </c>
      <c r="B30" s="9" t="n">
        <v>443.2208</v>
      </c>
      <c r="C30" s="9" t="n">
        <v>55.7339</v>
      </c>
      <c r="D30" s="9" t="n">
        <v>359.962</v>
      </c>
      <c r="E30" s="9">
        <f si="0" t="shared"/>
        <v>1019.4954473823868</v>
      </c>
      <c r="G30">
        <v>19</v>
      </c>
      <c r="H30" t="n">
        <v>1218.0</v>
      </c>
      <c r="I30" t="n">
        <v>485.0</v>
      </c>
      <c r="J30" s="20" t="n">
        <v>1737.0</v>
      </c>
      <c r="K30">
        <f si="1" t="shared"/>
        <v>2970</v>
      </c>
    </row>
    <row r="31" spans="1:11" x14ac:dyDescent="0.25">
      <c r="A31">
        <v>20</v>
      </c>
      <c r="B31" s="9" t="n">
        <v>353.8466</v>
      </c>
      <c r="C31" s="9" t="n">
        <v>0.0</v>
      </c>
      <c r="D31" s="9" t="n">
        <v>691.8633000000001</v>
      </c>
      <c r="E31" s="9">
        <f si="0" t="shared"/>
        <v>781.92021147562082</v>
      </c>
      <c r="G31">
        <v>20</v>
      </c>
      <c r="H31" t="n">
        <v>958.0</v>
      </c>
      <c r="I31" t="n">
        <v>409.0</v>
      </c>
      <c r="J31" s="20" t="n">
        <v>1697.0</v>
      </c>
      <c r="K31">
        <f si="1" t="shared"/>
        <v>2685</v>
      </c>
    </row>
    <row r="32" spans="1:11" x14ac:dyDescent="0.25">
      <c r="A32">
        <v>21</v>
      </c>
      <c r="B32" s="9" t="n">
        <v>0.0</v>
      </c>
      <c r="C32" s="9" t="n">
        <v>0.0</v>
      </c>
      <c r="D32" s="9" t="n">
        <v>16.31</v>
      </c>
      <c r="E32" s="9">
        <f si="0" t="shared"/>
        <v>542.29769224841198</v>
      </c>
      <c r="G32">
        <v>21</v>
      </c>
      <c r="H32" t="n">
        <v>757.0</v>
      </c>
      <c r="I32" t="n">
        <v>338.0</v>
      </c>
      <c r="J32" s="20" t="n">
        <v>1613.0</v>
      </c>
      <c r="K32">
        <f si="1" t="shared"/>
        <v>2475</v>
      </c>
    </row>
    <row r="33" spans="1:11" x14ac:dyDescent="0.25">
      <c r="A33">
        <v>22</v>
      </c>
      <c r="B33" s="9" t="n">
        <v>0.0</v>
      </c>
      <c r="C33" s="9" t="n">
        <v>0.0</v>
      </c>
      <c r="D33" s="9" t="n">
        <v>28.037</v>
      </c>
      <c r="E33" s="9">
        <f si="0" t="shared"/>
        <v>444.63870164768582</v>
      </c>
      <c r="G33">
        <v>22</v>
      </c>
      <c r="H33" t="n">
        <v>414.0</v>
      </c>
      <c r="I33" t="n">
        <v>221.0</v>
      </c>
      <c r="J33" s="20" t="n">
        <v>1087.0</v>
      </c>
      <c r="K33">
        <f si="1" t="shared"/>
        <v>2275</v>
      </c>
    </row>
    <row r="34" spans="1:11" x14ac:dyDescent="0.25">
      <c r="A34">
        <v>23</v>
      </c>
      <c r="B34" s="9" t="n">
        <v>0.0</v>
      </c>
      <c r="C34" s="9" t="n">
        <v>0.0</v>
      </c>
      <c r="D34" s="9" t="n">
        <v>440.9461</v>
      </c>
      <c r="E34" s="9">
        <f si="0" t="shared"/>
        <v>556.15522772866109</v>
      </c>
      <c r="G34">
        <v>23</v>
      </c>
      <c r="H34" t="n">
        <v>334.0</v>
      </c>
      <c r="I34" t="n">
        <v>210.0</v>
      </c>
      <c r="J34" s="20" t="n">
        <v>1888.0</v>
      </c>
      <c r="K34">
        <f si="1" t="shared"/>
        <v>1975</v>
      </c>
    </row>
    <row r="35" spans="1:11" x14ac:dyDescent="0.25">
      <c r="A35">
        <v>24</v>
      </c>
      <c r="B35" s="9" t="n">
        <v>0.0</v>
      </c>
      <c r="C35" s="9" t="n">
        <v>846.0343</v>
      </c>
      <c r="D35" s="9" t="n">
        <v>114.071</v>
      </c>
      <c r="E35" s="9">
        <f si="0" t="shared"/>
        <v>506.12224879416397</v>
      </c>
      <c r="G35">
        <v>24</v>
      </c>
      <c r="H35" t="n">
        <v>241.0</v>
      </c>
      <c r="I35" t="n">
        <v>179.0</v>
      </c>
      <c r="J35" s="20" t="n">
        <v>896.0</v>
      </c>
      <c r="K35">
        <f si="1" t="shared"/>
        <v>1570</v>
      </c>
    </row>
    <row r="36" spans="1:11" x14ac:dyDescent="0.25">
      <c r="A36">
        <v>25</v>
      </c>
      <c r="B36" s="9" t="n">
        <v>0.0</v>
      </c>
      <c r="C36" s="9" t="n">
        <v>0.0</v>
      </c>
      <c r="D36" s="9" t="n">
        <v>0.0</v>
      </c>
      <c r="E36" s="9">
        <f si="0" t="shared"/>
        <v>1131.1992065993686</v>
      </c>
      <c r="G36">
        <v>25</v>
      </c>
      <c r="H36" t="n">
        <v>319.0</v>
      </c>
      <c r="I36" t="n">
        <v>170.0</v>
      </c>
      <c r="J36" s="20" t="n">
        <v>948.0</v>
      </c>
      <c r="K36">
        <f si="1" t="shared"/>
        <v>1465</v>
      </c>
    </row>
    <row r="37" spans="1:11" x14ac:dyDescent="0.25">
      <c r="A37">
        <v>26</v>
      </c>
      <c r="B37" s="9" t="n">
        <v>0.0</v>
      </c>
      <c r="C37" s="9" t="n">
        <v>0.0</v>
      </c>
      <c r="D37" s="9" t="n">
        <v>46.474000000000004</v>
      </c>
      <c r="E37" s="9">
        <f si="0" t="shared"/>
        <v>394.89697712799864</v>
      </c>
      <c r="G37">
        <v>26</v>
      </c>
      <c r="H37" t="n">
        <v>168.0</v>
      </c>
      <c r="I37" t="n">
        <v>106.0</v>
      </c>
      <c r="J37" s="20" t="n">
        <v>566.0</v>
      </c>
      <c r="K37">
        <f si="1" t="shared"/>
        <v>1365</v>
      </c>
    </row>
    <row r="38" spans="1:11" x14ac:dyDescent="0.25">
      <c r="A38">
        <v>27</v>
      </c>
      <c r="B38" s="9" t="n">
        <v>775.4409</v>
      </c>
      <c r="C38" s="9" t="n">
        <v>0.0</v>
      </c>
      <c r="D38" s="9" t="n">
        <v>180.7518</v>
      </c>
      <c r="E38" s="9">
        <f si="0" t="shared"/>
        <v>2170.0849644105483</v>
      </c>
      <c r="G38">
        <v>27</v>
      </c>
      <c r="H38" t="n">
        <v>175.0</v>
      </c>
      <c r="I38" t="n">
        <v>129.0</v>
      </c>
      <c r="J38" s="20" t="n">
        <v>694.0</v>
      </c>
      <c r="K38">
        <f si="1" t="shared"/>
        <v>1235</v>
      </c>
    </row>
    <row r="39" spans="1:11" x14ac:dyDescent="0.25">
      <c r="A39">
        <v>28</v>
      </c>
      <c r="B39" s="9" t="n">
        <v>0.0</v>
      </c>
      <c r="C39" s="9" t="n">
        <v>0.0</v>
      </c>
      <c r="D39" s="9" t="n">
        <v>40.655</v>
      </c>
      <c r="E39" s="9">
        <f si="0" t="shared"/>
        <v>1267.6813488137034</v>
      </c>
      <c r="G39">
        <v>28</v>
      </c>
      <c r="H39" t="n">
        <v>95.0</v>
      </c>
      <c r="I39" t="n">
        <v>68.0</v>
      </c>
      <c r="J39" s="20" t="n">
        <v>713.0</v>
      </c>
      <c r="K39">
        <f si="1" t="shared"/>
        <v>1105</v>
      </c>
    </row>
    <row r="40" spans="1:11" x14ac:dyDescent="0.25">
      <c r="A40">
        <v>29</v>
      </c>
      <c r="B40" s="9" t="n">
        <v>0.0</v>
      </c>
      <c r="C40" s="9" t="n">
        <v>0.0</v>
      </c>
      <c r="D40" s="9" t="n">
        <v>398.8691</v>
      </c>
      <c r="E40" s="9">
        <f si="0" t="shared"/>
        <v>373.25240346408322</v>
      </c>
      <c r="G40">
        <v>29</v>
      </c>
      <c r="H40" t="n">
        <v>84.0</v>
      </c>
      <c r="I40" t="n">
        <v>74.0</v>
      </c>
      <c r="J40" s="20" t="n">
        <v>334.0</v>
      </c>
      <c r="K40">
        <f si="1" t="shared"/>
        <v>845</v>
      </c>
    </row>
    <row r="41" spans="1:11" x14ac:dyDescent="0.25">
      <c r="A41">
        <v>30</v>
      </c>
      <c r="B41" s="9" t="n">
        <v>0.0</v>
      </c>
      <c r="C41" s="9" t="n">
        <v>0.0</v>
      </c>
      <c r="D41" s="9" t="n">
        <v>0.0</v>
      </c>
      <c r="E41" s="9">
        <f si="0" t="shared"/>
        <v>354.27248528745008</v>
      </c>
      <c r="G41">
        <v>30</v>
      </c>
      <c r="H41" t="n">
        <v>35.0</v>
      </c>
      <c r="I41" t="n">
        <v>56.0</v>
      </c>
      <c r="J41" s="20" t="n">
        <v>352.0</v>
      </c>
      <c r="K41">
        <f si="1" t="shared"/>
        <v>700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10.791</v>
      </c>
      <c r="E42" s="9">
        <f si="0" t="shared"/>
        <v>687.54021352329596</v>
      </c>
      <c r="G42">
        <v>31</v>
      </c>
      <c r="H42" t="n">
        <v>35.0</v>
      </c>
      <c r="I42" t="n">
        <v>49.0</v>
      </c>
      <c r="J42" s="20" t="n">
        <v>458.0</v>
      </c>
      <c r="K42">
        <f si="1" t="shared"/>
        <v>775</v>
      </c>
    </row>
    <row r="43" spans="1:11" x14ac:dyDescent="0.25">
      <c r="A43">
        <v>32</v>
      </c>
      <c r="B43" s="9" t="n">
        <v>0.0</v>
      </c>
      <c r="C43" s="9" t="n">
        <v>0.0</v>
      </c>
      <c r="D43" s="9" t="n">
        <v>22.125</v>
      </c>
      <c r="E43" s="9">
        <f ref="E43:E74" si="2" t="shared">SUM(B43:D43)</f>
        <v>50.020377960500099</v>
      </c>
      <c r="G43">
        <v>32</v>
      </c>
      <c r="H43" t="n">
        <v>24.0</v>
      </c>
      <c r="I43" t="n">
        <v>46.0</v>
      </c>
      <c r="J43" s="20" t="n">
        <v>280.0</v>
      </c>
      <c r="K43">
        <f ref="K43:K74" si="3" t="shared">SUM(H43:J43)</f>
        <v>685</v>
      </c>
    </row>
    <row r="44" spans="1:11" x14ac:dyDescent="0.25">
      <c r="A44">
        <v>33</v>
      </c>
      <c r="B44" s="9" t="n">
        <v>0.0</v>
      </c>
      <c r="C44" s="9" t="n">
        <v>0.0</v>
      </c>
      <c r="D44" s="9" t="n">
        <v>0.0</v>
      </c>
      <c r="E44" s="9">
        <f si="2" t="shared"/>
        <v>0</v>
      </c>
      <c r="G44">
        <v>33</v>
      </c>
      <c r="H44" t="n">
        <v>55.0</v>
      </c>
      <c r="I44" t="n">
        <v>37.0</v>
      </c>
      <c r="J44" s="20" t="n">
        <v>702.0</v>
      </c>
      <c r="K44">
        <f si="3" t="shared"/>
        <v>470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4.408</v>
      </c>
      <c r="E45" s="9">
        <f si="2" t="shared"/>
        <v>548.84343469860414</v>
      </c>
      <c r="G45">
        <v>34</v>
      </c>
      <c r="H45" t="n">
        <v>40.0</v>
      </c>
      <c r="I45" t="n">
        <v>59.0</v>
      </c>
      <c r="J45" s="20" t="n">
        <v>1271.0</v>
      </c>
      <c r="K45">
        <f si="3" t="shared"/>
        <v>455</v>
      </c>
    </row>
    <row r="46" spans="1:11" x14ac:dyDescent="0.25">
      <c r="A46">
        <v>35</v>
      </c>
      <c r="B46" s="9" t="n">
        <v>0.0</v>
      </c>
      <c r="C46" s="9" t="n">
        <v>0.0</v>
      </c>
      <c r="D46" s="9" t="n">
        <v>35.025</v>
      </c>
      <c r="E46" s="9">
        <f si="2" t="shared"/>
        <v>66.409570740295194</v>
      </c>
      <c r="G46">
        <v>35</v>
      </c>
      <c r="H46" t="n">
        <v>13.0</v>
      </c>
      <c r="I46" t="n">
        <v>21.0</v>
      </c>
      <c r="J46" s="20" t="n">
        <v>122.0</v>
      </c>
      <c r="K46">
        <f si="3" t="shared"/>
        <v>395</v>
      </c>
    </row>
    <row r="47" spans="1:11" x14ac:dyDescent="0.25">
      <c r="A47">
        <v>36</v>
      </c>
      <c r="B47" s="9" t="n">
        <v>0.0</v>
      </c>
      <c r="C47" s="9" t="n">
        <v>0.0</v>
      </c>
      <c r="D47" s="9" t="n">
        <v>11.159</v>
      </c>
      <c r="E47" s="9">
        <f si="2" t="shared"/>
        <v>366.082424987433</v>
      </c>
      <c r="G47">
        <v>36</v>
      </c>
      <c r="H47" t="n">
        <v>7.0</v>
      </c>
      <c r="I47" t="n">
        <v>21.0</v>
      </c>
      <c r="J47" s="20" t="n">
        <v>198.0</v>
      </c>
      <c r="K47">
        <f si="3" t="shared"/>
        <v>375</v>
      </c>
    </row>
    <row r="48" spans="1:11" x14ac:dyDescent="0.25">
      <c r="A48">
        <v>37</v>
      </c>
      <c r="B48" s="9" t="n">
        <v>0.0</v>
      </c>
      <c r="C48" s="9" t="n">
        <v>0.0</v>
      </c>
      <c r="D48" s="9" t="n">
        <v>17.632</v>
      </c>
      <c r="E48" s="9">
        <f si="2" t="shared"/>
        <v>248.28897831103799</v>
      </c>
      <c r="G48">
        <v>37</v>
      </c>
      <c r="H48" t="n">
        <v>9.0</v>
      </c>
      <c r="I48" t="n">
        <v>22.0</v>
      </c>
      <c r="J48" s="20" t="n">
        <v>160.0</v>
      </c>
      <c r="K48">
        <f si="3" t="shared"/>
        <v>250</v>
      </c>
    </row>
    <row r="49" spans="1:11" x14ac:dyDescent="0.25">
      <c r="A49">
        <v>38</v>
      </c>
      <c r="B49" s="9" t="n">
        <v>0.0</v>
      </c>
      <c r="C49" s="9" t="n">
        <v>78.9631</v>
      </c>
      <c r="D49" s="9" t="n">
        <v>364.7641</v>
      </c>
      <c r="E49" s="9">
        <f si="2" t="shared"/>
        <v>53.740541973535102</v>
      </c>
      <c r="G49">
        <v>38</v>
      </c>
      <c r="H49" t="n">
        <v>9.0</v>
      </c>
      <c r="I49" t="n">
        <v>21.0</v>
      </c>
      <c r="J49" s="20" t="n">
        <v>189.0</v>
      </c>
      <c r="K49">
        <f si="3" t="shared"/>
        <v>175</v>
      </c>
    </row>
    <row r="50" spans="1:11" x14ac:dyDescent="0.25">
      <c r="A50">
        <v>39</v>
      </c>
      <c r="B50" s="9" t="n">
        <v>0.0</v>
      </c>
      <c r="C50" s="9" t="n">
        <v>0.0</v>
      </c>
      <c r="D50" s="9" t="n">
        <v>4.128</v>
      </c>
      <c r="E50" s="9">
        <f si="2" t="shared"/>
        <v>0</v>
      </c>
      <c r="G50">
        <v>39</v>
      </c>
      <c r="H50" t="n">
        <v>1.0</v>
      </c>
      <c r="I50" t="n">
        <v>6.0</v>
      </c>
      <c r="J50" s="20" t="n">
        <v>84.0</v>
      </c>
      <c r="K50">
        <f si="3" t="shared"/>
        <v>205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0.0</v>
      </c>
      <c r="E51" s="9">
        <f si="2" t="shared"/>
        <v>0</v>
      </c>
      <c r="G51">
        <v>40</v>
      </c>
      <c r="H51" t="n">
        <v>5.0</v>
      </c>
      <c r="I51" t="n">
        <v>12.0</v>
      </c>
      <c r="J51" s="20" t="n">
        <v>134.0</v>
      </c>
      <c r="K51">
        <f si="3" t="shared"/>
        <v>110</v>
      </c>
    </row>
    <row r="52" spans="1:11" x14ac:dyDescent="0.25">
      <c r="A52">
        <v>41</v>
      </c>
      <c r="B52" s="9" t="n">
        <v>0.0</v>
      </c>
      <c r="C52" s="9" t="n">
        <v>0.0</v>
      </c>
      <c r="D52" s="9" t="n">
        <v>770.8363999999999</v>
      </c>
      <c r="E52" s="9">
        <f si="2" t="shared"/>
        <v>0</v>
      </c>
      <c r="G52">
        <v>41</v>
      </c>
      <c r="H52" t="n">
        <v>3.0</v>
      </c>
      <c r="I52" t="n">
        <v>9.0</v>
      </c>
      <c r="J52" s="20" t="n">
        <v>85.0</v>
      </c>
      <c r="K52">
        <f si="3" t="shared"/>
        <v>130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si="2" t="shared"/>
        <v>0</v>
      </c>
      <c r="G53">
        <v>42</v>
      </c>
      <c r="H53" t="n">
        <v>3.0</v>
      </c>
      <c r="I53" t="n">
        <v>12.0</v>
      </c>
      <c r="J53" s="20" t="n">
        <v>107.0</v>
      </c>
      <c r="K53">
        <f si="3" t="shared"/>
        <v>100</v>
      </c>
    </row>
    <row r="54" spans="1:11" x14ac:dyDescent="0.25">
      <c r="A54">
        <v>43</v>
      </c>
      <c r="B54" s="9" t="n">
        <v>0.0</v>
      </c>
      <c r="C54" s="9" t="n">
        <v>0.0</v>
      </c>
      <c r="D54" s="9" t="n">
        <v>0.0</v>
      </c>
      <c r="E54" s="9">
        <f si="2" t="shared"/>
        <v>48.485455860049797</v>
      </c>
      <c r="G54">
        <v>43</v>
      </c>
      <c r="H54" t="n">
        <v>0.0</v>
      </c>
      <c r="I54" t="n">
        <v>3.0</v>
      </c>
      <c r="J54" s="20" t="n">
        <v>50.0</v>
      </c>
      <c r="K54">
        <f si="3" t="shared"/>
        <v>120</v>
      </c>
    </row>
    <row r="55" spans="1:11" x14ac:dyDescent="0.25">
      <c r="A55">
        <v>44</v>
      </c>
      <c r="B55" s="9" t="n">
        <v>0.0</v>
      </c>
      <c r="C55" s="9" t="n">
        <v>0.0</v>
      </c>
      <c r="D55" s="9" t="n">
        <v>0.0</v>
      </c>
      <c r="E55" s="9">
        <f si="2" t="shared"/>
        <v>0</v>
      </c>
      <c r="G55">
        <v>44</v>
      </c>
      <c r="H55" t="n">
        <v>0.0</v>
      </c>
      <c r="I55" t="n">
        <v>0.0</v>
      </c>
      <c r="J55" s="20" t="n">
        <v>37.0</v>
      </c>
      <c r="K55">
        <f si="3" t="shared"/>
        <v>140</v>
      </c>
    </row>
    <row r="56" spans="1:11" x14ac:dyDescent="0.25">
      <c r="A56">
        <v>45</v>
      </c>
      <c r="B56" s="9" t="n">
        <v>0.0</v>
      </c>
      <c r="C56" s="9" t="n">
        <v>0.0</v>
      </c>
      <c r="D56" s="9" t="n">
        <v>4.128</v>
      </c>
      <c r="E56" s="9">
        <f si="2" t="shared"/>
        <v>0</v>
      </c>
      <c r="G56">
        <v>45</v>
      </c>
      <c r="H56" t="n">
        <v>4.0</v>
      </c>
      <c r="I56" t="n">
        <v>12.0</v>
      </c>
      <c r="J56" s="20" t="n">
        <v>103.0</v>
      </c>
      <c r="K56">
        <f si="3" t="shared"/>
        <v>100</v>
      </c>
    </row>
    <row r="57" spans="1:11" x14ac:dyDescent="0.25">
      <c r="A57">
        <v>46</v>
      </c>
      <c r="B57" s="9" t="n">
        <v>0.0</v>
      </c>
      <c r="C57" s="9" t="n">
        <v>0.0</v>
      </c>
      <c r="D57" s="9" t="n">
        <v>468.9894</v>
      </c>
      <c r="E57" s="9">
        <f si="2" t="shared"/>
        <v>0</v>
      </c>
      <c r="G57">
        <v>46</v>
      </c>
      <c r="H57" t="n">
        <v>2.0</v>
      </c>
      <c r="I57" t="n">
        <v>7.0</v>
      </c>
      <c r="J57" s="20" t="n">
        <v>54.0</v>
      </c>
      <c r="K57">
        <f si="3" t="shared"/>
        <v>45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0.0</v>
      </c>
      <c r="E58" s="9">
        <f si="2" t="shared"/>
        <v>178.42366388132899</v>
      </c>
      <c r="G58">
        <v>47</v>
      </c>
      <c r="H58" t="n">
        <v>0.0</v>
      </c>
      <c r="I58" t="n">
        <v>9.0</v>
      </c>
      <c r="J58" s="20" t="n">
        <v>75.0</v>
      </c>
      <c r="K58">
        <f si="3" t="shared"/>
        <v>65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0.0</v>
      </c>
      <c r="E59" s="9">
        <f si="2" t="shared"/>
        <v>51.787570040342004</v>
      </c>
      <c r="G59">
        <v>48</v>
      </c>
      <c r="H59" t="n">
        <v>0.0</v>
      </c>
      <c r="I59" t="n">
        <v>1.0</v>
      </c>
      <c r="J59" s="20" t="n">
        <v>22.0</v>
      </c>
      <c r="K59">
        <f si="3" t="shared"/>
        <v>35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0.0</v>
      </c>
      <c r="E60" s="9">
        <f si="2" t="shared"/>
        <v>139.31933184590338</v>
      </c>
      <c r="G60">
        <v>49</v>
      </c>
      <c r="H60" t="n">
        <v>1.0</v>
      </c>
      <c r="I60" t="n">
        <v>6.0</v>
      </c>
      <c r="J60" s="20" t="n">
        <v>42.0</v>
      </c>
      <c r="K60">
        <f si="3" t="shared"/>
        <v>50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0.0</v>
      </c>
      <c r="E61" s="9">
        <f si="2" t="shared"/>
        <v>0</v>
      </c>
      <c r="G61">
        <v>50</v>
      </c>
      <c r="H61" t="n">
        <v>0.0</v>
      </c>
      <c r="I61" t="n">
        <v>2.0</v>
      </c>
      <c r="J61" s="20" t="n">
        <v>17.0</v>
      </c>
      <c r="K61">
        <f si="3" t="shared"/>
        <v>25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0.0</v>
      </c>
      <c r="E62" s="9">
        <f si="2" t="shared"/>
        <v>35.796826948541302</v>
      </c>
      <c r="G62">
        <v>51</v>
      </c>
      <c r="H62" t="n">
        <v>1.0</v>
      </c>
      <c r="I62" t="n">
        <v>1.0</v>
      </c>
      <c r="J62" s="20" t="n">
        <v>21.0</v>
      </c>
      <c r="K62">
        <f si="3" t="shared"/>
        <v>25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238.0368</v>
      </c>
      <c r="E63" s="9">
        <f si="2" t="shared"/>
        <v>208.5172498519118</v>
      </c>
      <c r="G63">
        <v>52</v>
      </c>
      <c r="H63" t="n">
        <v>0.0</v>
      </c>
      <c r="I63" t="n">
        <v>3.0</v>
      </c>
      <c r="J63" s="20" t="n">
        <v>7.0</v>
      </c>
      <c r="K63">
        <f si="3" t="shared"/>
        <v>30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0.0</v>
      </c>
      <c r="E64" s="9">
        <f si="2" t="shared"/>
        <v>0</v>
      </c>
      <c r="G64">
        <v>53</v>
      </c>
      <c r="H64" t="n">
        <v>0.0</v>
      </c>
      <c r="I64" t="n">
        <v>3.0</v>
      </c>
      <c r="J64" s="20" t="n">
        <v>9.0</v>
      </c>
      <c r="K64">
        <f si="3" t="shared"/>
        <v>20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si="2" t="shared"/>
        <v>0</v>
      </c>
      <c r="G65">
        <v>54</v>
      </c>
      <c r="H65" t="n">
        <v>0.0</v>
      </c>
      <c r="I65" t="n">
        <v>2.0</v>
      </c>
      <c r="J65" s="20" t="n">
        <v>3.0</v>
      </c>
      <c r="K65">
        <f si="3" t="shared"/>
        <v>25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si="2" t="shared"/>
        <v>0</v>
      </c>
      <c r="G66">
        <v>55</v>
      </c>
      <c r="H66" t="n">
        <v>0.0</v>
      </c>
      <c r="I66" t="n">
        <v>0.0</v>
      </c>
      <c r="J66" s="20" t="n">
        <v>11.0</v>
      </c>
      <c r="K66">
        <f si="3" t="shared"/>
        <v>5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0.0</v>
      </c>
      <c r="E67" s="9">
        <f si="2" t="shared"/>
        <v>0</v>
      </c>
      <c r="G67">
        <v>56</v>
      </c>
      <c r="H67" t="n">
        <v>0.0</v>
      </c>
      <c r="I67" t="n">
        <v>3.0</v>
      </c>
      <c r="J67" s="20" t="n">
        <v>4.0</v>
      </c>
      <c r="K67">
        <f si="3" t="shared"/>
        <v>10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si="2" t="shared"/>
        <v>0</v>
      </c>
      <c r="G68">
        <v>57</v>
      </c>
      <c r="H68" t="n">
        <v>0.0</v>
      </c>
      <c r="I68" t="n">
        <v>1.0</v>
      </c>
      <c r="J68" s="20" t="n">
        <v>19.0</v>
      </c>
      <c r="K68">
        <f si="3" t="shared"/>
        <v>0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si="2" t="shared"/>
        <v>0</v>
      </c>
      <c r="G69">
        <v>58</v>
      </c>
      <c r="H69" t="n">
        <v>0.0</v>
      </c>
      <c r="I69" t="n">
        <v>5.0</v>
      </c>
      <c r="J69" s="20" t="n">
        <v>11.0</v>
      </c>
      <c r="K69">
        <f si="3" t="shared"/>
        <v>5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13.487</v>
      </c>
      <c r="E70" s="9">
        <f si="2" t="shared"/>
        <v>0</v>
      </c>
      <c r="G70">
        <v>59</v>
      </c>
      <c r="H70" t="n">
        <v>0.0</v>
      </c>
      <c r="I70" t="n">
        <v>0.0</v>
      </c>
      <c r="J70" s="20" t="n">
        <v>2.0</v>
      </c>
      <c r="K70">
        <f si="3" t="shared"/>
        <v>5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si="2" t="shared"/>
        <v>0</v>
      </c>
      <c r="G71">
        <v>60</v>
      </c>
      <c r="H71" t="n">
        <v>0.0</v>
      </c>
      <c r="I71" t="n">
        <v>1.0</v>
      </c>
      <c r="J71" s="20" t="n">
        <v>6.0</v>
      </c>
      <c r="K71">
        <f si="3" t="shared"/>
        <v>5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si="2" t="shared"/>
        <v>0</v>
      </c>
      <c r="G72">
        <v>61</v>
      </c>
      <c r="H72" t="n">
        <v>0.0</v>
      </c>
      <c r="I72" t="n">
        <v>1.0</v>
      </c>
      <c r="J72" s="20" t="n">
        <v>7.0</v>
      </c>
      <c r="K72">
        <f si="3" t="shared"/>
        <v>0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si="2" t="shared"/>
        <v>0</v>
      </c>
      <c r="G73">
        <v>62</v>
      </c>
      <c r="H73" t="n">
        <v>0.0</v>
      </c>
      <c r="I73" t="n">
        <v>0.0</v>
      </c>
      <c r="J73" s="20" t="n">
        <v>7.0</v>
      </c>
      <c r="K73">
        <f si="3" t="shared"/>
        <v>5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si="2" t="shared"/>
        <v>0</v>
      </c>
      <c r="G74">
        <v>63</v>
      </c>
      <c r="H74" t="n">
        <v>0.0</v>
      </c>
      <c r="I74" t="n">
        <v>0.0</v>
      </c>
      <c r="J74" s="20" t="n">
        <v>0.0</v>
      </c>
      <c r="K74">
        <f si="3" t="shared"/>
        <v>0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ref="E75:E101" si="4" t="shared">SUM(B75:D75)</f>
        <v>0</v>
      </c>
      <c r="G75">
        <v>64</v>
      </c>
      <c r="H75" t="n">
        <v>0.0</v>
      </c>
      <c r="I75" t="n">
        <v>0.0</v>
      </c>
      <c r="J75" s="20" t="n">
        <v>1.0</v>
      </c>
      <c r="K75">
        <f ref="K75:K101" si="5" t="shared">SUM(H75:J75)</f>
        <v>0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si="4" t="shared"/>
        <v>0</v>
      </c>
      <c r="G76">
        <v>65</v>
      </c>
      <c r="H76" t="n">
        <v>0.0</v>
      </c>
      <c r="I76" t="n">
        <v>1.0</v>
      </c>
      <c r="J76" s="20" t="n">
        <v>0.0</v>
      </c>
      <c r="K76">
        <f si="5" t="shared"/>
        <v>0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si="4" t="shared"/>
        <v>0</v>
      </c>
      <c r="G77">
        <v>66</v>
      </c>
      <c r="H77" t="n">
        <v>0.0</v>
      </c>
      <c r="I77" t="n">
        <v>0.0</v>
      </c>
      <c r="J77" t="n">
        <v>13.0</v>
      </c>
      <c r="K77">
        <f si="5" t="shared"/>
        <v>0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si="4" t="shared"/>
        <v>0</v>
      </c>
      <c r="G78">
        <v>67</v>
      </c>
      <c r="H78" t="n">
        <v>0.0</v>
      </c>
      <c r="I78" t="n">
        <v>0.0</v>
      </c>
      <c r="J78" t="n">
        <v>0.0</v>
      </c>
      <c r="K78">
        <f si="5" t="shared"/>
        <v>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si="4" t="shared"/>
        <v>0</v>
      </c>
      <c r="G79">
        <v>68</v>
      </c>
      <c r="H79" t="n">
        <v>0.0</v>
      </c>
      <c r="I79" t="n">
        <v>1.0</v>
      </c>
      <c r="J79" s="20" t="n">
        <v>0.0</v>
      </c>
      <c r="K79">
        <f si="5" t="shared"/>
        <v>0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si="4" t="shared"/>
        <v>0</v>
      </c>
      <c r="G80">
        <v>69</v>
      </c>
      <c r="H80" t="n">
        <v>0.0</v>
      </c>
      <c r="I80" t="n">
        <v>0.0</v>
      </c>
      <c r="J80" t="n">
        <v>4.0</v>
      </c>
      <c r="K80">
        <f si="5" t="shared"/>
        <v>0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si="4" t="shared"/>
        <v>0</v>
      </c>
      <c r="G81">
        <v>70</v>
      </c>
      <c r="H81" t="n">
        <v>0.0</v>
      </c>
      <c r="I81" t="n">
        <v>0.0</v>
      </c>
      <c r="J81" s="20" t="n">
        <v>7.0</v>
      </c>
      <c r="K81">
        <f si="5" t="shared"/>
        <v>0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si="4" t="shared"/>
        <v>0</v>
      </c>
      <c r="G82">
        <v>71</v>
      </c>
      <c r="H82" t="n">
        <v>0.0</v>
      </c>
      <c r="I82" t="n">
        <v>0.0</v>
      </c>
      <c r="J82" s="20" t="n">
        <v>1.0</v>
      </c>
      <c r="K82">
        <f si="5" t="shared"/>
        <v>0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si="4" t="shared"/>
        <v>0</v>
      </c>
      <c r="G83">
        <v>72</v>
      </c>
      <c r="H83" t="n">
        <v>0.0</v>
      </c>
      <c r="I83" t="n">
        <v>0.0</v>
      </c>
      <c r="J83" t="n">
        <v>0.0</v>
      </c>
      <c r="K83">
        <f si="5" t="shared"/>
        <v>0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si="4" t="shared"/>
        <v>0</v>
      </c>
      <c r="G84">
        <v>73</v>
      </c>
      <c r="H84" t="n">
        <v>0.0</v>
      </c>
      <c r="I84" t="n">
        <v>0.0</v>
      </c>
      <c r="J84" t="n">
        <v>5.0</v>
      </c>
      <c r="K84">
        <f si="5" t="shared"/>
        <v>0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si="4" t="shared"/>
        <v>0</v>
      </c>
      <c r="G85">
        <v>74</v>
      </c>
      <c r="H85" t="n">
        <v>0.0</v>
      </c>
      <c r="I85" t="n">
        <v>0.0</v>
      </c>
      <c r="J85" t="n">
        <v>6.0</v>
      </c>
      <c r="K85">
        <f si="5" t="shared"/>
        <v>0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si="4" t="shared"/>
        <v>0</v>
      </c>
      <c r="G86">
        <v>75</v>
      </c>
      <c r="H86" t="n">
        <v>0.0</v>
      </c>
      <c r="I86" t="n">
        <v>0.0</v>
      </c>
      <c r="J86" t="n">
        <v>2.0</v>
      </c>
      <c r="K86">
        <f si="5" t="shared"/>
        <v>0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si="4" t="shared"/>
        <v>0</v>
      </c>
      <c r="G87">
        <v>76</v>
      </c>
      <c r="H87" t="n">
        <v>0.0</v>
      </c>
      <c r="I87" t="n">
        <v>0.0</v>
      </c>
      <c r="J87" s="20" t="n">
        <v>4.0</v>
      </c>
      <c r="K87">
        <f si="5" t="shared"/>
        <v>0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si="4" t="shared"/>
        <v>0</v>
      </c>
      <c r="G88">
        <v>77</v>
      </c>
      <c r="H88" t="n">
        <v>0.0</v>
      </c>
      <c r="I88" t="n">
        <v>0.0</v>
      </c>
      <c r="J88" t="n">
        <v>0.0</v>
      </c>
      <c r="K88">
        <f si="5" t="shared"/>
        <v>0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si="4" t="shared"/>
        <v>0</v>
      </c>
      <c r="G89">
        <v>78</v>
      </c>
      <c r="H89" t="n">
        <v>0.0</v>
      </c>
      <c r="I89" t="n">
        <v>0.0</v>
      </c>
      <c r="J89" s="20" t="n">
        <v>3.0</v>
      </c>
      <c r="K89">
        <f si="5" t="shared"/>
        <v>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si="4" t="shared"/>
        <v>0</v>
      </c>
      <c r="G90">
        <v>79</v>
      </c>
      <c r="H90" t="n">
        <v>0.0</v>
      </c>
      <c r="I90" t="n">
        <v>0.0</v>
      </c>
      <c r="J90" t="n">
        <v>0.0</v>
      </c>
      <c r="K90">
        <f si="5" t="shared"/>
        <v>0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si="4" t="shared"/>
        <v>0</v>
      </c>
      <c r="G91">
        <v>80</v>
      </c>
      <c r="H91" t="n">
        <v>0.0</v>
      </c>
      <c r="I91" t="n">
        <v>0.0</v>
      </c>
      <c r="J91" t="n">
        <v>0.0</v>
      </c>
      <c r="K91">
        <f si="5" t="shared"/>
        <v>0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si="4" t="shared"/>
        <v>0</v>
      </c>
      <c r="G92">
        <v>81</v>
      </c>
      <c r="H92" t="n">
        <v>0.0</v>
      </c>
      <c r="I92" t="n">
        <v>0.0</v>
      </c>
      <c r="J92" s="20" t="n">
        <v>0.0</v>
      </c>
      <c r="K92">
        <f si="5" t="shared"/>
        <v>0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si="4" t="shared"/>
        <v>0</v>
      </c>
      <c r="G93">
        <v>82</v>
      </c>
      <c r="H93" t="n">
        <v>0.0</v>
      </c>
      <c r="I93" t="n">
        <v>0.0</v>
      </c>
      <c r="J93" t="n">
        <v>1.0</v>
      </c>
      <c r="K93">
        <f si="5" t="shared"/>
        <v>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si="4" t="shared"/>
        <v>0</v>
      </c>
      <c r="G94">
        <v>83</v>
      </c>
      <c r="H94" t="n">
        <v>0.0</v>
      </c>
      <c r="I94" t="n">
        <v>0.0</v>
      </c>
      <c r="J94" t="n">
        <v>0.0</v>
      </c>
      <c r="K94">
        <f si="5" t="shared"/>
        <v>0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si="4" t="shared"/>
        <v>0</v>
      </c>
      <c r="G95">
        <v>84</v>
      </c>
      <c r="H95" t="n">
        <v>0.0</v>
      </c>
      <c r="I95" t="n">
        <v>0.0</v>
      </c>
      <c r="J95" t="n">
        <v>1.0</v>
      </c>
      <c r="K95">
        <f si="5" t="shared"/>
        <v>0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4" t="shared"/>
        <v>0</v>
      </c>
      <c r="G96">
        <v>85</v>
      </c>
      <c r="H96" t="n">
        <v>0.0</v>
      </c>
      <c r="I96" t="n">
        <v>0.0</v>
      </c>
      <c r="J96" t="n">
        <v>0.0</v>
      </c>
      <c r="K96">
        <f si="5" t="shared"/>
        <v>0</v>
      </c>
    </row>
    <row r="97" spans="1:12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4" t="shared"/>
        <v>0</v>
      </c>
      <c r="G97">
        <v>86</v>
      </c>
      <c r="H97" t="n">
        <v>0.0</v>
      </c>
      <c r="I97" t="n">
        <v>0.0</v>
      </c>
      <c r="J97" t="n">
        <v>0.0</v>
      </c>
      <c r="K97">
        <f si="5" t="shared"/>
        <v>0</v>
      </c>
    </row>
    <row r="98" spans="1:12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si="4" t="shared"/>
        <v>0</v>
      </c>
      <c r="G98">
        <v>87</v>
      </c>
      <c r="H98" t="n">
        <v>0.0</v>
      </c>
      <c r="I98" t="n">
        <v>0.0</v>
      </c>
      <c r="J98" t="n">
        <v>0.0</v>
      </c>
      <c r="K98">
        <f si="5" t="shared"/>
        <v>0</v>
      </c>
    </row>
    <row r="99" spans="1:12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4" t="shared"/>
        <v>0</v>
      </c>
      <c r="G99">
        <v>88</v>
      </c>
      <c r="H99" t="n">
        <v>0.0</v>
      </c>
      <c r="I99" t="n">
        <v>0.0</v>
      </c>
      <c r="J99" t="n">
        <v>0.0</v>
      </c>
      <c r="K99">
        <f si="5" t="shared"/>
        <v>0</v>
      </c>
    </row>
    <row r="100" spans="1:12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si="4" t="shared"/>
        <v>0</v>
      </c>
      <c r="G100">
        <v>89</v>
      </c>
      <c r="H100" t="n">
        <v>0.0</v>
      </c>
      <c r="I100" t="n">
        <v>0.0</v>
      </c>
      <c r="J100" t="n">
        <v>0.0</v>
      </c>
      <c r="K100">
        <f si="5" t="shared"/>
        <v>0</v>
      </c>
    </row>
    <row ht="15.75" r="101" spans="1:12" thickBot="1" x14ac:dyDescent="0.3">
      <c r="A101" s="1">
        <v>90</v>
      </c>
      <c r="B101" s="10" t="n">
        <v>56177.1072</v>
      </c>
      <c r="C101" s="10" t="n">
        <v>10417.5607</v>
      </c>
      <c r="D101" s="10" t="n">
        <v>42483.8395</v>
      </c>
      <c r="E101" s="10">
        <f si="4" t="shared"/>
        <v>0</v>
      </c>
      <c r="G101" s="1">
        <v>90</v>
      </c>
      <c r="H101" s="1" t="n">
        <v>21546.0</v>
      </c>
      <c r="I101" s="1" t="n">
        <v>0.0</v>
      </c>
      <c r="J101" s="1" t="n">
        <v>0.0</v>
      </c>
      <c r="K101" s="1">
        <f si="5" t="shared"/>
        <v>0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O101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0</v>
      </c>
    </row>
    <row r="2" spans="1:15" x14ac:dyDescent="0.25">
      <c r="A2" t="s">
        <v>218</v>
      </c>
    </row>
    <row r="3" spans="1:15" x14ac:dyDescent="0.25">
      <c r="A3" t="s">
        <v>9</v>
      </c>
    </row>
    <row r="4" spans="1:15" x14ac:dyDescent="0.25">
      <c r="A4" t="s">
        <v>8</v>
      </c>
    </row>
    <row r="5" spans="1:15" x14ac:dyDescent="0.25">
      <c r="A5" t="s">
        <v>10</v>
      </c>
    </row>
    <row ht="15.75" r="9" spans="1:15" thickBot="1" x14ac:dyDescent="0.3">
      <c r="A9" s="4" t="s">
        <v>210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1" t="s">
        <v>43</v>
      </c>
    </row>
    <row r="10" spans="1:15" x14ac:dyDescent="0.25">
      <c r="A10" s="2" t="s">
        <v>18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18</v>
      </c>
      <c r="H10" s="5" t="s">
        <v>48</v>
      </c>
      <c r="I10" s="5" t="s">
        <v>49</v>
      </c>
      <c r="J10" s="5" t="s">
        <v>50</v>
      </c>
      <c r="K10" s="5" t="s">
        <v>42</v>
      </c>
      <c r="M10" s="2"/>
      <c r="N10" s="5" t="s">
        <v>219</v>
      </c>
      <c r="O10" s="5" t="s">
        <v>42</v>
      </c>
    </row>
    <row r="11" spans="1:15" x14ac:dyDescent="0.25">
      <c r="A11">
        <v>0</v>
      </c>
      <c r="B11" s="9" t="n">
        <v>3136.8732</v>
      </c>
      <c r="C11" s="9" t="n">
        <v>0.0</v>
      </c>
      <c r="D11" s="9" t="n">
        <v>3515.915</v>
      </c>
      <c r="E11" s="9">
        <f ref="E11:E42" si="0" t="shared">SUM(B11:D11)</f>
        <v>0</v>
      </c>
      <c r="G11">
        <v>0</v>
      </c>
      <c r="H11" t="n">
        <v>23510.0</v>
      </c>
      <c r="I11" t="n">
        <v>4552.0</v>
      </c>
      <c r="J11" s="20" t="n">
        <v>8604.0</v>
      </c>
      <c r="K11">
        <f ref="K11:K42" si="1" t="shared">SUM(H11:J11)</f>
        <v>3270</v>
      </c>
      <c r="M11" t="s">
        <v>48</v>
      </c>
      <c r="N11" s="9" t="n">
        <v>11.23352071740562</v>
      </c>
      <c r="O11" s="9" t="n">
        <v>15.753538834806228</v>
      </c>
    </row>
    <row r="12" spans="1:15" x14ac:dyDescent="0.25">
      <c r="A12">
        <v>1</v>
      </c>
      <c r="B12" s="9" t="n">
        <v>10251.1138</v>
      </c>
      <c r="C12" s="9" t="n">
        <v>0.0</v>
      </c>
      <c r="D12" s="9" t="n">
        <v>487.6054</v>
      </c>
      <c r="E12" s="9">
        <f si="0" t="shared"/>
        <v>0</v>
      </c>
      <c r="G12">
        <v>1</v>
      </c>
      <c r="H12" t="n">
        <v>14519.0</v>
      </c>
      <c r="I12" t="n">
        <v>2159.0</v>
      </c>
      <c r="J12" s="20" t="n">
        <v>1137.0</v>
      </c>
      <c r="K12">
        <f si="1" t="shared"/>
        <v>7330</v>
      </c>
      <c r="M12" t="s">
        <v>49</v>
      </c>
      <c r="N12" s="9" t="n">
        <v>14.637548213014114</v>
      </c>
      <c r="O12" s="9" t="n">
        <v>18.28437570305887</v>
      </c>
    </row>
    <row r="13" spans="1:15" x14ac:dyDescent="0.25">
      <c r="A13">
        <v>2</v>
      </c>
      <c r="B13" s="9" t="n">
        <v>14796.016</v>
      </c>
      <c r="C13" s="9" t="n">
        <v>542.7239</v>
      </c>
      <c r="D13" s="9" t="n">
        <v>342.624</v>
      </c>
      <c r="E13" s="9">
        <f si="0" t="shared"/>
        <v>969.56272511539248</v>
      </c>
      <c r="G13">
        <v>2</v>
      </c>
      <c r="H13" t="n">
        <v>19100.0</v>
      </c>
      <c r="I13" t="n">
        <v>2880.0</v>
      </c>
      <c r="J13" s="20" t="n">
        <v>2110.0</v>
      </c>
      <c r="K13">
        <f si="1" t="shared"/>
        <v>10490</v>
      </c>
      <c r="M13" s="6" t="s">
        <v>50</v>
      </c>
      <c r="N13" s="18" t="n">
        <v>20.510063701077957</v>
      </c>
      <c r="O13" s="18" t="n">
        <v>23.48531985532467</v>
      </c>
    </row>
    <row ht="15.75" r="14" spans="1:15" thickBot="1" x14ac:dyDescent="0.3">
      <c r="A14">
        <v>3</v>
      </c>
      <c r="B14" s="9" t="n">
        <v>21489.214</v>
      </c>
      <c r="C14" s="9" t="n">
        <v>1866.9814</v>
      </c>
      <c r="D14" s="9" t="n">
        <v>205.9932</v>
      </c>
      <c r="E14" s="9">
        <f si="0" t="shared"/>
        <v>13236.110368138292</v>
      </c>
      <c r="G14">
        <v>3</v>
      </c>
      <c r="H14" t="n">
        <v>20890.0</v>
      </c>
      <c r="I14" t="n">
        <v>3261.0</v>
      </c>
      <c r="J14" s="20" t="n">
        <v>2395.0</v>
      </c>
      <c r="K14">
        <f si="1" t="shared"/>
        <v>19725</v>
      </c>
      <c r="M14" s="1" t="s">
        <v>3</v>
      </c>
      <c r="N14" s="19" t="n">
        <v>12.694254120967864</v>
      </c>
      <c r="O14" s="19" t="n">
        <v>17.87811403086487</v>
      </c>
    </row>
    <row r="15" spans="1:15" x14ac:dyDescent="0.25">
      <c r="A15">
        <v>4</v>
      </c>
      <c r="B15" s="9" t="n">
        <v>31552.606</v>
      </c>
      <c r="C15" s="9" t="n">
        <v>899.9184</v>
      </c>
      <c r="D15" s="9" t="n">
        <v>317.2959</v>
      </c>
      <c r="E15" s="9">
        <f si="0" t="shared"/>
        <v>11408.906369681508</v>
      </c>
      <c r="G15">
        <v>4</v>
      </c>
      <c r="H15" t="n">
        <v>21024.0</v>
      </c>
      <c r="I15" t="n">
        <v>3418.0</v>
      </c>
      <c r="J15" s="20" t="n">
        <v>2625.0</v>
      </c>
      <c r="K15">
        <f si="1" t="shared"/>
        <v>24685</v>
      </c>
    </row>
    <row r="16" spans="1:15" x14ac:dyDescent="0.25">
      <c r="A16">
        <v>5</v>
      </c>
      <c r="B16" s="9" t="n">
        <v>38479.6478</v>
      </c>
      <c r="C16" s="9" t="n">
        <v>1845.5319</v>
      </c>
      <c r="D16" s="9" t="n">
        <v>782.4363</v>
      </c>
      <c r="E16" s="9">
        <f si="0" t="shared"/>
        <v>27307.51901176522</v>
      </c>
      <c r="G16">
        <v>5</v>
      </c>
      <c r="H16" t="n">
        <v>19691.0</v>
      </c>
      <c r="I16" t="n">
        <v>3506.0</v>
      </c>
      <c r="J16" s="20" t="n">
        <v>3092.0</v>
      </c>
      <c r="K16">
        <f si="1" t="shared"/>
        <v>30120</v>
      </c>
    </row>
    <row r="17" spans="1:11" x14ac:dyDescent="0.25">
      <c r="A17">
        <v>6</v>
      </c>
      <c r="B17" s="9" t="n">
        <v>34824.7935</v>
      </c>
      <c r="C17" s="9" t="n">
        <v>1134.7815</v>
      </c>
      <c r="D17" s="9" t="n">
        <v>2024.6491999999998</v>
      </c>
      <c r="E17" s="9">
        <f si="0" t="shared"/>
        <v>21534.356632862768</v>
      </c>
      <c r="G17">
        <v>6</v>
      </c>
      <c r="H17" t="n">
        <v>18444.0</v>
      </c>
      <c r="I17" t="n">
        <v>3389.0</v>
      </c>
      <c r="J17" s="20" t="n">
        <v>3474.0</v>
      </c>
      <c r="K17">
        <f si="1" t="shared"/>
        <v>31000</v>
      </c>
    </row>
    <row r="18" spans="1:11" x14ac:dyDescent="0.25">
      <c r="A18">
        <v>7</v>
      </c>
      <c r="B18" s="9" t="n">
        <v>36653.0386</v>
      </c>
      <c r="C18" s="9" t="n">
        <v>7158.2842</v>
      </c>
      <c r="D18" s="9" t="n">
        <v>1862.0264</v>
      </c>
      <c r="E18" s="9">
        <f si="0" t="shared"/>
        <v>17099.37921391381</v>
      </c>
      <c r="G18">
        <v>7</v>
      </c>
      <c r="H18" t="n">
        <v>16685.0</v>
      </c>
      <c r="I18" t="n">
        <v>3136.0</v>
      </c>
      <c r="J18" s="20" t="n">
        <v>2766.0</v>
      </c>
      <c r="K18">
        <f si="1" t="shared"/>
        <v>24510</v>
      </c>
    </row>
    <row r="19" spans="1:11" x14ac:dyDescent="0.25">
      <c r="A19">
        <v>8</v>
      </c>
      <c r="B19" s="9" t="n">
        <v>36732.5126</v>
      </c>
      <c r="C19" s="9" t="n">
        <v>2683.5716</v>
      </c>
      <c r="D19" s="9" t="n">
        <v>3427.3977999999997</v>
      </c>
      <c r="E19" s="9">
        <f si="0" t="shared"/>
        <v>20522.174375390714</v>
      </c>
      <c r="G19">
        <v>8</v>
      </c>
      <c r="H19" t="n">
        <v>14457.0</v>
      </c>
      <c r="I19" t="n">
        <v>2879.0</v>
      </c>
      <c r="J19" s="20" t="n">
        <v>2537.0</v>
      </c>
      <c r="K19">
        <f si="1" t="shared"/>
        <v>18770</v>
      </c>
    </row>
    <row r="20" spans="1:11" x14ac:dyDescent="0.25">
      <c r="A20">
        <v>9</v>
      </c>
      <c r="B20" s="9" t="n">
        <v>24588.6761</v>
      </c>
      <c r="C20" s="9" t="n">
        <v>5236.2919</v>
      </c>
      <c r="D20" s="9" t="n">
        <v>2332.766</v>
      </c>
      <c r="E20" s="9">
        <f si="0" t="shared"/>
        <v>16681.163235045959</v>
      </c>
      <c r="G20">
        <v>9</v>
      </c>
      <c r="H20" t="n">
        <v>12891.0</v>
      </c>
      <c r="I20" t="n">
        <v>2744.0</v>
      </c>
      <c r="J20" s="20" t="n">
        <v>2059.0</v>
      </c>
      <c r="K20">
        <f si="1" t="shared"/>
        <v>14420</v>
      </c>
    </row>
    <row r="21" spans="1:11" x14ac:dyDescent="0.25">
      <c r="A21">
        <v>10</v>
      </c>
      <c r="B21" s="9" t="n">
        <v>34460.2603</v>
      </c>
      <c r="C21" s="9" t="n">
        <v>5898.4019</v>
      </c>
      <c r="D21" s="9" t="n">
        <v>1253.2964</v>
      </c>
      <c r="E21" s="9">
        <f si="0" t="shared"/>
        <v>14033.270810391734</v>
      </c>
      <c r="G21">
        <v>10</v>
      </c>
      <c r="H21" t="n">
        <v>10636.0</v>
      </c>
      <c r="I21" t="n">
        <v>2399.0</v>
      </c>
      <c r="J21" s="20" t="n">
        <v>1937.0</v>
      </c>
      <c r="K21">
        <f si="1" t="shared"/>
        <v>11980</v>
      </c>
    </row>
    <row r="22" spans="1:11" x14ac:dyDescent="0.25">
      <c r="A22">
        <v>11</v>
      </c>
      <c r="B22" s="9" t="n">
        <v>18745.5257</v>
      </c>
      <c r="C22" s="9" t="n">
        <v>3211.6364000000003</v>
      </c>
      <c r="D22" s="9" t="n">
        <v>5008.3621</v>
      </c>
      <c r="E22" s="9">
        <f si="0" t="shared"/>
        <v>9156.3363994766605</v>
      </c>
      <c r="G22">
        <v>11</v>
      </c>
      <c r="H22" t="n">
        <v>9047.0</v>
      </c>
      <c r="I22" t="n">
        <v>2188.0</v>
      </c>
      <c r="J22" s="20" t="n">
        <v>1674.0</v>
      </c>
      <c r="K22">
        <f si="1" t="shared"/>
        <v>11125</v>
      </c>
    </row>
    <row r="23" spans="1:11" x14ac:dyDescent="0.25">
      <c r="A23">
        <v>12</v>
      </c>
      <c r="B23" s="9" t="n">
        <v>16001.6786</v>
      </c>
      <c r="C23" s="9" t="n">
        <v>5766.3526</v>
      </c>
      <c r="D23" s="9" t="n">
        <v>4723.9367</v>
      </c>
      <c r="E23" s="9">
        <f si="0" t="shared"/>
        <v>14275.733665089458</v>
      </c>
      <c r="G23">
        <v>12</v>
      </c>
      <c r="H23" t="n">
        <v>8417.0</v>
      </c>
      <c r="I23" t="n">
        <v>1963.0</v>
      </c>
      <c r="J23" s="20" t="n">
        <v>1652.0</v>
      </c>
      <c r="K23">
        <f si="1" t="shared"/>
        <v>8515</v>
      </c>
    </row>
    <row r="24" spans="1:11" x14ac:dyDescent="0.25">
      <c r="A24">
        <v>13</v>
      </c>
      <c r="B24" s="9" t="n">
        <v>13704.0838</v>
      </c>
      <c r="C24" s="9" t="n">
        <v>3476.8</v>
      </c>
      <c r="D24" s="9" t="n">
        <v>3413.6603</v>
      </c>
      <c r="E24" s="9">
        <f si="0" t="shared"/>
        <v>10453.656118664674</v>
      </c>
      <c r="G24">
        <v>13</v>
      </c>
      <c r="H24" t="n">
        <v>6974.0</v>
      </c>
      <c r="I24" t="n">
        <v>1725.0</v>
      </c>
      <c r="J24" s="20" t="n">
        <v>1417.0</v>
      </c>
      <c r="K24">
        <f si="1" t="shared"/>
        <v>7775</v>
      </c>
    </row>
    <row r="25" spans="1:11" x14ac:dyDescent="0.25">
      <c r="A25">
        <v>14</v>
      </c>
      <c r="B25" s="9" t="n">
        <v>19268.8595</v>
      </c>
      <c r="C25" s="9" t="n">
        <v>8480.3485</v>
      </c>
      <c r="D25" s="9" t="n">
        <v>1005.8136</v>
      </c>
      <c r="E25" s="9">
        <f si="0" t="shared"/>
        <v>7910.3781803955544</v>
      </c>
      <c r="G25">
        <v>14</v>
      </c>
      <c r="H25" t="n">
        <v>6052.0</v>
      </c>
      <c r="I25" t="n">
        <v>1523.0</v>
      </c>
      <c r="J25" s="20" t="n">
        <v>1017.0</v>
      </c>
      <c r="K25">
        <f si="1" t="shared"/>
        <v>7340</v>
      </c>
    </row>
    <row r="26" spans="1:11" x14ac:dyDescent="0.25">
      <c r="A26">
        <v>15</v>
      </c>
      <c r="B26" s="9" t="n">
        <v>16445.5927</v>
      </c>
      <c r="C26" s="9" t="n">
        <v>675.7256</v>
      </c>
      <c r="D26" s="9" t="n">
        <v>810.6881</v>
      </c>
      <c r="E26" s="9">
        <f si="0" t="shared"/>
        <v>5598.8600356514053</v>
      </c>
      <c r="G26">
        <v>15</v>
      </c>
      <c r="H26" t="n">
        <v>5837.0</v>
      </c>
      <c r="I26" t="n">
        <v>1584.0</v>
      </c>
      <c r="J26" s="20" t="n">
        <v>1019.0</v>
      </c>
      <c r="K26">
        <f si="1" t="shared"/>
        <v>6830</v>
      </c>
    </row>
    <row r="27" spans="1:11" x14ac:dyDescent="0.25">
      <c r="A27">
        <v>16</v>
      </c>
      <c r="B27" s="9" t="n">
        <v>8484.4084</v>
      </c>
      <c r="C27" s="9" t="n">
        <v>1251.2235</v>
      </c>
      <c r="D27" s="9" t="n">
        <v>2790.6117</v>
      </c>
      <c r="E27" s="9">
        <f si="0" t="shared"/>
        <v>4870.3071765360128</v>
      </c>
      <c r="G27">
        <v>16</v>
      </c>
      <c r="H27" t="n">
        <v>5087.0</v>
      </c>
      <c r="I27" t="n">
        <v>1308.0</v>
      </c>
      <c r="J27" s="20" t="n">
        <v>1156.0</v>
      </c>
      <c r="K27">
        <f si="1" t="shared"/>
        <v>6550</v>
      </c>
    </row>
    <row r="28" spans="1:11" x14ac:dyDescent="0.25">
      <c r="A28">
        <v>17</v>
      </c>
      <c r="B28" s="9" t="n">
        <v>14176.7055</v>
      </c>
      <c r="C28" s="9" t="n">
        <v>3367.1952</v>
      </c>
      <c r="D28" s="9" t="n">
        <v>1538.1484</v>
      </c>
      <c r="E28" s="9">
        <f si="0" t="shared"/>
        <v>5089.8763913950233</v>
      </c>
      <c r="G28">
        <v>17</v>
      </c>
      <c r="H28" t="n">
        <v>4764.0</v>
      </c>
      <c r="I28" t="n">
        <v>1233.0</v>
      </c>
      <c r="J28" s="20" t="n">
        <v>979.0</v>
      </c>
      <c r="K28">
        <f si="1" t="shared"/>
        <v>6120</v>
      </c>
    </row>
    <row r="29" spans="1:11" x14ac:dyDescent="0.25">
      <c r="A29">
        <v>18</v>
      </c>
      <c r="B29" s="9" t="n">
        <v>8591.218700000001</v>
      </c>
      <c r="C29" s="9" t="n">
        <v>2389.1226</v>
      </c>
      <c r="D29" s="9" t="n">
        <v>5698.6964</v>
      </c>
      <c r="E29" s="9">
        <f si="0" t="shared"/>
        <v>2431.3128804858402</v>
      </c>
      <c r="G29">
        <v>18</v>
      </c>
      <c r="H29" t="n">
        <v>62796.0</v>
      </c>
      <c r="I29" t="n">
        <v>16135.0</v>
      </c>
      <c r="J29" s="20" t="n">
        <v>12601.0</v>
      </c>
      <c r="K29">
        <f si="1" t="shared"/>
        <v>5710</v>
      </c>
    </row>
    <row r="30" spans="1:11" x14ac:dyDescent="0.25">
      <c r="A30">
        <v>19</v>
      </c>
      <c r="B30" s="9" t="n">
        <v>5058.4148</v>
      </c>
      <c r="C30" s="9" t="n">
        <v>294.342</v>
      </c>
      <c r="D30" s="9" t="n">
        <v>1775.7507</v>
      </c>
      <c r="E30" s="9">
        <f si="0" t="shared"/>
        <v>2996.3800871291569</v>
      </c>
      <c r="G30">
        <v>19</v>
      </c>
      <c r="H30" t="n">
        <v>13821.0</v>
      </c>
      <c r="I30" t="n">
        <v>4191.0</v>
      </c>
      <c r="J30" s="20" t="n">
        <v>6611.0</v>
      </c>
      <c r="K30">
        <f si="1" t="shared"/>
        <v>5585</v>
      </c>
    </row>
    <row r="31" spans="1:11" x14ac:dyDescent="0.25">
      <c r="A31">
        <v>20</v>
      </c>
      <c r="B31" s="9" t="n">
        <v>9224.6049</v>
      </c>
      <c r="C31" s="9" t="n">
        <v>2131.8702000000003</v>
      </c>
      <c r="D31" s="9" t="n">
        <v>810.7046</v>
      </c>
      <c r="E31" s="9">
        <f si="0" t="shared"/>
        <v>1537.3358158409089</v>
      </c>
      <c r="G31">
        <v>20</v>
      </c>
      <c r="H31" t="n">
        <v>11549.0</v>
      </c>
      <c r="I31" t="n">
        <v>3783.0</v>
      </c>
      <c r="J31" s="20" t="n">
        <v>5723.0</v>
      </c>
      <c r="K31">
        <f si="1" t="shared"/>
        <v>5040</v>
      </c>
    </row>
    <row r="32" spans="1:11" x14ac:dyDescent="0.25">
      <c r="A32">
        <v>21</v>
      </c>
      <c r="B32" s="9" t="n">
        <v>1528.4369</v>
      </c>
      <c r="C32" s="9" t="n">
        <v>0.0</v>
      </c>
      <c r="D32" s="9" t="n">
        <v>2363.6902999999998</v>
      </c>
      <c r="E32" s="9">
        <f si="0" t="shared"/>
        <v>5425.2193016441433</v>
      </c>
      <c r="G32">
        <v>21</v>
      </c>
      <c r="H32" t="n">
        <v>17920.0</v>
      </c>
      <c r="I32" t="n">
        <v>6128.0</v>
      </c>
      <c r="J32" s="20" t="n">
        <v>11953.0</v>
      </c>
      <c r="K32">
        <f si="1" t="shared"/>
        <v>4895</v>
      </c>
    </row>
    <row r="33" spans="1:11" x14ac:dyDescent="0.25">
      <c r="A33">
        <v>22</v>
      </c>
      <c r="B33" s="9" t="n">
        <v>1430.6387</v>
      </c>
      <c r="C33" s="9" t="n">
        <v>1096.9879</v>
      </c>
      <c r="D33" s="9" t="n">
        <v>839.9895</v>
      </c>
      <c r="E33" s="9">
        <f si="0" t="shared"/>
        <v>3463.5328374459614</v>
      </c>
      <c r="G33">
        <v>22</v>
      </c>
      <c r="H33" t="n">
        <v>19195.0</v>
      </c>
      <c r="I33" t="n">
        <v>5746.0</v>
      </c>
      <c r="J33" s="20" t="n">
        <v>5038.0</v>
      </c>
      <c r="K33">
        <f si="1" t="shared"/>
        <v>4605</v>
      </c>
    </row>
    <row r="34" spans="1:11" x14ac:dyDescent="0.25">
      <c r="A34">
        <v>23</v>
      </c>
      <c r="B34" s="9" t="n">
        <v>3986.8753</v>
      </c>
      <c r="C34" s="9" t="n">
        <v>337.3549</v>
      </c>
      <c r="D34" s="9" t="n">
        <v>1415.0252</v>
      </c>
      <c r="E34" s="9">
        <f si="0" t="shared"/>
        <v>5889.251186385839</v>
      </c>
      <c r="G34">
        <v>23</v>
      </c>
      <c r="H34" t="n">
        <v>15279.0</v>
      </c>
      <c r="I34" t="n">
        <v>4688.0</v>
      </c>
      <c r="J34" s="20" t="n">
        <v>7102.0</v>
      </c>
      <c r="K34">
        <f si="1" t="shared"/>
        <v>4560</v>
      </c>
    </row>
    <row r="35" spans="1:11" x14ac:dyDescent="0.25">
      <c r="A35">
        <v>24</v>
      </c>
      <c r="B35" s="9" t="n">
        <v>7445.4307</v>
      </c>
      <c r="C35" s="9" t="n">
        <v>1717.4617</v>
      </c>
      <c r="D35" s="9" t="n">
        <v>1111.0248</v>
      </c>
      <c r="E35" s="9">
        <f si="0" t="shared"/>
        <v>2148.7011487160125</v>
      </c>
      <c r="G35">
        <v>24</v>
      </c>
      <c r="H35" t="n">
        <v>13169.0</v>
      </c>
      <c r="I35" t="n">
        <v>3919.0</v>
      </c>
      <c r="J35" s="20" t="n">
        <v>8277.0</v>
      </c>
      <c r="K35">
        <f si="1" t="shared"/>
        <v>4285</v>
      </c>
    </row>
    <row r="36" spans="1:11" x14ac:dyDescent="0.25">
      <c r="A36">
        <v>25</v>
      </c>
      <c r="B36" s="9" t="n">
        <v>2847.4914</v>
      </c>
      <c r="C36" s="9" t="n">
        <v>349.4206</v>
      </c>
      <c r="D36" s="9" t="n">
        <v>2186.9049</v>
      </c>
      <c r="E36" s="9">
        <f si="0" t="shared"/>
        <v>3647.574751277878</v>
      </c>
      <c r="G36">
        <v>25</v>
      </c>
      <c r="H36" t="n">
        <v>15522.0</v>
      </c>
      <c r="I36" t="n">
        <v>4865.0</v>
      </c>
      <c r="J36" s="20" t="n">
        <v>9040.0</v>
      </c>
      <c r="K36">
        <f si="1" t="shared"/>
        <v>3950</v>
      </c>
    </row>
    <row r="37" spans="1:11" x14ac:dyDescent="0.25">
      <c r="A37">
        <v>26</v>
      </c>
      <c r="B37" s="9" t="n">
        <v>2549.0357</v>
      </c>
      <c r="C37" s="9" t="n">
        <v>0.0</v>
      </c>
      <c r="D37" s="9" t="n">
        <v>1544.482</v>
      </c>
      <c r="E37" s="9">
        <f si="0" t="shared"/>
        <v>3515.8548142201398</v>
      </c>
      <c r="G37">
        <v>26</v>
      </c>
      <c r="H37" t="n">
        <v>8853.0</v>
      </c>
      <c r="I37" t="n">
        <v>2580.0</v>
      </c>
      <c r="J37" s="20" t="n">
        <v>6105.0</v>
      </c>
      <c r="K37">
        <f si="1" t="shared"/>
        <v>3745</v>
      </c>
    </row>
    <row r="38" spans="1:11" x14ac:dyDescent="0.25">
      <c r="A38">
        <v>27</v>
      </c>
      <c r="B38" s="9" t="n">
        <v>1010.0554</v>
      </c>
      <c r="C38" s="9" t="n">
        <v>0.0</v>
      </c>
      <c r="D38" s="9" t="n">
        <v>467.0931</v>
      </c>
      <c r="E38" s="9">
        <f si="0" t="shared"/>
        <v>1715.3910928606965</v>
      </c>
      <c r="G38">
        <v>27</v>
      </c>
      <c r="H38" t="n">
        <v>7856.0</v>
      </c>
      <c r="I38" t="n">
        <v>2345.0</v>
      </c>
      <c r="J38" s="20" t="n">
        <v>8756.0</v>
      </c>
      <c r="K38">
        <f si="1" t="shared"/>
        <v>3460</v>
      </c>
    </row>
    <row r="39" spans="1:11" x14ac:dyDescent="0.25">
      <c r="A39">
        <v>28</v>
      </c>
      <c r="B39" s="9" t="n">
        <v>1185.362</v>
      </c>
      <c r="C39" s="9" t="n">
        <v>701.3503000000001</v>
      </c>
      <c r="D39" s="9" t="n">
        <v>2341.1474000000003</v>
      </c>
      <c r="E39" s="9">
        <f si="0" t="shared"/>
        <v>2501.3072259998248</v>
      </c>
      <c r="G39">
        <v>28</v>
      </c>
      <c r="H39" t="n">
        <v>6359.0</v>
      </c>
      <c r="I39" t="n">
        <v>1845.0</v>
      </c>
      <c r="J39" s="20" t="n">
        <v>4631.0</v>
      </c>
      <c r="K39">
        <f si="1" t="shared"/>
        <v>3465</v>
      </c>
    </row>
    <row r="40" spans="1:11" x14ac:dyDescent="0.25">
      <c r="A40">
        <v>29</v>
      </c>
      <c r="B40" s="9" t="n">
        <v>639.048</v>
      </c>
      <c r="C40" s="9" t="n">
        <v>821.6894</v>
      </c>
      <c r="D40" s="9" t="n">
        <v>674.3978999999999</v>
      </c>
      <c r="E40" s="9">
        <f si="0" t="shared"/>
        <v>589.36103034721373</v>
      </c>
      <c r="G40">
        <v>29</v>
      </c>
      <c r="H40" t="n">
        <v>9139.0</v>
      </c>
      <c r="I40" t="n">
        <v>2680.0</v>
      </c>
      <c r="J40" s="20" t="n">
        <v>3679.0</v>
      </c>
      <c r="K40">
        <f si="1" t="shared"/>
        <v>3320</v>
      </c>
    </row>
    <row r="41" spans="1:11" x14ac:dyDescent="0.25">
      <c r="A41">
        <v>30</v>
      </c>
      <c r="B41" s="9" t="n">
        <v>2627.6826</v>
      </c>
      <c r="C41" s="9" t="n">
        <v>0.0</v>
      </c>
      <c r="D41" s="9" t="n">
        <v>42.477</v>
      </c>
      <c r="E41" s="9">
        <f si="0" t="shared"/>
        <v>1298.2861331964218</v>
      </c>
      <c r="G41">
        <v>30</v>
      </c>
      <c r="H41" t="n">
        <v>10000.0</v>
      </c>
      <c r="I41" t="n">
        <v>2492.0</v>
      </c>
      <c r="J41" s="20" t="n">
        <v>4957.0</v>
      </c>
      <c r="K41">
        <f si="1" t="shared"/>
        <v>3010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113.969</v>
      </c>
      <c r="E42" s="9">
        <f si="0" t="shared"/>
        <v>42.832754174231397</v>
      </c>
      <c r="G42">
        <v>31</v>
      </c>
      <c r="H42" t="n">
        <v>4706.0</v>
      </c>
      <c r="I42" t="n">
        <v>1322.0</v>
      </c>
      <c r="J42" s="20" t="n">
        <v>2507.0</v>
      </c>
      <c r="K42">
        <f si="1" t="shared"/>
        <v>2580</v>
      </c>
    </row>
    <row r="43" spans="1:11" x14ac:dyDescent="0.25">
      <c r="A43">
        <v>32</v>
      </c>
      <c r="B43" s="9" t="n">
        <v>1994.0143</v>
      </c>
      <c r="C43" s="9" t="n">
        <v>948.4001000000001</v>
      </c>
      <c r="D43" s="9" t="n">
        <v>845.8937</v>
      </c>
      <c r="E43" s="9">
        <f ref="E43:E74" si="2" t="shared">SUM(B43:D43)</f>
        <v>672.08091974741706</v>
      </c>
      <c r="G43">
        <v>32</v>
      </c>
      <c r="H43" t="n">
        <v>3837.0</v>
      </c>
      <c r="I43" t="n">
        <v>1058.0</v>
      </c>
      <c r="J43" s="20" t="n">
        <v>3830.0</v>
      </c>
      <c r="K43">
        <f ref="K43:K74" si="3" t="shared">SUM(H43:J43)</f>
        <v>2765</v>
      </c>
    </row>
    <row r="44" spans="1:11" x14ac:dyDescent="0.25">
      <c r="A44">
        <v>33</v>
      </c>
      <c r="B44" s="9" t="n">
        <v>2624.7584</v>
      </c>
      <c r="C44" s="9" t="n">
        <v>508.9171</v>
      </c>
      <c r="D44" s="9" t="n">
        <v>1216.0957</v>
      </c>
      <c r="E44" s="9">
        <f si="2" t="shared"/>
        <v>1232.1105808369894</v>
      </c>
      <c r="G44">
        <v>33</v>
      </c>
      <c r="H44" t="n">
        <v>3743.0</v>
      </c>
      <c r="I44" t="n">
        <v>1179.0</v>
      </c>
      <c r="J44" s="20" t="n">
        <v>3140.0</v>
      </c>
      <c r="K44">
        <f si="3" t="shared"/>
        <v>2535</v>
      </c>
    </row>
    <row r="45" spans="1:11" x14ac:dyDescent="0.25">
      <c r="A45">
        <v>34</v>
      </c>
      <c r="B45" s="9" t="n">
        <v>2516.501</v>
      </c>
      <c r="C45" s="9" t="n">
        <v>0.0</v>
      </c>
      <c r="D45" s="9" t="n">
        <v>763.0765</v>
      </c>
      <c r="E45" s="9">
        <f si="2" t="shared"/>
        <v>83.408383223706906</v>
      </c>
      <c r="G45">
        <v>34</v>
      </c>
      <c r="H45" t="n">
        <v>4952.0</v>
      </c>
      <c r="I45" t="n">
        <v>1390.0</v>
      </c>
      <c r="J45" s="20" t="n">
        <v>2403.0</v>
      </c>
      <c r="K45">
        <f si="3" t="shared"/>
        <v>2495</v>
      </c>
    </row>
    <row r="46" spans="1:11" x14ac:dyDescent="0.25">
      <c r="A46">
        <v>35</v>
      </c>
      <c r="B46" s="9" t="n">
        <v>862.2217999999999</v>
      </c>
      <c r="C46" s="9" t="n">
        <v>395.3072</v>
      </c>
      <c r="D46" s="9" t="n">
        <v>466.5508</v>
      </c>
      <c r="E46" s="9">
        <f si="2" t="shared"/>
        <v>1473.4864283193726</v>
      </c>
      <c r="G46">
        <v>35</v>
      </c>
      <c r="H46" t="n">
        <v>3022.0</v>
      </c>
      <c r="I46" t="n">
        <v>922.0</v>
      </c>
      <c r="J46" s="20" t="n">
        <v>2865.0</v>
      </c>
      <c r="K46">
        <f si="3" t="shared"/>
        <v>2200</v>
      </c>
    </row>
    <row r="47" spans="1:11" x14ac:dyDescent="0.25">
      <c r="A47">
        <v>36</v>
      </c>
      <c r="B47" s="9" t="n">
        <v>5346.3915</v>
      </c>
      <c r="C47" s="9" t="n">
        <v>438.0688</v>
      </c>
      <c r="D47" s="9" t="n">
        <v>354.3317</v>
      </c>
      <c r="E47" s="9">
        <f si="2" t="shared"/>
        <v>447.13569604237375</v>
      </c>
      <c r="G47">
        <v>36</v>
      </c>
      <c r="H47" t="n">
        <v>2803.0</v>
      </c>
      <c r="I47" t="n">
        <v>952.0</v>
      </c>
      <c r="J47" s="20" t="n">
        <v>2466.0</v>
      </c>
      <c r="K47">
        <f si="3" t="shared"/>
        <v>2250</v>
      </c>
    </row>
    <row r="48" spans="1:11" x14ac:dyDescent="0.25">
      <c r="A48">
        <v>37</v>
      </c>
      <c r="B48" s="9" t="n">
        <v>0.0</v>
      </c>
      <c r="C48" s="9" t="n">
        <v>0.0</v>
      </c>
      <c r="D48" s="9" t="n">
        <v>234.97289999999998</v>
      </c>
      <c r="E48" s="9">
        <f si="2" t="shared"/>
        <v>1065.3055583026483</v>
      </c>
      <c r="G48">
        <v>37</v>
      </c>
      <c r="H48" t="n">
        <v>2250.0</v>
      </c>
      <c r="I48" t="n">
        <v>754.0</v>
      </c>
      <c r="J48" s="20" t="n">
        <v>2139.0</v>
      </c>
      <c r="K48">
        <f si="3" t="shared"/>
        <v>1830</v>
      </c>
    </row>
    <row r="49" spans="1:11" x14ac:dyDescent="0.25">
      <c r="A49">
        <v>38</v>
      </c>
      <c r="B49" s="9" t="n">
        <v>0.0</v>
      </c>
      <c r="C49" s="9" t="n">
        <v>55.7339</v>
      </c>
      <c r="D49" s="9" t="n">
        <v>672.4785</v>
      </c>
      <c r="E49" s="9">
        <f si="2" t="shared"/>
        <v>131.5873075767644</v>
      </c>
      <c r="G49">
        <v>38</v>
      </c>
      <c r="H49" t="n">
        <v>1673.0</v>
      </c>
      <c r="I49" t="n">
        <v>650.0</v>
      </c>
      <c r="J49" s="20" t="n">
        <v>1590.0</v>
      </c>
      <c r="K49">
        <f si="3" t="shared"/>
        <v>1830</v>
      </c>
    </row>
    <row r="50" spans="1:11" x14ac:dyDescent="0.25">
      <c r="A50">
        <v>39</v>
      </c>
      <c r="B50" s="9" t="n">
        <v>358.9462</v>
      </c>
      <c r="C50" s="9" t="n">
        <v>602.8021</v>
      </c>
      <c r="D50" s="9" t="n">
        <v>691.1013</v>
      </c>
      <c r="E50" s="9">
        <f si="2" t="shared"/>
        <v>1213.4308849254967</v>
      </c>
      <c r="G50">
        <v>39</v>
      </c>
      <c r="H50" t="n">
        <v>1527.0</v>
      </c>
      <c r="I50" t="n">
        <v>565.0</v>
      </c>
      <c r="J50" s="20" t="n">
        <v>1653.0</v>
      </c>
      <c r="K50">
        <f si="3" t="shared"/>
        <v>1500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32.488</v>
      </c>
      <c r="E51" s="9">
        <f si="2" t="shared"/>
        <v>82.593932695325407</v>
      </c>
      <c r="G51">
        <v>40</v>
      </c>
      <c r="H51" t="n">
        <v>1389.0</v>
      </c>
      <c r="I51" t="n">
        <v>454.0</v>
      </c>
      <c r="J51" s="20" t="n">
        <v>1326.0</v>
      </c>
      <c r="K51">
        <f si="3" t="shared"/>
        <v>1365</v>
      </c>
    </row>
    <row r="52" spans="1:11" x14ac:dyDescent="0.25">
      <c r="A52">
        <v>41</v>
      </c>
      <c r="B52" s="9" t="n">
        <v>0.0</v>
      </c>
      <c r="C52" s="9" t="n">
        <v>0.0</v>
      </c>
      <c r="D52" s="9" t="n">
        <v>565.0115999999999</v>
      </c>
      <c r="E52" s="9">
        <f si="2" t="shared"/>
        <v>1240.2313526955127</v>
      </c>
      <c r="G52">
        <v>41</v>
      </c>
      <c r="H52" t="n">
        <v>630.0</v>
      </c>
      <c r="I52" t="n">
        <v>227.0</v>
      </c>
      <c r="J52" s="20" t="n">
        <v>1087.0</v>
      </c>
      <c r="K52">
        <f si="3" t="shared"/>
        <v>1180</v>
      </c>
    </row>
    <row r="53" spans="1:11" x14ac:dyDescent="0.25">
      <c r="A53">
        <v>42</v>
      </c>
      <c r="B53" s="9" t="n">
        <v>703.64</v>
      </c>
      <c r="C53" s="9" t="n">
        <v>0.0</v>
      </c>
      <c r="D53" s="9" t="n">
        <v>530.7236</v>
      </c>
      <c r="E53" s="9">
        <f si="2" t="shared"/>
        <v>0</v>
      </c>
      <c r="G53">
        <v>42</v>
      </c>
      <c r="H53" t="n">
        <v>664.0</v>
      </c>
      <c r="I53" t="n">
        <v>200.0</v>
      </c>
      <c r="J53" s="20" t="n">
        <v>999.0</v>
      </c>
      <c r="K53">
        <f si="3" t="shared"/>
        <v>1235</v>
      </c>
    </row>
    <row r="54" spans="1:11" x14ac:dyDescent="0.25">
      <c r="A54">
        <v>43</v>
      </c>
      <c r="B54" s="9" t="n">
        <v>770.1614</v>
      </c>
      <c r="C54" s="9" t="n">
        <v>0.0</v>
      </c>
      <c r="D54" s="9" t="n">
        <v>175.0316</v>
      </c>
      <c r="E54" s="9">
        <f si="2" t="shared"/>
        <v>189.11891134113228</v>
      </c>
      <c r="G54">
        <v>43</v>
      </c>
      <c r="H54" t="n">
        <v>561.0</v>
      </c>
      <c r="I54" t="n">
        <v>227.0</v>
      </c>
      <c r="J54" s="20" t="n">
        <v>1199.0</v>
      </c>
      <c r="K54">
        <f si="3" t="shared"/>
        <v>1060</v>
      </c>
    </row>
    <row r="55" spans="1:11" x14ac:dyDescent="0.25">
      <c r="A55">
        <v>44</v>
      </c>
      <c r="B55" s="9" t="n">
        <v>0.0</v>
      </c>
      <c r="C55" s="9" t="n">
        <v>0.0</v>
      </c>
      <c r="D55" s="9" t="n">
        <v>74.4186</v>
      </c>
      <c r="E55" s="9">
        <f si="2" t="shared"/>
        <v>1024.441176096773</v>
      </c>
      <c r="G55">
        <v>44</v>
      </c>
      <c r="H55" t="n">
        <v>451.0</v>
      </c>
      <c r="I55" t="n">
        <v>234.0</v>
      </c>
      <c r="J55" s="20" t="n">
        <v>836.0</v>
      </c>
      <c r="K55">
        <f si="3" t="shared"/>
        <v>835</v>
      </c>
    </row>
    <row r="56" spans="1:11" x14ac:dyDescent="0.25">
      <c r="A56">
        <v>45</v>
      </c>
      <c r="B56" s="9" t="n">
        <v>279.8517</v>
      </c>
      <c r="C56" s="9" t="n">
        <v>0.0</v>
      </c>
      <c r="D56" s="9" t="n">
        <v>4.11</v>
      </c>
      <c r="E56" s="9">
        <f si="2" t="shared"/>
        <v>1112.9279751078986</v>
      </c>
      <c r="G56">
        <v>45</v>
      </c>
      <c r="H56" t="n">
        <v>369.0</v>
      </c>
      <c r="I56" t="n">
        <v>210.0</v>
      </c>
      <c r="J56" s="20" t="n">
        <v>1400.0</v>
      </c>
      <c r="K56">
        <f si="3" t="shared"/>
        <v>1045</v>
      </c>
    </row>
    <row r="57" spans="1:11" x14ac:dyDescent="0.25">
      <c r="A57">
        <v>46</v>
      </c>
      <c r="B57" s="9" t="n">
        <v>156.5609</v>
      </c>
      <c r="C57" s="9" t="n">
        <v>872.3888</v>
      </c>
      <c r="D57" s="9" t="n">
        <v>372.2933</v>
      </c>
      <c r="E57" s="9">
        <f si="2" t="shared"/>
        <v>1350.4226961664137</v>
      </c>
      <c r="G57">
        <v>46</v>
      </c>
      <c r="H57" t="n">
        <v>241.0</v>
      </c>
      <c r="I57" t="n">
        <v>116.0</v>
      </c>
      <c r="J57" s="20" t="n">
        <v>629.0</v>
      </c>
      <c r="K57">
        <f si="3" t="shared"/>
        <v>860</v>
      </c>
    </row>
    <row r="58" spans="1:11" x14ac:dyDescent="0.25">
      <c r="A58">
        <v>47</v>
      </c>
      <c r="B58" s="9" t="n">
        <v>353.8466</v>
      </c>
      <c r="C58" s="9" t="n">
        <v>846.0343</v>
      </c>
      <c r="D58" s="9" t="n">
        <v>0.0</v>
      </c>
      <c r="E58" s="9">
        <f si="2" t="shared"/>
        <v>492.67394688875669</v>
      </c>
      <c r="G58">
        <v>47</v>
      </c>
      <c r="H58" t="n">
        <v>254.0</v>
      </c>
      <c r="I58" t="n">
        <v>165.0</v>
      </c>
      <c r="J58" s="20" t="n">
        <v>969.0</v>
      </c>
      <c r="K58">
        <f si="3" t="shared"/>
        <v>785</v>
      </c>
    </row>
    <row r="59" spans="1:11" x14ac:dyDescent="0.25">
      <c r="A59">
        <v>48</v>
      </c>
      <c r="B59" s="9" t="n">
        <v>1080.5828</v>
      </c>
      <c r="C59" s="9" t="n">
        <v>0.0</v>
      </c>
      <c r="D59" s="9" t="n">
        <v>179.7408</v>
      </c>
      <c r="E59" s="9">
        <f si="2" t="shared"/>
        <v>0</v>
      </c>
      <c r="G59">
        <v>48</v>
      </c>
      <c r="H59" t="n">
        <v>223.0</v>
      </c>
      <c r="I59" t="n">
        <v>135.0</v>
      </c>
      <c r="J59" s="20" t="n">
        <v>640.0</v>
      </c>
      <c r="K59">
        <f si="3" t="shared"/>
        <v>620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1500.0478</v>
      </c>
      <c r="E60" s="9">
        <f si="2" t="shared"/>
        <v>0</v>
      </c>
      <c r="G60">
        <v>49</v>
      </c>
      <c r="H60" t="n">
        <v>221.0</v>
      </c>
      <c r="I60" t="n">
        <v>110.0</v>
      </c>
      <c r="J60" s="20" t="n">
        <v>424.0</v>
      </c>
      <c r="K60">
        <f si="3" t="shared"/>
        <v>595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93.271</v>
      </c>
      <c r="E61" s="9">
        <f si="2" t="shared"/>
        <v>76.510484000817598</v>
      </c>
      <c r="G61">
        <v>50</v>
      </c>
      <c r="H61" t="n">
        <v>111.0</v>
      </c>
      <c r="I61" t="n">
        <v>79.0</v>
      </c>
      <c r="J61" s="20" t="n">
        <v>406.0</v>
      </c>
      <c r="K61">
        <f si="3" t="shared"/>
        <v>635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599.157</v>
      </c>
      <c r="E62" s="9">
        <f si="2" t="shared"/>
        <v>293.35538073419099</v>
      </c>
      <c r="G62">
        <v>51</v>
      </c>
      <c r="H62" t="n">
        <v>169.0</v>
      </c>
      <c r="I62" t="n">
        <v>97.0</v>
      </c>
      <c r="J62" s="20" t="n">
        <v>1138.0</v>
      </c>
      <c r="K62">
        <f si="3" t="shared"/>
        <v>535</v>
      </c>
    </row>
    <row r="63" spans="1:11" x14ac:dyDescent="0.25">
      <c r="A63">
        <v>52</v>
      </c>
      <c r="B63" s="9" t="n">
        <v>775.4409</v>
      </c>
      <c r="C63" s="9" t="n">
        <v>0.0</v>
      </c>
      <c r="D63" s="9" t="n">
        <v>31.211</v>
      </c>
      <c r="E63" s="9">
        <f si="2" t="shared"/>
        <v>864.53302089145097</v>
      </c>
      <c r="G63">
        <v>52</v>
      </c>
      <c r="H63" t="n">
        <v>204.0</v>
      </c>
      <c r="I63" t="n">
        <v>106.0</v>
      </c>
      <c r="J63" s="20" t="n">
        <v>1552.0</v>
      </c>
      <c r="K63">
        <f si="3" t="shared"/>
        <v>500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34.363</v>
      </c>
      <c r="E64" s="9">
        <f si="2" t="shared"/>
        <v>120.60217053173199</v>
      </c>
      <c r="G64">
        <v>53</v>
      </c>
      <c r="H64" t="n">
        <v>66.0</v>
      </c>
      <c r="I64" t="n">
        <v>58.0</v>
      </c>
      <c r="J64" s="20" t="n">
        <v>222.0</v>
      </c>
      <c r="K64">
        <f si="3" t="shared"/>
        <v>340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si="2" t="shared"/>
        <v>0</v>
      </c>
      <c r="G65">
        <v>54</v>
      </c>
      <c r="H65" t="n">
        <v>205.0</v>
      </c>
      <c r="I65" t="n">
        <v>76.0</v>
      </c>
      <c r="J65" s="20" t="n">
        <v>479.0</v>
      </c>
      <c r="K65">
        <f si="3" t="shared"/>
        <v>315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20.286</v>
      </c>
      <c r="E66" s="9">
        <f si="2" t="shared"/>
        <v>53.740541973535102</v>
      </c>
      <c r="G66">
        <v>55</v>
      </c>
      <c r="H66" t="n">
        <v>128.0</v>
      </c>
      <c r="I66" t="n">
        <v>70.0</v>
      </c>
      <c r="J66" s="20" t="n">
        <v>249.0</v>
      </c>
      <c r="K66">
        <f si="3" t="shared"/>
        <v>360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14.584</v>
      </c>
      <c r="E67" s="9">
        <f si="2" t="shared"/>
        <v>366.082424987433</v>
      </c>
      <c r="G67">
        <v>56</v>
      </c>
      <c r="H67" t="n">
        <v>82.0</v>
      </c>
      <c r="I67" t="n">
        <v>49.0</v>
      </c>
      <c r="J67" s="20" t="n">
        <v>214.0</v>
      </c>
      <c r="K67">
        <f si="3" t="shared"/>
        <v>275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236.0467</v>
      </c>
      <c r="E68" s="9">
        <f si="2" t="shared"/>
        <v>0</v>
      </c>
      <c r="G68">
        <v>57</v>
      </c>
      <c r="H68" t="n">
        <v>35.0</v>
      </c>
      <c r="I68" t="n">
        <v>41.0</v>
      </c>
      <c r="J68" s="20" t="n">
        <v>216.0</v>
      </c>
      <c r="K68">
        <f si="3" t="shared"/>
        <v>335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si="2" t="shared"/>
        <v>178.42366388132899</v>
      </c>
      <c r="G69">
        <v>58</v>
      </c>
      <c r="H69" t="n">
        <v>54.0</v>
      </c>
      <c r="I69" t="n">
        <v>39.0</v>
      </c>
      <c r="J69" s="20" t="n">
        <v>178.0</v>
      </c>
      <c r="K69">
        <f si="3" t="shared"/>
        <v>260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15.828</v>
      </c>
      <c r="E70" s="9">
        <f si="2" t="shared"/>
        <v>0</v>
      </c>
      <c r="G70">
        <v>59</v>
      </c>
      <c r="H70" t="n">
        <v>67.0</v>
      </c>
      <c r="I70" t="n">
        <v>47.0</v>
      </c>
      <c r="J70" s="20" t="n">
        <v>127.0</v>
      </c>
      <c r="K70">
        <f si="3" t="shared"/>
        <v>195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13.453</v>
      </c>
      <c r="E71" s="9">
        <f si="2" t="shared"/>
        <v>0</v>
      </c>
      <c r="G71">
        <v>60</v>
      </c>
      <c r="H71" t="n">
        <v>29.0</v>
      </c>
      <c r="I71" t="n">
        <v>42.0</v>
      </c>
      <c r="J71" s="20" t="n">
        <v>216.0</v>
      </c>
      <c r="K71">
        <f si="3" t="shared"/>
        <v>175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11.159</v>
      </c>
      <c r="E72" s="9">
        <f si="2" t="shared"/>
        <v>0</v>
      </c>
      <c r="G72">
        <v>61</v>
      </c>
      <c r="H72" t="n">
        <v>25.0</v>
      </c>
      <c r="I72" t="n">
        <v>25.0</v>
      </c>
      <c r="J72" s="20" t="n">
        <v>107.0</v>
      </c>
      <c r="K72">
        <f si="3" t="shared"/>
        <v>230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si="2" t="shared"/>
        <v>0</v>
      </c>
      <c r="G73">
        <v>62</v>
      </c>
      <c r="H73" t="n">
        <v>27.0</v>
      </c>
      <c r="I73" t="n">
        <v>27.0</v>
      </c>
      <c r="J73" s="20" t="n">
        <v>262.0</v>
      </c>
      <c r="K73">
        <f si="3" t="shared"/>
        <v>110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12.739</v>
      </c>
      <c r="E74" s="9">
        <f si="2" t="shared"/>
        <v>0</v>
      </c>
      <c r="G74">
        <v>63</v>
      </c>
      <c r="H74" t="n">
        <v>57.0</v>
      </c>
      <c r="I74" t="n">
        <v>31.0</v>
      </c>
      <c r="J74" s="20" t="n">
        <v>230.0</v>
      </c>
      <c r="K74">
        <f si="3" t="shared"/>
        <v>90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27.165</v>
      </c>
      <c r="E75" s="9">
        <f ref="E75:E101" si="4" t="shared">SUM(B75:D75)</f>
        <v>52.260477652302498</v>
      </c>
      <c r="G75">
        <v>64</v>
      </c>
      <c r="H75" t="n">
        <v>40.0</v>
      </c>
      <c r="I75" t="n">
        <v>26.0</v>
      </c>
      <c r="J75" s="20" t="n">
        <v>138.0</v>
      </c>
      <c r="K75">
        <f ref="K75:K101" si="5" t="shared">SUM(H75:J75)</f>
        <v>185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si="4" t="shared"/>
        <v>24.446344779506699</v>
      </c>
      <c r="G76">
        <v>65</v>
      </c>
      <c r="H76" t="n">
        <v>10.0</v>
      </c>
      <c r="I76" t="n">
        <v>9.0</v>
      </c>
      <c r="J76" s="20" t="n">
        <v>75.0</v>
      </c>
      <c r="K76">
        <f si="5" t="shared"/>
        <v>115</v>
      </c>
    </row>
    <row r="77" spans="1:11" x14ac:dyDescent="0.25">
      <c r="A77">
        <v>66</v>
      </c>
      <c r="B77" s="9" t="n">
        <v>0.0</v>
      </c>
      <c r="C77" s="9" t="n">
        <v>78.9631</v>
      </c>
      <c r="D77" s="9" t="n">
        <v>13.49</v>
      </c>
      <c r="E77" s="9">
        <f si="4" t="shared"/>
        <v>87.058854193600894</v>
      </c>
      <c r="G77">
        <v>66</v>
      </c>
      <c r="H77" t="n">
        <v>12.0</v>
      </c>
      <c r="I77" t="n">
        <v>7.0</v>
      </c>
      <c r="J77" s="20" t="n">
        <v>56.0</v>
      </c>
      <c r="K77">
        <f si="5" t="shared"/>
        <v>110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3.646</v>
      </c>
      <c r="E78" s="9">
        <f si="4" t="shared"/>
        <v>48.485455860049797</v>
      </c>
      <c r="G78">
        <v>67</v>
      </c>
      <c r="H78" t="n">
        <v>30.0</v>
      </c>
      <c r="I78" t="n">
        <v>17.0</v>
      </c>
      <c r="J78" s="20" t="n">
        <v>136.0</v>
      </c>
      <c r="K78">
        <f si="5" t="shared"/>
        <v>110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si="4" t="shared"/>
        <v>76.712448184677797</v>
      </c>
      <c r="G79">
        <v>68</v>
      </c>
      <c r="H79" t="n">
        <v>12.0</v>
      </c>
      <c r="I79" t="n">
        <v>11.0</v>
      </c>
      <c r="J79" s="20" t="n">
        <v>157.0</v>
      </c>
      <c r="K79">
        <f si="5" t="shared"/>
        <v>65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si="4" t="shared"/>
        <v>0</v>
      </c>
      <c r="G80">
        <v>69</v>
      </c>
      <c r="H80" t="n">
        <v>5.0</v>
      </c>
      <c r="I80" t="n">
        <v>9.0</v>
      </c>
      <c r="J80" s="20" t="n">
        <v>45.0</v>
      </c>
      <c r="K80">
        <f si="5" t="shared"/>
        <v>45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468.9894</v>
      </c>
      <c r="E81" s="9">
        <f si="4" t="shared"/>
        <v>0</v>
      </c>
      <c r="G81">
        <v>70</v>
      </c>
      <c r="H81" t="n">
        <v>4.0</v>
      </c>
      <c r="I81" t="n">
        <v>9.0</v>
      </c>
      <c r="J81" s="20" t="n">
        <v>63.0</v>
      </c>
      <c r="K81">
        <f si="5" t="shared"/>
        <v>25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si="4" t="shared"/>
        <v>0</v>
      </c>
      <c r="G82">
        <v>71</v>
      </c>
      <c r="H82" t="n">
        <v>2.0</v>
      </c>
      <c r="I82" t="n">
        <v>5.0</v>
      </c>
      <c r="J82" s="20" t="n">
        <v>49.0</v>
      </c>
      <c r="K82">
        <f si="5" t="shared"/>
        <v>35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4.077</v>
      </c>
      <c r="E83" s="9">
        <f si="4" t="shared"/>
        <v>0</v>
      </c>
      <c r="G83">
        <v>72</v>
      </c>
      <c r="H83" t="n">
        <v>3.0</v>
      </c>
      <c r="I83" t="n">
        <v>9.0</v>
      </c>
      <c r="J83" s="20" t="n">
        <v>25.0</v>
      </c>
      <c r="K83">
        <f si="5" t="shared"/>
        <v>60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4.443</v>
      </c>
      <c r="E84" s="9">
        <f si="4" t="shared"/>
        <v>0</v>
      </c>
      <c r="G84">
        <v>73</v>
      </c>
      <c r="H84" t="n">
        <v>11.0</v>
      </c>
      <c r="I84" t="n">
        <v>7.0</v>
      </c>
      <c r="J84" s="20" t="n">
        <v>41.0</v>
      </c>
      <c r="K84">
        <f si="5" t="shared"/>
        <v>30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238.0368</v>
      </c>
      <c r="E85" s="9">
        <f si="4" t="shared"/>
        <v>0</v>
      </c>
      <c r="G85">
        <v>74</v>
      </c>
      <c r="H85" t="n">
        <v>1.0</v>
      </c>
      <c r="I85" t="n">
        <v>3.0</v>
      </c>
      <c r="J85" s="20" t="n">
        <v>30.0</v>
      </c>
      <c r="K85">
        <f si="5" t="shared"/>
        <v>25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13.605</v>
      </c>
      <c r="E86" s="9">
        <f si="4" t="shared"/>
        <v>0</v>
      </c>
      <c r="G86">
        <v>75</v>
      </c>
      <c r="H86" t="n">
        <v>3.0</v>
      </c>
      <c r="I86" t="n">
        <v>10.0</v>
      </c>
      <c r="J86" s="20" t="n">
        <v>23.0</v>
      </c>
      <c r="K86">
        <f si="5" t="shared"/>
        <v>20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360.6871</v>
      </c>
      <c r="E87" s="9">
        <f si="4" t="shared"/>
        <v>0</v>
      </c>
      <c r="G87">
        <v>76</v>
      </c>
      <c r="H87" t="n">
        <v>3.0</v>
      </c>
      <c r="I87" t="n">
        <v>5.0</v>
      </c>
      <c r="J87" s="20" t="n">
        <v>11.0</v>
      </c>
      <c r="K87">
        <f si="5" t="shared"/>
        <v>10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18.192</v>
      </c>
      <c r="E88" s="9">
        <f si="4" t="shared"/>
        <v>0</v>
      </c>
      <c r="G88">
        <v>77</v>
      </c>
      <c r="H88" t="n">
        <v>5.0</v>
      </c>
      <c r="I88" t="n">
        <v>5.0</v>
      </c>
      <c r="J88" s="20" t="n">
        <v>24.0</v>
      </c>
      <c r="K88">
        <f si="5" t="shared"/>
        <v>10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35.025</v>
      </c>
      <c r="E89" s="9">
        <f si="4" t="shared"/>
        <v>27.341225260835301</v>
      </c>
      <c r="G89">
        <v>78</v>
      </c>
      <c r="H89" t="n">
        <v>4.0</v>
      </c>
      <c r="I89" t="n">
        <v>2.0</v>
      </c>
      <c r="J89" s="20" t="n">
        <v>34.0</v>
      </c>
      <c r="K89">
        <f si="5" t="shared"/>
        <v>15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8.536000000000001</v>
      </c>
      <c r="E90" s="9">
        <f si="4" t="shared"/>
        <v>0</v>
      </c>
      <c r="G90">
        <v>79</v>
      </c>
      <c r="H90" t="n">
        <v>1.0</v>
      </c>
      <c r="I90" t="n">
        <v>1.0</v>
      </c>
      <c r="J90" s="20" t="n">
        <v>11.0</v>
      </c>
      <c r="K90">
        <f si="5" t="shared"/>
        <v>15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si="4" t="shared"/>
        <v>131.80480166723399</v>
      </c>
      <c r="G91">
        <v>80</v>
      </c>
      <c r="H91" t="n">
        <v>7.0</v>
      </c>
      <c r="I91" t="n">
        <v>3.0</v>
      </c>
      <c r="J91" s="20" t="n">
        <v>6.0</v>
      </c>
      <c r="K91">
        <f si="5" t="shared"/>
        <v>0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si="4" t="shared"/>
        <v>0</v>
      </c>
      <c r="G92">
        <v>81</v>
      </c>
      <c r="H92" t="n">
        <v>7.0</v>
      </c>
      <c r="I92" t="n">
        <v>2.0</v>
      </c>
      <c r="J92" s="20" t="n">
        <v>42.0</v>
      </c>
      <c r="K92">
        <f si="5" t="shared"/>
        <v>0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17.632</v>
      </c>
      <c r="E93" s="9">
        <f si="4" t="shared"/>
        <v>35.796826948541302</v>
      </c>
      <c r="G93">
        <v>82</v>
      </c>
      <c r="H93" t="n">
        <v>0.0</v>
      </c>
      <c r="I93" t="n">
        <v>0.0</v>
      </c>
      <c r="J93" s="20" t="n">
        <v>23.0</v>
      </c>
      <c r="K93">
        <f si="5" t="shared"/>
        <v>5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si="4" t="shared"/>
        <v>0</v>
      </c>
      <c r="G94">
        <v>83</v>
      </c>
      <c r="H94" t="n">
        <v>0.0</v>
      </c>
      <c r="I94" t="n">
        <v>4.0</v>
      </c>
      <c r="J94" s="20" t="n">
        <v>18.0</v>
      </c>
      <c r="K94">
        <f si="5" t="shared"/>
        <v>5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si="4" t="shared"/>
        <v>0</v>
      </c>
      <c r="G95">
        <v>84</v>
      </c>
      <c r="H95" t="n">
        <v>0.0</v>
      </c>
      <c r="I95" t="n">
        <v>1.0</v>
      </c>
      <c r="J95" s="20" t="n">
        <v>9.0</v>
      </c>
      <c r="K95">
        <f si="5" t="shared"/>
        <v>5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4" t="shared"/>
        <v>0</v>
      </c>
      <c r="G96">
        <v>85</v>
      </c>
      <c r="H96" t="n">
        <v>1.0</v>
      </c>
      <c r="I96" t="n">
        <v>0.0</v>
      </c>
      <c r="J96" s="20" t="n">
        <v>16.0</v>
      </c>
      <c r="K96">
        <f si="5" t="shared"/>
        <v>0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4" t="shared"/>
        <v>0</v>
      </c>
      <c r="G97">
        <v>86</v>
      </c>
      <c r="H97" t="n">
        <v>0.0</v>
      </c>
      <c r="I97" t="n">
        <v>1.0</v>
      </c>
      <c r="J97" s="20" t="n">
        <v>5.0</v>
      </c>
      <c r="K97">
        <f si="5" t="shared"/>
        <v>5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4.077</v>
      </c>
      <c r="E98" s="9">
        <f si="4" t="shared"/>
        <v>0</v>
      </c>
      <c r="G98">
        <v>87</v>
      </c>
      <c r="H98" t="n">
        <v>0.0</v>
      </c>
      <c r="I98" t="n">
        <v>0.0</v>
      </c>
      <c r="J98" s="20" t="n">
        <v>9.0</v>
      </c>
      <c r="K98">
        <f si="5" t="shared"/>
        <v>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4" t="shared"/>
        <v>0</v>
      </c>
      <c r="G99">
        <v>88</v>
      </c>
      <c r="H99" t="n">
        <v>0.0</v>
      </c>
      <c r="I99" t="n">
        <v>3.0</v>
      </c>
      <c r="J99" s="20" t="n">
        <v>0.0</v>
      </c>
      <c r="K99">
        <f si="5" t="shared"/>
        <v>0</v>
      </c>
    </row>
    <row r="100" spans="1:11" x14ac:dyDescent="0.25">
      <c r="A100">
        <v>89</v>
      </c>
      <c r="B100" s="9" t="n">
        <v>0.0</v>
      </c>
      <c r="C100" s="9" t="n">
        <v>0.0</v>
      </c>
      <c r="D100" s="9" t="n">
        <v>788.4513999999999</v>
      </c>
      <c r="E100" s="9">
        <f si="4" t="shared"/>
        <v>0</v>
      </c>
      <c r="G100">
        <v>89</v>
      </c>
      <c r="H100" t="n">
        <v>11.0</v>
      </c>
      <c r="I100" t="n">
        <v>5.0</v>
      </c>
      <c r="J100" s="20" t="n">
        <v>58.0</v>
      </c>
      <c r="K100">
        <f si="5" t="shared"/>
        <v>5</v>
      </c>
    </row>
    <row ht="15.75" r="101" spans="1:11" thickBot="1" x14ac:dyDescent="0.3">
      <c r="A101" s="1">
        <v>90</v>
      </c>
      <c r="B101" s="10" t="n">
        <v>56177.1072</v>
      </c>
      <c r="C101" s="10" t="n">
        <v>10417.5607</v>
      </c>
      <c r="D101" s="10" t="n">
        <v>42483.8395</v>
      </c>
      <c r="E101" s="10">
        <f si="4" t="shared"/>
        <v>0</v>
      </c>
      <c r="G101" s="1">
        <v>90</v>
      </c>
      <c r="H101" s="1" t="n">
        <v>21546.0</v>
      </c>
      <c r="I101" s="1" t="n">
        <v>0.0</v>
      </c>
      <c r="J101" s="1" t="n">
        <v>0.0</v>
      </c>
      <c r="K101" s="1">
        <f si="5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22"/>
  <sheetViews>
    <sheetView workbookViewId="0">
      <selection activeCell="D7" sqref="D7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19</v>
      </c>
    </row>
    <row r="2" spans="1:12" x14ac:dyDescent="0.25">
      <c r="A2" t="s">
        <v>35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ht="15.75" r="9" spans="1:12" thickBot="1" x14ac:dyDescent="0.3">
      <c r="A9" s="4" t="s">
        <v>210</v>
      </c>
      <c r="B9" s="1"/>
      <c r="C9" s="1"/>
      <c r="D9" s="1"/>
      <c r="E9" s="1"/>
      <c r="H9" s="4" t="s">
        <v>13</v>
      </c>
      <c r="I9" s="1"/>
      <c r="J9" s="1"/>
      <c r="K9" s="1"/>
      <c r="L9" s="1"/>
    </row>
    <row r="10" spans="1:12" x14ac:dyDescent="0.25">
      <c r="A10" s="2" t="s">
        <v>18</v>
      </c>
      <c r="B10" s="5" t="s">
        <v>48</v>
      </c>
      <c r="C10" s="5" t="s">
        <v>49</v>
      </c>
      <c r="D10" s="5" t="s">
        <v>50</v>
      </c>
      <c r="E10" s="5" t="s">
        <v>3</v>
      </c>
      <c r="H10" s="2" t="s">
        <v>18</v>
      </c>
      <c r="I10" s="5" t="s">
        <v>48</v>
      </c>
      <c r="J10" s="5" t="s">
        <v>49</v>
      </c>
      <c r="K10" s="5" t="s">
        <v>50</v>
      </c>
      <c r="L10" s="5" t="s">
        <v>3</v>
      </c>
    </row>
    <row r="11" spans="1:12" x14ac:dyDescent="0.25">
      <c r="A11" t="s">
        <v>20</v>
      </c>
      <c r="B11" s="13">
        <f>SUM(TDFD!B11:B15)</f>
        <v>19269.55697138156</v>
      </c>
      <c r="C11" s="13">
        <f>SUM(TDFD!C11:C15)</f>
        <v>2811.2316460595362</v>
      </c>
      <c r="D11" s="13">
        <f>SUM(TDFD!D11:D15)</f>
        <v>3533.7908454940962</v>
      </c>
      <c r="E11" s="13">
        <f>SUM(TDFD!E11:E15)</f>
        <v>25614.579462935195</v>
      </c>
      <c r="H11" t="s">
        <v>20</v>
      </c>
      <c r="I11" s="13">
        <f>SUM(TDFD!H11:H15)</f>
        <v>55750</v>
      </c>
      <c r="J11" s="13">
        <f>SUM(TDFD!I11:I15)</f>
        <v>4605</v>
      </c>
      <c r="K11" s="13">
        <f>SUM(TDFD!J11:J15)</f>
        <v>5145</v>
      </c>
      <c r="L11" s="13">
        <f>SUM(TDFD!K11:K15)</f>
        <v>65500</v>
      </c>
    </row>
    <row r="12" spans="1:12" x14ac:dyDescent="0.25">
      <c r="A12" t="s">
        <v>21</v>
      </c>
      <c r="B12" s="13">
        <f>SUM(TDFD!B16:B20)</f>
        <v>82049.527677731821</v>
      </c>
      <c r="C12" s="13">
        <f>SUM(TDFD!C16:C20)</f>
        <v>10892.405253681074</v>
      </c>
      <c r="D12" s="13">
        <f>SUM(TDFD!D16:D20)</f>
        <v>10202.659537565574</v>
      </c>
      <c r="E12" s="13">
        <f>SUM(TDFD!E16:E20)</f>
        <v>103144.59246897847</v>
      </c>
      <c r="H12" t="s">
        <v>21</v>
      </c>
      <c r="I12" s="13">
        <f>SUM(TDFD!H16:H20)</f>
        <v>83620</v>
      </c>
      <c r="J12" s="13">
        <f>SUM(TDFD!I16:I20)</f>
        <v>17155</v>
      </c>
      <c r="K12" s="13">
        <f>SUM(TDFD!J16:J20)</f>
        <v>18045</v>
      </c>
      <c r="L12" s="13">
        <f>SUM(TDFD!K16:K20)</f>
        <v>118820</v>
      </c>
    </row>
    <row r="13" spans="1:12" x14ac:dyDescent="0.25">
      <c r="A13" t="s">
        <v>22</v>
      </c>
      <c r="B13" s="13">
        <f>SUM(TDFD!B21:B25)</f>
        <v>39240.302354497362</v>
      </c>
      <c r="C13" s="13">
        <f>SUM(TDFD!C21:C25)</f>
        <v>11830.386354435253</v>
      </c>
      <c r="D13" s="13">
        <f>SUM(TDFD!D21:D25)</f>
        <v>4758.6864650854641</v>
      </c>
      <c r="E13" s="13">
        <f>SUM(TDFD!E21:E25)</f>
        <v>55829.375174018081</v>
      </c>
      <c r="H13" t="s">
        <v>22</v>
      </c>
      <c r="I13" s="13">
        <f>SUM(TDFD!H21:H25)</f>
        <v>21640</v>
      </c>
      <c r="J13" s="13">
        <f>SUM(TDFD!I21:I25)</f>
        <v>12445</v>
      </c>
      <c r="K13" s="13">
        <f>SUM(TDFD!J21:J25)</f>
        <v>12650</v>
      </c>
      <c r="L13" s="13">
        <f>SUM(TDFD!K21:K25)</f>
        <v>46735</v>
      </c>
    </row>
    <row r="14" spans="1:12" x14ac:dyDescent="0.25">
      <c r="A14" t="s">
        <v>23</v>
      </c>
      <c r="B14" s="13">
        <f>SUM(TDFD!B26:B30)</f>
        <v>11471.182528318792</v>
      </c>
      <c r="C14" s="13">
        <f>SUM(TDFD!C26:C30)</f>
        <v>4031.6644451364728</v>
      </c>
      <c r="D14" s="13">
        <f>SUM(TDFD!D26:D30)</f>
        <v>5483.8895977421753</v>
      </c>
      <c r="E14" s="13">
        <f>SUM(TDFD!E26:E30)</f>
        <v>20986.736571197438</v>
      </c>
      <c r="H14" t="s">
        <v>23</v>
      </c>
      <c r="I14" s="13">
        <f>SUM(TDFD!H26:H30)</f>
        <v>16235</v>
      </c>
      <c r="J14" s="13">
        <f>SUM(TDFD!I26:I30)</f>
        <v>6755</v>
      </c>
      <c r="K14" s="13">
        <f>SUM(TDFD!J26:J30)</f>
        <v>7805</v>
      </c>
      <c r="L14" s="13">
        <f>SUM(TDFD!K26:K30)</f>
        <v>30795</v>
      </c>
    </row>
    <row r="15" spans="1:12" x14ac:dyDescent="0.25">
      <c r="A15" t="s">
        <v>24</v>
      </c>
      <c r="B15" s="13">
        <f>SUM(TDFD!B31:B35)</f>
        <v>6443.0641134315219</v>
      </c>
      <c r="C15" s="13">
        <f>SUM(TDFD!C31:C35)</f>
        <v>5039.868050670726</v>
      </c>
      <c r="D15" s="13">
        <f>SUM(TDFD!D31:D35)</f>
        <v>6981.1081259306175</v>
      </c>
      <c r="E15" s="13">
        <f>SUM(TDFD!E31:E35)</f>
        <v>18464.040290032866</v>
      </c>
      <c r="H15" t="s">
        <v>24</v>
      </c>
      <c r="I15" s="13">
        <f>SUM(TDFD!H31:H35)</f>
        <v>12715</v>
      </c>
      <c r="J15" s="13">
        <f>SUM(TDFD!I31:I35)</f>
        <v>3565</v>
      </c>
      <c r="K15" s="13">
        <f>SUM(TDFD!J31:J35)</f>
        <v>7105</v>
      </c>
      <c r="L15" s="13">
        <f>SUM(TDFD!K31:K35)</f>
        <v>23385</v>
      </c>
    </row>
    <row r="16" spans="1:12" x14ac:dyDescent="0.25">
      <c r="A16" t="s">
        <v>25</v>
      </c>
      <c r="B16" s="13">
        <f>SUM(TDFD!B36:B40)</f>
        <v>5325.4595172464979</v>
      </c>
      <c r="C16" s="13">
        <f>SUM(TDFD!C36:C40)</f>
        <v>2650.703960965905</v>
      </c>
      <c r="D16" s="13">
        <f>SUM(TDFD!D36:D40)</f>
        <v>3993.32543649335</v>
      </c>
      <c r="E16" s="13">
        <f>SUM(TDFD!E36:E40)</f>
        <v>11969.488914705753</v>
      </c>
      <c r="H16" t="s">
        <v>25</v>
      </c>
      <c r="I16" s="13">
        <f>SUM(TDFD!H36:H40)</f>
        <v>9960</v>
      </c>
      <c r="J16" s="13">
        <f>SUM(TDFD!I36:I40)</f>
        <v>2105</v>
      </c>
      <c r="K16" s="13">
        <f>SUM(TDFD!J36:J40)</f>
        <v>5875</v>
      </c>
      <c r="L16" s="13">
        <f>SUM(TDFD!K36:K40)</f>
        <v>17940</v>
      </c>
    </row>
    <row r="17" spans="1:12" x14ac:dyDescent="0.25">
      <c r="A17" t="s">
        <v>26</v>
      </c>
      <c r="B17" s="13">
        <f>SUM(TDFD!B41:B45)</f>
        <v>1819.9422355053548</v>
      </c>
      <c r="C17" s="13">
        <f>SUM(TDFD!C41:C45)</f>
        <v>277.4739918008205</v>
      </c>
      <c r="D17" s="13">
        <f>SUM(TDFD!D41:D45)</f>
        <v>1231.3025438725913</v>
      </c>
      <c r="E17" s="13">
        <f>SUM(TDFD!E41:E45)</f>
        <v>3328.7187711787669</v>
      </c>
      <c r="H17" t="s">
        <v>26</v>
      </c>
      <c r="I17" s="13">
        <f>SUM(TDFD!H41:H45)</f>
        <v>7230</v>
      </c>
      <c r="J17" s="13">
        <f>SUM(TDFD!I41:I45)</f>
        <v>1280</v>
      </c>
      <c r="K17" s="13">
        <f>SUM(TDFD!J41:J45)</f>
        <v>4875</v>
      </c>
      <c r="L17" s="13">
        <f>SUM(TDFD!K41:K45)</f>
        <v>13385</v>
      </c>
    </row>
    <row r="18" spans="1:12" x14ac:dyDescent="0.25">
      <c r="A18" t="s">
        <v>27</v>
      </c>
      <c r="B18" s="13">
        <f>SUM(TDFD!B46:B50)</f>
        <v>1014.9736582360533</v>
      </c>
      <c r="C18" s="13">
        <f>SUM(TDFD!C46:C50)</f>
        <v>889.2152603079785</v>
      </c>
      <c r="D18" s="13">
        <f>SUM(TDFD!D46:D50)</f>
        <v>2426.7569566226239</v>
      </c>
      <c r="E18" s="13">
        <f>SUM(TDFD!E46:E50)</f>
        <v>4330.9458751666552</v>
      </c>
      <c r="H18" t="s">
        <v>27</v>
      </c>
      <c r="I18" s="13">
        <f>SUM(TDFD!H46:H50)</f>
        <v>5050</v>
      </c>
      <c r="J18" s="13">
        <f>SUM(TDFD!I46:I50)</f>
        <v>770</v>
      </c>
      <c r="K18" s="13">
        <f>SUM(TDFD!J46:J50)</f>
        <v>3790</v>
      </c>
      <c r="L18" s="13">
        <f>SUM(TDFD!K46:K50)</f>
        <v>9610</v>
      </c>
    </row>
    <row r="19" spans="1:12" x14ac:dyDescent="0.25">
      <c r="A19" t="s">
        <v>28</v>
      </c>
      <c r="B19" s="13">
        <f>SUM(TDFD!B51:B55)</f>
        <v>147.12310226922278</v>
      </c>
      <c r="C19" s="13">
        <f>SUM(TDFD!C51:C55)</f>
        <v>795.81044625857794</v>
      </c>
      <c r="D19" s="13">
        <f>SUM(TDFD!D51:D55)</f>
        <v>1593.4518243009427</v>
      </c>
      <c r="E19" s="13">
        <f>SUM(TDFD!E51:E55)</f>
        <v>2536.3853728287431</v>
      </c>
      <c r="H19" t="s">
        <v>28</v>
      </c>
      <c r="I19" s="13">
        <f>SUM(TDFD!H51:H55)</f>
        <v>3140</v>
      </c>
      <c r="J19" s="13">
        <f>SUM(TDFD!I51:I55)</f>
        <v>290</v>
      </c>
      <c r="K19" s="13">
        <f>SUM(TDFD!J51:J55)</f>
        <v>2245</v>
      </c>
      <c r="L19" s="13">
        <f>SUM(TDFD!K51:K55)</f>
        <v>5675</v>
      </c>
    </row>
    <row r="20" spans="1:12" x14ac:dyDescent="0.25">
      <c r="A20" t="s">
        <v>29</v>
      </c>
      <c r="B20" s="13">
        <f>SUM(TDFD!B56:B70)</f>
        <v>1131.9834872716528</v>
      </c>
      <c r="C20" s="13">
        <f>SUM(TDFD!C56:C70)</f>
        <v>107.823473188872</v>
      </c>
      <c r="D20" s="13">
        <f>SUM(TDFD!D56:D70)</f>
        <v>3669.4653447030337</v>
      </c>
      <c r="E20" s="13">
        <f>SUM(TDFD!E56:E70)</f>
        <v>4909.2723051635576</v>
      </c>
      <c r="H20" t="s">
        <v>29</v>
      </c>
      <c r="I20" s="13">
        <f>SUM(TDFD!H56:H70)</f>
        <v>3915</v>
      </c>
      <c r="J20" s="13">
        <f>SUM(TDFD!I56:I70)</f>
        <v>375</v>
      </c>
      <c r="K20" s="13">
        <f>SUM(TDFD!J56:J70)</f>
        <v>3365</v>
      </c>
      <c r="L20" s="13">
        <f>SUM(TDFD!K56:K70)</f>
        <v>7655</v>
      </c>
    </row>
    <row r="21" spans="1:12" x14ac:dyDescent="0.25">
      <c r="A21" t="s">
        <v>30</v>
      </c>
      <c r="B21" s="13">
        <f>SUM(TDFD!B71:B100)</f>
        <v>0</v>
      </c>
      <c r="C21" s="13">
        <f>SUM(TDFD!C71:C100)</f>
        <v>0</v>
      </c>
      <c r="D21" s="13">
        <f>SUM(TDFD!D71:D100)</f>
        <v>483.90643454674824</v>
      </c>
      <c r="E21" s="13">
        <f>SUM(TDFD!E71:E100)</f>
        <v>483.90643454674824</v>
      </c>
      <c r="H21" t="s">
        <v>30</v>
      </c>
      <c r="I21" s="13">
        <f>SUM(TDFD!H71:H100)</f>
        <v>695</v>
      </c>
      <c r="J21" s="13">
        <f>SUM(TDFD!I71:I100)</f>
        <v>60</v>
      </c>
      <c r="K21" s="13">
        <f>SUM(TDFD!J71:J100)</f>
        <v>750</v>
      </c>
      <c r="L21" s="13">
        <f>SUM(TDFD!K71:K100)</f>
        <v>1505</v>
      </c>
    </row>
    <row ht="15.75" r="22" spans="1:12" thickBot="1" x14ac:dyDescent="0.3">
      <c r="A22" s="1" t="s">
        <v>31</v>
      </c>
      <c r="B22" s="14">
        <f>TDFD!B101</f>
        <v>0</v>
      </c>
      <c r="C22" s="14">
        <f>TDFD!C101</f>
        <v>0</v>
      </c>
      <c r="D22" s="14">
        <f>TDFD!D101</f>
        <v>0</v>
      </c>
      <c r="E22" s="14">
        <f>TDFD!E101</f>
        <v>0</v>
      </c>
      <c r="H22" s="1" t="s">
        <v>31</v>
      </c>
      <c r="I22" s="14">
        <f>TDFD!H101</f>
        <v>0</v>
      </c>
      <c r="J22" s="14">
        <f>TDFD!I101</f>
        <v>0</v>
      </c>
      <c r="K22" s="14">
        <f>TDFD!J101</f>
        <v>0</v>
      </c>
      <c r="L22" s="14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52"/>
  <sheetViews>
    <sheetView workbookViewId="0">
      <selection activeCell="A45" sqref="A4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32</v>
      </c>
    </row>
    <row r="2" spans="1:22" x14ac:dyDescent="0.25">
      <c r="A2" t="s">
        <v>77</v>
      </c>
    </row>
    <row ht="15.75" r="5" spans="1:22" thickBot="1" x14ac:dyDescent="0.3">
      <c r="A5" s="4" t="s">
        <v>211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3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3</v>
      </c>
    </row>
    <row r="7" spans="1:22" x14ac:dyDescent="0.25">
      <c r="A7" s="53" t="s">
        <v>81</v>
      </c>
      <c r="B7" s="21" t="n">
        <v>69490.8163</v>
      </c>
      <c r="C7" s="21" t="n">
        <v>2336.8833</v>
      </c>
      <c r="D7" s="21" t="n">
        <v>1679.9229</v>
      </c>
      <c r="E7" s="21" t="n">
        <v>681.6921</v>
      </c>
      <c r="F7" s="21" t="n">
        <v>0.0</v>
      </c>
      <c r="G7" s="21" t="n">
        <v>8297.346599999999</v>
      </c>
      <c r="H7" s="21" t="n">
        <v>0.0</v>
      </c>
      <c r="I7" s="21" t="n">
        <v>22604.551199999998</v>
      </c>
      <c r="J7" s="21">
        <f>SUM(B7:I7)</f>
        <v>36477.124583558281</v>
      </c>
      <c r="K7" s="21"/>
      <c r="L7" t="str">
        <f>$A$7</f>
        <v>Williamson</v>
      </c>
      <c r="M7" s="21" t="n">
        <v>68270.0</v>
      </c>
      <c r="N7" s="21" t="n">
        <v>22669.0</v>
      </c>
      <c r="O7" s="21" t="n">
        <v>3509.0</v>
      </c>
      <c r="P7" s="21" t="n">
        <v>300.0</v>
      </c>
      <c r="Q7" s="21" t="n">
        <v>46.0</v>
      </c>
      <c r="R7" s="21" t="n">
        <v>7780.0</v>
      </c>
      <c r="S7" s="21" t="n">
        <v>66.0</v>
      </c>
      <c r="T7" s="21" t="n">
        <v>2960.0</v>
      </c>
      <c r="U7" s="21">
        <f>SUM(M7:T7)</f>
        <v>46675</v>
      </c>
    </row>
    <row r="8" spans="1:22" x14ac:dyDescent="0.25">
      <c r="A8" s="7" t="s">
        <v>82</v>
      </c>
      <c r="B8" s="22" t="n">
        <v>4913.7341</v>
      </c>
      <c r="C8" s="22" t="n">
        <v>24023.481</v>
      </c>
      <c r="D8" s="22" t="n">
        <v>1664.5089</v>
      </c>
      <c r="E8" s="22" t="n">
        <v>283.9797</v>
      </c>
      <c r="F8" s="22" t="n">
        <v>0.0</v>
      </c>
      <c r="G8" s="22" t="n">
        <v>1260.8373</v>
      </c>
      <c r="H8" s="22" t="n">
        <v>0.0</v>
      </c>
      <c r="I8" s="22" t="n">
        <v>8980.1826</v>
      </c>
      <c r="J8" s="22">
        <f ref="J8:J12" si="0" t="shared">SUM(B8:I8)</f>
        <v>49766.268288761908</v>
      </c>
      <c r="K8" s="21"/>
      <c r="L8" s="7" t="str">
        <f>$A$8</f>
        <v>Rutherford</v>
      </c>
      <c r="M8" s="22" t="n">
        <v>6063.0</v>
      </c>
      <c r="N8" s="22" t="n">
        <v>41500.0</v>
      </c>
      <c r="O8" s="22" t="n">
        <v>3569.0</v>
      </c>
      <c r="P8" s="22" t="n">
        <v>269.0</v>
      </c>
      <c r="Q8" s="22" t="n">
        <v>49.0</v>
      </c>
      <c r="R8" s="22" t="n">
        <v>1401.0</v>
      </c>
      <c r="S8" s="22" t="n">
        <v>23.0</v>
      </c>
      <c r="T8" s="22" t="n">
        <v>1147.0</v>
      </c>
      <c r="U8" s="22">
        <f>SUM(M8:T8)</f>
        <v>67815</v>
      </c>
    </row>
    <row r="9" spans="1:22" x14ac:dyDescent="0.25">
      <c r="A9" s="7" t="s">
        <v>83</v>
      </c>
      <c r="B9" s="22" t="n">
        <v>0.0</v>
      </c>
      <c r="C9" s="22" t="n">
        <v>623.8836</v>
      </c>
      <c r="D9" s="22" t="n">
        <v>48796.199</v>
      </c>
      <c r="E9" s="22" t="n">
        <v>1945.1688</v>
      </c>
      <c r="F9" s="22" t="n">
        <v>0.0</v>
      </c>
      <c r="G9" s="22" t="n">
        <v>111.4678</v>
      </c>
      <c r="H9" s="22" t="n">
        <v>10.791</v>
      </c>
      <c r="I9" s="22" t="n">
        <v>8000.8396</v>
      </c>
      <c r="J9" s="22">
        <f si="0" t="shared"/>
        <v>25229.442810191475</v>
      </c>
      <c r="K9" s="21"/>
      <c r="L9" s="7" t="str">
        <f>$A$9</f>
        <v>Sumner</v>
      </c>
      <c r="M9" s="22" t="n">
        <v>1405.0</v>
      </c>
      <c r="N9" s="22" t="n">
        <v>4066.0</v>
      </c>
      <c r="O9" s="22" t="n">
        <v>46900.0</v>
      </c>
      <c r="P9" s="22" t="n">
        <v>5283.0</v>
      </c>
      <c r="Q9" s="22" t="n">
        <v>684.0</v>
      </c>
      <c r="R9" s="22" t="n">
        <v>3973.0</v>
      </c>
      <c r="S9" s="22" t="n">
        <v>288.0</v>
      </c>
      <c r="T9" s="22" t="n">
        <v>969.0</v>
      </c>
      <c r="U9" s="22">
        <f>SUM(M9:T9)</f>
        <v>36135</v>
      </c>
      <c r="V9" s="7"/>
    </row>
    <row r="10" spans="1:22" x14ac:dyDescent="0.25">
      <c r="A10" s="7" t="s">
        <v>84</v>
      </c>
      <c r="B10" s="22" t="n">
        <v>0.0</v>
      </c>
      <c r="C10" s="22" t="n">
        <v>0.0</v>
      </c>
      <c r="D10" s="22" t="n">
        <v>7896.5196</v>
      </c>
      <c r="E10" s="22" t="n">
        <v>11355.0671</v>
      </c>
      <c r="F10" s="22" t="n">
        <v>775.5378000000001</v>
      </c>
      <c r="G10" s="22" t="n">
        <v>591.306</v>
      </c>
      <c r="H10" s="22" t="n">
        <v>0.0</v>
      </c>
      <c r="I10" s="22" t="n">
        <v>2219.4313</v>
      </c>
      <c r="J10" s="22">
        <f si="0" t="shared"/>
        <v>10246.315202247502</v>
      </c>
      <c r="K10" s="21"/>
      <c r="L10" s="7" t="str">
        <f>$A$10</f>
        <v>Roberston</v>
      </c>
      <c r="M10" s="22" t="n">
        <v>51.0</v>
      </c>
      <c r="N10" s="22" t="n">
        <v>385.0</v>
      </c>
      <c r="O10" s="22" t="n">
        <v>5802.0</v>
      </c>
      <c r="P10" s="22" t="n">
        <v>14867.0</v>
      </c>
      <c r="Q10" s="22" t="n">
        <v>1198.0</v>
      </c>
      <c r="R10" s="22" t="n">
        <v>1440.0</v>
      </c>
      <c r="S10" s="22" t="n">
        <v>393.0</v>
      </c>
      <c r="T10" s="22" t="n">
        <v>393.0</v>
      </c>
      <c r="U10" s="22">
        <f ref="U10:U13" si="1" t="shared">SUM(M10:T10)</f>
        <v>15200</v>
      </c>
      <c r="V10" s="7"/>
    </row>
    <row r="11" spans="1:22" x14ac:dyDescent="0.25">
      <c r="A11" s="7" t="s">
        <v>85</v>
      </c>
      <c r="B11" s="22" t="n">
        <v>0.0</v>
      </c>
      <c r="C11" s="22" t="n">
        <v>0.0</v>
      </c>
      <c r="D11" s="22" t="n">
        <v>1651.8872</v>
      </c>
      <c r="E11" s="22" t="n">
        <v>2015.7613999999999</v>
      </c>
      <c r="F11" s="22" t="n">
        <v>35354.229400000004</v>
      </c>
      <c r="G11" s="22" t="n">
        <v>400.2256</v>
      </c>
      <c r="H11" s="22" t="n">
        <v>1499.6892</v>
      </c>
      <c r="I11" s="22" t="n">
        <v>6636.522800000001</v>
      </c>
      <c r="J11" s="22">
        <f si="0" t="shared"/>
        <v>97995.842382499482</v>
      </c>
      <c r="K11" s="21"/>
      <c r="L11" s="7" t="str">
        <f>$A$11</f>
        <v>Davidson</v>
      </c>
      <c r="M11" s="22" t="n">
        <v>21.0</v>
      </c>
      <c r="N11" s="22" t="n">
        <v>263.0</v>
      </c>
      <c r="O11" s="22" t="n">
        <v>3040.0</v>
      </c>
      <c r="P11" s="22" t="n">
        <v>4036.0</v>
      </c>
      <c r="Q11" s="22" t="n">
        <v>31084.0</v>
      </c>
      <c r="R11" s="22" t="n">
        <v>2660.0</v>
      </c>
      <c r="S11" s="22" t="n">
        <v>7282.0</v>
      </c>
      <c r="T11" s="22" t="n">
        <v>2274.0</v>
      </c>
      <c r="U11" s="22">
        <f si="1" t="shared"/>
        <v>132830</v>
      </c>
      <c r="V11" s="7"/>
    </row>
    <row r="12" spans="1:22" x14ac:dyDescent="0.25">
      <c r="A12" s="7" t="s">
        <v>86</v>
      </c>
      <c r="B12" s="22" t="n">
        <v>0.0</v>
      </c>
      <c r="C12" s="22" t="n">
        <v>248.3828</v>
      </c>
      <c r="D12" s="22" t="n">
        <v>2236.8409</v>
      </c>
      <c r="E12" s="22" t="n">
        <v>664.0758</v>
      </c>
      <c r="F12" s="22" t="n">
        <v>2961.9232</v>
      </c>
      <c r="G12" s="22" t="n">
        <v>107243.2475</v>
      </c>
      <c r="H12" s="22" t="n">
        <v>4777.494</v>
      </c>
      <c r="I12" s="22" t="n">
        <v>16945.0865</v>
      </c>
      <c r="J12" s="22">
        <f si="0" t="shared"/>
        <v>13628.314397947075</v>
      </c>
      <c r="K12" s="21"/>
      <c r="L12" s="7" t="str">
        <f>$A$12</f>
        <v>Maury</v>
      </c>
      <c r="M12" s="22" t="n">
        <v>2575.0</v>
      </c>
      <c r="N12" s="22" t="n">
        <v>2352.0</v>
      </c>
      <c r="O12" s="22" t="n">
        <v>4831.0</v>
      </c>
      <c r="P12" s="22" t="n">
        <v>1978.0</v>
      </c>
      <c r="Q12" s="22" t="n">
        <v>1379.0</v>
      </c>
      <c r="R12" s="22" t="n">
        <v>116746.0</v>
      </c>
      <c r="S12" s="22" t="n">
        <v>5771.0</v>
      </c>
      <c r="T12" s="22" t="n">
        <v>3973.0</v>
      </c>
      <c r="U12" s="22">
        <f si="1" t="shared"/>
        <v>16985</v>
      </c>
      <c r="V12" s="7"/>
    </row>
    <row r="13" spans="1:22" x14ac:dyDescent="0.25">
      <c r="A13" s="7" t="s">
        <v>87</v>
      </c>
      <c r="B13" s="22" t="n">
        <v>0.0</v>
      </c>
      <c r="C13" s="22" t="n">
        <v>0.0</v>
      </c>
      <c r="D13" s="22" t="n">
        <v>114.666</v>
      </c>
      <c r="E13" s="22" t="n">
        <v>44.483999999999995</v>
      </c>
      <c r="F13" s="22" t="n">
        <v>6708.9653</v>
      </c>
      <c r="G13" s="22" t="n">
        <v>4135.0364</v>
      </c>
      <c r="H13" s="22" t="n">
        <v>66212.0281</v>
      </c>
      <c r="I13" s="22" t="n">
        <v>12106.0037</v>
      </c>
      <c r="J13" s="22">
        <f>SUM(B13:I13)</f>
        <v>18254.73397554654</v>
      </c>
      <c r="K13" s="21"/>
      <c r="L13" t="str">
        <f>$A$13</f>
        <v>Wilson</v>
      </c>
      <c r="M13" s="22" t="n">
        <v>11.0</v>
      </c>
      <c r="N13" s="22" t="n">
        <v>91.0</v>
      </c>
      <c r="O13" s="22" t="n">
        <v>1044.0</v>
      </c>
      <c r="P13" s="22" t="n">
        <v>980.0</v>
      </c>
      <c r="Q13" s="22" t="n">
        <v>5358.0</v>
      </c>
      <c r="R13" s="22" t="n">
        <v>5957.0</v>
      </c>
      <c r="S13" s="22" t="n">
        <v>100605.0</v>
      </c>
      <c r="T13" s="22" t="n">
        <v>6317.0</v>
      </c>
      <c r="U13" s="22">
        <f si="1" t="shared"/>
        <v>25365</v>
      </c>
    </row>
    <row r="14" spans="1:22" x14ac:dyDescent="0.25">
      <c r="A14" s="26" t="s">
        <v>15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15</v>
      </c>
      <c r="M14" s="22"/>
      <c r="N14" s="22"/>
      <c r="O14" s="22"/>
      <c r="P14" s="22"/>
      <c r="Q14" s="22"/>
      <c r="R14" s="22"/>
      <c r="S14" s="22"/>
      <c r="T14" s="22"/>
      <c r="U14" s="22"/>
    </row>
    <row ht="15.75" r="15" spans="1:22" thickBot="1" x14ac:dyDescent="0.3">
      <c r="A15" s="12" t="s">
        <v>3</v>
      </c>
      <c r="B15" s="54">
        <f ref="B15:G15" si="2" t="shared">SUM(B7:B13)</f>
        <v>33480.706169304023</v>
      </c>
      <c r="C15" s="54">
        <f si="2" t="shared"/>
        <v>48663.364567414166</v>
      </c>
      <c r="D15" s="54">
        <f si="2" t="shared"/>
        <v>26229.455506403476</v>
      </c>
      <c r="E15" s="54">
        <f si="2" t="shared"/>
        <v>8828.3205809646679</v>
      </c>
      <c r="F15" s="54">
        <f si="2" t="shared"/>
        <v>104685.31993737096</v>
      </c>
      <c r="G15" s="54">
        <f si="2" t="shared"/>
        <v>12454.395910466896</v>
      </c>
      <c r="H15" s="54"/>
      <c r="I15" s="54">
        <f>SUM(I7:I13)</f>
        <v>0</v>
      </c>
      <c r="J15" s="54">
        <f>SUM(J7:J13)</f>
        <v>251598.04164075229</v>
      </c>
      <c r="K15" s="21"/>
      <c r="L15" s="54" t="s">
        <v>3</v>
      </c>
      <c r="M15" s="54">
        <f ref="M15:S15" si="3" t="shared">SUM(M7:M13)</f>
        <v>38315</v>
      </c>
      <c r="N15" s="54">
        <f si="3" t="shared"/>
        <v>67765</v>
      </c>
      <c r="O15" s="54">
        <f si="3" t="shared"/>
        <v>37705</v>
      </c>
      <c r="P15" s="54">
        <f si="3" t="shared"/>
        <v>11145</v>
      </c>
      <c r="Q15" s="54">
        <f si="3" t="shared"/>
        <v>150530</v>
      </c>
      <c r="R15" s="54">
        <f si="3" t="shared"/>
        <v>17785</v>
      </c>
      <c r="S15" s="54">
        <f si="3" t="shared"/>
        <v>17760</v>
      </c>
      <c r="T15" s="54">
        <f>SUM(T7:T13)</f>
        <v>0</v>
      </c>
      <c r="U15" s="54">
        <f>SUM(U7:U13)</f>
        <v>341005</v>
      </c>
    </row>
    <row ht="15.75" r="18" spans="1:32" thickBot="1" x14ac:dyDescent="0.3">
      <c r="A18" s="4" t="s">
        <v>212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25">
      <c r="A20" t="str">
        <f>$A$7</f>
        <v>Williamson</v>
      </c>
      <c r="B20" s="21">
        <f ref="B20:I26" si="4" t="shared">($U7/$J7)*B7</f>
        <v>38982.262258262635</v>
      </c>
      <c r="C20" s="21">
        <f si="4" t="shared"/>
        <v>836.48633798422202</v>
      </c>
      <c r="D20" s="21">
        <f si="4" t="shared"/>
        <v>0</v>
      </c>
      <c r="E20" s="21">
        <f si="4" t="shared"/>
        <v>0</v>
      </c>
      <c r="F20" s="21">
        <f si="4" t="shared"/>
        <v>6856.2514037531419</v>
      </c>
      <c r="G20" s="21">
        <f si="4" t="shared"/>
        <v>0</v>
      </c>
      <c r="H20" s="21">
        <f si="4" t="shared"/>
        <v>0</v>
      </c>
      <c r="I20" s="21">
        <f ref="I20:J26" si="5" t="shared">($U7/$J7)*I7</f>
        <v>0</v>
      </c>
      <c r="J20" s="21">
        <f si="5" t="shared"/>
        <v>46675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25">
      <c r="A21" t="str">
        <f>$A$8</f>
        <v>Rutherford</v>
      </c>
      <c r="B21" s="21">
        <f si="4" t="shared"/>
        <v>94.330564437252363</v>
      </c>
      <c r="C21" s="21">
        <f si="4" t="shared"/>
        <v>60909.006734356779</v>
      </c>
      <c r="D21" s="21">
        <f si="4" t="shared"/>
        <v>0</v>
      </c>
      <c r="E21" s="21">
        <f si="4" t="shared"/>
        <v>0</v>
      </c>
      <c r="F21" s="21">
        <f si="4" t="shared"/>
        <v>6811.662701205958</v>
      </c>
      <c r="G21" s="21">
        <f si="4" t="shared"/>
        <v>0</v>
      </c>
      <c r="H21" s="21">
        <f ref="H21" si="6" t="shared">($U8/$J8)*H8</f>
        <v>0</v>
      </c>
      <c r="I21" s="21">
        <f si="5" t="shared"/>
        <v>0</v>
      </c>
      <c r="J21" s="21">
        <f si="5" t="shared"/>
        <v>67815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25">
      <c r="A22" t="str">
        <f>$A$9</f>
        <v>Sumner</v>
      </c>
      <c r="B22" s="21">
        <f si="4" t="shared"/>
        <v>0</v>
      </c>
      <c r="C22" s="21">
        <f si="4" t="shared"/>
        <v>90.429801948071983</v>
      </c>
      <c r="D22" s="21">
        <f si="4" t="shared"/>
        <v>31404.979293808803</v>
      </c>
      <c r="E22" s="21">
        <f si="4" t="shared"/>
        <v>928.8213707265154</v>
      </c>
      <c r="F22" s="21">
        <f si="4" t="shared"/>
        <v>3283.4903448791702</v>
      </c>
      <c r="G22" s="21">
        <f si="4" t="shared"/>
        <v>0</v>
      </c>
      <c r="H22" s="21">
        <f ref="H22" si="7" t="shared">($U9/$J9)*H9</f>
        <v>427.27918863744185</v>
      </c>
      <c r="I22" s="21">
        <f si="5" t="shared"/>
        <v>0</v>
      </c>
      <c r="J22" s="21">
        <f si="5" t="shared"/>
        <v>36135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25">
      <c r="A23" t="str">
        <f>$A$10</f>
        <v>Roberston</v>
      </c>
      <c r="B23" s="21">
        <f si="4" t="shared"/>
        <v>0</v>
      </c>
      <c r="C23" s="21">
        <f si="4" t="shared"/>
        <v>0</v>
      </c>
      <c r="D23" s="21">
        <f si="4" t="shared"/>
        <v>2625.4360115842783</v>
      </c>
      <c r="E23" s="21">
        <f si="4" t="shared"/>
        <v>12134.433607466715</v>
      </c>
      <c r="F23" s="21">
        <f si="4" t="shared"/>
        <v>440.13038094900622</v>
      </c>
      <c r="G23" s="21">
        <f si="4" t="shared"/>
        <v>0</v>
      </c>
      <c r="H23" s="21">
        <f ref="H23" si="8" t="shared">($U10/$J10)*H10</f>
        <v>0</v>
      </c>
      <c r="I23" s="21">
        <f si="5" t="shared"/>
        <v>0</v>
      </c>
      <c r="J23" s="21">
        <f si="5" t="shared"/>
        <v>15200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25">
      <c r="A24" t="str">
        <f>$A$11</f>
        <v>Davidson</v>
      </c>
      <c r="B24" s="21">
        <f si="4" t="shared"/>
        <v>3475.3072827792093</v>
      </c>
      <c r="C24" s="21">
        <f si="4" t="shared"/>
        <v>2272.4385072155646</v>
      </c>
      <c r="D24" s="21">
        <f si="4" t="shared"/>
        <v>3258.1212318799298</v>
      </c>
      <c r="E24" s="21">
        <f si="4" t="shared"/>
        <v>0</v>
      </c>
      <c r="F24" s="21">
        <f si="4" t="shared"/>
        <v>122747.76575734894</v>
      </c>
      <c r="G24" s="21">
        <f si="4" t="shared"/>
        <v>0</v>
      </c>
      <c r="H24" s="21">
        <f ref="H24" si="9" t="shared">($U11/$J11)*H11</f>
        <v>1076.367220776358</v>
      </c>
      <c r="I24" s="21">
        <f si="5" t="shared"/>
        <v>0</v>
      </c>
      <c r="J24" s="21">
        <f si="5" t="shared"/>
        <v>132830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25">
      <c r="A25" t="str">
        <f>$A$12</f>
        <v>Maury</v>
      </c>
      <c r="B25" s="21">
        <f si="4" t="shared"/>
        <v>476.59961823523929</v>
      </c>
      <c r="C25" s="21">
        <f si="4" t="shared"/>
        <v>522.0782756520133</v>
      </c>
      <c r="D25" s="21">
        <f si="4" t="shared"/>
        <v>0</v>
      </c>
      <c r="E25" s="21">
        <f si="4" t="shared"/>
        <v>0</v>
      </c>
      <c r="F25" s="21">
        <f si="4" t="shared"/>
        <v>464.37945331148808</v>
      </c>
      <c r="G25" s="21">
        <f si="4" t="shared"/>
        <v>15521.942652801259</v>
      </c>
      <c r="H25" s="21">
        <f ref="H25" si="10" t="shared">($U12/$J12)*H12</f>
        <v>0</v>
      </c>
      <c r="I25" s="21">
        <f si="5" t="shared"/>
        <v>0</v>
      </c>
      <c r="J25" s="21">
        <f si="5" t="shared"/>
        <v>16985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25">
      <c r="A26" t="str">
        <f>$A$13</f>
        <v>Wilson</v>
      </c>
      <c r="B26" s="21">
        <f si="4" t="shared"/>
        <v>0</v>
      </c>
      <c r="C26" s="21">
        <f si="4" t="shared"/>
        <v>1601.843308106593</v>
      </c>
      <c r="D26" s="21">
        <f si="4" t="shared"/>
        <v>179.26565252455751</v>
      </c>
      <c r="E26" s="21">
        <f si="4" t="shared"/>
        <v>0</v>
      </c>
      <c r="F26" s="21">
        <f si="4" t="shared"/>
        <v>1123.8896527873173</v>
      </c>
      <c r="G26" s="21">
        <f si="4" t="shared"/>
        <v>0</v>
      </c>
      <c r="H26" s="21">
        <f si="4" t="shared"/>
        <v>22460.001386581527</v>
      </c>
      <c r="I26" s="21">
        <f si="4" t="shared"/>
        <v>0</v>
      </c>
      <c r="J26" s="21">
        <f si="5" t="shared"/>
        <v>25365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25">
      <c r="A27" s="8" t="s">
        <v>15</v>
      </c>
      <c r="B27" s="23" t="e">
        <f>($U14/$J14)*B14</f>
        <v>#DIV/0!</v>
      </c>
      <c r="C27" s="23" t="e">
        <f ref="C27:J27" si="11" t="shared">($U14/$J14)*C14</f>
        <v>#DIV/0!</v>
      </c>
      <c r="D27" s="23" t="e">
        <f si="11" t="shared"/>
        <v>#DIV/0!</v>
      </c>
      <c r="E27" s="23" t="e">
        <f si="11" t="shared"/>
        <v>#DIV/0!</v>
      </c>
      <c r="F27" s="23" t="e">
        <f si="11" t="shared"/>
        <v>#DIV/0!</v>
      </c>
      <c r="G27" s="23" t="e">
        <f si="11" t="shared"/>
        <v>#DIV/0!</v>
      </c>
      <c r="H27" s="23" t="e">
        <f si="11" t="shared"/>
        <v>#DIV/0!</v>
      </c>
      <c r="I27" s="23" t="e">
        <f si="11" t="shared"/>
        <v>#DIV/0!</v>
      </c>
      <c r="J27" s="23" t="e">
        <f si="11" t="shared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ht="15.75" r="28" spans="1:32" thickBot="1" x14ac:dyDescent="0.3">
      <c r="A28" s="1" t="s">
        <v>3</v>
      </c>
      <c r="B28" s="25">
        <f ref="B28:H28" si="12" t="shared">($U15/$J15)*B15</f>
        <v>45378.287258553326</v>
      </c>
      <c r="C28" s="25">
        <f si="12" t="shared"/>
        <v>65956.199524023643</v>
      </c>
      <c r="D28" s="25">
        <f si="12" t="shared"/>
        <v>35550.258724717998</v>
      </c>
      <c r="E28" s="25">
        <f si="12" t="shared"/>
        <v>11965.520240457365</v>
      </c>
      <c r="F28" s="25">
        <f si="12" t="shared"/>
        <v>141885.91172031208</v>
      </c>
      <c r="G28" s="25">
        <f si="12" t="shared"/>
        <v>16880.144415086175</v>
      </c>
      <c r="H28" s="25">
        <f si="12" t="shared"/>
        <v>0</v>
      </c>
      <c r="I28" s="25">
        <f>($U15/$J15)*I15</f>
        <v>0</v>
      </c>
      <c r="J28" s="25">
        <f>($U15/$J15)*J15</f>
        <v>341005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ht="15.75" r="31" spans="1:32" thickBot="1" x14ac:dyDescent="0.3">
      <c r="A31" s="4" t="s">
        <v>212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44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3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3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3</v>
      </c>
    </row>
    <row r="33" spans="1:32" x14ac:dyDescent="0.25">
      <c r="A33" t="str">
        <f>$A$7</f>
        <v>Williamson</v>
      </c>
      <c r="B33" s="27">
        <f ref="B33:J39" si="13" t="shared">B20/$J$28</f>
        <v>0.11431580844346163</v>
      </c>
      <c r="C33" s="27">
        <f si="13" t="shared"/>
        <v>2.4530031465351595E-3</v>
      </c>
      <c r="D33" s="27">
        <f si="13" t="shared"/>
        <v>0</v>
      </c>
      <c r="E33" s="27">
        <f si="13" t="shared"/>
        <v>0</v>
      </c>
      <c r="F33" s="27">
        <f si="13" t="shared"/>
        <v>2.0106014292321644E-2</v>
      </c>
      <c r="G33" s="27">
        <f si="13" t="shared"/>
        <v>0</v>
      </c>
      <c r="H33" s="27">
        <f si="13" t="shared"/>
        <v>0</v>
      </c>
      <c r="I33" s="27">
        <f ref="I33:J38" si="14" t="shared">I20/$J$28</f>
        <v>0</v>
      </c>
      <c r="J33" s="27">
        <f si="14" t="shared"/>
        <v>0.13687482588231845</v>
      </c>
      <c r="L33" t="str">
        <f>$A$7</f>
        <v>Williamson</v>
      </c>
      <c r="M33" s="27">
        <f ref="M33:U39" si="15" t="shared">M7/$U$15</f>
        <v>9.6024984970894858E-2</v>
      </c>
      <c r="N33" s="27">
        <f si="15" t="shared"/>
        <v>5.1905397281564788E-3</v>
      </c>
      <c r="O33" s="27">
        <f si="15" t="shared"/>
        <v>2.4926320728435066E-4</v>
      </c>
      <c r="P33" s="27">
        <f si="15" t="shared"/>
        <v>4.3987624814885415E-5</v>
      </c>
      <c r="Q33" s="27">
        <f si="15" t="shared"/>
        <v>2.92517705018988E-2</v>
      </c>
      <c r="R33" s="27">
        <f si="15" t="shared"/>
        <v>5.9969795164293779E-3</v>
      </c>
      <c r="S33" s="27">
        <f si="15" t="shared"/>
        <v>1.1730033283969444E-4</v>
      </c>
      <c r="T33" s="27">
        <f ref="T33:U38" si="16" t="shared">T7/$U$15</f>
        <v>0</v>
      </c>
      <c r="U33" s="27">
        <f si="16" t="shared"/>
        <v>0.13687482588231845</v>
      </c>
      <c r="W33" t="str">
        <f>$A$7</f>
        <v>Williamson</v>
      </c>
      <c r="X33" s="27">
        <f ref="X33:Z35" si="17" t="shared">M33-B33</f>
        <v>-1.8290823472566775E-2</v>
      </c>
      <c r="Y33" s="27">
        <f si="17" t="shared"/>
        <v>2.7375365816213193E-3</v>
      </c>
      <c r="Z33" s="27">
        <f si="17" t="shared"/>
        <v>2.4926320728435066E-4</v>
      </c>
      <c r="AA33" s="27">
        <f ref="AA33:AA35" si="18" t="shared">P33-E33</f>
        <v>4.3987624814885415E-5</v>
      </c>
      <c r="AB33" s="27">
        <f ref="AB33:AB35" si="19" t="shared">Q33-F33</f>
        <v>9.1457562095771557E-3</v>
      </c>
      <c r="AC33" s="27">
        <f ref="AC33:AD40" si="20" t="shared">R33-G33</f>
        <v>5.9969795164293779E-3</v>
      </c>
      <c r="AD33" s="27">
        <f si="20" t="shared"/>
        <v>1.1730033283969444E-4</v>
      </c>
      <c r="AE33" s="27">
        <f ref="AE33:AF35" si="21" t="shared">T33-I33</f>
        <v>0</v>
      </c>
      <c r="AF33" s="27">
        <f si="21" t="shared"/>
        <v>0</v>
      </c>
    </row>
    <row r="34" spans="1:32" x14ac:dyDescent="0.25">
      <c r="A34" t="str">
        <f>$A$8</f>
        <v>Rutherford</v>
      </c>
      <c r="B34" s="27">
        <f si="13" t="shared"/>
        <v>2.7662516513614864E-4</v>
      </c>
      <c r="C34" s="27">
        <f si="13" t="shared"/>
        <v>0.17861616907188099</v>
      </c>
      <c r="D34" s="27">
        <f si="13" t="shared"/>
        <v>0</v>
      </c>
      <c r="E34" s="27">
        <f si="13" t="shared"/>
        <v>0</v>
      </c>
      <c r="F34" s="27">
        <f si="13" t="shared"/>
        <v>1.9975257551079772E-2</v>
      </c>
      <c r="G34" s="27">
        <f si="13" t="shared"/>
        <v>0</v>
      </c>
      <c r="H34" s="27">
        <f ref="H34" si="22" t="shared">H21/$J$28</f>
        <v>0</v>
      </c>
      <c r="I34" s="27">
        <f si="14" t="shared"/>
        <v>0</v>
      </c>
      <c r="J34" s="27">
        <f si="14" t="shared"/>
        <v>0.19886805178809694</v>
      </c>
      <c r="L34" t="str">
        <f>$A$8</f>
        <v>Rutherford</v>
      </c>
      <c r="M34" s="27">
        <f si="15" t="shared"/>
        <v>2.4926320728435067E-3</v>
      </c>
      <c r="N34" s="27">
        <f si="15" t="shared"/>
        <v>0.17930822128707791</v>
      </c>
      <c r="O34" s="27">
        <f si="15" t="shared"/>
        <v>7.184645386431284E-4</v>
      </c>
      <c r="P34" s="27">
        <f si="15" t="shared"/>
        <v>0</v>
      </c>
      <c r="Q34" s="27">
        <f si="15" t="shared"/>
        <v>1.3929414524713715E-2</v>
      </c>
      <c r="R34" s="27">
        <f si="15" t="shared"/>
        <v>5.1318895617366318E-4</v>
      </c>
      <c r="S34" s="27">
        <f ref="S34" si="23" t="shared">S8/$U$15</f>
        <v>1.9061304086450345E-3</v>
      </c>
      <c r="T34" s="27">
        <f si="16" t="shared"/>
        <v>0</v>
      </c>
      <c r="U34" s="27">
        <f si="16" t="shared"/>
        <v>0.19886805178809694</v>
      </c>
      <c r="W34" t="str">
        <f>$A$8</f>
        <v>Rutherford</v>
      </c>
      <c r="X34" s="27">
        <f si="17" t="shared"/>
        <v>2.216006907707358E-3</v>
      </c>
      <c r="Y34" s="27">
        <f si="17" t="shared"/>
        <v>6.920522151969144E-4</v>
      </c>
      <c r="Z34" s="27">
        <f si="17" t="shared"/>
        <v>7.184645386431284E-4</v>
      </c>
      <c r="AA34" s="27">
        <f si="18" t="shared"/>
        <v>0</v>
      </c>
      <c r="AB34" s="27">
        <f si="19" t="shared"/>
        <v>-6.0458430263660573E-3</v>
      </c>
      <c r="AC34" s="27">
        <f si="20" t="shared"/>
        <v>5.1318895617366318E-4</v>
      </c>
      <c r="AD34" s="27">
        <f si="20" t="shared"/>
        <v>1.9061304086450345E-3</v>
      </c>
      <c r="AE34" s="27">
        <f si="21" t="shared"/>
        <v>0</v>
      </c>
      <c r="AF34" s="27">
        <f si="21" t="shared"/>
        <v>0</v>
      </c>
    </row>
    <row r="35" spans="1:32" x14ac:dyDescent="0.25">
      <c r="A35" t="str">
        <f>$A$9</f>
        <v>Sumner</v>
      </c>
      <c r="B35" s="27">
        <f si="13" t="shared"/>
        <v>0</v>
      </c>
      <c r="C35" s="27">
        <f si="13" t="shared"/>
        <v>2.651861466784123E-4</v>
      </c>
      <c r="D35" s="27">
        <f si="13" t="shared"/>
        <v>9.2095363099687105E-2</v>
      </c>
      <c r="E35" s="27">
        <f si="13" t="shared"/>
        <v>2.7237763983710369E-3</v>
      </c>
      <c r="F35" s="27">
        <f si="13" t="shared"/>
        <v>9.6288627582562427E-3</v>
      </c>
      <c r="G35" s="27">
        <f si="13" t="shared"/>
        <v>0</v>
      </c>
      <c r="H35" s="27">
        <f ref="H35" si="24" t="shared">H22/$J$28</f>
        <v>1.2529997760661628E-3</v>
      </c>
      <c r="I35" s="27">
        <f si="14" t="shared"/>
        <v>0</v>
      </c>
      <c r="J35" s="27">
        <f si="14" t="shared"/>
        <v>0.10596618817905896</v>
      </c>
      <c r="L35" t="str">
        <f>$A$9</f>
        <v>Sumner</v>
      </c>
      <c r="M35" s="27">
        <f si="15" t="shared"/>
        <v>1.6128795765457985E-4</v>
      </c>
      <c r="N35" s="27">
        <f si="15" t="shared"/>
        <v>2.6392574888931247E-4</v>
      </c>
      <c r="O35" s="27">
        <f si="15" t="shared"/>
        <v>8.8928314834093344E-2</v>
      </c>
      <c r="P35" s="27">
        <f si="15" t="shared"/>
        <v>3.372384569141215E-3</v>
      </c>
      <c r="Q35" s="27">
        <f si="15" t="shared"/>
        <v>1.2081934282488526E-2</v>
      </c>
      <c r="R35" s="27">
        <f si="15" t="shared"/>
        <v>0</v>
      </c>
      <c r="S35" s="27">
        <f ref="S35" si="25" t="shared">S9/$U$15</f>
        <v>1.1583407867919826E-3</v>
      </c>
      <c r="T35" s="27">
        <f si="16" t="shared"/>
        <v>0</v>
      </c>
      <c r="U35" s="27">
        <f si="16" t="shared"/>
        <v>0.10596618817905896</v>
      </c>
      <c r="W35" t="str">
        <f>$A$9</f>
        <v>Sumner</v>
      </c>
      <c r="X35" s="27">
        <f si="17" t="shared"/>
        <v>1.6128795765457985E-4</v>
      </c>
      <c r="Y35" s="27">
        <f si="17" t="shared"/>
        <v>-1.2603977890998349E-6</v>
      </c>
      <c r="Z35" s="27">
        <f si="17" t="shared"/>
        <v>-3.167048265593761E-3</v>
      </c>
      <c r="AA35" s="27">
        <f si="18" t="shared"/>
        <v>6.4860817077017812E-4</v>
      </c>
      <c r="AB35" s="27">
        <f si="19" t="shared"/>
        <v>2.4530715242322837E-3</v>
      </c>
      <c r="AC35" s="27">
        <f si="20" t="shared"/>
        <v>0</v>
      </c>
      <c r="AD35" s="27">
        <f si="20" t="shared"/>
        <v>-9.4658989274180221E-5</v>
      </c>
      <c r="AE35" s="27">
        <f si="21" t="shared"/>
        <v>0</v>
      </c>
      <c r="AF35" s="27">
        <f si="21" t="shared"/>
        <v>0</v>
      </c>
    </row>
    <row r="36" spans="1:32" x14ac:dyDescent="0.25">
      <c r="A36" t="str">
        <f>$A$10</f>
        <v>Roberston</v>
      </c>
      <c r="B36" s="27">
        <f si="13" t="shared"/>
        <v>0</v>
      </c>
      <c r="C36" s="27">
        <f si="13" t="shared"/>
        <v>0</v>
      </c>
      <c r="D36" s="27">
        <f si="13" t="shared"/>
        <v>7.6991129502038923E-3</v>
      </c>
      <c r="E36" s="27">
        <f si="13" t="shared"/>
        <v>3.5584327524425495E-2</v>
      </c>
      <c r="F36" s="27">
        <f si="13" t="shared"/>
        <v>1.2906860044544985E-3</v>
      </c>
      <c r="G36" s="27">
        <f si="13" t="shared"/>
        <v>0</v>
      </c>
      <c r="H36" s="27">
        <f ref="H36" si="26" t="shared">H23/$J$28</f>
        <v>0</v>
      </c>
      <c r="I36" s="27">
        <f si="14" t="shared"/>
        <v>0</v>
      </c>
      <c r="J36" s="27">
        <f si="14" t="shared"/>
        <v>4.4574126479083882E-2</v>
      </c>
      <c r="L36" t="str">
        <f>$A$10</f>
        <v>Roberston</v>
      </c>
      <c r="M36" s="27">
        <f si="15" t="shared"/>
        <v>1.7595049925954166E-4</v>
      </c>
      <c r="N36" s="27">
        <f si="15" t="shared"/>
        <v>5.8650166419847218E-5</v>
      </c>
      <c r="O36" s="27">
        <f si="15" t="shared"/>
        <v>7.331270802480902E-3</v>
      </c>
      <c r="P36" s="27">
        <f si="15" t="shared"/>
        <v>2.8445330713625899E-2</v>
      </c>
      <c r="Q36" s="27">
        <f si="15" t="shared"/>
        <v>8.3576487148282284E-3</v>
      </c>
      <c r="R36" s="27">
        <f si="15" t="shared"/>
        <v>0</v>
      </c>
      <c r="S36" s="27">
        <f ref="S36" si="27" t="shared">S10/$U$15</f>
        <v>2.0527558246946525E-4</v>
      </c>
      <c r="T36" s="27">
        <f si="16" t="shared"/>
        <v>0</v>
      </c>
      <c r="U36" s="27">
        <f si="16" t="shared"/>
        <v>4.4574126479083882E-2</v>
      </c>
      <c r="W36" t="str">
        <f>$A$10</f>
        <v>Roberston</v>
      </c>
      <c r="X36" s="27">
        <f ref="X36:X39" si="28" t="shared">M36-B36</f>
        <v>1.7595049925954166E-4</v>
      </c>
      <c r="Y36" s="27">
        <f ref="Y36:Y39" si="29" t="shared">N36-C36</f>
        <v>5.8650166419847218E-5</v>
      </c>
      <c r="Z36" s="27">
        <f ref="Z36:Z39" si="30" t="shared">O36-D36</f>
        <v>-3.6784214772299026E-4</v>
      </c>
      <c r="AA36" s="27">
        <f ref="AA36:AA39" si="31" t="shared">P36-E36</f>
        <v>-7.1389968107995957E-3</v>
      </c>
      <c r="AB36" s="27">
        <f ref="AB36:AB39" si="32" t="shared">Q36-F36</f>
        <v>7.0669627103737299E-3</v>
      </c>
      <c r="AC36" s="27">
        <f ref="AC36:AC39" si="33" t="shared">R36-G36</f>
        <v>0</v>
      </c>
      <c r="AD36" s="27">
        <f si="20" t="shared"/>
        <v>2.0527558246946525E-4</v>
      </c>
      <c r="AE36" s="27">
        <f ref="AE36:AE39" si="34" t="shared">T36-I36</f>
        <v>0</v>
      </c>
      <c r="AF36" s="27">
        <f ref="AF36:AF39" si="35" t="shared">U36-J36</f>
        <v>0</v>
      </c>
    </row>
    <row r="37" spans="1:32" x14ac:dyDescent="0.25">
      <c r="A37" t="str">
        <f>$A$11</f>
        <v>Davidson</v>
      </c>
      <c r="B37" s="27">
        <f si="13" t="shared"/>
        <v>1.0191367524755383E-2</v>
      </c>
      <c r="C37" s="27">
        <f si="13" t="shared"/>
        <v>6.6639448313531024E-3</v>
      </c>
      <c r="D37" s="27">
        <f si="13" t="shared"/>
        <v>9.5544676232897745E-3</v>
      </c>
      <c r="E37" s="27">
        <f si="13" t="shared"/>
        <v>0</v>
      </c>
      <c r="F37" s="27">
        <f si="13" t="shared"/>
        <v>0.35995884446664694</v>
      </c>
      <c r="G37" s="27">
        <f si="13" t="shared"/>
        <v>0</v>
      </c>
      <c r="H37" s="27">
        <f ref="H37" si="36" t="shared">H24/$J$28</f>
        <v>3.1564558313700911E-3</v>
      </c>
      <c r="I37" s="27">
        <f si="14" t="shared"/>
        <v>0</v>
      </c>
      <c r="J37" s="27">
        <f si="14" t="shared"/>
        <v>0.38952508027741528</v>
      </c>
      <c r="L37" t="str">
        <f>$A$11</f>
        <v>Davidson</v>
      </c>
      <c r="M37" s="27">
        <f si="15" t="shared"/>
        <v>9.0028005454465473E-3</v>
      </c>
      <c r="N37" s="27">
        <f si="15" t="shared"/>
        <v>8.3576487148282284E-3</v>
      </c>
      <c r="O37" s="27">
        <f si="15" t="shared"/>
        <v>8.0204102579141071E-3</v>
      </c>
      <c r="P37" s="27">
        <f si="15" t="shared"/>
        <v>7.3312708024809016E-4</v>
      </c>
      <c r="Q37" s="27">
        <f si="15" t="shared"/>
        <v>0.35984809606897261</v>
      </c>
      <c r="R37" s="27">
        <f si="15" t="shared"/>
        <v>7.3312708024809016E-4</v>
      </c>
      <c r="S37" s="27">
        <f ref="S37" si="37" t="shared">S11/$U$15</f>
        <v>2.8298705297576283E-3</v>
      </c>
      <c r="T37" s="27">
        <f si="16" t="shared"/>
        <v>0</v>
      </c>
      <c r="U37" s="27">
        <f si="16" t="shared"/>
        <v>0.38952508027741528</v>
      </c>
      <c r="W37" t="str">
        <f>$A$11</f>
        <v>Davidson</v>
      </c>
      <c r="X37" s="27">
        <f si="28" t="shared"/>
        <v>-1.1885669793088357E-3</v>
      </c>
      <c r="Y37" s="27">
        <f si="29" t="shared"/>
        <v>1.6937038834751259E-3</v>
      </c>
      <c r="Z37" s="27">
        <f si="30" t="shared"/>
        <v>-1.5340573653756674E-3</v>
      </c>
      <c r="AA37" s="27">
        <f si="31" t="shared"/>
        <v>7.3312708024809016E-4</v>
      </c>
      <c r="AB37" s="27">
        <f si="32" t="shared"/>
        <v>-1.1074839767433176E-4</v>
      </c>
      <c r="AC37" s="27">
        <f si="33" t="shared"/>
        <v>7.3312708024809016E-4</v>
      </c>
      <c r="AD37" s="27">
        <f si="20" t="shared"/>
        <v>-3.2658530161246277E-4</v>
      </c>
      <c r="AE37" s="27">
        <f si="34" t="shared"/>
        <v>0</v>
      </c>
      <c r="AF37" s="27">
        <f si="35" t="shared"/>
        <v>0</v>
      </c>
    </row>
    <row r="38" spans="1:32" x14ac:dyDescent="0.25">
      <c r="A38" t="str">
        <f>$A$12</f>
        <v>Maury</v>
      </c>
      <c r="B38" s="27">
        <f si="13" t="shared"/>
        <v>1.3976323462566217E-3</v>
      </c>
      <c r="C38" s="27">
        <f si="13" t="shared"/>
        <v>1.5309988875588725E-3</v>
      </c>
      <c r="D38" s="27">
        <f si="13" t="shared"/>
        <v>0</v>
      </c>
      <c r="E38" s="27">
        <f si="13" t="shared"/>
        <v>0</v>
      </c>
      <c r="F38" s="27">
        <f si="13" t="shared"/>
        <v>1.3617966109338224E-3</v>
      </c>
      <c r="G38" s="27">
        <f si="13" t="shared"/>
        <v>4.5518225987305934E-2</v>
      </c>
      <c r="H38" s="27">
        <f ref="H38" si="38" t="shared">H25/$J$28</f>
        <v>0</v>
      </c>
      <c r="I38" s="27">
        <f si="14" t="shared"/>
        <v>0</v>
      </c>
      <c r="J38" s="27">
        <f si="14" t="shared"/>
        <v>4.9808653832055245E-2</v>
      </c>
      <c r="L38" t="str">
        <f>$A$12</f>
        <v>Maury</v>
      </c>
      <c r="M38" s="27">
        <f si="15" t="shared"/>
        <v>3.9882113165496105E-3</v>
      </c>
      <c r="N38" s="27">
        <f si="15" t="shared"/>
        <v>2.6392574888931247E-4</v>
      </c>
      <c r="O38" s="27">
        <f si="15" t="shared"/>
        <v>0</v>
      </c>
      <c r="P38" s="27">
        <f si="15" t="shared"/>
        <v>0</v>
      </c>
      <c r="Q38" s="27">
        <f si="15" t="shared"/>
        <v>6.5981437222328116E-4</v>
      </c>
      <c r="R38" s="27">
        <f si="15" t="shared"/>
        <v>4.4896702394393043E-2</v>
      </c>
      <c r="S38" s="27">
        <f ref="S38" si="39" t="shared">S12/$U$15</f>
        <v>0</v>
      </c>
      <c r="T38" s="27">
        <f si="16" t="shared"/>
        <v>0</v>
      </c>
      <c r="U38" s="27">
        <f si="16" t="shared"/>
        <v>4.9808653832055245E-2</v>
      </c>
      <c r="W38" t="str">
        <f>$A$12</f>
        <v>Maury</v>
      </c>
      <c r="X38" s="27">
        <f si="28" t="shared"/>
        <v>2.5905789702929888E-3</v>
      </c>
      <c r="Y38" s="27">
        <f si="29" t="shared"/>
        <v>-1.2670731386695601E-3</v>
      </c>
      <c r="Z38" s="27">
        <f si="30" t="shared"/>
        <v>0</v>
      </c>
      <c r="AA38" s="27">
        <f si="31" t="shared"/>
        <v>0</v>
      </c>
      <c r="AB38" s="27">
        <f si="32" t="shared"/>
        <v>-7.0198223871054122E-4</v>
      </c>
      <c r="AC38" s="27">
        <f si="33" t="shared"/>
        <v>-6.2152359291289122E-4</v>
      </c>
      <c r="AD38" s="27">
        <f si="20" t="shared"/>
        <v>0</v>
      </c>
      <c r="AE38" s="27">
        <f si="34" t="shared"/>
        <v>0</v>
      </c>
      <c r="AF38" s="27">
        <f si="35" t="shared"/>
        <v>0</v>
      </c>
    </row>
    <row r="39" spans="1:32" x14ac:dyDescent="0.25">
      <c r="A39" t="str">
        <f>$A$13</f>
        <v>Wilson</v>
      </c>
      <c r="B39" s="27">
        <f si="13" t="shared"/>
        <v>0</v>
      </c>
      <c r="C39" s="27">
        <f si="13" t="shared"/>
        <v>4.6974188299485136E-3</v>
      </c>
      <c r="D39" s="27">
        <f si="13" t="shared"/>
        <v>5.2569801769639015E-4</v>
      </c>
      <c r="E39" s="27">
        <f si="13" t="shared"/>
        <v>0</v>
      </c>
      <c r="F39" s="27">
        <f si="13" t="shared"/>
        <v>3.2958157586760232E-3</v>
      </c>
      <c r="G39" s="27">
        <f si="13" t="shared"/>
        <v>0</v>
      </c>
      <c r="H39" s="27">
        <f si="13" t="shared"/>
        <v>6.5864140955650297E-2</v>
      </c>
      <c r="I39" s="27">
        <f si="13" t="shared"/>
        <v>0</v>
      </c>
      <c r="J39" s="27">
        <f si="13" t="shared"/>
        <v>7.4383073561971227E-2</v>
      </c>
      <c r="L39" t="str">
        <f>$A$13</f>
        <v>Wilson</v>
      </c>
      <c r="M39" s="27">
        <f si="15" t="shared"/>
        <v>5.1318895617366318E-4</v>
      </c>
      <c r="N39" s="27">
        <f si="15" t="shared"/>
        <v>5.2785149777862493E-3</v>
      </c>
      <c r="O39" s="27">
        <f si="15" t="shared"/>
        <v>5.3225026026011346E-3</v>
      </c>
      <c r="P39" s="27">
        <f si="15" t="shared"/>
        <v>8.7975249629770831E-5</v>
      </c>
      <c r="Q39" s="27">
        <f si="15" t="shared"/>
        <v>1.730179909385493E-2</v>
      </c>
      <c r="R39" s="27">
        <f si="15" t="shared"/>
        <v>1.4662541604961805E-5</v>
      </c>
      <c r="S39" s="27">
        <f si="15" t="shared"/>
        <v>4.5864430140320524E-2</v>
      </c>
      <c r="T39" s="27">
        <f si="15" t="shared"/>
        <v>0</v>
      </c>
      <c r="U39" s="27">
        <f si="15" t="shared"/>
        <v>7.4383073561971227E-2</v>
      </c>
      <c r="W39" t="str">
        <f>$A$13</f>
        <v>Wilson</v>
      </c>
      <c r="X39" s="27">
        <f si="28" t="shared"/>
        <v>5.1318895617366318E-4</v>
      </c>
      <c r="Y39" s="27">
        <f si="29" t="shared"/>
        <v>5.8109614783773567E-4</v>
      </c>
      <c r="Z39" s="27">
        <f si="30" t="shared"/>
        <v>4.7968045849047444E-3</v>
      </c>
      <c r="AA39" s="27">
        <f si="31" t="shared"/>
        <v>8.7975249629770831E-5</v>
      </c>
      <c r="AB39" s="27">
        <f si="32" t="shared"/>
        <v>1.4005983335178907E-2</v>
      </c>
      <c r="AC39" s="27">
        <f si="33" t="shared"/>
        <v>1.4662541604961805E-5</v>
      </c>
      <c r="AD39" s="27">
        <f si="20" t="shared"/>
        <v>-1.9999710815329773E-2</v>
      </c>
      <c r="AE39" s="27">
        <f si="34" t="shared"/>
        <v>0</v>
      </c>
      <c r="AF39" s="27">
        <f si="35" t="shared"/>
        <v>0</v>
      </c>
    </row>
    <row r="40" spans="1:32" x14ac:dyDescent="0.25">
      <c r="A40" s="8" t="s">
        <v>15</v>
      </c>
      <c r="B40" s="28" t="e">
        <f ref="B40:H40" si="40" t="shared">B27/$J$28</f>
        <v>#DIV/0!</v>
      </c>
      <c r="C40" s="28" t="e">
        <f si="40" t="shared"/>
        <v>#DIV/0!</v>
      </c>
      <c r="D40" s="28" t="e">
        <f si="40" t="shared"/>
        <v>#DIV/0!</v>
      </c>
      <c r="E40" s="28" t="e">
        <f si="40" t="shared"/>
        <v>#DIV/0!</v>
      </c>
      <c r="F40" s="28" t="e">
        <f si="40" t="shared"/>
        <v>#DIV/0!</v>
      </c>
      <c r="G40" s="28" t="e">
        <f si="40" t="shared"/>
        <v>#DIV/0!</v>
      </c>
      <c r="H40" s="28" t="e">
        <f si="40" t="shared"/>
        <v>#DIV/0!</v>
      </c>
      <c r="I40" s="28" t="e">
        <f>I27/$J$28</f>
        <v>#DIV/0!</v>
      </c>
      <c r="J40" s="28" t="e">
        <f>J27/$J$28</f>
        <v>#DIV/0!</v>
      </c>
      <c r="L40" s="24" t="s">
        <v>15</v>
      </c>
      <c r="M40" s="28">
        <f>M14/$U$15</f>
        <v>0</v>
      </c>
      <c r="N40" s="28">
        <f ref="N40:U40" si="41" t="shared">N14/$U$15</f>
        <v>0</v>
      </c>
      <c r="O40" s="28">
        <f si="41" t="shared"/>
        <v>0</v>
      </c>
      <c r="P40" s="28">
        <f si="41" t="shared"/>
        <v>0</v>
      </c>
      <c r="Q40" s="28">
        <f si="41" t="shared"/>
        <v>0</v>
      </c>
      <c r="R40" s="28">
        <f si="41" t="shared"/>
        <v>0</v>
      </c>
      <c r="S40" s="28">
        <f si="41" t="shared"/>
        <v>0</v>
      </c>
      <c r="T40" s="28">
        <f si="41" t="shared"/>
        <v>0</v>
      </c>
      <c r="U40" s="28">
        <f si="41" t="shared"/>
        <v>0</v>
      </c>
      <c r="W40" s="24" t="s">
        <v>15</v>
      </c>
      <c r="X40" s="28" t="e">
        <f ref="X40:Z41" si="42" t="shared">M40-B40</f>
        <v>#DIV/0!</v>
      </c>
      <c r="Y40" s="28" t="e">
        <f si="42" t="shared"/>
        <v>#DIV/0!</v>
      </c>
      <c r="Z40" s="28" t="e">
        <f si="42" t="shared"/>
        <v>#DIV/0!</v>
      </c>
      <c r="AA40" s="28" t="e">
        <f ref="AA40:AA41" si="43" t="shared">P40-E40</f>
        <v>#DIV/0!</v>
      </c>
      <c r="AB40" s="28" t="e">
        <f ref="AB40:AB41" si="44" t="shared">Q40-F40</f>
        <v>#DIV/0!</v>
      </c>
      <c r="AC40" s="28" t="e">
        <f ref="AC40:AD41" si="45" t="shared">R40-G40</f>
        <v>#DIV/0!</v>
      </c>
      <c r="AD40" s="27" t="e">
        <f si="20" t="shared"/>
        <v>#DIV/0!</v>
      </c>
      <c r="AE40" s="28" t="e">
        <f>T40-I40</f>
        <v>#DIV/0!</v>
      </c>
      <c r="AF40" s="28" t="e">
        <f>U40-J40</f>
        <v>#DIV/0!</v>
      </c>
    </row>
    <row ht="15.75" r="41" spans="1:32" thickBot="1" x14ac:dyDescent="0.3">
      <c r="A41" s="1" t="s">
        <v>3</v>
      </c>
      <c r="B41" s="29">
        <f>B28/$J$28</f>
        <v>0.13307220497808925</v>
      </c>
      <c r="C41" s="29">
        <f>C28/$J$28</f>
        <v>0.19341710392523173</v>
      </c>
      <c r="D41" s="29">
        <f>D28/$J$28</f>
        <v>0.1042514295236668</v>
      </c>
      <c r="E41" s="29">
        <f ref="E41:H41" si="46" t="shared">E28/$J$28</f>
        <v>3.5088987670143734E-2</v>
      </c>
      <c r="F41" s="29">
        <f si="46" t="shared"/>
        <v>0.41608161675140271</v>
      </c>
      <c r="G41" s="29">
        <f si="46" t="shared"/>
        <v>4.9501163956792937E-2</v>
      </c>
      <c r="H41" s="29">
        <f si="46" t="shared"/>
        <v>0</v>
      </c>
      <c r="I41" s="29">
        <f>I28/$J$28</f>
        <v>0</v>
      </c>
      <c r="J41" s="29">
        <f>J28/$J$28</f>
        <v>1</v>
      </c>
      <c r="L41" s="25" t="s">
        <v>3</v>
      </c>
      <c r="M41" s="29">
        <f>M15/$U$15</f>
        <v>0.1123590563188223</v>
      </c>
      <c r="N41" s="29">
        <f>N15/$U$15</f>
        <v>0.19872142637204734</v>
      </c>
      <c r="O41" s="29">
        <f>O15/$U$15</f>
        <v>0.11057022624301696</v>
      </c>
      <c r="P41" s="29">
        <f ref="P41:S41" si="47" t="shared">P15/$U$15</f>
        <v>3.268280523745986E-2</v>
      </c>
      <c r="Q41" s="29">
        <f si="47" t="shared"/>
        <v>0.44143047755898007</v>
      </c>
      <c r="R41" s="29">
        <f si="47" t="shared"/>
        <v>5.215466048884914E-2</v>
      </c>
      <c r="S41" s="29">
        <f si="47" t="shared"/>
        <v>5.2081347780824329E-2</v>
      </c>
      <c r="T41" s="29">
        <f>T15/$U$15</f>
        <v>0</v>
      </c>
      <c r="U41" s="29">
        <f>U15/$U$15</f>
        <v>1</v>
      </c>
      <c r="W41" s="25" t="s">
        <v>3</v>
      </c>
      <c r="X41" s="29">
        <f si="42" t="shared"/>
        <v>-2.0713148659266947E-2</v>
      </c>
      <c r="Y41" s="29">
        <f si="42" t="shared"/>
        <v>5.3043224468156125E-3</v>
      </c>
      <c r="Z41" s="29">
        <f si="42" t="shared"/>
        <v>6.3187967193501643E-3</v>
      </c>
      <c r="AA41" s="29">
        <f si="43" t="shared"/>
        <v>-2.4061824326838746E-3</v>
      </c>
      <c r="AB41" s="29">
        <f si="44" t="shared"/>
        <v>2.5348860807577367E-2</v>
      </c>
      <c r="AC41" s="29">
        <f si="45" t="shared"/>
        <v>2.6534965320562029E-3</v>
      </c>
      <c r="AD41" s="29">
        <f si="45" t="shared"/>
        <v>5.2081347780824329E-2</v>
      </c>
      <c r="AE41" s="29">
        <f>T41-I41</f>
        <v>0</v>
      </c>
      <c r="AF41" s="29">
        <f>U41-J41</f>
        <v>0</v>
      </c>
    </row>
    <row ht="15.75" r="44" spans="1:32" thickBot="1" x14ac:dyDescent="0.3">
      <c r="A44" s="40" t="s">
        <v>213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45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46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25">
      <c r="A45" s="30" t="s">
        <v>14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14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14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2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2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2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2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2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2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ht="15.75" r="52" spans="1:32" thickBot="1" x14ac:dyDescent="0.3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T36"/>
  <sheetViews>
    <sheetView workbookViewId="0">
      <selection activeCell="B25" sqref="B25"/>
    </sheetView>
  </sheetViews>
  <sheetFormatPr defaultRowHeight="15" x14ac:dyDescent="0.25"/>
  <cols>
    <col min="2" max="2" bestFit="true" customWidth="true" width="9.28515625" collapsed="true"/>
    <col min="3" max="3" bestFit="true" customWidth="true" width="9.5703125" collapsed="true"/>
    <col min="4" max="4" bestFit="true" customWidth="true" width="12.140625" collapsed="true"/>
    <col min="5" max="5" bestFit="true" customWidth="true" width="9.5703125" collapsed="true"/>
    <col min="11" max="11" bestFit="true" customWidth="true" width="12.0" collapsed="true"/>
    <col min="12" max="13" bestFit="true" customWidth="true" width="9.5703125" collapsed="true"/>
  </cols>
  <sheetData>
    <row r="1" spans="1:19" x14ac:dyDescent="0.25">
      <c r="A1" t="s">
        <v>36</v>
      </c>
    </row>
    <row r="2" spans="1:19" x14ac:dyDescent="0.25">
      <c r="A2" t="s">
        <v>216</v>
      </c>
    </row>
    <row r="3" spans="1:19" x14ac:dyDescent="0.25">
      <c r="A3" t="s">
        <v>37</v>
      </c>
    </row>
    <row ht="15.75" r="5" spans="1:19" thickBot="1" x14ac:dyDescent="0.3">
      <c r="A5" s="4" t="s">
        <v>217</v>
      </c>
      <c r="B5" s="1"/>
      <c r="C5" s="1"/>
      <c r="D5" s="1"/>
      <c r="H5" s="4" t="s">
        <v>39</v>
      </c>
      <c r="I5" s="1"/>
      <c r="J5" s="1"/>
      <c r="K5" s="1"/>
      <c r="O5" s="4" t="s">
        <v>78</v>
      </c>
      <c r="P5" s="1"/>
      <c r="Q5" s="1"/>
      <c r="R5" s="1"/>
      <c r="S5" s="1"/>
    </row>
    <row r="6" spans="1:19" x14ac:dyDescent="0.25">
      <c r="A6" s="2"/>
      <c r="B6" s="5" t="s">
        <v>48</v>
      </c>
      <c r="C6" s="5" t="s">
        <v>49</v>
      </c>
      <c r="D6" s="5" t="s">
        <v>50</v>
      </c>
      <c r="E6" s="3" t="s">
        <v>3</v>
      </c>
      <c r="H6" s="2"/>
      <c r="I6" s="5" t="s">
        <v>48</v>
      </c>
      <c r="J6" s="5" t="s">
        <v>49</v>
      </c>
      <c r="K6" s="5" t="s">
        <v>50</v>
      </c>
      <c r="L6" s="3" t="s">
        <v>3</v>
      </c>
      <c r="O6" s="2"/>
      <c r="P6" s="5" t="s">
        <v>48</v>
      </c>
      <c r="Q6" s="5" t="s">
        <v>49</v>
      </c>
      <c r="R6" s="5" t="s">
        <v>50</v>
      </c>
      <c r="S6" s="3" t="s">
        <v>3</v>
      </c>
    </row>
    <row r="7" spans="1:19" x14ac:dyDescent="0.25">
      <c r="A7" s="53" t="s">
        <v>81</v>
      </c>
      <c r="B7" t="n">
        <v>0.0</v>
      </c>
      <c r="C7" t="n">
        <v>0.0</v>
      </c>
      <c r="D7" t="n">
        <v>0.0</v>
      </c>
      <c r="E7">
        <f>SUM(B7:D7)</f>
        <v>791.85455124424334</v>
      </c>
      <c r="H7" s="15" t="str">
        <f>$A$7</f>
        <v>Williamson</v>
      </c>
      <c r="I7" t="n">
        <v>4773.0</v>
      </c>
      <c r="J7" t="n">
        <v>821.0</v>
      </c>
      <c r="K7" t="n">
        <v>342.0</v>
      </c>
      <c r="L7">
        <f>SUM(I7:K7)</f>
        <v>940</v>
      </c>
      <c r="O7" s="15" t="str">
        <f>$A$7</f>
        <v>Williamson</v>
      </c>
      <c r="P7" s="21">
        <f>I7-B7</f>
        <v>75.315235974417419</v>
      </c>
      <c r="Q7" s="21">
        <f ref="Q7:S14" si="0" t="shared">J7-C7</f>
        <v>85</v>
      </c>
      <c r="R7" s="21">
        <f si="0" t="shared"/>
        <v>-12.169787218660701</v>
      </c>
      <c r="S7" s="21">
        <f si="0" t="shared"/>
        <v>148.14544875575666</v>
      </c>
    </row>
    <row r="8" spans="1:19" x14ac:dyDescent="0.25">
      <c r="A8" s="7" t="s">
        <v>82</v>
      </c>
      <c r="B8" t="n">
        <v>0.0</v>
      </c>
      <c r="C8" t="n">
        <v>0.0</v>
      </c>
      <c r="D8" t="n">
        <v>0.0</v>
      </c>
      <c r="E8">
        <f>SUM(B8:D8)</f>
        <v>596.36022631861624</v>
      </c>
      <c r="H8" t="str">
        <f>$A$8</f>
        <v>Rutherford</v>
      </c>
      <c r="I8" t="n">
        <v>206.0</v>
      </c>
      <c r="J8" t="n">
        <v>25.0</v>
      </c>
      <c r="K8" t="n">
        <v>43.0</v>
      </c>
      <c r="L8">
        <f>SUM(I8:K8)</f>
        <v>1285</v>
      </c>
      <c r="O8" t="str">
        <f>$A$8</f>
        <v>Rutherford</v>
      </c>
      <c r="P8" s="21">
        <f ref="P8:P14" si="1" t="shared">I8-B8</f>
        <v>881.55038921729283</v>
      </c>
      <c r="Q8" s="21">
        <f si="0" t="shared"/>
        <v>-8.9046897155939178</v>
      </c>
      <c r="R8" s="21">
        <f si="0" t="shared"/>
        <v>-184.0059258203151</v>
      </c>
      <c r="S8" s="21">
        <f si="0" t="shared"/>
        <v>688.63977368138376</v>
      </c>
    </row>
    <row r="9" spans="1:19" x14ac:dyDescent="0.25">
      <c r="A9" s="7" t="s">
        <v>83</v>
      </c>
      <c r="B9" t="n">
        <v>0.0</v>
      </c>
      <c r="C9" t="n">
        <v>0.0</v>
      </c>
      <c r="D9" t="n">
        <v>3515.915</v>
      </c>
      <c r="E9">
        <f ref="E9:E11" si="2" t="shared">SUM(B9:D9)</f>
        <v>359.74366892408779</v>
      </c>
      <c r="H9" t="str">
        <f>$A$9</f>
        <v>Sumner</v>
      </c>
      <c r="I9" t="n">
        <v>157.0</v>
      </c>
      <c r="J9" t="n">
        <v>20.0</v>
      </c>
      <c r="K9" t="n">
        <v>11.0</v>
      </c>
      <c r="L9">
        <f ref="L9:L11" si="3" t="shared">SUM(I9:K9)</f>
        <v>760</v>
      </c>
      <c r="O9" t="str">
        <f>$A$9</f>
        <v>Sumner</v>
      </c>
      <c r="P9" s="21">
        <f ref="P9:P11" si="4" t="shared">I9-B9</f>
        <v>317.301774097134</v>
      </c>
      <c r="Q9" s="21">
        <f ref="Q9:Q11" si="5" t="shared">J9-C9</f>
        <v>110</v>
      </c>
      <c r="R9" s="21">
        <f ref="R9:R11" si="6" t="shared">K9-D9</f>
        <v>-27.0454430212218</v>
      </c>
      <c r="S9" s="21">
        <f ref="S9:S11" si="7" t="shared">L9-E9</f>
        <v>400.25633107591221</v>
      </c>
    </row>
    <row r="10" spans="1:19" x14ac:dyDescent="0.25">
      <c r="A10" s="7" t="s">
        <v>84</v>
      </c>
      <c r="B10" t="n">
        <v>0.0</v>
      </c>
      <c r="C10" t="n">
        <v>0.0</v>
      </c>
      <c r="D10" t="n">
        <v>0.0</v>
      </c>
      <c r="E10">
        <f si="2" t="shared"/>
        <v>96.801962517195193</v>
      </c>
      <c r="H10" t="str">
        <f>$A$10</f>
        <v>Roberston</v>
      </c>
      <c r="I10" t="n">
        <v>86.0</v>
      </c>
      <c r="J10" t="n">
        <v>6.0</v>
      </c>
      <c r="K10" t="n">
        <v>12.0</v>
      </c>
      <c r="L10">
        <f si="3" t="shared"/>
        <v>520</v>
      </c>
      <c r="O10" s="7" t="str">
        <f>$A$10</f>
        <v>Roberston</v>
      </c>
      <c r="P10" s="22">
        <f si="4" t="shared"/>
        <v>328.19803748280481</v>
      </c>
      <c r="Q10" s="22">
        <f si="5" t="shared"/>
        <v>65</v>
      </c>
      <c r="R10" s="22">
        <f si="6" t="shared"/>
        <v>30</v>
      </c>
      <c r="S10" s="22">
        <f si="7" t="shared"/>
        <v>423.19803748280481</v>
      </c>
    </row>
    <row r="11" spans="1:19" x14ac:dyDescent="0.25">
      <c r="A11" s="7" t="s">
        <v>85</v>
      </c>
      <c r="B11" t="n">
        <v>0.0</v>
      </c>
      <c r="C11" t="n">
        <v>0.0</v>
      </c>
      <c r="D11" t="n">
        <v>0.0</v>
      </c>
      <c r="E11">
        <f si="2" t="shared"/>
        <v>2035.2144553118433</v>
      </c>
      <c r="H11" t="str">
        <f>$A$11</f>
        <v>Davidson</v>
      </c>
      <c r="I11" t="n">
        <v>297.0</v>
      </c>
      <c r="J11" t="n">
        <v>106.0</v>
      </c>
      <c r="K11" t="n">
        <v>41.0</v>
      </c>
      <c r="L11">
        <f si="3" t="shared"/>
        <v>2250</v>
      </c>
      <c r="O11" s="7" t="str">
        <f>$A$11</f>
        <v>Davidson</v>
      </c>
      <c r="P11" s="22">
        <f si="4" t="shared"/>
        <v>746.28690185127971</v>
      </c>
      <c r="Q11" s="22">
        <f si="5" t="shared"/>
        <v>255</v>
      </c>
      <c r="R11" s="22">
        <f si="6" t="shared"/>
        <v>-786.50135716312298</v>
      </c>
      <c r="S11" s="22">
        <f si="7" t="shared"/>
        <v>214.78554468815673</v>
      </c>
    </row>
    <row r="12" spans="1:19" x14ac:dyDescent="0.25">
      <c r="A12" s="7" t="s">
        <v>86</v>
      </c>
      <c r="B12" s="7" t="n">
        <v>0.0</v>
      </c>
      <c r="C12" s="7" t="n">
        <v>0.0</v>
      </c>
      <c r="D12" s="7" t="n">
        <v>0.0</v>
      </c>
      <c r="E12" s="7">
        <f>SUM(B12:D12)</f>
        <v>381.34369787253451</v>
      </c>
      <c r="H12" s="7" t="str">
        <f>$A$12</f>
        <v>Maury</v>
      </c>
      <c r="I12" s="7" t="n">
        <v>1364.0</v>
      </c>
      <c r="J12" s="7" t="n">
        <v>267.0</v>
      </c>
      <c r="K12" s="7" t="n">
        <v>117.0</v>
      </c>
      <c r="L12" s="7">
        <f>SUM(I12:K12)</f>
        <v>505</v>
      </c>
      <c r="O12" s="7" t="str">
        <f>$A$12</f>
        <v>Maury</v>
      </c>
      <c r="P12" s="22">
        <f si="1" t="shared"/>
        <v>48.656302127465494</v>
      </c>
      <c r="Q12" s="22">
        <f si="0" t="shared"/>
        <v>70</v>
      </c>
      <c r="R12" s="22">
        <f si="0" t="shared"/>
        <v>5</v>
      </c>
      <c r="S12" s="22">
        <f si="0" t="shared"/>
        <v>123.65630212746549</v>
      </c>
    </row>
    <row r="13" spans="1:19" x14ac:dyDescent="0.25">
      <c r="A13" s="7" t="s">
        <v>87</v>
      </c>
      <c r="B13" s="6" t="n">
        <v>0.0</v>
      </c>
      <c r="C13" s="6" t="n">
        <v>0.0</v>
      </c>
      <c r="D13" s="6" t="n">
        <v>0.0</v>
      </c>
      <c r="E13">
        <f>SUM(B13:D13)</f>
        <v>695.02347840167317</v>
      </c>
      <c r="H13" s="7" t="str">
        <f>$A$13</f>
        <v>Wilson</v>
      </c>
      <c r="I13" s="7" t="n">
        <v>972.0</v>
      </c>
      <c r="J13" s="7" t="n">
        <v>185.0</v>
      </c>
      <c r="K13" s="7" t="n">
        <v>342.0</v>
      </c>
      <c r="L13" s="7">
        <f>SUM(I13:K13)</f>
        <v>465</v>
      </c>
      <c r="O13" s="7" t="str">
        <f>$A$13</f>
        <v>Wilson</v>
      </c>
      <c r="P13" s="22">
        <f si="1" t="shared"/>
        <v>-212.08001959561716</v>
      </c>
      <c r="Q13" s="22">
        <f si="0" t="shared"/>
        <v>-47.943458806056</v>
      </c>
      <c r="R13" s="22">
        <f si="0" t="shared"/>
        <v>30</v>
      </c>
      <c r="S13" s="22">
        <f si="0" t="shared"/>
        <v>-230.02347840167317</v>
      </c>
    </row>
    <row ht="15.75" r="14" spans="1:19" thickBot="1" x14ac:dyDescent="0.3">
      <c r="A14" s="12" t="s">
        <v>3</v>
      </c>
      <c r="B14" s="1">
        <f>SUM(B7:B13)</f>
        <v>3349.7713788452229</v>
      </c>
      <c r="C14" s="1">
        <f ref="C14" si="8" t="shared">SUM(C7:C13)</f>
        <v>256.84814852164993</v>
      </c>
      <c r="D14" s="1">
        <f ref="D14" si="9" t="shared">SUM(D7:D13)</f>
        <v>1349.7225132233207</v>
      </c>
      <c r="E14" s="12">
        <f ref="E14" si="10" t="shared">SUM(E7:E13)</f>
        <v>4956.3420405901934</v>
      </c>
      <c r="H14" s="12" t="s">
        <v>3</v>
      </c>
      <c r="I14" s="12">
        <f>SUM(I7:I13)</f>
        <v>5535</v>
      </c>
      <c r="J14" s="12">
        <f ref="J14:L14" si="11" t="shared">SUM(J7:J13)</f>
        <v>785</v>
      </c>
      <c r="K14" s="12">
        <f si="11" t="shared"/>
        <v>405</v>
      </c>
      <c r="L14" s="12">
        <f si="11" t="shared"/>
        <v>6725</v>
      </c>
      <c r="O14" s="12" t="s">
        <v>3</v>
      </c>
      <c r="P14" s="12">
        <f si="1" t="shared"/>
        <v>2185.2286211547771</v>
      </c>
      <c r="Q14" s="12">
        <f si="0" t="shared"/>
        <v>528.15185147835007</v>
      </c>
      <c r="R14" s="12">
        <f si="0" t="shared"/>
        <v>-944.72251322332068</v>
      </c>
      <c r="S14" s="12">
        <f si="0" t="shared"/>
        <v>1768.6579594098066</v>
      </c>
    </row>
    <row r="15" spans="1:19" x14ac:dyDescent="0.25">
      <c r="O15" s="21"/>
      <c r="P15" s="21"/>
      <c r="Q15" s="21"/>
      <c r="R15" s="21"/>
      <c r="S15" s="21"/>
    </row>
    <row ht="15.75" r="16" spans="1:19" thickBot="1" x14ac:dyDescent="0.3">
      <c r="A16" s="4" t="s">
        <v>214</v>
      </c>
      <c r="B16" s="1"/>
      <c r="C16" s="1"/>
      <c r="D16" s="1"/>
      <c r="H16" s="4" t="s">
        <v>38</v>
      </c>
      <c r="I16" s="1"/>
      <c r="J16" s="1"/>
      <c r="K16" s="1"/>
      <c r="O16" s="43" t="s">
        <v>79</v>
      </c>
      <c r="P16" s="25"/>
      <c r="Q16" s="25"/>
      <c r="R16" s="25"/>
      <c r="S16" s="25"/>
    </row>
    <row r="17" spans="1:20" x14ac:dyDescent="0.25">
      <c r="A17" s="2"/>
      <c r="B17" s="5" t="s">
        <v>48</v>
      </c>
      <c r="C17" s="5" t="s">
        <v>49</v>
      </c>
      <c r="D17" s="5" t="s">
        <v>50</v>
      </c>
      <c r="E17" s="3" t="s">
        <v>3</v>
      </c>
      <c r="H17" s="2"/>
      <c r="I17" s="5" t="s">
        <v>48</v>
      </c>
      <c r="J17" s="5" t="s">
        <v>49</v>
      </c>
      <c r="K17" s="5" t="s">
        <v>50</v>
      </c>
      <c r="L17" s="3" t="s">
        <v>3</v>
      </c>
      <c r="O17" s="44"/>
      <c r="P17" s="5" t="s">
        <v>48</v>
      </c>
      <c r="Q17" s="5" t="s">
        <v>49</v>
      </c>
      <c r="R17" s="5" t="s">
        <v>50</v>
      </c>
      <c r="S17" s="45" t="s">
        <v>3</v>
      </c>
    </row>
    <row r="18" spans="1:20" x14ac:dyDescent="0.25">
      <c r="A18" s="15" t="str">
        <f>$A$7</f>
        <v>Williamson</v>
      </c>
      <c r="B18" s="9" t="n">
        <v>80320.58929999999</v>
      </c>
      <c r="C18" s="9" t="n">
        <v>11762.0298</v>
      </c>
      <c r="D18" s="9" t="n">
        <v>13008.5933</v>
      </c>
      <c r="E18">
        <f>SUM(B18:D18)</f>
        <v>36477.124583558281</v>
      </c>
      <c r="H18" s="15" t="str">
        <f>$A$7</f>
        <v>Williamson</v>
      </c>
      <c r="I18" t="n">
        <v>71625.0</v>
      </c>
      <c r="J18" t="n">
        <v>17110.0</v>
      </c>
      <c r="K18" t="n">
        <v>16885.0</v>
      </c>
      <c r="L18">
        <f>SUM(I18:K18)</f>
        <v>46675</v>
      </c>
      <c r="O18" s="15" t="str">
        <f>$A$7</f>
        <v>Williamson</v>
      </c>
      <c r="P18" s="21">
        <f>I18-B18</f>
        <v>4970.6267835304207</v>
      </c>
      <c r="Q18" s="21">
        <f ref="Q18:Q25" si="12" t="shared">J18-C18</f>
        <v>1957.565817149014</v>
      </c>
      <c r="R18" s="21">
        <f ref="R18:R25" si="13" t="shared">K18-D18</f>
        <v>3269.6828157622817</v>
      </c>
      <c r="S18" s="21">
        <f ref="S18:S25" si="14" t="shared">L18-E18</f>
        <v>10197.875416441719</v>
      </c>
    </row>
    <row r="19" spans="1:20" x14ac:dyDescent="0.25">
      <c r="A19" t="str">
        <f>$A$8</f>
        <v>Rutherford</v>
      </c>
      <c r="B19" s="9" t="n">
        <v>31685.6052</v>
      </c>
      <c r="C19" s="9" t="n">
        <v>3877.162</v>
      </c>
      <c r="D19" s="9" t="n">
        <v>5563.9564</v>
      </c>
      <c r="E19">
        <f>SUM(B19:D19)</f>
        <v>49766.268288761908</v>
      </c>
      <c r="H19" t="str">
        <f>$A$8</f>
        <v>Rutherford</v>
      </c>
      <c r="I19" t="n">
        <v>34338.0</v>
      </c>
      <c r="J19" t="n">
        <v>7401.0</v>
      </c>
      <c r="K19" t="n">
        <v>12290.0</v>
      </c>
      <c r="L19">
        <f>SUM(I19:K19)</f>
        <v>67815</v>
      </c>
      <c r="O19" t="str">
        <f>$A$8</f>
        <v>Rutherford</v>
      </c>
      <c r="P19" s="21">
        <f ref="P19:P25" si="15" t="shared">I19-B19</f>
        <v>8317.640089571818</v>
      </c>
      <c r="Q19" s="21">
        <f si="12" t="shared"/>
        <v>1385.6269682446</v>
      </c>
      <c r="R19" s="21">
        <f si="13" t="shared"/>
        <v>8345.4646534216754</v>
      </c>
      <c r="S19" s="21">
        <f si="14" t="shared"/>
        <v>18048.731711238092</v>
      </c>
    </row>
    <row r="20" spans="1:20" x14ac:dyDescent="0.25">
      <c r="A20" t="str">
        <f>$A$9</f>
        <v>Sumner</v>
      </c>
      <c r="B20" s="9" t="n">
        <v>34194.4652</v>
      </c>
      <c r="C20" s="9" t="n">
        <v>3517.365</v>
      </c>
      <c r="D20" s="9" t="n">
        <v>21776.5196</v>
      </c>
      <c r="E20">
        <f ref="E20:E22" si="16" t="shared">SUM(B20:D20)</f>
        <v>25229.442810191478</v>
      </c>
      <c r="H20" t="str">
        <f>$A$9</f>
        <v>Sumner</v>
      </c>
      <c r="I20" t="n">
        <v>29340.0</v>
      </c>
      <c r="J20" t="n">
        <v>7103.0</v>
      </c>
      <c r="K20" t="n">
        <v>27159.0</v>
      </c>
      <c r="L20">
        <f ref="L20:L22" si="17" t="shared">SUM(I20:K20)</f>
        <v>36135</v>
      </c>
      <c r="O20" t="str">
        <f>$A$9</f>
        <v>Sumner</v>
      </c>
      <c r="P20" s="21">
        <f ref="P20:P22" si="18" t="shared">I20-B20</f>
        <v>7862.5672232229153</v>
      </c>
      <c r="Q20" s="21">
        <f ref="Q20:Q22" si="19" t="shared">J20-C20</f>
        <v>777.78712769738195</v>
      </c>
      <c r="R20" s="21">
        <f ref="R20:R22" si="20" t="shared">K20-D20</f>
        <v>2265.2028388882259</v>
      </c>
      <c r="S20" s="21">
        <f ref="S20:S22" si="21" t="shared">L20-E20</f>
        <v>10905.557189808522</v>
      </c>
    </row>
    <row r="21" spans="1:20" x14ac:dyDescent="0.25">
      <c r="A21" t="str">
        <f>$A$10</f>
        <v>Roberston</v>
      </c>
      <c r="B21" s="9" t="n">
        <v>14684.4141</v>
      </c>
      <c r="C21" s="9" t="n">
        <v>908.7206</v>
      </c>
      <c r="D21" s="9" t="n">
        <v>7244.7271</v>
      </c>
      <c r="E21">
        <f si="16" t="shared"/>
        <v>10246.315202247504</v>
      </c>
      <c r="H21" t="str">
        <f>$A$10</f>
        <v>Roberston</v>
      </c>
      <c r="I21" t="n">
        <v>10503.0</v>
      </c>
      <c r="J21" t="n">
        <v>2325.0</v>
      </c>
      <c r="K21" t="n">
        <v>11735.0</v>
      </c>
      <c r="L21">
        <f si="17" t="shared"/>
        <v>15200</v>
      </c>
      <c r="O21" s="7" t="str">
        <f>$A$10</f>
        <v>Roberston</v>
      </c>
      <c r="P21" s="22">
        <f si="18" t="shared"/>
        <v>3502.156199804097</v>
      </c>
      <c r="Q21" s="22">
        <f si="19" t="shared"/>
        <v>472.28482196266486</v>
      </c>
      <c r="R21" s="22">
        <f si="20" t="shared"/>
        <v>979.24377598573528</v>
      </c>
      <c r="S21" s="22">
        <f si="21" t="shared"/>
        <v>4953.6847977524958</v>
      </c>
      <c r="T21" s="7"/>
    </row>
    <row r="22" spans="1:20" x14ac:dyDescent="0.25">
      <c r="A22" t="str">
        <f>$A$11</f>
        <v>Davidson</v>
      </c>
      <c r="B22" s="9" t="n">
        <v>34868.3681</v>
      </c>
      <c r="C22" s="9" t="n">
        <v>4446.419800000001</v>
      </c>
      <c r="D22" s="9" t="n">
        <v>8243.5277</v>
      </c>
      <c r="E22">
        <f si="16" t="shared"/>
        <v>97995.842382499482</v>
      </c>
      <c r="H22" t="str">
        <f>$A$11</f>
        <v>Davidson</v>
      </c>
      <c r="I22" t="n">
        <v>32108.0</v>
      </c>
      <c r="J22" t="n">
        <v>6974.0</v>
      </c>
      <c r="K22" t="n">
        <v>12283.0</v>
      </c>
      <c r="L22">
        <f si="17" t="shared"/>
        <v>132830</v>
      </c>
      <c r="O22" s="7" t="str">
        <f>$A$11</f>
        <v>Davidson</v>
      </c>
      <c r="P22" s="22">
        <f si="18" t="shared"/>
        <v>19923.762377262916</v>
      </c>
      <c r="Q22" s="22">
        <f si="19" t="shared"/>
        <v>4635.1061178498603</v>
      </c>
      <c r="R22" s="22">
        <f si="20" t="shared"/>
        <v>10275.289122387734</v>
      </c>
      <c r="S22" s="22">
        <f si="21" t="shared"/>
        <v>34834.157617500518</v>
      </c>
      <c r="T22" s="7"/>
    </row>
    <row r="23" spans="1:20" x14ac:dyDescent="0.25">
      <c r="A23" s="7" t="str">
        <f>$A$12</f>
        <v>Maury</v>
      </c>
      <c r="B23" s="34" t="n">
        <v>105081.5485</v>
      </c>
      <c r="C23" s="34" t="n">
        <v>19259.892200000002</v>
      </c>
      <c r="D23" s="34" t="n">
        <v>11204.5994</v>
      </c>
      <c r="E23" s="7">
        <f>SUM(B23:D23)</f>
        <v>13628.314397947075</v>
      </c>
      <c r="H23" s="7" t="str">
        <f>$A$12</f>
        <v>Maury</v>
      </c>
      <c r="I23" s="7" t="n">
        <v>93852.0</v>
      </c>
      <c r="J23" s="7" t="n">
        <v>21378.0</v>
      </c>
      <c r="K23" s="7" t="n">
        <v>24570.0</v>
      </c>
      <c r="L23" s="7">
        <f>SUM(I23:K23)</f>
        <v>16985</v>
      </c>
      <c r="O23" s="7" t="str">
        <f>$A$12</f>
        <v>Maury</v>
      </c>
      <c r="P23" s="22">
        <f si="15" t="shared"/>
        <v>2420.8956411119379</v>
      </c>
      <c r="Q23" s="22">
        <f si="12" t="shared"/>
        <v>659.8083055874672</v>
      </c>
      <c r="R23" s="22">
        <f si="13" t="shared"/>
        <v>275.98165535351973</v>
      </c>
      <c r="S23" s="22">
        <f si="14" t="shared"/>
        <v>3356.6856020529249</v>
      </c>
      <c r="T23" s="7"/>
    </row>
    <row r="24" spans="1:20" x14ac:dyDescent="0.25">
      <c r="A24" s="7" t="str">
        <f>$A$13</f>
        <v>Wilson</v>
      </c>
      <c r="B24" s="6" t="n">
        <v>72978.0849</v>
      </c>
      <c r="C24" s="6" t="n">
        <v>11756.8779</v>
      </c>
      <c r="D24" s="6" t="n">
        <v>16196.7793</v>
      </c>
      <c r="E24" s="6">
        <f>SUM(B24:D24)</f>
        <v>18254.73397554654</v>
      </c>
      <c r="H24" s="7" t="str">
        <f>$A$13</f>
        <v>Wilson</v>
      </c>
      <c r="I24" s="7" t="n">
        <v>83392.0</v>
      </c>
      <c r="J24" s="7" t="n">
        <v>21522.0</v>
      </c>
      <c r="K24" s="7" t="n">
        <v>24122.0</v>
      </c>
      <c r="L24" s="7">
        <f>SUM(I24:K24)</f>
        <v>25365</v>
      </c>
      <c r="O24" s="7" t="str">
        <f>$A$13</f>
        <v>Wilson</v>
      </c>
      <c r="P24" s="22">
        <f si="15" t="shared"/>
        <v>5039.236039606054</v>
      </c>
      <c r="Q24" s="22">
        <f si="12" t="shared"/>
        <v>190.23795900379673</v>
      </c>
      <c r="R24" s="22">
        <f si="13" t="shared"/>
        <v>1880.7920258436106</v>
      </c>
      <c r="S24" s="22">
        <f si="14" t="shared"/>
        <v>7110.26602445346</v>
      </c>
      <c r="T24" s="7"/>
    </row>
    <row ht="15.75" r="25" spans="1:20" thickBot="1" x14ac:dyDescent="0.3">
      <c r="A25" s="12" t="s">
        <v>3</v>
      </c>
      <c r="B25" s="1">
        <f>SUM(B18:B24)</f>
        <v>167913.11564588983</v>
      </c>
      <c r="C25" s="1">
        <f ref="C25" si="22" t="shared">SUM(C18:C24)</f>
        <v>39326.582882505216</v>
      </c>
      <c r="D25" s="1">
        <f ref="D25" si="23" t="shared">SUM(D18:D24)</f>
        <v>44358.343112357215</v>
      </c>
      <c r="E25" s="1">
        <f ref="E25" si="24" t="shared">SUM(E18:E24)</f>
        <v>251598.04164075229</v>
      </c>
      <c r="H25" s="12" t="s">
        <v>3</v>
      </c>
      <c r="I25" s="12">
        <f>SUM(I18:I24)</f>
        <v>219950</v>
      </c>
      <c r="J25" s="12">
        <f ref="J25" si="25" t="shared">SUM(J18:J24)</f>
        <v>49405</v>
      </c>
      <c r="K25" s="12">
        <f ref="K25" si="26" t="shared">SUM(K18:K24)</f>
        <v>71650</v>
      </c>
      <c r="L25" s="12">
        <f ref="L25" si="27" t="shared">SUM(L18:L24)</f>
        <v>341005</v>
      </c>
      <c r="O25" s="12" t="s">
        <v>3</v>
      </c>
      <c r="P25" s="12">
        <f si="15" t="shared"/>
        <v>52036.884354110167</v>
      </c>
      <c r="Q25" s="12">
        <f si="12" t="shared"/>
        <v>10078.417117494784</v>
      </c>
      <c r="R25" s="12">
        <f si="13" t="shared"/>
        <v>27291.656887642785</v>
      </c>
      <c r="S25" s="12">
        <f si="14" t="shared"/>
        <v>89406.958359247714</v>
      </c>
      <c r="T25" s="7"/>
    </row>
    <row ht="15.75" r="27" spans="1:20" thickBot="1" x14ac:dyDescent="0.3">
      <c r="A27" s="4" t="s">
        <v>215</v>
      </c>
      <c r="B27" s="1"/>
      <c r="C27" s="1"/>
      <c r="D27" s="1"/>
      <c r="H27" s="4" t="s">
        <v>40</v>
      </c>
      <c r="I27" s="1"/>
      <c r="J27" s="1"/>
      <c r="K27" s="1"/>
      <c r="O27" s="4" t="s">
        <v>80</v>
      </c>
      <c r="P27" s="1"/>
      <c r="Q27" s="1"/>
      <c r="R27" s="1"/>
      <c r="S27" s="1"/>
    </row>
    <row r="28" spans="1:20" x14ac:dyDescent="0.25">
      <c r="A28" s="2"/>
      <c r="B28" s="5" t="s">
        <v>48</v>
      </c>
      <c r="C28" s="5" t="s">
        <v>49</v>
      </c>
      <c r="D28" s="5" t="s">
        <v>50</v>
      </c>
      <c r="E28" s="3" t="s">
        <v>3</v>
      </c>
      <c r="H28" s="2"/>
      <c r="I28" s="5" t="s">
        <v>48</v>
      </c>
      <c r="J28" s="5" t="s">
        <v>49</v>
      </c>
      <c r="K28" s="5" t="s">
        <v>50</v>
      </c>
      <c r="L28" s="3" t="s">
        <v>3</v>
      </c>
      <c r="O28" s="2"/>
      <c r="P28" s="5" t="s">
        <v>48</v>
      </c>
      <c r="Q28" s="5" t="s">
        <v>49</v>
      </c>
      <c r="R28" s="5" t="s">
        <v>50</v>
      </c>
      <c r="S28" s="3" t="s">
        <v>3</v>
      </c>
    </row>
    <row r="29" spans="1:20" x14ac:dyDescent="0.25">
      <c r="A29" s="15" t="str">
        <f>$A$7</f>
        <v>Williamson</v>
      </c>
      <c r="B29" s="16">
        <f ref="B29:E29" si="28" t="shared">IF(B18&lt;&gt;0,B7/B18,0)</f>
        <v>2.5285012217700072E-2</v>
      </c>
      <c r="C29" s="16">
        <f si="28" t="shared"/>
        <v>0</v>
      </c>
      <c r="D29" s="16">
        <f si="28" t="shared"/>
        <v>3.3727271567790526E-2</v>
      </c>
      <c r="E29" s="16">
        <f si="28" t="shared"/>
        <v>2.1708250315354196E-2</v>
      </c>
      <c r="H29" s="15" t="str">
        <f>$A$7</f>
        <v>Williamson</v>
      </c>
      <c r="I29" s="16">
        <f ref="I29:L30" si="29" t="shared">IF(I18&lt;&gt;0,I7/I18,0)</f>
        <v>2.3830155979202773E-2</v>
      </c>
      <c r="J29" s="16">
        <f si="29" t="shared"/>
        <v>1.12806901128069E-2</v>
      </c>
      <c r="K29" s="16">
        <f si="29" t="shared"/>
        <v>6.6371681415929203E-3</v>
      </c>
      <c r="L29" s="16">
        <f si="29" t="shared"/>
        <v>2.013926084627745E-2</v>
      </c>
      <c r="O29" s="15" t="str">
        <f>$A$7</f>
        <v>Williamson</v>
      </c>
      <c r="P29" s="27">
        <f ref="P29:S36" si="30" t="shared">I29-B29</f>
        <v>-1.4548562384972992E-3</v>
      </c>
      <c r="Q29" s="27">
        <f si="30" t="shared"/>
        <v>1.12806901128069E-2</v>
      </c>
      <c r="R29" s="27">
        <f si="30" t="shared"/>
        <v>-2.7090103426197606E-2</v>
      </c>
      <c r="S29" s="27">
        <f si="30" t="shared"/>
        <v>-1.568989469076746E-3</v>
      </c>
    </row>
    <row r="30" spans="1:20" x14ac:dyDescent="0.25">
      <c r="A30" t="str">
        <f>$A$8</f>
        <v>Rutherford</v>
      </c>
      <c r="B30" s="16">
        <f ref="B30:E30" si="31" t="shared">IF(B19&lt;&gt;0,B8/B19,0)</f>
        <v>4.2960270766054104E-3</v>
      </c>
      <c r="C30" s="16">
        <f si="31" t="shared"/>
        <v>1.9187392210111374E-2</v>
      </c>
      <c r="D30" s="16">
        <f si="31" t="shared"/>
        <v>3.0972846355277001E-2</v>
      </c>
      <c r="E30" s="16">
        <f si="31" t="shared"/>
        <v>1.1983221704675912E-2</v>
      </c>
      <c r="H30" t="str">
        <f>$A$8</f>
        <v>Rutherford</v>
      </c>
      <c r="I30" s="16">
        <f si="29" t="shared"/>
        <v>2.5157232704402517E-2</v>
      </c>
      <c r="J30" s="16">
        <f si="29" t="shared"/>
        <v>1.5072463768115942E-2</v>
      </c>
      <c r="K30" s="16">
        <f si="29" t="shared"/>
        <v>7.2405470635559131E-3</v>
      </c>
      <c r="L30" s="16">
        <f si="29" t="shared"/>
        <v>1.8948610189486102E-2</v>
      </c>
      <c r="O30" t="str">
        <f>$A$8</f>
        <v>Rutherford</v>
      </c>
      <c r="P30" s="27">
        <f si="30" t="shared"/>
        <v>2.0861205627797107E-2</v>
      </c>
      <c r="Q30" s="27">
        <f si="30" t="shared"/>
        <v>-4.1149284419954319E-3</v>
      </c>
      <c r="R30" s="27">
        <f si="30" t="shared"/>
        <v>-2.3732299291721087E-2</v>
      </c>
      <c r="S30" s="27">
        <f si="30" t="shared"/>
        <v>6.9653884848101897E-3</v>
      </c>
    </row>
    <row r="31" spans="1:20" x14ac:dyDescent="0.25">
      <c r="A31" t="str">
        <f>$A$9</f>
        <v>Sumner</v>
      </c>
      <c r="B31" s="16">
        <f ref="B31:E31" si="32" t="shared">IF(B20&lt;&gt;0,B9/B20,0)</f>
        <v>1.7364953115700691E-2</v>
      </c>
      <c r="C31" s="16">
        <f si="32" t="shared"/>
        <v>0</v>
      </c>
      <c r="D31" s="16">
        <f si="32" t="shared"/>
        <v>2.6139302826859001E-2</v>
      </c>
      <c r="E31" s="16">
        <f si="32" t="shared"/>
        <v>1.4258882831085302E-2</v>
      </c>
      <c r="H31" t="str">
        <f>$A$9</f>
        <v>Sumner</v>
      </c>
      <c r="I31" s="16">
        <f ref="I31:L31" si="33" t="shared">IF(I20&lt;&gt;0,I9/I20,0)</f>
        <v>2.4352531890220332E-2</v>
      </c>
      <c r="J31" s="16">
        <f si="33" t="shared"/>
        <v>1.7741935483870968E-2</v>
      </c>
      <c r="K31" s="16">
        <f si="33" t="shared"/>
        <v>4.9200492004920051E-3</v>
      </c>
      <c r="L31" s="16">
        <f si="33" t="shared"/>
        <v>2.1032240210322403E-2</v>
      </c>
      <c r="O31" t="str">
        <f>$A$9</f>
        <v>Sumner</v>
      </c>
      <c r="P31" s="27">
        <f ref="P31:P33" si="34" t="shared">I31-B31</f>
        <v>6.9875787745196406E-3</v>
      </c>
      <c r="Q31" s="27">
        <f ref="Q31:Q33" si="35" t="shared">J31-C31</f>
        <v>1.7741935483870968E-2</v>
      </c>
      <c r="R31" s="27">
        <f ref="R31:R33" si="36" t="shared">K31-D31</f>
        <v>-2.1219253626366997E-2</v>
      </c>
      <c r="S31" s="27">
        <f ref="S31:S33" si="37" t="shared">L31-E31</f>
        <v>6.7733573792371007E-3</v>
      </c>
    </row>
    <row r="32" spans="1:20" x14ac:dyDescent="0.25">
      <c r="A32" t="str">
        <f>$A$10</f>
        <v>Roberston</v>
      </c>
      <c r="B32" s="16">
        <f ref="B32:E32" si="38" t="shared">IF(B21&lt;&gt;0,B10/B21,0)</f>
        <v>1.2485994173486269E-2</v>
      </c>
      <c r="C32" s="16">
        <f si="38" t="shared"/>
        <v>0</v>
      </c>
      <c r="D32" s="16">
        <f si="38" t="shared"/>
        <v>0</v>
      </c>
      <c r="E32" s="16">
        <f si="38" t="shared"/>
        <v>9.4474902056460187E-3</v>
      </c>
      <c r="H32" t="str">
        <f>$A$10</f>
        <v>Roberston</v>
      </c>
      <c r="I32" s="16">
        <f ref="I32:L32" si="39" t="shared">IF(I21&lt;&gt;0,I10/I21,0)</f>
        <v>3.7760995113282986E-2</v>
      </c>
      <c r="J32" s="16">
        <f si="39" t="shared"/>
        <v>2.5691699604743084E-2</v>
      </c>
      <c r="K32" s="16">
        <f si="39" t="shared"/>
        <v>2.1201413427561839E-2</v>
      </c>
      <c r="L32" s="16">
        <f si="39" t="shared"/>
        <v>3.4210526315789476E-2</v>
      </c>
      <c r="O32" t="str">
        <f>$A$10</f>
        <v>Roberston</v>
      </c>
      <c r="P32" s="27">
        <f si="34" t="shared"/>
        <v>2.5275000939796718E-2</v>
      </c>
      <c r="Q32" s="27">
        <f si="35" t="shared"/>
        <v>2.5691699604743084E-2</v>
      </c>
      <c r="R32" s="27">
        <f si="36" t="shared"/>
        <v>2.1201413427561839E-2</v>
      </c>
      <c r="S32" s="27">
        <f si="37" t="shared"/>
        <v>2.4763036110143459E-2</v>
      </c>
    </row>
    <row r="33" spans="1:19" x14ac:dyDescent="0.25">
      <c r="A33" s="7" t="str">
        <f>$A$11</f>
        <v>Davidson</v>
      </c>
      <c r="B33" s="51">
        <f ref="B33:E33" si="40" t="shared">IF(B22&lt;&gt;0,B11/B22,0)</f>
        <v>1.9019034166761119E-2</v>
      </c>
      <c r="C33" s="51">
        <f si="40" t="shared"/>
        <v>0</v>
      </c>
      <c r="D33" s="51">
        <f si="40" t="shared"/>
        <v>3.3861217306208315E-2</v>
      </c>
      <c r="E33" s="51">
        <f si="40" t="shared"/>
        <v>2.0768375533402227E-2</v>
      </c>
      <c r="H33" s="7" t="str">
        <f>$A$11</f>
        <v>Davidson</v>
      </c>
      <c r="I33" s="51">
        <f ref="I33:L33" si="41" t="shared">IF(I22&lt;&gt;0,I11/I22,0)</f>
        <v>2.3763399199276766E-2</v>
      </c>
      <c r="J33" s="51">
        <f si="41" t="shared"/>
        <v>1.4722863741339492E-2</v>
      </c>
      <c r="K33" s="51">
        <f si="41" t="shared"/>
        <v>4.0703781512605045E-3</v>
      </c>
      <c r="L33" s="51">
        <f si="41" t="shared"/>
        <v>1.6938944515546187E-2</v>
      </c>
      <c r="O33" s="7" t="str">
        <f>$A$11</f>
        <v>Davidson</v>
      </c>
      <c r="P33" s="52">
        <f si="34" t="shared"/>
        <v>4.7443650325156468E-3</v>
      </c>
      <c r="Q33" s="52">
        <f si="35" t="shared"/>
        <v>1.4722863741339492E-2</v>
      </c>
      <c r="R33" s="52">
        <f si="36" t="shared"/>
        <v>-2.9790839154947811E-2</v>
      </c>
      <c r="S33" s="52">
        <f si="37" t="shared"/>
        <v>-3.8294310178560408E-3</v>
      </c>
    </row>
    <row r="34" spans="1:19" x14ac:dyDescent="0.25">
      <c r="A34" s="7" t="str">
        <f>$A$12</f>
        <v>Maury</v>
      </c>
      <c r="B34" s="51">
        <f ref="B34:E35" si="42" t="shared">IF(B23&lt;&gt;0,B12/B23,0)</f>
        <v>4.0529223965117177E-2</v>
      </c>
      <c r="C34" s="51">
        <f si="42" t="shared"/>
        <v>0</v>
      </c>
      <c r="D34" s="51">
        <f si="42" t="shared"/>
        <v>0</v>
      </c>
      <c r="E34" s="51">
        <f si="42" t="shared"/>
        <v>2.7981721490808787E-2</v>
      </c>
      <c r="H34" s="7" t="str">
        <f>$A$12</f>
        <v>Maury</v>
      </c>
      <c r="I34" s="51">
        <f ref="I34:L35" si="43" t="shared">IF(I23&lt;&gt;0,I12/I23,0)</f>
        <v>3.634826711749789E-2</v>
      </c>
      <c r="J34" s="51">
        <f si="43" t="shared"/>
        <v>2.0926756352765322E-2</v>
      </c>
      <c r="K34" s="51">
        <f si="43" t="shared"/>
        <v>2.7624309392265192E-3</v>
      </c>
      <c r="L34" s="51">
        <f si="43" t="shared"/>
        <v>2.9732116573447161E-2</v>
      </c>
      <c r="O34" s="7" t="str">
        <f>$A$12</f>
        <v>Maury</v>
      </c>
      <c r="P34" s="52">
        <f si="30" t="shared"/>
        <v>-4.1809568476192868E-3</v>
      </c>
      <c r="Q34" s="52">
        <f si="30" t="shared"/>
        <v>2.0926756352765322E-2</v>
      </c>
      <c r="R34" s="52">
        <f si="30" t="shared"/>
        <v>2.7624309392265192E-3</v>
      </c>
      <c r="S34" s="52">
        <f si="30" t="shared"/>
        <v>1.7503950826383737E-3</v>
      </c>
    </row>
    <row r="35" spans="1:19" x14ac:dyDescent="0.25">
      <c r="A35" s="7" t="str">
        <f>$A$13</f>
        <v>Wilson</v>
      </c>
      <c r="B35" s="51">
        <f si="42" t="shared"/>
        <v>4.3192142403405034E-2</v>
      </c>
      <c r="C35" s="51">
        <f si="42" t="shared"/>
        <v>3.2227084024826727E-2</v>
      </c>
      <c r="D35" s="51">
        <f si="42" t="shared"/>
        <v>0</v>
      </c>
      <c r="E35" s="51">
        <f si="42" t="shared"/>
        <v>3.8073602131518565E-2</v>
      </c>
      <c r="H35" s="7" t="str">
        <f>$A$13</f>
        <v>Wilson</v>
      </c>
      <c r="I35" s="51">
        <f si="43" t="shared"/>
        <v>1.983695652173913E-2</v>
      </c>
      <c r="J35" s="51">
        <f si="43" t="shared"/>
        <v>1.8181818181818181E-2</v>
      </c>
      <c r="K35" s="51">
        <f si="43" t="shared"/>
        <v>9.630818619582664E-3</v>
      </c>
      <c r="L35" s="51">
        <f si="43" t="shared"/>
        <v>1.8332347723240685E-2</v>
      </c>
      <c r="O35" s="7" t="str">
        <f>$A$13</f>
        <v>Wilson</v>
      </c>
      <c r="P35" s="52">
        <f si="30" t="shared"/>
        <v>-2.3355185881665904E-2</v>
      </c>
      <c r="Q35" s="52">
        <f si="30" t="shared"/>
        <v>-1.4045265843008546E-2</v>
      </c>
      <c r="R35" s="52">
        <f si="30" t="shared"/>
        <v>9.630818619582664E-3</v>
      </c>
      <c r="S35" s="52">
        <f si="30" t="shared"/>
        <v>-1.974125440827788E-2</v>
      </c>
    </row>
    <row ht="15.75" r="36" spans="1:19" thickBot="1" x14ac:dyDescent="0.3">
      <c r="A36" s="12" t="s">
        <v>3</v>
      </c>
      <c r="B36" s="17">
        <f>IF(B25&lt;&gt;0,B14/B25,0)</f>
        <v>1.9949432573864688E-2</v>
      </c>
      <c r="C36" s="17">
        <f ref="C36:E36" si="44" t="shared">IF(C25&lt;&gt;0,C14/C25,0)</f>
        <v>6.5311585623654871E-3</v>
      </c>
      <c r="D36" s="17">
        <f si="44" t="shared"/>
        <v>3.0427703528162642E-2</v>
      </c>
      <c r="E36" s="17">
        <f si="44" t="shared"/>
        <v>1.9699446022187941E-2</v>
      </c>
      <c r="H36" s="12" t="s">
        <v>3</v>
      </c>
      <c r="I36" s="17">
        <f>IF(I25&lt;&gt;0,I14/I25,0)</f>
        <v>2.5164810184132757E-2</v>
      </c>
      <c r="J36" s="17">
        <f ref="J36:L36" si="45" t="shared">IF(J25&lt;&gt;0,J14/J25,0)</f>
        <v>1.5889080052626254E-2</v>
      </c>
      <c r="K36" s="17">
        <f si="45" t="shared"/>
        <v>5.6524773203070477E-3</v>
      </c>
      <c r="L36" s="17">
        <f si="45" t="shared"/>
        <v>1.9721118458673626E-2</v>
      </c>
      <c r="O36" s="12" t="s">
        <v>3</v>
      </c>
      <c r="P36" s="46">
        <f si="30" t="shared"/>
        <v>5.2153776102680689E-3</v>
      </c>
      <c r="Q36" s="46">
        <f ref="Q36" si="46" t="shared">J36-C36</f>
        <v>9.3579214902607677E-3</v>
      </c>
      <c r="R36" s="46">
        <f ref="R36" si="47" t="shared">K36-D36</f>
        <v>-2.4775226207855595E-2</v>
      </c>
      <c r="S36" s="46">
        <f ref="S36" si="48" t="shared">L36-E36</f>
        <v>2.167243648568476E-5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5"/>
  <sheetViews>
    <sheetView workbookViewId="0"/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51</v>
      </c>
    </row>
    <row r="2" spans="1:2" x14ac:dyDescent="0.25">
      <c r="A2" s="42">
        <v>1</v>
      </c>
      <c r="B2" t="s">
        <v>55</v>
      </c>
    </row>
    <row r="3" spans="1:2" x14ac:dyDescent="0.25">
      <c r="A3" s="11"/>
    </row>
    <row r="4" spans="1:2" x14ac:dyDescent="0.25">
      <c r="A4">
        <v>2</v>
      </c>
      <c r="B4" t="s">
        <v>17</v>
      </c>
    </row>
    <row r="6" spans="1:2" x14ac:dyDescent="0.25">
      <c r="A6">
        <v>3</v>
      </c>
      <c r="B6" t="s">
        <v>53</v>
      </c>
    </row>
    <row r="8" spans="1:2" x14ac:dyDescent="0.25">
      <c r="A8">
        <v>4</v>
      </c>
      <c r="B8" t="s">
        <v>34</v>
      </c>
    </row>
    <row r="10" spans="1:2" x14ac:dyDescent="0.25">
      <c r="A10">
        <v>5</v>
      </c>
      <c r="B10" t="s">
        <v>16</v>
      </c>
    </row>
    <row r="12" spans="1:2" x14ac:dyDescent="0.25">
      <c r="A12" s="11" t="s">
        <v>52</v>
      </c>
    </row>
    <row r="13" spans="1:2" x14ac:dyDescent="0.25">
      <c r="A13">
        <v>1</v>
      </c>
      <c r="B13" t="s">
        <v>54</v>
      </c>
    </row>
    <row r="15" spans="1:2" x14ac:dyDescent="0.25">
      <c r="A15">
        <v>2</v>
      </c>
      <c r="B15" t="s">
        <v>56</v>
      </c>
    </row>
    <row r="16" spans="1:2" x14ac:dyDescent="0.25">
      <c r="B16" t="s">
        <v>57</v>
      </c>
    </row>
    <row r="18" spans="1:4" x14ac:dyDescent="0.25">
      <c r="A18">
        <v>3</v>
      </c>
      <c r="B18" t="s">
        <v>58</v>
      </c>
    </row>
    <row r="19" spans="1:4" x14ac:dyDescent="0.25">
      <c r="B19" t="s">
        <v>59</v>
      </c>
    </row>
    <row r="20" spans="1:4" x14ac:dyDescent="0.25">
      <c r="B20" t="s">
        <v>60</v>
      </c>
      <c r="C20" t="s">
        <v>63</v>
      </c>
      <c r="D20" t="s">
        <v>66</v>
      </c>
    </row>
    <row r="21" spans="1:4" x14ac:dyDescent="0.25">
      <c r="B21" t="s">
        <v>48</v>
      </c>
      <c r="C21" t="s">
        <v>62</v>
      </c>
      <c r="D21" t="s">
        <v>67</v>
      </c>
    </row>
    <row r="22" spans="1:4" x14ac:dyDescent="0.25">
      <c r="B22" t="s">
        <v>49</v>
      </c>
      <c r="C22" t="s">
        <v>64</v>
      </c>
      <c r="D22" t="s">
        <v>68</v>
      </c>
    </row>
    <row r="23" spans="1:4" x14ac:dyDescent="0.25">
      <c r="B23" t="s">
        <v>61</v>
      </c>
      <c r="C23" t="s">
        <v>65</v>
      </c>
      <c r="D23" t="s">
        <v>69</v>
      </c>
    </row>
    <row r="25" spans="1:4" x14ac:dyDescent="0.25">
      <c r="A25" s="11" t="s">
        <v>70</v>
      </c>
    </row>
    <row r="26" spans="1:4" x14ac:dyDescent="0.25">
      <c r="A26">
        <v>1</v>
      </c>
      <c r="B26" t="s">
        <v>71</v>
      </c>
    </row>
    <row r="28" spans="1:4" x14ac:dyDescent="0.25">
      <c r="A28">
        <v>2</v>
      </c>
      <c r="B28" t="s">
        <v>72</v>
      </c>
    </row>
    <row r="30" spans="1:4" x14ac:dyDescent="0.25">
      <c r="A30" s="11" t="s">
        <v>73</v>
      </c>
    </row>
    <row r="31" spans="1:4" x14ac:dyDescent="0.25">
      <c r="A31">
        <v>1</v>
      </c>
      <c r="B31" t="s">
        <v>74</v>
      </c>
    </row>
    <row r="33" spans="1:2" x14ac:dyDescent="0.25">
      <c r="A33" s="11">
        <v>2</v>
      </c>
      <c r="B33" t="s">
        <v>75</v>
      </c>
    </row>
    <row r="35" spans="1:2" x14ac:dyDescent="0.25">
      <c r="A35">
        <v>3</v>
      </c>
      <c r="B35" t="s">
        <v>76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150</v>
      </c>
      <c r="B1" t="s">
        <v>152</v>
      </c>
      <c r="F1" t="s">
        <v>151</v>
      </c>
    </row>
    <row r="2" spans="1:6" x14ac:dyDescent="0.25">
      <c r="A2">
        <v>1</v>
      </c>
      <c r="B2" t="s">
        <v>88</v>
      </c>
      <c r="C2" t="s">
        <v>89</v>
      </c>
      <c r="D2">
        <v>1</v>
      </c>
      <c r="E2">
        <v>0</v>
      </c>
      <c r="F2" t="s">
        <v>155</v>
      </c>
    </row>
    <row r="3" spans="1:6" x14ac:dyDescent="0.25">
      <c r="A3">
        <v>2</v>
      </c>
      <c r="B3" t="s">
        <v>90</v>
      </c>
      <c r="C3" t="s">
        <v>89</v>
      </c>
      <c r="D3">
        <v>1</v>
      </c>
      <c r="E3">
        <v>0</v>
      </c>
      <c r="F3" t="s">
        <v>156</v>
      </c>
    </row>
    <row r="4" spans="1:6" x14ac:dyDescent="0.25">
      <c r="A4">
        <v>3</v>
      </c>
      <c r="B4" t="s">
        <v>91</v>
      </c>
      <c r="C4" t="s">
        <v>89</v>
      </c>
      <c r="D4">
        <v>1</v>
      </c>
      <c r="E4">
        <v>0</v>
      </c>
      <c r="F4" t="s">
        <v>157</v>
      </c>
    </row>
    <row r="5" spans="1:6" x14ac:dyDescent="0.25">
      <c r="A5">
        <v>4</v>
      </c>
      <c r="B5" t="s">
        <v>92</v>
      </c>
      <c r="C5" t="s">
        <v>89</v>
      </c>
      <c r="D5">
        <v>0.5</v>
      </c>
      <c r="E5">
        <v>0</v>
      </c>
      <c r="F5" t="s">
        <v>158</v>
      </c>
    </row>
    <row r="6" spans="1:6" x14ac:dyDescent="0.25">
      <c r="A6">
        <v>5</v>
      </c>
      <c r="B6" t="s">
        <v>93</v>
      </c>
      <c r="C6" t="s">
        <v>89</v>
      </c>
      <c r="D6">
        <v>0.1</v>
      </c>
      <c r="E6">
        <v>0</v>
      </c>
      <c r="F6" t="s">
        <v>159</v>
      </c>
    </row>
    <row r="7" spans="1:6" x14ac:dyDescent="0.25">
      <c r="A7">
        <v>6</v>
      </c>
      <c r="B7" t="s">
        <v>94</v>
      </c>
      <c r="C7" t="s">
        <v>89</v>
      </c>
      <c r="D7">
        <v>1</v>
      </c>
      <c r="E7">
        <v>0</v>
      </c>
      <c r="F7" t="s">
        <v>205</v>
      </c>
    </row>
    <row r="8" spans="1:6" x14ac:dyDescent="0.25">
      <c r="A8">
        <v>7</v>
      </c>
      <c r="B8" t="s">
        <v>95</v>
      </c>
      <c r="C8" t="s">
        <v>89</v>
      </c>
      <c r="D8">
        <v>-21.977719252</v>
      </c>
      <c r="E8">
        <v>0</v>
      </c>
      <c r="F8" t="s">
        <v>160</v>
      </c>
    </row>
    <row r="9" spans="1:6" x14ac:dyDescent="0.25">
      <c r="A9">
        <v>8</v>
      </c>
      <c r="B9" t="s">
        <v>96</v>
      </c>
      <c r="C9" t="s">
        <v>89</v>
      </c>
      <c r="D9">
        <v>-1.4857940511400001</v>
      </c>
      <c r="E9">
        <v>0</v>
      </c>
      <c r="F9" t="s">
        <v>161</v>
      </c>
    </row>
    <row r="10" spans="1:6" x14ac:dyDescent="0.25">
      <c r="A10">
        <v>9</v>
      </c>
      <c r="B10" t="s">
        <v>97</v>
      </c>
      <c r="C10" t="s">
        <v>89</v>
      </c>
      <c r="D10">
        <v>-4.85028348146</v>
      </c>
      <c r="E10">
        <v>0</v>
      </c>
      <c r="F10" t="s">
        <v>162</v>
      </c>
    </row>
    <row r="11" spans="1:6" x14ac:dyDescent="0.25">
      <c r="A11">
        <v>10</v>
      </c>
      <c r="B11" t="s">
        <v>98</v>
      </c>
      <c r="C11" t="s">
        <v>89</v>
      </c>
      <c r="D11">
        <v>-15.3921330935</v>
      </c>
      <c r="E11">
        <v>0</v>
      </c>
      <c r="F11" t="s">
        <v>163</v>
      </c>
    </row>
    <row r="12" spans="1:6" x14ac:dyDescent="0.25">
      <c r="A12">
        <v>11</v>
      </c>
      <c r="B12" t="s">
        <v>99</v>
      </c>
      <c r="C12" t="s">
        <v>89</v>
      </c>
      <c r="D12">
        <v>-11.245247773539999</v>
      </c>
      <c r="E12">
        <v>0</v>
      </c>
      <c r="F12" t="s">
        <v>164</v>
      </c>
    </row>
    <row r="13" spans="1:6" x14ac:dyDescent="0.25">
      <c r="A13">
        <v>12</v>
      </c>
      <c r="B13" t="s">
        <v>100</v>
      </c>
      <c r="C13" t="s">
        <v>89</v>
      </c>
      <c r="D13">
        <v>-4.2752113423699996</v>
      </c>
      <c r="E13">
        <v>0</v>
      </c>
      <c r="F13" t="s">
        <v>165</v>
      </c>
    </row>
    <row r="14" spans="1:6" x14ac:dyDescent="0.25">
      <c r="A14">
        <v>13</v>
      </c>
      <c r="B14" t="s">
        <v>101</v>
      </c>
      <c r="C14" t="s">
        <v>89</v>
      </c>
      <c r="D14">
        <v>-6.5192578502799998</v>
      </c>
      <c r="E14">
        <v>0</v>
      </c>
      <c r="F14" t="s">
        <v>166</v>
      </c>
    </row>
    <row r="15" spans="1:6" x14ac:dyDescent="0.25">
      <c r="A15">
        <v>14</v>
      </c>
      <c r="B15" t="s">
        <v>102</v>
      </c>
      <c r="C15" t="s">
        <v>89</v>
      </c>
      <c r="D15">
        <v>-3.04866060786</v>
      </c>
      <c r="E15">
        <v>0</v>
      </c>
      <c r="F15" t="s">
        <v>167</v>
      </c>
    </row>
    <row r="16" spans="1:6" x14ac:dyDescent="0.25">
      <c r="A16">
        <v>15</v>
      </c>
      <c r="B16" t="s">
        <v>103</v>
      </c>
      <c r="C16" t="s">
        <v>89</v>
      </c>
      <c r="D16">
        <v>0</v>
      </c>
      <c r="E16">
        <v>0</v>
      </c>
      <c r="F16" t="s">
        <v>206</v>
      </c>
    </row>
    <row r="17" spans="1:6" x14ac:dyDescent="0.25">
      <c r="A17">
        <v>16</v>
      </c>
      <c r="B17" t="s">
        <v>104</v>
      </c>
      <c r="C17" t="s">
        <v>89</v>
      </c>
      <c r="D17">
        <v>-2.2084934246199999</v>
      </c>
      <c r="E17">
        <v>0</v>
      </c>
      <c r="F17" t="s">
        <v>207</v>
      </c>
    </row>
    <row r="18" spans="1:6" x14ac:dyDescent="0.25">
      <c r="A18">
        <v>17</v>
      </c>
      <c r="B18" t="s">
        <v>105</v>
      </c>
      <c r="C18" t="s">
        <v>89</v>
      </c>
      <c r="D18">
        <v>0</v>
      </c>
      <c r="E18">
        <v>0</v>
      </c>
      <c r="F18" t="s">
        <v>168</v>
      </c>
    </row>
    <row r="19" spans="1:6" x14ac:dyDescent="0.25">
      <c r="A19">
        <v>18</v>
      </c>
      <c r="B19" t="s">
        <v>106</v>
      </c>
      <c r="C19" t="s">
        <v>89</v>
      </c>
      <c r="D19">
        <v>0</v>
      </c>
      <c r="E19">
        <v>0</v>
      </c>
      <c r="F19" t="s">
        <v>169</v>
      </c>
    </row>
    <row r="20" spans="1:6" x14ac:dyDescent="0.25">
      <c r="A20">
        <v>19</v>
      </c>
      <c r="B20" t="s">
        <v>107</v>
      </c>
      <c r="C20" t="s">
        <v>89</v>
      </c>
      <c r="D20">
        <v>0</v>
      </c>
      <c r="E20">
        <v>0</v>
      </c>
      <c r="F20" t="s">
        <v>170</v>
      </c>
    </row>
    <row r="21" spans="1:6" x14ac:dyDescent="0.25">
      <c r="A21">
        <v>20</v>
      </c>
      <c r="B21" t="s">
        <v>108</v>
      </c>
      <c r="C21" t="s">
        <v>89</v>
      </c>
      <c r="D21">
        <v>0</v>
      </c>
      <c r="E21">
        <v>0</v>
      </c>
      <c r="F21" t="s">
        <v>171</v>
      </c>
    </row>
    <row r="22" spans="1:6" x14ac:dyDescent="0.25">
      <c r="A22">
        <v>21</v>
      </c>
      <c r="B22" t="s">
        <v>109</v>
      </c>
      <c r="C22" t="s">
        <v>89</v>
      </c>
      <c r="D22">
        <v>0</v>
      </c>
      <c r="E22">
        <v>0</v>
      </c>
      <c r="F22" t="s">
        <v>208</v>
      </c>
    </row>
    <row r="23" spans="1:6" x14ac:dyDescent="0.25">
      <c r="A23">
        <v>30</v>
      </c>
      <c r="B23" t="s">
        <v>110</v>
      </c>
      <c r="C23" t="s">
        <v>89</v>
      </c>
      <c r="D23">
        <v>0</v>
      </c>
      <c r="E23">
        <v>0</v>
      </c>
      <c r="F23" t="s">
        <v>172</v>
      </c>
    </row>
    <row r="24" spans="1:6" x14ac:dyDescent="0.25">
      <c r="A24">
        <v>31</v>
      </c>
      <c r="B24" t="s">
        <v>111</v>
      </c>
      <c r="C24" t="s">
        <v>89</v>
      </c>
      <c r="D24">
        <v>0</v>
      </c>
      <c r="E24">
        <v>0</v>
      </c>
      <c r="F24" t="s">
        <v>173</v>
      </c>
    </row>
    <row r="25" spans="1:6" x14ac:dyDescent="0.25">
      <c r="A25">
        <v>32</v>
      </c>
      <c r="B25" t="s">
        <v>112</v>
      </c>
      <c r="C25" t="s">
        <v>89</v>
      </c>
      <c r="D25">
        <v>0</v>
      </c>
      <c r="E25">
        <v>0</v>
      </c>
      <c r="F25" t="s">
        <v>174</v>
      </c>
    </row>
    <row r="26" spans="1:6" x14ac:dyDescent="0.25">
      <c r="A26">
        <v>33</v>
      </c>
      <c r="B26" t="s">
        <v>113</v>
      </c>
      <c r="C26" t="s">
        <v>89</v>
      </c>
      <c r="D26">
        <v>0.20475756801299999</v>
      </c>
      <c r="E26">
        <v>0</v>
      </c>
      <c r="F26" t="s">
        <v>175</v>
      </c>
    </row>
    <row r="27" spans="1:6" x14ac:dyDescent="0.25">
      <c r="A27">
        <v>34</v>
      </c>
      <c r="B27" t="s">
        <v>114</v>
      </c>
      <c r="C27" t="s">
        <v>89</v>
      </c>
      <c r="D27">
        <v>0.73914409694299998</v>
      </c>
      <c r="E27">
        <v>0</v>
      </c>
      <c r="F27" t="s">
        <v>176</v>
      </c>
    </row>
    <row r="28" spans="1:6" x14ac:dyDescent="0.25">
      <c r="A28">
        <v>35</v>
      </c>
      <c r="B28" t="s">
        <v>115</v>
      </c>
      <c r="C28" t="s">
        <v>89</v>
      </c>
      <c r="D28">
        <v>0.91950533972299997</v>
      </c>
      <c r="E28">
        <v>0</v>
      </c>
      <c r="F28" t="s">
        <v>177</v>
      </c>
    </row>
    <row r="29" spans="1:6" x14ac:dyDescent="0.25">
      <c r="A29">
        <v>36</v>
      </c>
      <c r="B29" t="s">
        <v>116</v>
      </c>
      <c r="C29" t="s">
        <v>89</v>
      </c>
      <c r="D29">
        <v>0</v>
      </c>
      <c r="E29">
        <v>0</v>
      </c>
      <c r="F29" t="s">
        <v>178</v>
      </c>
    </row>
    <row r="30" spans="1:6" x14ac:dyDescent="0.25">
      <c r="A30">
        <v>37</v>
      </c>
      <c r="B30" t="s">
        <v>117</v>
      </c>
      <c r="C30" t="s">
        <v>89</v>
      </c>
      <c r="D30">
        <v>0.47967991030399998</v>
      </c>
      <c r="E30">
        <v>0</v>
      </c>
      <c r="F30" t="s">
        <v>179</v>
      </c>
    </row>
    <row r="31" spans="1:6" x14ac:dyDescent="0.25">
      <c r="A31">
        <v>38</v>
      </c>
      <c r="B31" t="s">
        <v>118</v>
      </c>
      <c r="C31" t="s">
        <v>89</v>
      </c>
      <c r="D31">
        <v>-0.117361085083</v>
      </c>
      <c r="E31">
        <v>0</v>
      </c>
      <c r="F31" t="s">
        <v>180</v>
      </c>
    </row>
    <row r="32" spans="1:6" x14ac:dyDescent="0.25">
      <c r="A32">
        <v>50</v>
      </c>
      <c r="B32" t="s">
        <v>119</v>
      </c>
      <c r="C32" t="s">
        <v>120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121</v>
      </c>
      <c r="C33" t="s">
        <v>120</v>
      </c>
      <c r="D33">
        <v>17.602734273900001</v>
      </c>
      <c r="E33">
        <v>9.4985609110600002</v>
      </c>
      <c r="F33" t="s">
        <v>153</v>
      </c>
    </row>
    <row r="34" spans="1:6" x14ac:dyDescent="0.25">
      <c r="A34">
        <v>52</v>
      </c>
      <c r="B34" t="s">
        <v>122</v>
      </c>
      <c r="C34" t="s">
        <v>120</v>
      </c>
      <c r="D34">
        <v>4.20952630757</v>
      </c>
      <c r="E34">
        <v>2.7008716882299999</v>
      </c>
      <c r="F34" t="s">
        <v>154</v>
      </c>
    </row>
    <row r="35" spans="1:6" x14ac:dyDescent="0.25">
      <c r="A35">
        <v>60</v>
      </c>
      <c r="B35" t="s">
        <v>123</v>
      </c>
      <c r="C35" t="s">
        <v>89</v>
      </c>
      <c r="D35">
        <v>0.20359321296800001</v>
      </c>
      <c r="E35">
        <v>0</v>
      </c>
    </row>
    <row r="36" spans="1:6" x14ac:dyDescent="0.25">
      <c r="A36">
        <v>61</v>
      </c>
      <c r="B36" t="s">
        <v>124</v>
      </c>
      <c r="C36" t="s">
        <v>89</v>
      </c>
      <c r="D36">
        <v>-3.7139025588600001</v>
      </c>
      <c r="E36">
        <v>0</v>
      </c>
      <c r="F36" t="s">
        <v>181</v>
      </c>
    </row>
    <row r="37" spans="1:6" x14ac:dyDescent="0.25">
      <c r="A37">
        <v>62</v>
      </c>
      <c r="B37" t="s">
        <v>125</v>
      </c>
      <c r="C37" t="s">
        <v>89</v>
      </c>
      <c r="D37">
        <v>-14.9292134206</v>
      </c>
      <c r="E37">
        <v>0</v>
      </c>
      <c r="F37" t="s">
        <v>182</v>
      </c>
    </row>
    <row r="38" spans="1:6" x14ac:dyDescent="0.25">
      <c r="A38">
        <v>63</v>
      </c>
      <c r="B38" t="s">
        <v>126</v>
      </c>
      <c r="C38" t="s">
        <v>89</v>
      </c>
      <c r="D38">
        <v>-18.363643827400001</v>
      </c>
      <c r="E38">
        <v>0</v>
      </c>
      <c r="F38" t="s">
        <v>183</v>
      </c>
    </row>
    <row r="39" spans="1:6" x14ac:dyDescent="0.25">
      <c r="A39">
        <v>64</v>
      </c>
      <c r="B39" t="s">
        <v>127</v>
      </c>
      <c r="C39" t="s">
        <v>89</v>
      </c>
      <c r="D39">
        <v>-19.6107408341</v>
      </c>
      <c r="E39">
        <v>0</v>
      </c>
      <c r="F39" t="s">
        <v>184</v>
      </c>
    </row>
    <row r="40" spans="1:6" x14ac:dyDescent="0.25">
      <c r="A40">
        <v>65</v>
      </c>
      <c r="B40" t="s">
        <v>128</v>
      </c>
      <c r="C40" t="s">
        <v>89</v>
      </c>
      <c r="D40">
        <v>-29.386377866</v>
      </c>
      <c r="E40">
        <v>0</v>
      </c>
      <c r="F40" t="s">
        <v>185</v>
      </c>
    </row>
    <row r="41" spans="1:6" x14ac:dyDescent="0.25">
      <c r="A41">
        <v>66</v>
      </c>
      <c r="B41" t="s">
        <v>129</v>
      </c>
      <c r="C41" t="s">
        <v>89</v>
      </c>
      <c r="D41">
        <v>0</v>
      </c>
      <c r="E41">
        <v>0</v>
      </c>
      <c r="F41" t="s">
        <v>186</v>
      </c>
    </row>
    <row r="42" spans="1:6" x14ac:dyDescent="0.25">
      <c r="A42">
        <v>67</v>
      </c>
      <c r="B42" t="s">
        <v>130</v>
      </c>
      <c r="C42" t="s">
        <v>89</v>
      </c>
      <c r="D42">
        <v>-6.7290240321499999</v>
      </c>
      <c r="E42">
        <v>0</v>
      </c>
      <c r="F42" t="s">
        <v>187</v>
      </c>
    </row>
    <row r="43" spans="1:6" x14ac:dyDescent="0.25">
      <c r="A43">
        <v>68</v>
      </c>
      <c r="B43" t="s">
        <v>131</v>
      </c>
      <c r="C43" t="s">
        <v>89</v>
      </c>
      <c r="D43">
        <v>-26.1597322567</v>
      </c>
      <c r="E43">
        <v>0</v>
      </c>
      <c r="F43" t="s">
        <v>188</v>
      </c>
    </row>
    <row r="44" spans="1:6" x14ac:dyDescent="0.25">
      <c r="A44">
        <v>69</v>
      </c>
      <c r="B44" t="s">
        <v>132</v>
      </c>
      <c r="C44" t="s">
        <v>89</v>
      </c>
      <c r="D44">
        <v>-0.14966845132199999</v>
      </c>
      <c r="E44">
        <v>0</v>
      </c>
      <c r="F44" t="s">
        <v>189</v>
      </c>
    </row>
    <row r="45" spans="1:6" x14ac:dyDescent="0.25">
      <c r="A45">
        <v>70</v>
      </c>
      <c r="B45" t="s">
        <v>133</v>
      </c>
      <c r="C45" t="s">
        <v>89</v>
      </c>
      <c r="D45">
        <v>-28.815960729</v>
      </c>
      <c r="E45">
        <v>0</v>
      </c>
      <c r="F45" t="s">
        <v>190</v>
      </c>
    </row>
    <row r="46" spans="1:6" x14ac:dyDescent="0.25">
      <c r="A46">
        <v>71</v>
      </c>
      <c r="B46" t="s">
        <v>134</v>
      </c>
      <c r="C46" t="s">
        <v>89</v>
      </c>
      <c r="D46">
        <v>-38.204969650199999</v>
      </c>
      <c r="E46">
        <v>0</v>
      </c>
      <c r="F46" t="s">
        <v>191</v>
      </c>
    </row>
    <row r="47" spans="1:6" x14ac:dyDescent="0.25">
      <c r="A47">
        <v>72</v>
      </c>
      <c r="B47" t="s">
        <v>135</v>
      </c>
      <c r="C47" t="s">
        <v>89</v>
      </c>
      <c r="D47">
        <v>0</v>
      </c>
      <c r="E47">
        <v>0</v>
      </c>
      <c r="F47" t="s">
        <v>192</v>
      </c>
    </row>
    <row r="48" spans="1:6" x14ac:dyDescent="0.25">
      <c r="A48">
        <v>73</v>
      </c>
      <c r="B48" t="s">
        <v>136</v>
      </c>
      <c r="C48" t="s">
        <v>89</v>
      </c>
      <c r="D48">
        <v>-0.78460574570499997</v>
      </c>
      <c r="E48">
        <v>0</v>
      </c>
      <c r="F48" t="s">
        <v>193</v>
      </c>
    </row>
    <row r="49" spans="1:6" x14ac:dyDescent="0.25">
      <c r="A49">
        <v>74</v>
      </c>
      <c r="B49" t="s">
        <v>137</v>
      </c>
      <c r="C49" t="s">
        <v>89</v>
      </c>
      <c r="D49">
        <v>-60</v>
      </c>
      <c r="E49">
        <v>0</v>
      </c>
      <c r="F49" t="s">
        <v>194</v>
      </c>
    </row>
    <row r="50" spans="1:6" x14ac:dyDescent="0.25">
      <c r="A50">
        <v>75</v>
      </c>
      <c r="B50" t="s">
        <v>138</v>
      </c>
      <c r="C50" t="s">
        <v>89</v>
      </c>
      <c r="D50">
        <v>-40</v>
      </c>
      <c r="E50">
        <v>0</v>
      </c>
      <c r="F50" t="s">
        <v>195</v>
      </c>
    </row>
    <row r="51" spans="1:6" x14ac:dyDescent="0.25">
      <c r="A51">
        <v>76</v>
      </c>
      <c r="B51" t="s">
        <v>139</v>
      </c>
      <c r="C51" t="s">
        <v>89</v>
      </c>
      <c r="D51">
        <v>-19.3366724551</v>
      </c>
      <c r="E51">
        <v>0</v>
      </c>
      <c r="F51" t="s">
        <v>196</v>
      </c>
    </row>
    <row r="52" spans="1:6" x14ac:dyDescent="0.25">
      <c r="A52">
        <v>77</v>
      </c>
      <c r="B52" t="s">
        <v>140</v>
      </c>
      <c r="C52" t="s">
        <v>89</v>
      </c>
      <c r="D52">
        <v>-29.8899113495</v>
      </c>
      <c r="E52">
        <v>0</v>
      </c>
      <c r="F52" t="s">
        <v>197</v>
      </c>
    </row>
    <row r="53" spans="1:6" x14ac:dyDescent="0.25">
      <c r="A53">
        <v>78</v>
      </c>
      <c r="B53" t="s">
        <v>141</v>
      </c>
      <c r="C53" t="s">
        <v>89</v>
      </c>
      <c r="D53">
        <v>0</v>
      </c>
      <c r="E53">
        <v>0</v>
      </c>
      <c r="F53" t="s">
        <v>198</v>
      </c>
    </row>
    <row r="54" spans="1:6" x14ac:dyDescent="0.25">
      <c r="A54">
        <v>79</v>
      </c>
      <c r="B54" t="s">
        <v>142</v>
      </c>
      <c r="C54" t="s">
        <v>89</v>
      </c>
      <c r="D54">
        <v>-4.6085602533700003</v>
      </c>
      <c r="E54">
        <v>0</v>
      </c>
      <c r="F54" t="s">
        <v>199</v>
      </c>
    </row>
    <row r="55" spans="1:6" x14ac:dyDescent="0.25">
      <c r="A55">
        <v>80</v>
      </c>
      <c r="B55" t="s">
        <v>143</v>
      </c>
      <c r="C55" t="s">
        <v>89</v>
      </c>
      <c r="D55">
        <v>-20</v>
      </c>
      <c r="E55">
        <v>0</v>
      </c>
      <c r="F55" t="s">
        <v>200</v>
      </c>
    </row>
    <row r="56" spans="1:6" x14ac:dyDescent="0.25">
      <c r="A56">
        <v>81</v>
      </c>
      <c r="B56" t="s">
        <v>144</v>
      </c>
      <c r="C56" t="s">
        <v>89</v>
      </c>
      <c r="D56">
        <v>-16.8297323695</v>
      </c>
      <c r="E56">
        <v>0</v>
      </c>
      <c r="F56" t="s">
        <v>201</v>
      </c>
    </row>
    <row r="57" spans="1:6" x14ac:dyDescent="0.25">
      <c r="A57">
        <v>82</v>
      </c>
      <c r="B57" t="s">
        <v>145</v>
      </c>
      <c r="C57" t="s">
        <v>89</v>
      </c>
      <c r="D57">
        <v>-30</v>
      </c>
      <c r="E57">
        <v>0</v>
      </c>
      <c r="F57" t="s">
        <v>202</v>
      </c>
    </row>
    <row r="58" spans="1:6" x14ac:dyDescent="0.25">
      <c r="A58">
        <v>83</v>
      </c>
      <c r="B58" t="s">
        <v>146</v>
      </c>
      <c r="C58" t="s">
        <v>89</v>
      </c>
      <c r="D58">
        <v>0</v>
      </c>
      <c r="E58">
        <v>0</v>
      </c>
      <c r="F58" t="s">
        <v>203</v>
      </c>
    </row>
    <row r="59" spans="1:6" x14ac:dyDescent="0.25">
      <c r="A59">
        <v>84</v>
      </c>
      <c r="B59" t="s">
        <v>147</v>
      </c>
      <c r="C59" t="s">
        <v>89</v>
      </c>
      <c r="D59">
        <v>-3.8243167264700002</v>
      </c>
      <c r="E59">
        <v>0</v>
      </c>
      <c r="F59" t="s">
        <v>204</v>
      </c>
    </row>
    <row r="60" spans="1:6" x14ac:dyDescent="0.25">
      <c r="A60">
        <v>98</v>
      </c>
      <c r="B60" t="s">
        <v>148</v>
      </c>
      <c r="C60" t="s">
        <v>89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149</v>
      </c>
      <c r="C61" t="s">
        <v>120</v>
      </c>
      <c r="D61">
        <v>0.11248071060500001</v>
      </c>
      <c r="E61" s="55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6" t="s">
        <v>220</v>
      </c>
    </row>
    <row r="2" spans="1:10" x14ac:dyDescent="0.25">
      <c r="A2">
        <v>1</v>
      </c>
      <c r="B2" t="s">
        <v>221</v>
      </c>
    </row>
    <row r="3" spans="1:10" x14ac:dyDescent="0.25">
      <c r="A3">
        <v>2</v>
      </c>
      <c r="B3" t="s">
        <v>222</v>
      </c>
    </row>
    <row r="4" spans="1:10" x14ac:dyDescent="0.25">
      <c r="A4">
        <v>3</v>
      </c>
      <c r="B4" t="s">
        <v>223</v>
      </c>
    </row>
    <row r="5" spans="1:10" x14ac:dyDescent="0.25">
      <c r="A5">
        <v>4</v>
      </c>
      <c r="B5" t="s">
        <v>224</v>
      </c>
    </row>
    <row r="8" spans="1:10" x14ac:dyDescent="0.25">
      <c r="A8" t="s">
        <v>225</v>
      </c>
      <c r="B8" t="s">
        <v>226</v>
      </c>
      <c r="C8" t="s">
        <v>227</v>
      </c>
      <c r="D8" t="s">
        <v>228</v>
      </c>
      <c r="E8" t="s">
        <v>229</v>
      </c>
      <c r="F8" t="s">
        <v>230</v>
      </c>
      <c r="G8" t="s">
        <v>231</v>
      </c>
      <c r="H8" t="s">
        <v>232</v>
      </c>
    </row>
    <row r="9" spans="1:10" x14ac:dyDescent="0.25">
      <c r="A9" t="s">
        <v>233</v>
      </c>
      <c r="B9" t="s">
        <v>234</v>
      </c>
      <c r="C9" t="s">
        <v>235</v>
      </c>
      <c r="D9" t="s">
        <v>236</v>
      </c>
      <c r="E9">
        <v>4</v>
      </c>
      <c r="F9" s="57">
        <v>0.50597222222222216</v>
      </c>
      <c r="G9" t="s">
        <v>237</v>
      </c>
      <c r="H9">
        <v>29</v>
      </c>
      <c r="I9" t="s">
        <v>238</v>
      </c>
      <c r="J9">
        <v>12</v>
      </c>
    </row>
    <row r="10" spans="1:10" x14ac:dyDescent="0.25">
      <c r="A10" t="s">
        <v>239</v>
      </c>
    </row>
    <row r="11" spans="1:10" x14ac:dyDescent="0.25">
      <c r="B11">
        <v>1</v>
      </c>
      <c r="C11" t="s">
        <v>88</v>
      </c>
      <c r="D11" t="s">
        <v>89</v>
      </c>
      <c r="E11">
        <v>1</v>
      </c>
      <c r="F11">
        <v>0</v>
      </c>
    </row>
    <row r="12" spans="1:10" x14ac:dyDescent="0.25">
      <c r="B12">
        <v>2</v>
      </c>
      <c r="C12" t="s">
        <v>90</v>
      </c>
      <c r="D12" t="s">
        <v>89</v>
      </c>
      <c r="E12">
        <v>1</v>
      </c>
      <c r="F12">
        <v>0</v>
      </c>
    </row>
    <row r="13" spans="1:10" x14ac:dyDescent="0.25">
      <c r="B13">
        <v>3</v>
      </c>
      <c r="C13" t="s">
        <v>91</v>
      </c>
      <c r="D13" t="s">
        <v>89</v>
      </c>
      <c r="E13">
        <v>1</v>
      </c>
      <c r="F13">
        <v>0</v>
      </c>
    </row>
    <row r="14" spans="1:10" x14ac:dyDescent="0.25">
      <c r="B14">
        <v>4</v>
      </c>
      <c r="C14" t="s">
        <v>92</v>
      </c>
      <c r="D14" t="s">
        <v>89</v>
      </c>
      <c r="E14">
        <v>0.5</v>
      </c>
      <c r="F14">
        <v>0</v>
      </c>
    </row>
    <row r="15" spans="1:10" x14ac:dyDescent="0.25">
      <c r="B15">
        <v>5</v>
      </c>
      <c r="C15" t="s">
        <v>93</v>
      </c>
      <c r="D15" t="s">
        <v>89</v>
      </c>
      <c r="E15">
        <v>0.1</v>
      </c>
      <c r="F15">
        <v>0</v>
      </c>
    </row>
    <row r="16" spans="1:10" x14ac:dyDescent="0.25">
      <c r="B16">
        <v>6</v>
      </c>
      <c r="C16" t="s">
        <v>94</v>
      </c>
      <c r="D16" t="s">
        <v>89</v>
      </c>
      <c r="E16">
        <v>1</v>
      </c>
      <c r="F16">
        <v>0</v>
      </c>
    </row>
    <row r="17" spans="2:6" x14ac:dyDescent="0.25">
      <c r="B17">
        <v>7</v>
      </c>
      <c r="C17" t="s">
        <v>95</v>
      </c>
      <c r="D17" t="s">
        <v>89</v>
      </c>
      <c r="E17">
        <v>-21.977719252</v>
      </c>
      <c r="F17">
        <v>0</v>
      </c>
    </row>
    <row r="18" spans="2:6" x14ac:dyDescent="0.25">
      <c r="B18">
        <v>8</v>
      </c>
      <c r="C18" t="s">
        <v>96</v>
      </c>
      <c r="D18" t="s">
        <v>89</v>
      </c>
      <c r="E18">
        <v>-1.4857940511400001</v>
      </c>
      <c r="F18">
        <v>0</v>
      </c>
    </row>
    <row r="19" spans="2:6" x14ac:dyDescent="0.25">
      <c r="B19">
        <v>9</v>
      </c>
      <c r="C19" t="s">
        <v>97</v>
      </c>
      <c r="D19" t="s">
        <v>89</v>
      </c>
      <c r="E19">
        <v>-4.85028348146</v>
      </c>
      <c r="F19">
        <v>0</v>
      </c>
    </row>
    <row r="20" spans="2:6" x14ac:dyDescent="0.25">
      <c r="B20">
        <v>10</v>
      </c>
      <c r="C20" t="s">
        <v>98</v>
      </c>
      <c r="D20" t="s">
        <v>89</v>
      </c>
      <c r="E20">
        <v>-15.3921330935</v>
      </c>
      <c r="F20">
        <v>0</v>
      </c>
    </row>
    <row r="21" spans="2:6" x14ac:dyDescent="0.25">
      <c r="B21">
        <v>11</v>
      </c>
      <c r="C21" t="s">
        <v>99</v>
      </c>
      <c r="D21" t="s">
        <v>89</v>
      </c>
      <c r="E21">
        <v>-9.7518039976427993</v>
      </c>
      <c r="F21">
        <v>0</v>
      </c>
    </row>
    <row r="22" spans="2:6" x14ac:dyDescent="0.25">
      <c r="B22">
        <v>12</v>
      </c>
      <c r="C22" t="s">
        <v>100</v>
      </c>
      <c r="D22" t="s">
        <v>89</v>
      </c>
      <c r="E22">
        <v>-1.0599160072038001</v>
      </c>
      <c r="F22">
        <v>0</v>
      </c>
    </row>
    <row r="23" spans="2:6" x14ac:dyDescent="0.25">
      <c r="B23">
        <v>13</v>
      </c>
      <c r="C23" t="s">
        <v>101</v>
      </c>
      <c r="D23" t="s">
        <v>89</v>
      </c>
      <c r="E23">
        <v>-6.5192578502799998</v>
      </c>
      <c r="F23">
        <v>0</v>
      </c>
    </row>
    <row r="24" spans="2:6" x14ac:dyDescent="0.25">
      <c r="B24">
        <v>14</v>
      </c>
      <c r="C24" t="s">
        <v>102</v>
      </c>
      <c r="D24" t="s">
        <v>89</v>
      </c>
      <c r="E24">
        <v>-3.04866060786</v>
      </c>
      <c r="F24">
        <v>0</v>
      </c>
    </row>
    <row r="25" spans="2:6" x14ac:dyDescent="0.25">
      <c r="B25">
        <v>15</v>
      </c>
      <c r="C25" t="s">
        <v>103</v>
      </c>
      <c r="D25" t="s">
        <v>89</v>
      </c>
      <c r="E25">
        <v>0</v>
      </c>
      <c r="F25">
        <v>0</v>
      </c>
    </row>
    <row r="26" spans="2:6" x14ac:dyDescent="0.25">
      <c r="B26">
        <v>16</v>
      </c>
      <c r="C26" t="s">
        <v>104</v>
      </c>
      <c r="D26" t="s">
        <v>89</v>
      </c>
      <c r="E26">
        <v>-2.2084934246199999</v>
      </c>
      <c r="F26">
        <v>0</v>
      </c>
    </row>
    <row r="27" spans="2:6" x14ac:dyDescent="0.25">
      <c r="B27">
        <v>17</v>
      </c>
      <c r="C27" t="s">
        <v>105</v>
      </c>
      <c r="D27" t="s">
        <v>89</v>
      </c>
      <c r="E27">
        <v>0</v>
      </c>
      <c r="F27">
        <v>0</v>
      </c>
    </row>
    <row r="28" spans="2:6" x14ac:dyDescent="0.25">
      <c r="B28">
        <v>18</v>
      </c>
      <c r="C28" t="s">
        <v>106</v>
      </c>
      <c r="D28" t="s">
        <v>89</v>
      </c>
      <c r="E28">
        <v>0</v>
      </c>
      <c r="F28">
        <v>0</v>
      </c>
    </row>
    <row r="29" spans="2:6" x14ac:dyDescent="0.25">
      <c r="B29">
        <v>19</v>
      </c>
      <c r="C29" t="s">
        <v>107</v>
      </c>
      <c r="D29" t="s">
        <v>89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89</v>
      </c>
      <c r="E30">
        <v>0</v>
      </c>
      <c r="F30">
        <v>0</v>
      </c>
    </row>
    <row r="31" spans="2:6" x14ac:dyDescent="0.25">
      <c r="B31">
        <v>21</v>
      </c>
      <c r="C31" t="s">
        <v>109</v>
      </c>
      <c r="D31" t="s">
        <v>89</v>
      </c>
      <c r="E31">
        <v>0</v>
      </c>
      <c r="F31">
        <v>0</v>
      </c>
    </row>
    <row r="32" spans="2:6" x14ac:dyDescent="0.25">
      <c r="B32">
        <v>30</v>
      </c>
      <c r="C32" t="s">
        <v>110</v>
      </c>
      <c r="D32" t="s">
        <v>89</v>
      </c>
      <c r="E32">
        <v>0</v>
      </c>
      <c r="F32">
        <v>0</v>
      </c>
    </row>
    <row r="33" spans="2:6" x14ac:dyDescent="0.25">
      <c r="B33">
        <v>31</v>
      </c>
      <c r="C33" t="s">
        <v>111</v>
      </c>
      <c r="D33" t="s">
        <v>89</v>
      </c>
      <c r="E33">
        <v>0</v>
      </c>
      <c r="F33">
        <v>0</v>
      </c>
    </row>
    <row r="34" spans="2:6" x14ac:dyDescent="0.25">
      <c r="B34">
        <v>32</v>
      </c>
      <c r="C34" t="s">
        <v>112</v>
      </c>
      <c r="D34" t="s">
        <v>89</v>
      </c>
      <c r="E34">
        <v>0</v>
      </c>
      <c r="F34">
        <v>0</v>
      </c>
    </row>
    <row r="35" spans="2:6" x14ac:dyDescent="0.25">
      <c r="B35">
        <v>33</v>
      </c>
      <c r="C35" t="s">
        <v>113</v>
      </c>
      <c r="D35" t="s">
        <v>89</v>
      </c>
      <c r="E35">
        <v>0.20475756801299999</v>
      </c>
      <c r="F35">
        <v>0</v>
      </c>
    </row>
    <row r="36" spans="2:6" x14ac:dyDescent="0.25">
      <c r="B36">
        <v>34</v>
      </c>
      <c r="C36" t="s">
        <v>114</v>
      </c>
      <c r="D36" t="s">
        <v>89</v>
      </c>
      <c r="E36">
        <v>0.73914409694299998</v>
      </c>
      <c r="F36">
        <v>0</v>
      </c>
    </row>
    <row r="37" spans="2:6" x14ac:dyDescent="0.25">
      <c r="B37">
        <v>35</v>
      </c>
      <c r="C37" t="s">
        <v>115</v>
      </c>
      <c r="D37" t="s">
        <v>89</v>
      </c>
      <c r="E37">
        <v>0.91950533972299997</v>
      </c>
      <c r="F37">
        <v>0</v>
      </c>
    </row>
    <row r="38" spans="2:6" x14ac:dyDescent="0.25">
      <c r="B38">
        <v>36</v>
      </c>
      <c r="C38" t="s">
        <v>116</v>
      </c>
      <c r="D38" t="s">
        <v>89</v>
      </c>
      <c r="E38">
        <v>0</v>
      </c>
      <c r="F38">
        <v>0</v>
      </c>
    </row>
    <row r="39" spans="2:6" x14ac:dyDescent="0.25">
      <c r="B39">
        <v>37</v>
      </c>
      <c r="C39" t="s">
        <v>117</v>
      </c>
      <c r="D39" t="s">
        <v>89</v>
      </c>
      <c r="E39">
        <v>0.47967991030399998</v>
      </c>
      <c r="F39">
        <v>0</v>
      </c>
    </row>
    <row r="40" spans="2:6" x14ac:dyDescent="0.25">
      <c r="B40">
        <v>38</v>
      </c>
      <c r="C40" t="s">
        <v>118</v>
      </c>
      <c r="D40" t="s">
        <v>89</v>
      </c>
      <c r="E40">
        <v>-0.117361085083</v>
      </c>
      <c r="F40">
        <v>0</v>
      </c>
    </row>
    <row r="41" spans="2:6" x14ac:dyDescent="0.25">
      <c r="B41">
        <v>50</v>
      </c>
      <c r="C41" t="s">
        <v>119</v>
      </c>
      <c r="D41" t="s">
        <v>120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121</v>
      </c>
      <c r="D42" t="s">
        <v>120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122</v>
      </c>
      <c r="D43" t="s">
        <v>120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123</v>
      </c>
      <c r="D44" t="s">
        <v>89</v>
      </c>
      <c r="E44">
        <v>0.20359321296800001</v>
      </c>
      <c r="F44">
        <v>0</v>
      </c>
    </row>
    <row r="45" spans="2:6" x14ac:dyDescent="0.25">
      <c r="B45">
        <v>61</v>
      </c>
      <c r="C45" t="s">
        <v>124</v>
      </c>
      <c r="D45" t="s">
        <v>89</v>
      </c>
      <c r="E45">
        <v>-3.7139025588600001</v>
      </c>
      <c r="F45">
        <v>0</v>
      </c>
    </row>
    <row r="46" spans="2:6" x14ac:dyDescent="0.25">
      <c r="B46">
        <v>62</v>
      </c>
      <c r="C46" t="s">
        <v>125</v>
      </c>
      <c r="D46" t="s">
        <v>89</v>
      </c>
      <c r="E46">
        <v>-14.9292134206</v>
      </c>
      <c r="F46">
        <v>0</v>
      </c>
    </row>
    <row r="47" spans="2:6" x14ac:dyDescent="0.25">
      <c r="B47">
        <v>63</v>
      </c>
      <c r="C47" t="s">
        <v>126</v>
      </c>
      <c r="D47" t="s">
        <v>89</v>
      </c>
      <c r="E47">
        <v>-18.363643827400001</v>
      </c>
      <c r="F47">
        <v>0</v>
      </c>
    </row>
    <row r="48" spans="2:6" x14ac:dyDescent="0.25">
      <c r="B48">
        <v>64</v>
      </c>
      <c r="C48" t="s">
        <v>127</v>
      </c>
      <c r="D48" t="s">
        <v>89</v>
      </c>
      <c r="E48">
        <v>-19.6107408341</v>
      </c>
      <c r="F48">
        <v>0</v>
      </c>
    </row>
    <row r="49" spans="2:6" x14ac:dyDescent="0.25">
      <c r="B49">
        <v>65</v>
      </c>
      <c r="C49" t="s">
        <v>128</v>
      </c>
      <c r="D49" t="s">
        <v>89</v>
      </c>
      <c r="E49">
        <v>-29.386377866</v>
      </c>
      <c r="F49">
        <v>0</v>
      </c>
    </row>
    <row r="50" spans="2:6" x14ac:dyDescent="0.25">
      <c r="B50">
        <v>66</v>
      </c>
      <c r="C50" t="s">
        <v>129</v>
      </c>
      <c r="D50" t="s">
        <v>89</v>
      </c>
      <c r="E50">
        <v>0</v>
      </c>
      <c r="F50">
        <v>0</v>
      </c>
    </row>
    <row r="51" spans="2:6" x14ac:dyDescent="0.25">
      <c r="B51">
        <v>67</v>
      </c>
      <c r="C51" t="s">
        <v>130</v>
      </c>
      <c r="D51" t="s">
        <v>89</v>
      </c>
      <c r="E51">
        <v>-6.7290240321499999</v>
      </c>
      <c r="F51">
        <v>0</v>
      </c>
    </row>
    <row r="52" spans="2:6" x14ac:dyDescent="0.25">
      <c r="B52">
        <v>68</v>
      </c>
      <c r="C52" t="s">
        <v>131</v>
      </c>
      <c r="D52" t="s">
        <v>89</v>
      </c>
      <c r="E52">
        <v>-26.1597322567</v>
      </c>
      <c r="F52">
        <v>0</v>
      </c>
    </row>
    <row r="53" spans="2:6" x14ac:dyDescent="0.25">
      <c r="B53">
        <v>69</v>
      </c>
      <c r="C53" t="s">
        <v>132</v>
      </c>
      <c r="D53" t="s">
        <v>89</v>
      </c>
      <c r="E53">
        <v>-0.14966845132199999</v>
      </c>
      <c r="F53">
        <v>0</v>
      </c>
    </row>
    <row r="54" spans="2:6" x14ac:dyDescent="0.25">
      <c r="B54">
        <v>70</v>
      </c>
      <c r="C54" t="s">
        <v>133</v>
      </c>
      <c r="D54" t="s">
        <v>89</v>
      </c>
      <c r="E54">
        <v>-28.815960729</v>
      </c>
      <c r="F54">
        <v>0</v>
      </c>
    </row>
    <row r="55" spans="2:6" x14ac:dyDescent="0.25">
      <c r="B55">
        <v>71</v>
      </c>
      <c r="C55" t="s">
        <v>134</v>
      </c>
      <c r="D55" t="s">
        <v>89</v>
      </c>
      <c r="E55">
        <v>-38.204969650199999</v>
      </c>
      <c r="F55">
        <v>0</v>
      </c>
    </row>
    <row r="56" spans="2:6" x14ac:dyDescent="0.25">
      <c r="B56">
        <v>72</v>
      </c>
      <c r="C56" t="s">
        <v>135</v>
      </c>
      <c r="D56" t="s">
        <v>89</v>
      </c>
      <c r="E56">
        <v>0</v>
      </c>
      <c r="F56">
        <v>0</v>
      </c>
    </row>
    <row r="57" spans="2:6" x14ac:dyDescent="0.25">
      <c r="B57">
        <v>73</v>
      </c>
      <c r="C57" t="s">
        <v>136</v>
      </c>
      <c r="D57" t="s">
        <v>89</v>
      </c>
      <c r="E57">
        <v>-0.78460574570499997</v>
      </c>
      <c r="F57">
        <v>0</v>
      </c>
    </row>
    <row r="58" spans="2:6" x14ac:dyDescent="0.25">
      <c r="B58">
        <v>74</v>
      </c>
      <c r="C58" t="s">
        <v>137</v>
      </c>
      <c r="D58" t="s">
        <v>89</v>
      </c>
      <c r="E58">
        <v>-60</v>
      </c>
      <c r="F58">
        <v>0</v>
      </c>
    </row>
    <row r="59" spans="2:6" x14ac:dyDescent="0.25">
      <c r="B59">
        <v>75</v>
      </c>
      <c r="C59" t="s">
        <v>138</v>
      </c>
      <c r="D59" t="s">
        <v>89</v>
      </c>
      <c r="E59">
        <v>-40</v>
      </c>
      <c r="F59">
        <v>0</v>
      </c>
    </row>
    <row r="60" spans="2:6" x14ac:dyDescent="0.25">
      <c r="B60">
        <v>76</v>
      </c>
      <c r="C60" t="s">
        <v>139</v>
      </c>
      <c r="D60" t="s">
        <v>89</v>
      </c>
      <c r="E60">
        <v>-19.3366724551</v>
      </c>
      <c r="F60">
        <v>0</v>
      </c>
    </row>
    <row r="61" spans="2:6" x14ac:dyDescent="0.25">
      <c r="B61">
        <v>77</v>
      </c>
      <c r="C61" t="s">
        <v>140</v>
      </c>
      <c r="D61" t="s">
        <v>89</v>
      </c>
      <c r="E61">
        <v>-29.8899113495</v>
      </c>
      <c r="F61">
        <v>0</v>
      </c>
    </row>
    <row r="62" spans="2:6" x14ac:dyDescent="0.25">
      <c r="B62">
        <v>78</v>
      </c>
      <c r="C62" t="s">
        <v>141</v>
      </c>
      <c r="D62" t="s">
        <v>89</v>
      </c>
      <c r="E62">
        <v>0</v>
      </c>
      <c r="F62">
        <v>0</v>
      </c>
    </row>
    <row r="63" spans="2:6" x14ac:dyDescent="0.25">
      <c r="B63">
        <v>79</v>
      </c>
      <c r="C63" t="s">
        <v>142</v>
      </c>
      <c r="D63" t="s">
        <v>89</v>
      </c>
      <c r="E63">
        <v>-4.6085602533700003</v>
      </c>
      <c r="F63">
        <v>0</v>
      </c>
    </row>
    <row r="64" spans="2:6" x14ac:dyDescent="0.25">
      <c r="B64">
        <v>80</v>
      </c>
      <c r="C64" t="s">
        <v>143</v>
      </c>
      <c r="D64" t="s">
        <v>89</v>
      </c>
      <c r="E64">
        <v>-20</v>
      </c>
      <c r="F64">
        <v>0</v>
      </c>
    </row>
    <row r="65" spans="2:11" x14ac:dyDescent="0.25">
      <c r="B65">
        <v>81</v>
      </c>
      <c r="C65" t="s">
        <v>144</v>
      </c>
      <c r="D65" t="s">
        <v>89</v>
      </c>
      <c r="E65">
        <v>-16.8297323695</v>
      </c>
      <c r="F65">
        <v>0</v>
      </c>
    </row>
    <row r="66" spans="2:11" x14ac:dyDescent="0.25">
      <c r="B66">
        <v>82</v>
      </c>
      <c r="C66" t="s">
        <v>145</v>
      </c>
      <c r="D66" t="s">
        <v>89</v>
      </c>
      <c r="E66">
        <v>-30</v>
      </c>
      <c r="F66">
        <v>0</v>
      </c>
    </row>
    <row r="67" spans="2:11" x14ac:dyDescent="0.25">
      <c r="B67">
        <v>83</v>
      </c>
      <c r="C67" t="s">
        <v>146</v>
      </c>
      <c r="D67" t="s">
        <v>89</v>
      </c>
      <c r="E67">
        <v>0</v>
      </c>
      <c r="F67">
        <v>0</v>
      </c>
    </row>
    <row r="68" spans="2:11" x14ac:dyDescent="0.25">
      <c r="B68">
        <v>84</v>
      </c>
      <c r="C68" t="s">
        <v>147</v>
      </c>
      <c r="D68" t="s">
        <v>89</v>
      </c>
      <c r="E68">
        <v>-3.8243167264700002</v>
      </c>
      <c r="F68">
        <v>0</v>
      </c>
    </row>
    <row r="69" spans="2:11" x14ac:dyDescent="0.25">
      <c r="B69">
        <v>98</v>
      </c>
      <c r="C69" t="s">
        <v>148</v>
      </c>
      <c r="D69" t="s">
        <v>89</v>
      </c>
      <c r="E69">
        <v>0</v>
      </c>
      <c r="F69">
        <v>0</v>
      </c>
    </row>
    <row r="70" spans="2:11" x14ac:dyDescent="0.25">
      <c r="B70">
        <v>99</v>
      </c>
      <c r="C70" t="s">
        <v>149</v>
      </c>
      <c r="D70" t="s">
        <v>120</v>
      </c>
      <c r="E70">
        <v>0.11248071060500001</v>
      </c>
      <c r="F70" s="55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25">
      <c r="B73">
        <v>24</v>
      </c>
      <c r="C73" t="s">
        <v>240</v>
      </c>
      <c r="D73" t="s">
        <v>237</v>
      </c>
      <c r="E73">
        <v>29</v>
      </c>
      <c r="F73" t="s">
        <v>238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U62"/>
  <sheetViews>
    <sheetView tabSelected="1" workbookViewId="0">
      <selection activeCell="F17" sqref="F17"/>
    </sheetView>
  </sheetViews>
  <sheetFormatPr defaultRowHeight="15" x14ac:dyDescent="0.25"/>
  <cols>
    <col min="1" max="1" bestFit="true" customWidth="true" width="12.710937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6" t="s">
        <v>220</v>
      </c>
      <c r="R1" s="56" t="s">
        <v>254</v>
      </c>
    </row>
    <row r="2" spans="1:21" x14ac:dyDescent="0.25">
      <c r="B2" s="11"/>
      <c r="F2" s="11"/>
      <c r="K2">
        <v>1</v>
      </c>
      <c r="L2" t="s">
        <v>258</v>
      </c>
      <c r="T2" t="s">
        <v>252</v>
      </c>
      <c r="U2" t="s">
        <v>253</v>
      </c>
    </row>
    <row r="3" spans="1:21" x14ac:dyDescent="0.25">
      <c r="K3">
        <v>2</v>
      </c>
      <c r="L3" t="s">
        <v>256</v>
      </c>
      <c r="R3">
        <v>1</v>
      </c>
      <c r="S3" t="s">
        <v>88</v>
      </c>
      <c r="T3" s="60">
        <f>SchoolLocationCoefficient!E11</f>
        <v>1</v>
      </c>
      <c r="U3" s="61">
        <f>T3</f>
        <v>1</v>
      </c>
    </row>
    <row r="4" spans="1:21" x14ac:dyDescent="0.25">
      <c r="D4" s="59"/>
      <c r="E4" s="73"/>
      <c r="F4" s="73"/>
      <c r="G4" s="73"/>
      <c r="H4" s="73"/>
      <c r="I4" s="73"/>
      <c r="L4" t="s">
        <v>255</v>
      </c>
      <c r="R4">
        <v>2</v>
      </c>
      <c r="S4" t="s">
        <v>90</v>
      </c>
      <c r="T4" s="60">
        <f>SchoolLocationCoefficient!E12</f>
        <v>1</v>
      </c>
      <c r="U4" s="61">
        <f ref="U4:U62" si="0" t="shared">T4</f>
        <v>1</v>
      </c>
    </row>
    <row r="5" spans="1:21" x14ac:dyDescent="0.25">
      <c r="E5" s="7"/>
      <c r="F5" s="34"/>
      <c r="G5" s="34"/>
      <c r="H5" s="84" t="s">
        <v>264</v>
      </c>
      <c r="I5" s="34"/>
      <c r="R5">
        <v>3</v>
      </c>
      <c r="S5" t="s">
        <v>91</v>
      </c>
      <c r="T5" s="60">
        <f>SchoolLocationCoefficient!E13</f>
        <v>1</v>
      </c>
      <c r="U5" s="61">
        <f si="0" t="shared"/>
        <v>1</v>
      </c>
    </row>
    <row ht="15.75" r="6" spans="1:21" thickBot="1" x14ac:dyDescent="0.3">
      <c r="A6" s="56" t="s">
        <v>241</v>
      </c>
      <c r="E6" s="80" t="s">
        <v>259</v>
      </c>
      <c r="F6" s="34"/>
      <c r="G6" s="34"/>
      <c r="H6" s="84" t="s">
        <v>265</v>
      </c>
      <c r="I6" s="34"/>
      <c r="R6">
        <v>4</v>
      </c>
      <c r="S6" t="s">
        <v>92</v>
      </c>
      <c r="T6" s="60">
        <f>SchoolLocationCoefficient!E14</f>
        <v>0.5</v>
      </c>
      <c r="U6" s="61">
        <f si="0" t="shared"/>
        <v>0.5</v>
      </c>
    </row>
    <row r="7" spans="1:21" x14ac:dyDescent="0.25">
      <c r="A7" s="5" t="s">
        <v>2</v>
      </c>
      <c r="B7" s="5" t="s">
        <v>219</v>
      </c>
      <c r="C7" s="5" t="s">
        <v>242</v>
      </c>
      <c r="D7" s="7"/>
      <c r="E7" s="5" t="s">
        <v>2</v>
      </c>
      <c r="F7" s="5" t="s">
        <v>219</v>
      </c>
      <c r="G7" s="5" t="s">
        <v>242</v>
      </c>
      <c r="H7" t="s">
        <v>263</v>
      </c>
      <c r="I7" s="5" t="s">
        <v>251</v>
      </c>
      <c r="J7" s="5" t="s">
        <v>247</v>
      </c>
      <c r="K7" s="5" t="s">
        <v>248</v>
      </c>
      <c r="L7" s="5" t="s">
        <v>249</v>
      </c>
      <c r="M7" s="5" t="s">
        <v>250</v>
      </c>
      <c r="R7">
        <v>5</v>
      </c>
      <c r="S7" t="s">
        <v>93</v>
      </c>
      <c r="T7" s="60">
        <f>SchoolLocationCoefficient!E15</f>
        <v>0.1</v>
      </c>
      <c r="U7" s="61">
        <f si="0" t="shared"/>
        <v>0.1</v>
      </c>
    </row>
    <row r="8" spans="1:21" x14ac:dyDescent="0.25">
      <c r="A8" s="58" t="s">
        <v>243</v>
      </c>
      <c r="B8" s="13">
        <f>TLFD!B11</f>
        <v>9863.4429609987219</v>
      </c>
      <c r="C8" s="13">
        <f>TLFD!H11</f>
        <v>39240</v>
      </c>
      <c r="D8" s="7"/>
      <c r="E8" s="58" t="s">
        <v>243</v>
      </c>
      <c r="F8" s="76">
        <f>B8/B$11</f>
        <v>5.8741349197519693E-2</v>
      </c>
      <c r="G8" s="76">
        <f>C8/C$11</f>
        <v>0.17840418276881109</v>
      </c>
      <c r="H8" s="7">
        <v>1</v>
      </c>
      <c r="I8">
        <v>10</v>
      </c>
      <c r="J8" s="9">
        <f>F8/G8</f>
        <v>0.32925993261963449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94</v>
      </c>
      <c r="T8" s="60">
        <f>SchoolLocationCoefficient!E16</f>
        <v>1</v>
      </c>
      <c r="U8" s="61">
        <f si="0" t="shared"/>
        <v>1</v>
      </c>
    </row>
    <row r="9" spans="1:21" x14ac:dyDescent="0.25">
      <c r="A9" s="58" t="s">
        <v>245</v>
      </c>
      <c r="B9" s="13">
        <f>SUM(TLFD!B12:B15)</f>
        <v>98586.534588289593</v>
      </c>
      <c r="C9" s="13">
        <f>SUM(TLFD!H12:H15)</f>
        <v>107610</v>
      </c>
      <c r="E9" s="58" t="s">
        <v>245</v>
      </c>
      <c r="F9" s="76">
        <f ref="F9:F10" si="1" t="shared">B9/B$11</f>
        <v>0.58712825504469635</v>
      </c>
      <c r="G9" s="76">
        <f ref="G9:G10" si="2" t="shared">C9/C$11</f>
        <v>0.48924755626278699</v>
      </c>
      <c r="H9">
        <v>0.1</v>
      </c>
      <c r="I9">
        <v>11</v>
      </c>
      <c r="J9" s="9">
        <f ref="J9:J10" si="3" t="shared">F9/G9</f>
        <v>1.2000637459072667</v>
      </c>
      <c r="K9" s="9">
        <f>(LN(J9)-LN(J8))*H9</f>
        <v>0.12932824483765437</v>
      </c>
      <c r="L9" s="60">
        <f ref="L9:L10" si="4" t="shared">T13</f>
        <v>-9.7518039976427993</v>
      </c>
      <c r="M9" s="60">
        <f ref="M9:M10" si="5" t="shared">L9+K9</f>
        <v>-9.6224757528051441</v>
      </c>
      <c r="R9">
        <v>7</v>
      </c>
      <c r="S9" t="s">
        <v>95</v>
      </c>
      <c r="T9" s="60">
        <f>SchoolLocationCoefficient!E17</f>
        <v>-21.977719252</v>
      </c>
      <c r="U9" s="61">
        <f si="0" t="shared"/>
        <v>-21.977719252</v>
      </c>
    </row>
    <row r="10" spans="1:21" x14ac:dyDescent="0.25">
      <c r="A10" s="71" t="s">
        <v>246</v>
      </c>
      <c r="B10" s="72">
        <f>SUM(TLFD!B16:B101)</f>
        <v>59463.13809660152</v>
      </c>
      <c r="C10" s="72">
        <f>SUM(TLFD!H16:H101)</f>
        <v>73100</v>
      </c>
      <c r="E10" s="71" t="s">
        <v>246</v>
      </c>
      <c r="F10" s="79">
        <f si="1" t="shared"/>
        <v>0.35413039575778399</v>
      </c>
      <c r="G10" s="79">
        <f si="2" t="shared"/>
        <v>0.33234826096840192</v>
      </c>
      <c r="H10">
        <v>0.1</v>
      </c>
      <c r="I10" s="6">
        <v>12</v>
      </c>
      <c r="J10" s="18">
        <f si="3" t="shared"/>
        <v>1.0655400895612119</v>
      </c>
      <c r="K10" s="18">
        <f>(LN(J10)-LN(J9)-LN(J8))*H10</f>
        <v>9.9201489139649476E-2</v>
      </c>
      <c r="L10" s="78">
        <f si="4" t="shared"/>
        <v>-1.0599160072038001</v>
      </c>
      <c r="M10" s="78">
        <f si="5" t="shared"/>
        <v>-0.96071451806415065</v>
      </c>
      <c r="R10">
        <v>8</v>
      </c>
      <c r="S10" t="s">
        <v>96</v>
      </c>
      <c r="T10" s="60">
        <f>SchoolLocationCoefficient!E18</f>
        <v>-1.4857940511400001</v>
      </c>
      <c r="U10" s="61">
        <f si="0" t="shared"/>
        <v>-1.4857940511400001</v>
      </c>
    </row>
    <row ht="15.75" r="11" spans="1:21" thickBot="1" x14ac:dyDescent="0.3">
      <c r="A11" s="74" t="s">
        <v>3</v>
      </c>
      <c r="B11" s="75">
        <f>SUM(B8:B10)</f>
        <v>167913.11564588983</v>
      </c>
      <c r="C11" s="75">
        <f>SUM(C8:C10)</f>
        <v>219950</v>
      </c>
      <c r="D11" s="59"/>
      <c r="E11" s="74" t="s">
        <v>3</v>
      </c>
      <c r="F11" s="77">
        <f>SUM(F8:F10)</f>
        <v>1</v>
      </c>
      <c r="G11" s="77">
        <f>SUM(G8:G10)</f>
        <v>1</v>
      </c>
      <c r="R11">
        <v>9</v>
      </c>
      <c r="S11" t="s">
        <v>97</v>
      </c>
      <c r="T11" s="60">
        <f>SchoolLocationCoefficient!E19</f>
        <v>-4.85028348146</v>
      </c>
      <c r="U11" s="61">
        <f si="0" t="shared"/>
        <v>-4.85028348146</v>
      </c>
    </row>
    <row r="12" spans="1:21" x14ac:dyDescent="0.25">
      <c r="A12" s="69"/>
      <c r="B12" s="70"/>
      <c r="C12" s="70"/>
      <c r="R12" s="62">
        <v>10</v>
      </c>
      <c r="S12" s="62" t="s">
        <v>98</v>
      </c>
      <c r="T12" s="60">
        <f>SchoolLocationCoefficient!E20</f>
        <v>-15.3921330935</v>
      </c>
      <c r="U12" s="61">
        <f>M8</f>
        <v>-15.3921330935</v>
      </c>
    </row>
    <row r="13" spans="1:21" x14ac:dyDescent="0.25">
      <c r="A13" s="69"/>
      <c r="B13" s="70"/>
      <c r="C13" s="70"/>
      <c r="D13" s="7"/>
      <c r="R13" s="62">
        <v>11</v>
      </c>
      <c r="S13" s="62" t="s">
        <v>99</v>
      </c>
      <c r="T13" s="60">
        <f>SchoolLocationCoefficient!E21</f>
        <v>-9.7518039976427993</v>
      </c>
      <c r="U13" s="61">
        <f ref="U13:U14" si="6" t="shared">M9</f>
        <v>-9.6224757528051441</v>
      </c>
    </row>
    <row r="14" spans="1:21" x14ac:dyDescent="0.25">
      <c r="A14" s="64" t="s">
        <v>257</v>
      </c>
      <c r="R14" s="62">
        <v>12</v>
      </c>
      <c r="S14" s="62" t="s">
        <v>100</v>
      </c>
      <c r="T14" s="60">
        <f>SchoolLocationCoefficient!E22</f>
        <v>-1.0599160072038001</v>
      </c>
      <c r="U14" s="61">
        <f si="6" t="shared"/>
        <v>-0.96071451806415065</v>
      </c>
    </row>
    <row ht="15.75" r="15" spans="1:21" thickBot="1" x14ac:dyDescent="0.3">
      <c r="R15">
        <v>13</v>
      </c>
      <c r="S15" t="s">
        <v>101</v>
      </c>
      <c r="T15" s="60">
        <f>SchoolLocationCoefficient!E23</f>
        <v>-6.5192578502799998</v>
      </c>
      <c r="U15" s="61">
        <f si="0" t="shared"/>
        <v>-6.5192578502799998</v>
      </c>
    </row>
    <row r="16" spans="1:21" x14ac:dyDescent="0.25">
      <c r="A16" s="5" t="s">
        <v>2</v>
      </c>
      <c r="B16" s="5" t="s">
        <v>219</v>
      </c>
      <c r="C16" s="5" t="s">
        <v>242</v>
      </c>
      <c r="D16" s="59"/>
      <c r="E16" s="5" t="s">
        <v>2</v>
      </c>
      <c r="F16" s="5" t="s">
        <v>219</v>
      </c>
      <c r="G16" s="5" t="s">
        <v>242</v>
      </c>
      <c r="I16" s="5" t="s">
        <v>251</v>
      </c>
      <c r="J16" s="5" t="s">
        <v>247</v>
      </c>
      <c r="K16" s="5" t="s">
        <v>248</v>
      </c>
      <c r="L16" s="5" t="s">
        <v>249</v>
      </c>
      <c r="M16" s="5" t="s">
        <v>250</v>
      </c>
      <c r="R16">
        <v>14</v>
      </c>
      <c r="S16" t="s">
        <v>102</v>
      </c>
      <c r="T16" s="60">
        <f>SchoolLocationCoefficient!E24</f>
        <v>-3.04866060786</v>
      </c>
      <c r="U16" s="61">
        <f si="0" t="shared"/>
        <v>-3.04866060786</v>
      </c>
    </row>
    <row r="17" spans="1:21" x14ac:dyDescent="0.25">
      <c r="A17" s="65" t="s">
        <v>244</v>
      </c>
      <c r="B17" s="66">
        <f>SchoolAtHome!E14</f>
        <v>4956.3420405901934</v>
      </c>
      <c r="C17" s="66">
        <f>SchoolAtHome!L14</f>
        <v>6725</v>
      </c>
      <c r="E17" s="65" t="s">
        <v>244</v>
      </c>
      <c r="F17" s="81">
        <f>B17/B18</f>
        <v>1.9699446022187941E-2</v>
      </c>
      <c r="G17" s="81">
        <f>C17/C18</f>
        <v>1.9721118458673626E-2</v>
      </c>
      <c r="I17" s="67">
        <v>50</v>
      </c>
      <c r="J17" s="68">
        <f>F17/G17</f>
        <v>0.99890105439348686</v>
      </c>
      <c r="K17" s="68">
        <f>LN(J17)</f>
        <v>-1.0995498899931901E-3</v>
      </c>
      <c r="L17" s="83">
        <f>T33</f>
        <v>-52.496387392000003</v>
      </c>
      <c r="M17" s="82">
        <f ref="M17" si="7" t="shared">L17+K17</f>
        <v>-52.497486941889996</v>
      </c>
      <c r="R17">
        <v>15</v>
      </c>
      <c r="S17" t="s">
        <v>103</v>
      </c>
      <c r="T17" s="60">
        <f>SchoolLocationCoefficient!E25</f>
        <v>0</v>
      </c>
      <c r="U17" s="61">
        <f si="0" t="shared"/>
        <v>0</v>
      </c>
    </row>
    <row ht="15.75" r="18" spans="1:21" thickBot="1" x14ac:dyDescent="0.3">
      <c r="A18" s="12" t="s">
        <v>3</v>
      </c>
      <c r="B18" s="12">
        <f>SchoolAtHome!E25</f>
        <v>251598.04164075229</v>
      </c>
      <c r="C18" s="12">
        <f>SchoolAtHome!L25</f>
        <v>341005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104</v>
      </c>
      <c r="T18" s="60">
        <f>SchoolLocationCoefficient!E26</f>
        <v>-2.2084934246199999</v>
      </c>
      <c r="U18" s="61">
        <f si="0" t="shared"/>
        <v>-2.2084934246199999</v>
      </c>
    </row>
    <row r="19" spans="1:21" x14ac:dyDescent="0.25">
      <c r="R19">
        <v>17</v>
      </c>
      <c r="S19" t="s">
        <v>105</v>
      </c>
      <c r="T19" s="60">
        <f>SchoolLocationCoefficient!E27</f>
        <v>0</v>
      </c>
      <c r="U19" s="61">
        <f si="0" t="shared"/>
        <v>0</v>
      </c>
    </row>
    <row r="20" spans="1:21" x14ac:dyDescent="0.25">
      <c r="R20">
        <v>18</v>
      </c>
      <c r="S20" t="s">
        <v>106</v>
      </c>
      <c r="T20" s="60">
        <f>SchoolLocationCoefficient!E28</f>
        <v>0</v>
      </c>
      <c r="U20" s="61">
        <f si="0" t="shared"/>
        <v>0</v>
      </c>
    </row>
    <row r="21" spans="1:21" x14ac:dyDescent="0.25">
      <c r="R21">
        <v>19</v>
      </c>
      <c r="S21" t="s">
        <v>107</v>
      </c>
      <c r="T21" s="60">
        <f>SchoolLocationCoefficient!E29</f>
        <v>0</v>
      </c>
      <c r="U21" s="61">
        <f si="0" t="shared"/>
        <v>0</v>
      </c>
    </row>
    <row r="22" spans="1:21" x14ac:dyDescent="0.25">
      <c r="G22" s="7"/>
      <c r="R22">
        <v>20</v>
      </c>
      <c r="S22" t="s">
        <v>108</v>
      </c>
      <c r="T22" s="60">
        <f>SchoolLocationCoefficient!E30</f>
        <v>0</v>
      </c>
      <c r="U22" s="61">
        <f si="0" t="shared"/>
        <v>0</v>
      </c>
    </row>
    <row r="23" spans="1:21" x14ac:dyDescent="0.25">
      <c r="G23" s="7"/>
      <c r="R23">
        <v>21</v>
      </c>
      <c r="S23" t="s">
        <v>109</v>
      </c>
      <c r="T23" s="60">
        <f>SchoolLocationCoefficient!E31</f>
        <v>0</v>
      </c>
      <c r="U23" s="61">
        <f si="0" t="shared"/>
        <v>0</v>
      </c>
    </row>
    <row r="24" spans="1:21" x14ac:dyDescent="0.25">
      <c r="R24">
        <v>30</v>
      </c>
      <c r="S24" t="s">
        <v>110</v>
      </c>
      <c r="T24" s="60">
        <f>SchoolLocationCoefficient!E32</f>
        <v>0</v>
      </c>
      <c r="U24" s="61">
        <f si="0" t="shared"/>
        <v>0</v>
      </c>
    </row>
    <row r="25" spans="1:21" x14ac:dyDescent="0.25">
      <c r="R25">
        <v>31</v>
      </c>
      <c r="S25" t="s">
        <v>111</v>
      </c>
      <c r="T25" s="60">
        <f>SchoolLocationCoefficient!E33</f>
        <v>0</v>
      </c>
      <c r="U25" s="61">
        <f si="0" t="shared"/>
        <v>0</v>
      </c>
    </row>
    <row r="26" spans="1:21" x14ac:dyDescent="0.25">
      <c r="R26">
        <v>32</v>
      </c>
      <c r="S26" t="s">
        <v>112</v>
      </c>
      <c r="T26" s="60">
        <f>SchoolLocationCoefficient!E34</f>
        <v>0</v>
      </c>
      <c r="U26" s="61">
        <f si="0" t="shared"/>
        <v>0</v>
      </c>
    </row>
    <row r="27" spans="1:21" x14ac:dyDescent="0.25">
      <c r="R27">
        <v>33</v>
      </c>
      <c r="S27" t="s">
        <v>113</v>
      </c>
      <c r="T27" s="60">
        <f>SchoolLocationCoefficient!E35</f>
        <v>0.20475756801299999</v>
      </c>
      <c r="U27" s="61">
        <f si="0" t="shared"/>
        <v>0.20475756801299999</v>
      </c>
    </row>
    <row r="28" spans="1:21" x14ac:dyDescent="0.25">
      <c r="J28" t="s">
        <v>260</v>
      </c>
      <c r="R28">
        <v>34</v>
      </c>
      <c r="S28" t="s">
        <v>114</v>
      </c>
      <c r="T28" s="60">
        <f>SchoolLocationCoefficient!E36</f>
        <v>0.73914409694299998</v>
      </c>
      <c r="U28" s="61">
        <f si="0" t="shared"/>
        <v>0.73914409694299998</v>
      </c>
    </row>
    <row r="29" spans="1:21" x14ac:dyDescent="0.25">
      <c r="J29" t="s">
        <v>261</v>
      </c>
      <c r="R29">
        <v>35</v>
      </c>
      <c r="S29" t="s">
        <v>115</v>
      </c>
      <c r="T29" s="60">
        <f>SchoolLocationCoefficient!E37</f>
        <v>0.91950533972299997</v>
      </c>
      <c r="U29" s="61">
        <f si="0" t="shared"/>
        <v>0.91950533972299997</v>
      </c>
    </row>
    <row r="30" spans="1:21" x14ac:dyDescent="0.25">
      <c r="J30" t="s">
        <v>262</v>
      </c>
      <c r="R30">
        <v>36</v>
      </c>
      <c r="S30" t="s">
        <v>116</v>
      </c>
      <c r="T30" s="60">
        <f>SchoolLocationCoefficient!E38</f>
        <v>0</v>
      </c>
      <c r="U30" s="61">
        <f si="0" t="shared"/>
        <v>0</v>
      </c>
    </row>
    <row r="31" spans="1:21" x14ac:dyDescent="0.25">
      <c r="R31">
        <v>37</v>
      </c>
      <c r="S31" t="s">
        <v>117</v>
      </c>
      <c r="T31" s="60">
        <f>SchoolLocationCoefficient!E39</f>
        <v>0.47967991030399998</v>
      </c>
      <c r="U31" s="61">
        <f si="0" t="shared"/>
        <v>0.47967991030399998</v>
      </c>
    </row>
    <row r="32" spans="1:21" x14ac:dyDescent="0.25">
      <c r="R32">
        <v>38</v>
      </c>
      <c r="S32" t="s">
        <v>118</v>
      </c>
      <c r="T32" s="60">
        <f>SchoolLocationCoefficient!E40</f>
        <v>-0.117361085083</v>
      </c>
      <c r="U32" s="61">
        <f si="0" t="shared"/>
        <v>-0.117361085083</v>
      </c>
    </row>
    <row r="33" spans="18:21" x14ac:dyDescent="0.25">
      <c r="R33" s="62">
        <v>50</v>
      </c>
      <c r="S33" s="62" t="s">
        <v>119</v>
      </c>
      <c r="T33" s="60">
        <f>SchoolLocationCoefficient!E41</f>
        <v>-52.496387392000003</v>
      </c>
      <c r="U33" s="63">
        <f>M17</f>
        <v>-52.497486941889996</v>
      </c>
    </row>
    <row r="34" spans="18:21" x14ac:dyDescent="0.25">
      <c r="R34">
        <v>51</v>
      </c>
      <c r="S34" t="s">
        <v>121</v>
      </c>
      <c r="T34" s="60">
        <f>SchoolLocationCoefficient!E42</f>
        <v>17.602734273900001</v>
      </c>
      <c r="U34" s="61">
        <f si="0" t="shared"/>
        <v>17.602734273900001</v>
      </c>
    </row>
    <row r="35" spans="18:21" x14ac:dyDescent="0.25">
      <c r="R35">
        <v>52</v>
      </c>
      <c r="S35" t="s">
        <v>122</v>
      </c>
      <c r="T35" s="60">
        <f>SchoolLocationCoefficient!E43</f>
        <v>4.20952630757</v>
      </c>
      <c r="U35" s="61">
        <f si="0" t="shared"/>
        <v>4.20952630757</v>
      </c>
    </row>
    <row r="36" spans="18:21" x14ac:dyDescent="0.25">
      <c r="R36">
        <v>60</v>
      </c>
      <c r="S36" t="s">
        <v>123</v>
      </c>
      <c r="T36" s="60">
        <f>SchoolLocationCoefficient!E44</f>
        <v>0.20359321296800001</v>
      </c>
      <c r="U36" s="61">
        <f si="0" t="shared"/>
        <v>0.20359321296800001</v>
      </c>
    </row>
    <row r="37" spans="18:21" x14ac:dyDescent="0.25">
      <c r="R37">
        <v>61</v>
      </c>
      <c r="S37" t="s">
        <v>124</v>
      </c>
      <c r="T37" s="60">
        <f>SchoolLocationCoefficient!E45</f>
        <v>-3.7139025588600001</v>
      </c>
      <c r="U37" s="61">
        <f si="0" t="shared"/>
        <v>-3.7139025588600001</v>
      </c>
    </row>
    <row r="38" spans="18:21" x14ac:dyDescent="0.25">
      <c r="R38">
        <v>62</v>
      </c>
      <c r="S38" t="s">
        <v>125</v>
      </c>
      <c r="T38" s="60">
        <f>SchoolLocationCoefficient!E46</f>
        <v>-14.9292134206</v>
      </c>
      <c r="U38" s="61">
        <f si="0" t="shared"/>
        <v>-14.9292134206</v>
      </c>
    </row>
    <row r="39" spans="18:21" x14ac:dyDescent="0.25">
      <c r="R39">
        <v>63</v>
      </c>
      <c r="S39" t="s">
        <v>126</v>
      </c>
      <c r="T39" s="60">
        <f>SchoolLocationCoefficient!E47</f>
        <v>-18.363643827400001</v>
      </c>
      <c r="U39" s="61">
        <f si="0" t="shared"/>
        <v>-18.363643827400001</v>
      </c>
    </row>
    <row r="40" spans="18:21" x14ac:dyDescent="0.25">
      <c r="R40">
        <v>64</v>
      </c>
      <c r="S40" t="s">
        <v>127</v>
      </c>
      <c r="T40" s="60">
        <f>SchoolLocationCoefficient!E48</f>
        <v>-19.6107408341</v>
      </c>
      <c r="U40" s="61">
        <f si="0" t="shared"/>
        <v>-19.6107408341</v>
      </c>
    </row>
    <row r="41" spans="18:21" x14ac:dyDescent="0.25">
      <c r="R41">
        <v>65</v>
      </c>
      <c r="S41" t="s">
        <v>128</v>
      </c>
      <c r="T41" s="60">
        <f>SchoolLocationCoefficient!E49</f>
        <v>-29.386377866</v>
      </c>
      <c r="U41" s="61">
        <f si="0" t="shared"/>
        <v>-29.386377866</v>
      </c>
    </row>
    <row r="42" spans="18:21" x14ac:dyDescent="0.25">
      <c r="R42">
        <v>66</v>
      </c>
      <c r="S42" t="s">
        <v>129</v>
      </c>
      <c r="T42" s="60">
        <f>SchoolLocationCoefficient!E50</f>
        <v>0</v>
      </c>
      <c r="U42" s="61">
        <f si="0" t="shared"/>
        <v>0</v>
      </c>
    </row>
    <row r="43" spans="18:21" x14ac:dyDescent="0.25">
      <c r="R43">
        <v>67</v>
      </c>
      <c r="S43" t="s">
        <v>130</v>
      </c>
      <c r="T43" s="60">
        <f>SchoolLocationCoefficient!E51</f>
        <v>-6.7290240321499999</v>
      </c>
      <c r="U43" s="61">
        <f si="0" t="shared"/>
        <v>-6.7290240321499999</v>
      </c>
    </row>
    <row r="44" spans="18:21" x14ac:dyDescent="0.25">
      <c r="R44">
        <v>68</v>
      </c>
      <c r="S44" t="s">
        <v>131</v>
      </c>
      <c r="T44" s="60">
        <f>SchoolLocationCoefficient!E52</f>
        <v>-26.1597322567</v>
      </c>
      <c r="U44" s="61">
        <f si="0" t="shared"/>
        <v>-26.1597322567</v>
      </c>
    </row>
    <row r="45" spans="18:21" x14ac:dyDescent="0.25">
      <c r="R45">
        <v>69</v>
      </c>
      <c r="S45" t="s">
        <v>132</v>
      </c>
      <c r="T45" s="60">
        <f>SchoolLocationCoefficient!E53</f>
        <v>-0.14966845132199999</v>
      </c>
      <c r="U45" s="61">
        <f si="0" t="shared"/>
        <v>-0.14966845132199999</v>
      </c>
    </row>
    <row r="46" spans="18:21" x14ac:dyDescent="0.25">
      <c r="R46">
        <v>70</v>
      </c>
      <c r="S46" t="s">
        <v>133</v>
      </c>
      <c r="T46" s="60">
        <f>SchoolLocationCoefficient!E54</f>
        <v>-28.815960729</v>
      </c>
      <c r="U46" s="61">
        <f si="0" t="shared"/>
        <v>-28.815960729</v>
      </c>
    </row>
    <row r="47" spans="18:21" x14ac:dyDescent="0.25">
      <c r="R47">
        <v>71</v>
      </c>
      <c r="S47" t="s">
        <v>134</v>
      </c>
      <c r="T47" s="60">
        <f>SchoolLocationCoefficient!E55</f>
        <v>-38.204969650199999</v>
      </c>
      <c r="U47" s="61">
        <f si="0" t="shared"/>
        <v>-38.204969650199999</v>
      </c>
    </row>
    <row r="48" spans="18:21" x14ac:dyDescent="0.25">
      <c r="R48">
        <v>72</v>
      </c>
      <c r="S48" t="s">
        <v>135</v>
      </c>
      <c r="T48" s="60">
        <f>SchoolLocationCoefficient!E56</f>
        <v>0</v>
      </c>
      <c r="U48" s="61">
        <f si="0" t="shared"/>
        <v>0</v>
      </c>
    </row>
    <row r="49" spans="18:21" x14ac:dyDescent="0.25">
      <c r="R49">
        <v>73</v>
      </c>
      <c r="S49" t="s">
        <v>136</v>
      </c>
      <c r="T49" s="60">
        <f>SchoolLocationCoefficient!E57</f>
        <v>-0.78460574570499997</v>
      </c>
      <c r="U49" s="61">
        <f si="0" t="shared"/>
        <v>-0.78460574570499997</v>
      </c>
    </row>
    <row r="50" spans="18:21" x14ac:dyDescent="0.25">
      <c r="R50">
        <v>74</v>
      </c>
      <c r="S50" t="s">
        <v>137</v>
      </c>
      <c r="T50" s="60">
        <f>SchoolLocationCoefficient!E58</f>
        <v>-60</v>
      </c>
      <c r="U50" s="61">
        <f si="0" t="shared"/>
        <v>-60</v>
      </c>
    </row>
    <row r="51" spans="18:21" x14ac:dyDescent="0.25">
      <c r="R51">
        <v>75</v>
      </c>
      <c r="S51" t="s">
        <v>138</v>
      </c>
      <c r="T51" s="60">
        <f>SchoolLocationCoefficient!E59</f>
        <v>-40</v>
      </c>
      <c r="U51" s="61">
        <f si="0" t="shared"/>
        <v>-40</v>
      </c>
    </row>
    <row r="52" spans="18:21" x14ac:dyDescent="0.25">
      <c r="R52">
        <v>76</v>
      </c>
      <c r="S52" t="s">
        <v>139</v>
      </c>
      <c r="T52" s="60">
        <f>SchoolLocationCoefficient!E60</f>
        <v>-19.3366724551</v>
      </c>
      <c r="U52" s="61">
        <f si="0" t="shared"/>
        <v>-19.3366724551</v>
      </c>
    </row>
    <row r="53" spans="18:21" x14ac:dyDescent="0.25">
      <c r="R53">
        <v>77</v>
      </c>
      <c r="S53" t="s">
        <v>140</v>
      </c>
      <c r="T53" s="60">
        <f>SchoolLocationCoefficient!E61</f>
        <v>-29.8899113495</v>
      </c>
      <c r="U53" s="61">
        <f si="0" t="shared"/>
        <v>-29.8899113495</v>
      </c>
    </row>
    <row r="54" spans="18:21" x14ac:dyDescent="0.25">
      <c r="R54">
        <v>78</v>
      </c>
      <c r="S54" t="s">
        <v>141</v>
      </c>
      <c r="T54" s="60">
        <f>SchoolLocationCoefficient!E62</f>
        <v>0</v>
      </c>
      <c r="U54" s="61">
        <f si="0" t="shared"/>
        <v>0</v>
      </c>
    </row>
    <row r="55" spans="18:21" x14ac:dyDescent="0.25">
      <c r="R55">
        <v>79</v>
      </c>
      <c r="S55" t="s">
        <v>142</v>
      </c>
      <c r="T55" s="60">
        <f>SchoolLocationCoefficient!E63</f>
        <v>-4.6085602533700003</v>
      </c>
      <c r="U55" s="61">
        <f si="0" t="shared"/>
        <v>-4.6085602533700003</v>
      </c>
    </row>
    <row r="56" spans="18:21" x14ac:dyDescent="0.25">
      <c r="R56">
        <v>80</v>
      </c>
      <c r="S56" t="s">
        <v>143</v>
      </c>
      <c r="T56" s="60">
        <f>SchoolLocationCoefficient!E64</f>
        <v>-20</v>
      </c>
      <c r="U56" s="61">
        <f si="0" t="shared"/>
        <v>-20</v>
      </c>
    </row>
    <row r="57" spans="18:21" x14ac:dyDescent="0.25">
      <c r="R57">
        <v>81</v>
      </c>
      <c r="S57" t="s">
        <v>144</v>
      </c>
      <c r="T57" s="60">
        <f>SchoolLocationCoefficient!E65</f>
        <v>-16.8297323695</v>
      </c>
      <c r="U57" s="61">
        <f si="0" t="shared"/>
        <v>-16.8297323695</v>
      </c>
    </row>
    <row r="58" spans="18:21" x14ac:dyDescent="0.25">
      <c r="R58">
        <v>82</v>
      </c>
      <c r="S58" t="s">
        <v>145</v>
      </c>
      <c r="T58" s="60">
        <f>SchoolLocationCoefficient!E66</f>
        <v>-30</v>
      </c>
      <c r="U58" s="61">
        <f si="0" t="shared"/>
        <v>-30</v>
      </c>
    </row>
    <row r="59" spans="18:21" x14ac:dyDescent="0.25">
      <c r="R59">
        <v>83</v>
      </c>
      <c r="S59" t="s">
        <v>146</v>
      </c>
      <c r="T59" s="60">
        <f>SchoolLocationCoefficient!E67</f>
        <v>0</v>
      </c>
      <c r="U59" s="61">
        <f si="0" t="shared"/>
        <v>0</v>
      </c>
    </row>
    <row r="60" spans="18:21" x14ac:dyDescent="0.25">
      <c r="R60">
        <v>84</v>
      </c>
      <c r="S60" t="s">
        <v>147</v>
      </c>
      <c r="T60" s="60">
        <f>SchoolLocationCoefficient!E68</f>
        <v>-3.8243167264700002</v>
      </c>
      <c r="U60" s="61">
        <f si="0" t="shared"/>
        <v>-3.8243167264700002</v>
      </c>
    </row>
    <row r="61" spans="18:21" x14ac:dyDescent="0.25">
      <c r="R61">
        <v>98</v>
      </c>
      <c r="S61" t="s">
        <v>148</v>
      </c>
      <c r="T61" s="60">
        <f>SchoolLocationCoefficient!E69</f>
        <v>0</v>
      </c>
      <c r="U61" s="61">
        <f si="0" t="shared"/>
        <v>0</v>
      </c>
    </row>
    <row r="62" spans="18:21" x14ac:dyDescent="0.25">
      <c r="R62">
        <v>99</v>
      </c>
      <c r="S62" t="s">
        <v>149</v>
      </c>
      <c r="T62" s="60">
        <f>SchoolLocationCoefficient!E70</f>
        <v>0.11248071060500001</v>
      </c>
      <c r="U62" s="61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2014-10-02T16:57:51Z</dcterms:modified>
</cp:coreProperties>
</file>