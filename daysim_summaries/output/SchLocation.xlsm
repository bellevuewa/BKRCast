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activeTab="3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County_Flow!$M$7:$T$13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County_Flow!$B$7:$I$13</definedName>
    <definedName name="Sch_dist">TLFD!$H$11:$J$101</definedName>
    <definedName name="Sch_time">TDFD!$H$11:$J$101</definedName>
    <definedName name="tot">SchoolAtHome!$I$18:$K$23</definedName>
  </definedNames>
  <calcPr calcId="171027"/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Q33" i="12" l="1"/>
  <c r="H24" i="1"/>
  <c r="H23" i="1"/>
  <c r="H25" i="1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G26" i="1" s="1"/>
  <c r="U9" i="1"/>
  <c r="H22" i="1" s="1"/>
  <c r="U8" i="1"/>
  <c r="H21" i="1" s="1"/>
  <c r="U7" i="1"/>
  <c r="J7" i="1"/>
  <c r="J26" i="1" l="1"/>
  <c r="D26" i="1"/>
  <c r="B26" i="1"/>
  <c r="E26" i="1"/>
  <c r="F26" i="1"/>
  <c r="C26" i="1"/>
  <c r="H26" i="1"/>
  <c r="I26" i="1"/>
  <c r="H20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G17" i="15" l="1"/>
  <c r="H28" i="1"/>
  <c r="O39" i="1"/>
  <c r="P39" i="1"/>
  <c r="M39" i="1"/>
  <c r="S34" i="1"/>
  <c r="Q39" i="1"/>
  <c r="S33" i="1"/>
  <c r="T40" i="1"/>
  <c r="R39" i="1"/>
  <c r="S39" i="1"/>
  <c r="N40" i="1"/>
  <c r="Q40" i="1"/>
  <c r="U40" i="1"/>
  <c r="T39" i="1"/>
  <c r="P40" i="1"/>
  <c r="S38" i="1"/>
  <c r="N39" i="1"/>
  <c r="S36" i="1"/>
  <c r="M40" i="1"/>
  <c r="R40" i="1"/>
  <c r="S35" i="1"/>
  <c r="S37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F35" i="1" l="1"/>
  <c r="H40" i="1"/>
  <c r="AD40" i="1" s="1"/>
  <c r="G39" i="1"/>
  <c r="H35" i="1"/>
  <c r="J39" i="1"/>
  <c r="AF39" i="1" s="1"/>
  <c r="H36" i="1"/>
  <c r="AD36" i="1" s="1"/>
  <c r="E39" i="1"/>
  <c r="H38" i="1"/>
  <c r="D39" i="1"/>
  <c r="H37" i="1"/>
  <c r="B39" i="1"/>
  <c r="X39" i="1" s="1"/>
  <c r="C39" i="1"/>
  <c r="Y39" i="1" s="1"/>
  <c r="F39" i="1"/>
  <c r="H39" i="1"/>
  <c r="H34" i="1"/>
  <c r="AD38" i="1"/>
  <c r="AD39" i="1"/>
  <c r="AB39" i="1"/>
  <c r="AD34" i="1"/>
  <c r="AD37" i="1"/>
  <c r="AC39" i="1"/>
  <c r="AD35" i="1"/>
  <c r="AA39" i="1"/>
  <c r="Z39" i="1"/>
  <c r="H41" i="1"/>
  <c r="AD41" i="1" s="1"/>
  <c r="I39" i="1"/>
  <c r="AE39" i="1" s="1"/>
  <c r="H33" i="1"/>
  <c r="AD33" i="1" s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AB35" i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<sst xmlns="http://schemas.openxmlformats.org/spreadsheetml/2006/main" count="673" uniqueCount="259">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</sst>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/dd/yyyy\ hh:mm:ss"/>
    <numFmt numFmtId="166" formatCode="0.0000000000000"/>
    <numFmt numFmtId="167" formatCode="0.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1" fontId="0" fillId="0" borderId="5" xfId="0" applyNumberForma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1" fontId="0" fillId="0" borderId="3" xfId="0" applyNumberForma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1" fontId="0" fillId="0" borderId="4" xfId="0" applyNumberForma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137702.83859999999</c:v>
                </c:pt>
                <c:pt idx="1">
                  <c:v>131477.6091</c:v>
                </c:pt>
                <c:pt idx="2">
                  <c:v>71454.866500000004</c:v>
                </c:pt>
                <c:pt idx="3">
                  <c:v>55130.984400000001</c:v>
                </c:pt>
                <c:pt idx="4">
                  <c:v>36354.395499999999</c:v>
                </c:pt>
                <c:pt idx="5">
                  <c:v>48790.836900000002</c:v>
                </c:pt>
                <c:pt idx="6">
                  <c:v>18696.178100000001</c:v>
                </c:pt>
                <c:pt idx="7">
                  <c:v>13914.963400000001</c:v>
                </c:pt>
                <c:pt idx="8">
                  <c:v>23736.650400000002</c:v>
                </c:pt>
                <c:pt idx="9">
                  <c:v>7998.9650000000001</c:v>
                </c:pt>
                <c:pt idx="10">
                  <c:v>10600.270100000002</c:v>
                </c:pt>
                <c:pt idx="11">
                  <c:v>5038.1854000000003</c:v>
                </c:pt>
                <c:pt idx="12">
                  <c:v>7575.7865000000011</c:v>
                </c:pt>
                <c:pt idx="13">
                  <c:v>4201.0113999999994</c:v>
                </c:pt>
                <c:pt idx="14">
                  <c:v>2539.2916999999998</c:v>
                </c:pt>
                <c:pt idx="15">
                  <c:v>2162.7208000000001</c:v>
                </c:pt>
                <c:pt idx="16">
                  <c:v>4225.5187000000005</c:v>
                </c:pt>
                <c:pt idx="17">
                  <c:v>7231.8083999999999</c:v>
                </c:pt>
                <c:pt idx="18">
                  <c:v>1146.3288</c:v>
                </c:pt>
                <c:pt idx="19">
                  <c:v>858.91669999999999</c:v>
                </c:pt>
                <c:pt idx="20">
                  <c:v>1045.7099000000001</c:v>
                </c:pt>
                <c:pt idx="21">
                  <c:v>16.309999999999999</c:v>
                </c:pt>
                <c:pt idx="22">
                  <c:v>28.036999999999999</c:v>
                </c:pt>
                <c:pt idx="23">
                  <c:v>440.9461</c:v>
                </c:pt>
                <c:pt idx="24">
                  <c:v>960.10530000000006</c:v>
                </c:pt>
                <c:pt idx="25">
                  <c:v>0</c:v>
                </c:pt>
                <c:pt idx="26">
                  <c:v>46.474000000000004</c:v>
                </c:pt>
                <c:pt idx="27">
                  <c:v>956.19270000000006</c:v>
                </c:pt>
                <c:pt idx="28">
                  <c:v>40.655000000000001</c:v>
                </c:pt>
                <c:pt idx="29">
                  <c:v>398.8691</c:v>
                </c:pt>
                <c:pt idx="30">
                  <c:v>0</c:v>
                </c:pt>
                <c:pt idx="31">
                  <c:v>10.791</c:v>
                </c:pt>
                <c:pt idx="32">
                  <c:v>22.125</c:v>
                </c:pt>
                <c:pt idx="33">
                  <c:v>0</c:v>
                </c:pt>
                <c:pt idx="34">
                  <c:v>4.4080000000000004</c:v>
                </c:pt>
                <c:pt idx="35">
                  <c:v>35.024999999999999</c:v>
                </c:pt>
                <c:pt idx="36">
                  <c:v>11.159000000000001</c:v>
                </c:pt>
                <c:pt idx="37">
                  <c:v>17.632000000000001</c:v>
                </c:pt>
                <c:pt idx="38">
                  <c:v>443.72719999999998</c:v>
                </c:pt>
                <c:pt idx="39">
                  <c:v>4.1280000000000001</c:v>
                </c:pt>
                <c:pt idx="40">
                  <c:v>0</c:v>
                </c:pt>
                <c:pt idx="41">
                  <c:v>770.83639999999991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4.1280000000000001</c:v>
                </c:pt>
                <c:pt idx="46">
                  <c:v>468.98939999999999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238.0368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13.487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121235</c:v>
                </c:pt>
                <c:pt idx="1">
                  <c:v>90866</c:v>
                </c:pt>
                <c:pt idx="2">
                  <c:v>53639</c:v>
                </c:pt>
                <c:pt idx="3">
                  <c:v>33467</c:v>
                </c:pt>
                <c:pt idx="4">
                  <c:v>129139</c:v>
                </c:pt>
                <c:pt idx="5">
                  <c:v>65894</c:v>
                </c:pt>
                <c:pt idx="6">
                  <c:v>64473</c:v>
                </c:pt>
                <c:pt idx="7">
                  <c:v>34886</c:v>
                </c:pt>
                <c:pt idx="8">
                  <c:v>38081</c:v>
                </c:pt>
                <c:pt idx="9">
                  <c:v>34836</c:v>
                </c:pt>
                <c:pt idx="10">
                  <c:v>13765</c:v>
                </c:pt>
                <c:pt idx="11">
                  <c:v>16596</c:v>
                </c:pt>
                <c:pt idx="12">
                  <c:v>11028</c:v>
                </c:pt>
                <c:pt idx="13">
                  <c:v>13284</c:v>
                </c:pt>
                <c:pt idx="14">
                  <c:v>8397</c:v>
                </c:pt>
                <c:pt idx="15">
                  <c:v>7857</c:v>
                </c:pt>
                <c:pt idx="16">
                  <c:v>6684</c:v>
                </c:pt>
                <c:pt idx="17">
                  <c:v>5011</c:v>
                </c:pt>
                <c:pt idx="18">
                  <c:v>4570</c:v>
                </c:pt>
                <c:pt idx="19">
                  <c:v>3440</c:v>
                </c:pt>
                <c:pt idx="20">
                  <c:v>3064</c:v>
                </c:pt>
                <c:pt idx="21">
                  <c:v>2708</c:v>
                </c:pt>
                <c:pt idx="22">
                  <c:v>1722</c:v>
                </c:pt>
                <c:pt idx="23">
                  <c:v>2432</c:v>
                </c:pt>
                <c:pt idx="24">
                  <c:v>1316</c:v>
                </c:pt>
                <c:pt idx="25">
                  <c:v>1437</c:v>
                </c:pt>
                <c:pt idx="26">
                  <c:v>840</c:v>
                </c:pt>
                <c:pt idx="27">
                  <c:v>998</c:v>
                </c:pt>
                <c:pt idx="28">
                  <c:v>876</c:v>
                </c:pt>
                <c:pt idx="29">
                  <c:v>492</c:v>
                </c:pt>
                <c:pt idx="30">
                  <c:v>443</c:v>
                </c:pt>
                <c:pt idx="31">
                  <c:v>542</c:v>
                </c:pt>
                <c:pt idx="32">
                  <c:v>350</c:v>
                </c:pt>
                <c:pt idx="33">
                  <c:v>794</c:v>
                </c:pt>
                <c:pt idx="34">
                  <c:v>1370</c:v>
                </c:pt>
                <c:pt idx="35">
                  <c:v>156</c:v>
                </c:pt>
                <c:pt idx="36">
                  <c:v>226</c:v>
                </c:pt>
                <c:pt idx="37">
                  <c:v>191</c:v>
                </c:pt>
                <c:pt idx="38">
                  <c:v>219</c:v>
                </c:pt>
                <c:pt idx="39">
                  <c:v>91</c:v>
                </c:pt>
                <c:pt idx="40">
                  <c:v>151</c:v>
                </c:pt>
                <c:pt idx="41">
                  <c:v>97</c:v>
                </c:pt>
                <c:pt idx="42">
                  <c:v>122</c:v>
                </c:pt>
                <c:pt idx="43">
                  <c:v>53</c:v>
                </c:pt>
                <c:pt idx="44">
                  <c:v>37</c:v>
                </c:pt>
                <c:pt idx="45">
                  <c:v>119</c:v>
                </c:pt>
                <c:pt idx="46">
                  <c:v>63</c:v>
                </c:pt>
                <c:pt idx="47">
                  <c:v>84</c:v>
                </c:pt>
                <c:pt idx="48">
                  <c:v>23</c:v>
                </c:pt>
                <c:pt idx="49">
                  <c:v>49</c:v>
                </c:pt>
                <c:pt idx="50">
                  <c:v>19</c:v>
                </c:pt>
                <c:pt idx="51">
                  <c:v>23</c:v>
                </c:pt>
                <c:pt idx="52">
                  <c:v>10</c:v>
                </c:pt>
                <c:pt idx="53">
                  <c:v>12</c:v>
                </c:pt>
                <c:pt idx="54">
                  <c:v>5</c:v>
                </c:pt>
                <c:pt idx="55">
                  <c:v>11</c:v>
                </c:pt>
                <c:pt idx="56">
                  <c:v>7</c:v>
                </c:pt>
                <c:pt idx="57">
                  <c:v>20</c:v>
                </c:pt>
                <c:pt idx="58">
                  <c:v>16</c:v>
                </c:pt>
                <c:pt idx="59">
                  <c:v>2</c:v>
                </c:pt>
                <c:pt idx="6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6652.7882</c:v>
                </c:pt>
                <c:pt idx="1">
                  <c:v>10738.7192</c:v>
                </c:pt>
                <c:pt idx="2">
                  <c:v>15681.3639</c:v>
                </c:pt>
                <c:pt idx="3">
                  <c:v>23562.188600000001</c:v>
                </c:pt>
                <c:pt idx="4">
                  <c:v>32769.820299999999</c:v>
                </c:pt>
                <c:pt idx="5">
                  <c:v>41107.616000000002</c:v>
                </c:pt>
                <c:pt idx="6">
                  <c:v>37984.224199999997</c:v>
                </c:pt>
                <c:pt idx="7">
                  <c:v>45673.349200000004</c:v>
                </c:pt>
                <c:pt idx="8">
                  <c:v>42843.482000000004</c:v>
                </c:pt>
                <c:pt idx="9">
                  <c:v>32157.734</c:v>
                </c:pt>
                <c:pt idx="10">
                  <c:v>41611.958599999998</c:v>
                </c:pt>
                <c:pt idx="11">
                  <c:v>26965.5242</c:v>
                </c:pt>
                <c:pt idx="12">
                  <c:v>26491.967899999996</c:v>
                </c:pt>
                <c:pt idx="13">
                  <c:v>20594.544099999999</c:v>
                </c:pt>
                <c:pt idx="14">
                  <c:v>28755.0216</c:v>
                </c:pt>
                <c:pt idx="15">
                  <c:v>17932.006400000002</c:v>
                </c:pt>
                <c:pt idx="16">
                  <c:v>12526.2436</c:v>
                </c:pt>
                <c:pt idx="17">
                  <c:v>19082.049099999997</c:v>
                </c:pt>
                <c:pt idx="18">
                  <c:v>16679.037700000001</c:v>
                </c:pt>
                <c:pt idx="19">
                  <c:v>7128.5074999999997</c:v>
                </c:pt>
                <c:pt idx="20">
                  <c:v>12167.179700000001</c:v>
                </c:pt>
                <c:pt idx="21">
                  <c:v>3892.1271999999999</c:v>
                </c:pt>
                <c:pt idx="22">
                  <c:v>3367.6161000000002</c:v>
                </c:pt>
                <c:pt idx="23">
                  <c:v>5739.2554</c:v>
                </c:pt>
                <c:pt idx="24">
                  <c:v>10273.9172</c:v>
                </c:pt>
                <c:pt idx="25">
                  <c:v>5383.8168999999998</c:v>
                </c:pt>
                <c:pt idx="26">
                  <c:v>4093.5176999999999</c:v>
                </c:pt>
                <c:pt idx="27">
                  <c:v>1477.1485</c:v>
                </c:pt>
                <c:pt idx="28">
                  <c:v>4227.8597000000009</c:v>
                </c:pt>
                <c:pt idx="29">
                  <c:v>2135.1352999999999</c:v>
                </c:pt>
                <c:pt idx="30">
                  <c:v>2670.1596</c:v>
                </c:pt>
                <c:pt idx="31">
                  <c:v>113.96899999999999</c:v>
                </c:pt>
                <c:pt idx="32">
                  <c:v>3788.3081000000002</c:v>
                </c:pt>
                <c:pt idx="33">
                  <c:v>4349.7712000000001</c:v>
                </c:pt>
                <c:pt idx="34">
                  <c:v>3279.5775000000003</c:v>
                </c:pt>
                <c:pt idx="35">
                  <c:v>1724.0798</c:v>
                </c:pt>
                <c:pt idx="36">
                  <c:v>6138.7919999999995</c:v>
                </c:pt>
                <c:pt idx="37">
                  <c:v>234.97289999999998</c:v>
                </c:pt>
                <c:pt idx="38">
                  <c:v>728.2124</c:v>
                </c:pt>
                <c:pt idx="39">
                  <c:v>1652.8496</c:v>
                </c:pt>
                <c:pt idx="40">
                  <c:v>32.488</c:v>
                </c:pt>
                <c:pt idx="41">
                  <c:v>565.01159999999993</c:v>
                </c:pt>
                <c:pt idx="42">
                  <c:v>1234.3636000000001</c:v>
                </c:pt>
                <c:pt idx="43">
                  <c:v>945.19299999999998</c:v>
                </c:pt>
                <c:pt idx="44">
                  <c:v>74.418599999999998</c:v>
                </c:pt>
                <c:pt idx="45">
                  <c:v>283.96170000000001</c:v>
                </c:pt>
                <c:pt idx="46">
                  <c:v>1401.2429999999999</c:v>
                </c:pt>
                <c:pt idx="47">
                  <c:v>1199.8809000000001</c:v>
                </c:pt>
                <c:pt idx="48">
                  <c:v>1260.3235999999999</c:v>
                </c:pt>
                <c:pt idx="49">
                  <c:v>1500.0478000000001</c:v>
                </c:pt>
                <c:pt idx="50">
                  <c:v>93.271000000000001</c:v>
                </c:pt>
                <c:pt idx="51">
                  <c:v>599.15700000000004</c:v>
                </c:pt>
                <c:pt idx="52">
                  <c:v>806.65190000000007</c:v>
                </c:pt>
                <c:pt idx="53">
                  <c:v>34.363</c:v>
                </c:pt>
                <c:pt idx="54">
                  <c:v>0</c:v>
                </c:pt>
                <c:pt idx="55">
                  <c:v>20.286000000000001</c:v>
                </c:pt>
                <c:pt idx="56">
                  <c:v>14.584</c:v>
                </c:pt>
                <c:pt idx="57">
                  <c:v>236.04669999999999</c:v>
                </c:pt>
                <c:pt idx="58">
                  <c:v>0</c:v>
                </c:pt>
                <c:pt idx="59">
                  <c:v>15.827999999999999</c:v>
                </c:pt>
                <c:pt idx="60">
                  <c:v>13.452999999999999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36666</c:v>
                </c:pt>
                <c:pt idx="1">
                  <c:v>17815</c:v>
                </c:pt>
                <c:pt idx="2">
                  <c:v>24090</c:v>
                </c:pt>
                <c:pt idx="3">
                  <c:v>26546</c:v>
                </c:pt>
                <c:pt idx="4">
                  <c:v>27067</c:v>
                </c:pt>
                <c:pt idx="5">
                  <c:v>26289</c:v>
                </c:pt>
                <c:pt idx="6">
                  <c:v>25307</c:v>
                </c:pt>
                <c:pt idx="7">
                  <c:v>22587</c:v>
                </c:pt>
                <c:pt idx="8">
                  <c:v>19873</c:v>
                </c:pt>
                <c:pt idx="9">
                  <c:v>17694</c:v>
                </c:pt>
                <c:pt idx="10">
                  <c:v>14972</c:v>
                </c:pt>
                <c:pt idx="11">
                  <c:v>12909</c:v>
                </c:pt>
                <c:pt idx="12">
                  <c:v>12032</c:v>
                </c:pt>
                <c:pt idx="13">
                  <c:v>10116</c:v>
                </c:pt>
                <c:pt idx="14">
                  <c:v>8592</c:v>
                </c:pt>
                <c:pt idx="15">
                  <c:v>8440</c:v>
                </c:pt>
                <c:pt idx="16">
                  <c:v>7551</c:v>
                </c:pt>
                <c:pt idx="17">
                  <c:v>6976</c:v>
                </c:pt>
                <c:pt idx="18">
                  <c:v>91532</c:v>
                </c:pt>
                <c:pt idx="19">
                  <c:v>24623</c:v>
                </c:pt>
                <c:pt idx="20">
                  <c:v>21055</c:v>
                </c:pt>
                <c:pt idx="21">
                  <c:v>36001</c:v>
                </c:pt>
                <c:pt idx="22">
                  <c:v>29979</c:v>
                </c:pt>
                <c:pt idx="23">
                  <c:v>27069</c:v>
                </c:pt>
                <c:pt idx="24">
                  <c:v>25365</c:v>
                </c:pt>
                <c:pt idx="25">
                  <c:v>29427</c:v>
                </c:pt>
                <c:pt idx="26">
                  <c:v>17538</c:v>
                </c:pt>
                <c:pt idx="27">
                  <c:v>18957</c:v>
                </c:pt>
                <c:pt idx="28">
                  <c:v>12835</c:v>
                </c:pt>
                <c:pt idx="29">
                  <c:v>15498</c:v>
                </c:pt>
                <c:pt idx="30">
                  <c:v>17449</c:v>
                </c:pt>
                <c:pt idx="31">
                  <c:v>8535</c:v>
                </c:pt>
                <c:pt idx="32">
                  <c:v>8725</c:v>
                </c:pt>
                <c:pt idx="33">
                  <c:v>8062</c:v>
                </c:pt>
                <c:pt idx="34">
                  <c:v>8745</c:v>
                </c:pt>
                <c:pt idx="35">
                  <c:v>6809</c:v>
                </c:pt>
                <c:pt idx="36">
                  <c:v>6221</c:v>
                </c:pt>
                <c:pt idx="37">
                  <c:v>5143</c:v>
                </c:pt>
                <c:pt idx="38">
                  <c:v>3913</c:v>
                </c:pt>
                <c:pt idx="39">
                  <c:v>3745</c:v>
                </c:pt>
                <c:pt idx="40">
                  <c:v>3169</c:v>
                </c:pt>
                <c:pt idx="41">
                  <c:v>1944</c:v>
                </c:pt>
                <c:pt idx="42">
                  <c:v>1863</c:v>
                </c:pt>
                <c:pt idx="43">
                  <c:v>1987</c:v>
                </c:pt>
                <c:pt idx="44">
                  <c:v>1521</c:v>
                </c:pt>
                <c:pt idx="45">
                  <c:v>1979</c:v>
                </c:pt>
                <c:pt idx="46">
                  <c:v>986</c:v>
                </c:pt>
                <c:pt idx="47">
                  <c:v>1388</c:v>
                </c:pt>
                <c:pt idx="48">
                  <c:v>998</c:v>
                </c:pt>
                <c:pt idx="49">
                  <c:v>755</c:v>
                </c:pt>
                <c:pt idx="50">
                  <c:v>596</c:v>
                </c:pt>
                <c:pt idx="51">
                  <c:v>1404</c:v>
                </c:pt>
                <c:pt idx="52">
                  <c:v>1862</c:v>
                </c:pt>
                <c:pt idx="53">
                  <c:v>346</c:v>
                </c:pt>
                <c:pt idx="54">
                  <c:v>760</c:v>
                </c:pt>
                <c:pt idx="55">
                  <c:v>447</c:v>
                </c:pt>
                <c:pt idx="56">
                  <c:v>345</c:v>
                </c:pt>
                <c:pt idx="57">
                  <c:v>292</c:v>
                </c:pt>
                <c:pt idx="58">
                  <c:v>271</c:v>
                </c:pt>
                <c:pt idx="59">
                  <c:v>241</c:v>
                </c:pt>
                <c:pt idx="60">
                  <c:v>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1"/>
  <sheetViews>
    <sheetView workbookViewId="0">
      <selection activeCell="E2" sqref="E2"/>
    </sheetView>
  </sheetViews>
  <sheetFormatPr defaultRowHeight="15" x14ac:dyDescent="0.25"/>
  <cols>
    <col min="1" max="1" width="13.5703125" customWidth="1" collapsed="1"/>
  </cols>
  <sheetData>
    <row r="1" spans="1:19" x14ac:dyDescent="0.25">
      <c r="A1" t="s">
        <v>1</v>
      </c>
    </row>
    <row r="2" spans="1:19" x14ac:dyDescent="0.25">
      <c r="A2" t="s">
        <v>254</v>
      </c>
    </row>
    <row r="3" spans="1:19" x14ac:dyDescent="0.25">
      <c r="A3" t="s">
        <v>255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r="9" spans="1:19" ht="15.75" thickBot="1" x14ac:dyDescent="0.3">
      <c r="A9" s="4" t="s">
        <v>199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207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35</v>
      </c>
      <c r="L10" s="5"/>
      <c r="M10" s="2"/>
      <c r="N10" s="5" t="s">
        <v>207</v>
      </c>
      <c r="O10" s="5" t="s">
        <v>35</v>
      </c>
      <c r="Q10" s="30"/>
      <c r="R10" s="35" t="s">
        <v>207</v>
      </c>
      <c r="S10" s="35" t="s">
        <v>35</v>
      </c>
    </row>
    <row r="11" spans="1:19" ht="15.75" thickBot="1" x14ac:dyDescent="0.3">
      <c r="A11">
        <v>0</v>
      </c>
      <c r="B11" s="9">
        <v>123508.3771</v>
      </c>
      <c r="C11" s="9">
        <v>5239.0209000000004</v>
      </c>
      <c r="D11" s="9">
        <v>8955.4405999999999</v>
      </c>
      <c r="E11" s="9">
        <f t="shared" ref="E11:E42" si="0">SUM(B11:D11)</f>
        <v>137702.83859999999</v>
      </c>
      <c r="G11">
        <v>0</v>
      </c>
      <c r="H11">
        <v>89005</v>
      </c>
      <c r="I11">
        <v>14505</v>
      </c>
      <c r="J11" s="20">
        <v>17725</v>
      </c>
      <c r="K11">
        <f t="shared" ref="K11:K42" si="1">SUM(H11:J11)</f>
        <v>121235</v>
      </c>
      <c r="M11" t="s">
        <v>41</v>
      </c>
      <c r="N11" s="9">
        <v>3.4178860928769366</v>
      </c>
      <c r="O11" s="9">
        <v>4.6926734560729306</v>
      </c>
      <c r="Q11" s="1" t="s">
        <v>3</v>
      </c>
      <c r="R11" s="10"/>
      <c r="S11" s="10"/>
    </row>
    <row r="12" spans="1:19" x14ac:dyDescent="0.25">
      <c r="A12">
        <v>1</v>
      </c>
      <c r="B12" s="9">
        <v>103080.98329999999</v>
      </c>
      <c r="C12" s="9">
        <v>13850.063700000001</v>
      </c>
      <c r="D12" s="9">
        <v>14546.562099999999</v>
      </c>
      <c r="E12" s="9">
        <f t="shared" si="0"/>
        <v>131477.6091</v>
      </c>
      <c r="G12">
        <v>1</v>
      </c>
      <c r="H12">
        <v>69588</v>
      </c>
      <c r="I12">
        <v>12040</v>
      </c>
      <c r="J12" s="20">
        <v>9238</v>
      </c>
      <c r="K12">
        <f t="shared" si="1"/>
        <v>90866</v>
      </c>
      <c r="M12" t="s">
        <v>42</v>
      </c>
      <c r="N12" s="9">
        <v>4.7562949807989199</v>
      </c>
      <c r="O12" s="9">
        <v>5.7104956163169467</v>
      </c>
      <c r="R12" s="9"/>
      <c r="S12" s="9"/>
    </row>
    <row r="13" spans="1:19" x14ac:dyDescent="0.25">
      <c r="A13">
        <v>2</v>
      </c>
      <c r="B13" s="9">
        <v>56097.025300000001</v>
      </c>
      <c r="C13" s="9">
        <v>10799.0388</v>
      </c>
      <c r="D13" s="9">
        <v>4558.8023999999996</v>
      </c>
      <c r="E13" s="9">
        <f t="shared" si="0"/>
        <v>71454.866500000004</v>
      </c>
      <c r="G13">
        <v>2</v>
      </c>
      <c r="H13">
        <v>40226</v>
      </c>
      <c r="I13">
        <v>8500</v>
      </c>
      <c r="J13" s="20">
        <v>4913</v>
      </c>
      <c r="K13">
        <f t="shared" si="1"/>
        <v>53639</v>
      </c>
      <c r="M13" s="6" t="s">
        <v>43</v>
      </c>
      <c r="N13" s="18">
        <v>7.0979657411671955</v>
      </c>
      <c r="O13" s="18">
        <v>8.7778981972914849</v>
      </c>
      <c r="Q13" s="7"/>
      <c r="R13" s="34"/>
      <c r="S13" s="34"/>
    </row>
    <row r="14" spans="1:19" ht="15.75" thickBot="1" x14ac:dyDescent="0.3">
      <c r="A14">
        <v>3</v>
      </c>
      <c r="B14" s="9">
        <v>41090.546300000002</v>
      </c>
      <c r="C14" s="9">
        <v>9746.1098999999995</v>
      </c>
      <c r="D14" s="9">
        <v>4294.3281999999999</v>
      </c>
      <c r="E14" s="9">
        <f t="shared" si="0"/>
        <v>55130.984400000001</v>
      </c>
      <c r="G14">
        <v>3</v>
      </c>
      <c r="H14">
        <v>23511</v>
      </c>
      <c r="I14">
        <v>5853</v>
      </c>
      <c r="J14" s="20">
        <v>4103</v>
      </c>
      <c r="K14">
        <f t="shared" si="1"/>
        <v>33467</v>
      </c>
      <c r="M14" s="1" t="s">
        <v>3</v>
      </c>
      <c r="N14" s="10">
        <v>3.9960023625607639</v>
      </c>
      <c r="O14" s="10">
        <v>5.7663810846305115</v>
      </c>
    </row>
    <row r="15" spans="1:19" x14ac:dyDescent="0.25">
      <c r="A15">
        <v>4</v>
      </c>
      <c r="B15" s="9">
        <v>22670.927</v>
      </c>
      <c r="C15" s="9">
        <v>10388.9041</v>
      </c>
      <c r="D15" s="9">
        <v>3294.5644000000002</v>
      </c>
      <c r="E15" s="9">
        <f t="shared" si="0"/>
        <v>36354.395499999999</v>
      </c>
      <c r="G15">
        <v>4</v>
      </c>
      <c r="H15">
        <v>85590</v>
      </c>
      <c r="I15">
        <v>22665</v>
      </c>
      <c r="J15" s="20">
        <v>20884</v>
      </c>
      <c r="K15">
        <f t="shared" si="1"/>
        <v>129139</v>
      </c>
    </row>
    <row r="16" spans="1:19" x14ac:dyDescent="0.25">
      <c r="A16">
        <v>5</v>
      </c>
      <c r="B16" s="9">
        <v>41754.889300000003</v>
      </c>
      <c r="C16" s="9">
        <v>3088.7138</v>
      </c>
      <c r="D16" s="9">
        <v>3947.2338</v>
      </c>
      <c r="E16" s="9">
        <f t="shared" si="0"/>
        <v>48790.836900000002</v>
      </c>
      <c r="G16">
        <v>5</v>
      </c>
      <c r="H16">
        <v>35181</v>
      </c>
      <c r="I16">
        <v>11925</v>
      </c>
      <c r="J16" s="20">
        <v>18788</v>
      </c>
      <c r="K16">
        <f t="shared" si="1"/>
        <v>65894</v>
      </c>
    </row>
    <row r="17" spans="1:11" x14ac:dyDescent="0.25">
      <c r="A17">
        <v>6</v>
      </c>
      <c r="B17" s="9">
        <v>11127.302600000001</v>
      </c>
      <c r="C17" s="9">
        <v>1976.7915</v>
      </c>
      <c r="D17" s="9">
        <v>5592.0839999999998</v>
      </c>
      <c r="E17" s="9">
        <f t="shared" si="0"/>
        <v>18696.178100000001</v>
      </c>
      <c r="G17">
        <v>6</v>
      </c>
      <c r="H17">
        <v>37297</v>
      </c>
      <c r="I17">
        <v>11497</v>
      </c>
      <c r="J17" s="20">
        <v>15679</v>
      </c>
      <c r="K17">
        <f t="shared" si="1"/>
        <v>64473</v>
      </c>
    </row>
    <row r="18" spans="1:11" x14ac:dyDescent="0.25">
      <c r="A18">
        <v>7</v>
      </c>
      <c r="B18" s="9">
        <v>9980.1244000000006</v>
      </c>
      <c r="C18" s="9">
        <v>1667.3262</v>
      </c>
      <c r="D18" s="9">
        <v>2267.5128</v>
      </c>
      <c r="E18" s="9">
        <f t="shared" si="0"/>
        <v>13914.963400000001</v>
      </c>
      <c r="G18">
        <v>7</v>
      </c>
      <c r="H18">
        <v>18233</v>
      </c>
      <c r="I18">
        <v>5649</v>
      </c>
      <c r="J18" s="20">
        <v>11004</v>
      </c>
      <c r="K18">
        <f t="shared" si="1"/>
        <v>34886</v>
      </c>
    </row>
    <row r="19" spans="1:11" x14ac:dyDescent="0.25">
      <c r="A19">
        <v>8</v>
      </c>
      <c r="B19" s="9">
        <v>17822.975600000002</v>
      </c>
      <c r="C19" s="9">
        <v>2183.5302000000001</v>
      </c>
      <c r="D19" s="9">
        <v>3730.1446000000001</v>
      </c>
      <c r="E19" s="9">
        <f t="shared" si="0"/>
        <v>23736.650400000002</v>
      </c>
      <c r="G19">
        <v>8</v>
      </c>
      <c r="H19">
        <v>20383</v>
      </c>
      <c r="I19">
        <v>5846</v>
      </c>
      <c r="J19" s="20">
        <v>11852</v>
      </c>
      <c r="K19">
        <f t="shared" si="1"/>
        <v>38081</v>
      </c>
    </row>
    <row r="20" spans="1:11" x14ac:dyDescent="0.25">
      <c r="A20">
        <v>9</v>
      </c>
      <c r="B20" s="9">
        <v>5437.1361999999999</v>
      </c>
      <c r="C20" s="9">
        <v>250.95359999999999</v>
      </c>
      <c r="D20" s="9">
        <v>2310.8751999999999</v>
      </c>
      <c r="E20" s="9">
        <f t="shared" si="0"/>
        <v>7998.9650000000001</v>
      </c>
      <c r="G20">
        <v>9</v>
      </c>
      <c r="H20">
        <v>17787</v>
      </c>
      <c r="I20">
        <v>5243</v>
      </c>
      <c r="J20" s="20">
        <v>11806</v>
      </c>
      <c r="K20">
        <f t="shared" si="1"/>
        <v>34836</v>
      </c>
    </row>
    <row r="21" spans="1:11" x14ac:dyDescent="0.25">
      <c r="A21">
        <v>10</v>
      </c>
      <c r="B21" s="9">
        <v>5962.9443000000001</v>
      </c>
      <c r="C21" s="9">
        <v>3217.6363000000001</v>
      </c>
      <c r="D21" s="9">
        <v>1419.6895</v>
      </c>
      <c r="E21" s="9">
        <f t="shared" si="0"/>
        <v>10600.270100000002</v>
      </c>
      <c r="G21">
        <v>10</v>
      </c>
      <c r="H21">
        <v>7861</v>
      </c>
      <c r="I21">
        <v>2303</v>
      </c>
      <c r="J21" s="20">
        <v>3601</v>
      </c>
      <c r="K21">
        <f t="shared" si="1"/>
        <v>13765</v>
      </c>
    </row>
    <row r="22" spans="1:11" x14ac:dyDescent="0.25">
      <c r="A22">
        <v>11</v>
      </c>
      <c r="B22" s="9">
        <v>3337.1918000000001</v>
      </c>
      <c r="C22" s="9">
        <v>349.42059999999998</v>
      </c>
      <c r="D22" s="9">
        <v>1351.5730000000001</v>
      </c>
      <c r="E22" s="9">
        <f t="shared" si="0"/>
        <v>5038.1854000000003</v>
      </c>
      <c r="G22">
        <v>11</v>
      </c>
      <c r="H22">
        <v>9232</v>
      </c>
      <c r="I22">
        <v>2427</v>
      </c>
      <c r="J22" s="20">
        <v>4937</v>
      </c>
      <c r="K22">
        <f t="shared" si="1"/>
        <v>16596</v>
      </c>
    </row>
    <row r="23" spans="1:11" x14ac:dyDescent="0.25">
      <c r="A23">
        <v>12</v>
      </c>
      <c r="B23" s="9">
        <v>4221.9161000000004</v>
      </c>
      <c r="C23" s="9">
        <v>1507.2988</v>
      </c>
      <c r="D23" s="9">
        <v>1846.5716</v>
      </c>
      <c r="E23" s="9">
        <f t="shared" si="0"/>
        <v>7575.7865000000011</v>
      </c>
      <c r="G23">
        <v>12</v>
      </c>
      <c r="H23">
        <v>5359</v>
      </c>
      <c r="I23">
        <v>1494</v>
      </c>
      <c r="J23" s="20">
        <v>4175</v>
      </c>
      <c r="K23">
        <f t="shared" si="1"/>
        <v>11028</v>
      </c>
    </row>
    <row r="24" spans="1:11" x14ac:dyDescent="0.25">
      <c r="A24">
        <v>13</v>
      </c>
      <c r="B24" s="9">
        <v>2665.7147</v>
      </c>
      <c r="C24" s="9">
        <v>0</v>
      </c>
      <c r="D24" s="9">
        <v>1535.2966999999999</v>
      </c>
      <c r="E24" s="9">
        <f t="shared" si="0"/>
        <v>4201.0113999999994</v>
      </c>
      <c r="G24">
        <v>13</v>
      </c>
      <c r="H24">
        <v>6194</v>
      </c>
      <c r="I24">
        <v>1799</v>
      </c>
      <c r="J24" s="20">
        <v>5291</v>
      </c>
      <c r="K24">
        <f t="shared" si="1"/>
        <v>13284</v>
      </c>
    </row>
    <row r="25" spans="1:11" x14ac:dyDescent="0.25">
      <c r="A25">
        <v>14</v>
      </c>
      <c r="B25" s="9">
        <v>522.32510000000002</v>
      </c>
      <c r="C25" s="9">
        <v>1137.4749999999999</v>
      </c>
      <c r="D25" s="9">
        <v>879.49159999999995</v>
      </c>
      <c r="E25" s="9">
        <f t="shared" si="0"/>
        <v>2539.2916999999998</v>
      </c>
      <c r="G25">
        <v>14</v>
      </c>
      <c r="H25">
        <v>3503</v>
      </c>
      <c r="I25">
        <v>1099</v>
      </c>
      <c r="J25" s="20">
        <v>3795</v>
      </c>
      <c r="K25">
        <f t="shared" si="1"/>
        <v>8397</v>
      </c>
    </row>
    <row r="26" spans="1:11" x14ac:dyDescent="0.25">
      <c r="A26">
        <v>15</v>
      </c>
      <c r="B26" s="9">
        <v>82.162300000000002</v>
      </c>
      <c r="C26" s="9">
        <v>1006.7866</v>
      </c>
      <c r="D26" s="9">
        <v>1073.7719</v>
      </c>
      <c r="E26" s="9">
        <f t="shared" si="0"/>
        <v>2162.7208000000001</v>
      </c>
      <c r="G26">
        <v>15</v>
      </c>
      <c r="H26">
        <v>4117</v>
      </c>
      <c r="I26">
        <v>1228</v>
      </c>
      <c r="J26" s="20">
        <v>2512</v>
      </c>
      <c r="K26">
        <f t="shared" si="1"/>
        <v>7857</v>
      </c>
    </row>
    <row r="27" spans="1:11" x14ac:dyDescent="0.25">
      <c r="A27">
        <v>16</v>
      </c>
      <c r="B27" s="9">
        <v>2301.3881999999999</v>
      </c>
      <c r="C27" s="9">
        <v>254.11340000000001</v>
      </c>
      <c r="D27" s="9">
        <v>1670.0171</v>
      </c>
      <c r="E27" s="9">
        <f t="shared" si="0"/>
        <v>4225.5187000000005</v>
      </c>
      <c r="G27">
        <v>16</v>
      </c>
      <c r="H27">
        <v>2825</v>
      </c>
      <c r="I27">
        <v>973</v>
      </c>
      <c r="J27" s="20">
        <v>2886</v>
      </c>
      <c r="K27">
        <f t="shared" si="1"/>
        <v>6684</v>
      </c>
    </row>
    <row r="28" spans="1:11" x14ac:dyDescent="0.25">
      <c r="A28">
        <v>17</v>
      </c>
      <c r="B28" s="9">
        <v>6222.5290999999997</v>
      </c>
      <c r="C28" s="9">
        <v>0</v>
      </c>
      <c r="D28" s="9">
        <v>1009.2792999999999</v>
      </c>
      <c r="E28" s="9">
        <f t="shared" si="0"/>
        <v>7231.8083999999999</v>
      </c>
      <c r="G28">
        <v>17</v>
      </c>
      <c r="H28">
        <v>2149</v>
      </c>
      <c r="I28">
        <v>638</v>
      </c>
      <c r="J28" s="20">
        <v>2224</v>
      </c>
      <c r="K28">
        <f t="shared" si="1"/>
        <v>5011</v>
      </c>
    </row>
    <row r="29" spans="1:11" x14ac:dyDescent="0.25">
      <c r="A29">
        <v>18</v>
      </c>
      <c r="B29" s="9">
        <v>279.85169999999999</v>
      </c>
      <c r="C29" s="9">
        <v>438.06880000000001</v>
      </c>
      <c r="D29" s="9">
        <v>428.4083</v>
      </c>
      <c r="E29" s="9">
        <f t="shared" si="0"/>
        <v>1146.3288</v>
      </c>
      <c r="G29">
        <v>18</v>
      </c>
      <c r="H29">
        <v>1379</v>
      </c>
      <c r="I29">
        <v>549</v>
      </c>
      <c r="J29" s="20">
        <v>2642</v>
      </c>
      <c r="K29">
        <f t="shared" si="1"/>
        <v>4570</v>
      </c>
    </row>
    <row r="30" spans="1:11" x14ac:dyDescent="0.25">
      <c r="A30">
        <v>19</v>
      </c>
      <c r="B30" s="9">
        <v>443.2208</v>
      </c>
      <c r="C30" s="9">
        <v>55.733899999999998</v>
      </c>
      <c r="D30" s="9">
        <v>359.96199999999999</v>
      </c>
      <c r="E30" s="9">
        <f t="shared" si="0"/>
        <v>858.91669999999999</v>
      </c>
      <c r="G30">
        <v>19</v>
      </c>
      <c r="H30">
        <v>1218</v>
      </c>
      <c r="I30">
        <v>485</v>
      </c>
      <c r="J30" s="20">
        <v>1737</v>
      </c>
      <c r="K30">
        <f t="shared" si="1"/>
        <v>3440</v>
      </c>
    </row>
    <row r="31" spans="1:11" x14ac:dyDescent="0.25">
      <c r="A31">
        <v>20</v>
      </c>
      <c r="B31" s="9">
        <v>353.84660000000002</v>
      </c>
      <c r="C31" s="9">
        <v>0</v>
      </c>
      <c r="D31" s="9">
        <v>691.86330000000009</v>
      </c>
      <c r="E31" s="9">
        <f t="shared" si="0"/>
        <v>1045.7099000000001</v>
      </c>
      <c r="G31">
        <v>20</v>
      </c>
      <c r="H31">
        <v>958</v>
      </c>
      <c r="I31">
        <v>409</v>
      </c>
      <c r="J31" s="20">
        <v>1697</v>
      </c>
      <c r="K31">
        <f t="shared" si="1"/>
        <v>3064</v>
      </c>
    </row>
    <row r="32" spans="1:11" x14ac:dyDescent="0.25">
      <c r="A32">
        <v>21</v>
      </c>
      <c r="B32" s="9">
        <v>0</v>
      </c>
      <c r="C32" s="9">
        <v>0</v>
      </c>
      <c r="D32" s="9">
        <v>16.309999999999999</v>
      </c>
      <c r="E32" s="9">
        <f t="shared" si="0"/>
        <v>16.309999999999999</v>
      </c>
      <c r="G32">
        <v>21</v>
      </c>
      <c r="H32">
        <v>757</v>
      </c>
      <c r="I32">
        <v>338</v>
      </c>
      <c r="J32" s="20">
        <v>1613</v>
      </c>
      <c r="K32">
        <f t="shared" si="1"/>
        <v>2708</v>
      </c>
    </row>
    <row r="33" spans="1:11" x14ac:dyDescent="0.25">
      <c r="A33">
        <v>22</v>
      </c>
      <c r="B33" s="9">
        <v>0</v>
      </c>
      <c r="C33" s="9">
        <v>0</v>
      </c>
      <c r="D33" s="9">
        <v>28.036999999999999</v>
      </c>
      <c r="E33" s="9">
        <f t="shared" si="0"/>
        <v>28.036999999999999</v>
      </c>
      <c r="G33">
        <v>22</v>
      </c>
      <c r="H33">
        <v>414</v>
      </c>
      <c r="I33">
        <v>221</v>
      </c>
      <c r="J33" s="20">
        <v>1087</v>
      </c>
      <c r="K33">
        <f t="shared" si="1"/>
        <v>1722</v>
      </c>
    </row>
    <row r="34" spans="1:11" x14ac:dyDescent="0.25">
      <c r="A34">
        <v>23</v>
      </c>
      <c r="B34" s="9">
        <v>0</v>
      </c>
      <c r="C34" s="9">
        <v>0</v>
      </c>
      <c r="D34" s="9">
        <v>440.9461</v>
      </c>
      <c r="E34" s="9">
        <f t="shared" si="0"/>
        <v>440.9461</v>
      </c>
      <c r="G34">
        <v>23</v>
      </c>
      <c r="H34">
        <v>334</v>
      </c>
      <c r="I34">
        <v>210</v>
      </c>
      <c r="J34" s="20">
        <v>1888</v>
      </c>
      <c r="K34">
        <f t="shared" si="1"/>
        <v>2432</v>
      </c>
    </row>
    <row r="35" spans="1:11" x14ac:dyDescent="0.25">
      <c r="A35">
        <v>24</v>
      </c>
      <c r="B35" s="9">
        <v>0</v>
      </c>
      <c r="C35" s="9">
        <v>846.03430000000003</v>
      </c>
      <c r="D35" s="9">
        <v>114.071</v>
      </c>
      <c r="E35" s="9">
        <f t="shared" si="0"/>
        <v>960.10530000000006</v>
      </c>
      <c r="G35">
        <v>24</v>
      </c>
      <c r="H35">
        <v>241</v>
      </c>
      <c r="I35">
        <v>179</v>
      </c>
      <c r="J35" s="20">
        <v>896</v>
      </c>
      <c r="K35">
        <f t="shared" si="1"/>
        <v>1316</v>
      </c>
    </row>
    <row r="36" spans="1:11" x14ac:dyDescent="0.25">
      <c r="A36">
        <v>25</v>
      </c>
      <c r="B36" s="9">
        <v>0</v>
      </c>
      <c r="C36" s="9">
        <v>0</v>
      </c>
      <c r="D36" s="9">
        <v>0</v>
      </c>
      <c r="E36" s="9">
        <f t="shared" si="0"/>
        <v>0</v>
      </c>
      <c r="G36">
        <v>25</v>
      </c>
      <c r="H36">
        <v>319</v>
      </c>
      <c r="I36">
        <v>170</v>
      </c>
      <c r="J36" s="20">
        <v>948</v>
      </c>
      <c r="K36">
        <f t="shared" si="1"/>
        <v>1437</v>
      </c>
    </row>
    <row r="37" spans="1:11" x14ac:dyDescent="0.25">
      <c r="A37">
        <v>26</v>
      </c>
      <c r="B37" s="9">
        <v>0</v>
      </c>
      <c r="C37" s="9">
        <v>0</v>
      </c>
      <c r="D37" s="9">
        <v>46.474000000000004</v>
      </c>
      <c r="E37" s="9">
        <f t="shared" si="0"/>
        <v>46.474000000000004</v>
      </c>
      <c r="G37">
        <v>26</v>
      </c>
      <c r="H37">
        <v>168</v>
      </c>
      <c r="I37">
        <v>106</v>
      </c>
      <c r="J37" s="20">
        <v>566</v>
      </c>
      <c r="K37">
        <f t="shared" si="1"/>
        <v>840</v>
      </c>
    </row>
    <row r="38" spans="1:11" x14ac:dyDescent="0.25">
      <c r="A38">
        <v>27</v>
      </c>
      <c r="B38" s="9">
        <v>775.44090000000006</v>
      </c>
      <c r="C38" s="9">
        <v>0</v>
      </c>
      <c r="D38" s="9">
        <v>180.7518</v>
      </c>
      <c r="E38" s="9">
        <f t="shared" si="0"/>
        <v>956.19270000000006</v>
      </c>
      <c r="G38">
        <v>27</v>
      </c>
      <c r="H38">
        <v>175</v>
      </c>
      <c r="I38">
        <v>129</v>
      </c>
      <c r="J38" s="20">
        <v>694</v>
      </c>
      <c r="K38">
        <f t="shared" si="1"/>
        <v>998</v>
      </c>
    </row>
    <row r="39" spans="1:11" x14ac:dyDescent="0.25">
      <c r="A39">
        <v>28</v>
      </c>
      <c r="B39" s="9">
        <v>0</v>
      </c>
      <c r="C39" s="9">
        <v>0</v>
      </c>
      <c r="D39" s="9">
        <v>40.655000000000001</v>
      </c>
      <c r="E39" s="9">
        <f t="shared" si="0"/>
        <v>40.655000000000001</v>
      </c>
      <c r="G39">
        <v>28</v>
      </c>
      <c r="H39">
        <v>95</v>
      </c>
      <c r="I39">
        <v>68</v>
      </c>
      <c r="J39" s="20">
        <v>713</v>
      </c>
      <c r="K39">
        <f t="shared" si="1"/>
        <v>876</v>
      </c>
    </row>
    <row r="40" spans="1:11" x14ac:dyDescent="0.25">
      <c r="A40">
        <v>29</v>
      </c>
      <c r="B40" s="9">
        <v>0</v>
      </c>
      <c r="C40" s="9">
        <v>0</v>
      </c>
      <c r="D40" s="9">
        <v>398.8691</v>
      </c>
      <c r="E40" s="9">
        <f t="shared" si="0"/>
        <v>398.8691</v>
      </c>
      <c r="G40">
        <v>29</v>
      </c>
      <c r="H40">
        <v>84</v>
      </c>
      <c r="I40">
        <v>74</v>
      </c>
      <c r="J40" s="20">
        <v>334</v>
      </c>
      <c r="K40">
        <f t="shared" si="1"/>
        <v>492</v>
      </c>
    </row>
    <row r="41" spans="1:11" x14ac:dyDescent="0.25">
      <c r="A41">
        <v>30</v>
      </c>
      <c r="B41" s="9">
        <v>0</v>
      </c>
      <c r="C41" s="9">
        <v>0</v>
      </c>
      <c r="D41" s="9">
        <v>0</v>
      </c>
      <c r="E41" s="9">
        <f t="shared" si="0"/>
        <v>0</v>
      </c>
      <c r="G41">
        <v>30</v>
      </c>
      <c r="H41">
        <v>35</v>
      </c>
      <c r="I41">
        <v>56</v>
      </c>
      <c r="J41" s="20">
        <v>352</v>
      </c>
      <c r="K41">
        <f t="shared" si="1"/>
        <v>443</v>
      </c>
    </row>
    <row r="42" spans="1:11" x14ac:dyDescent="0.25">
      <c r="A42">
        <v>31</v>
      </c>
      <c r="B42" s="9">
        <v>0</v>
      </c>
      <c r="C42" s="9">
        <v>0</v>
      </c>
      <c r="D42" s="9">
        <v>10.791</v>
      </c>
      <c r="E42" s="9">
        <f t="shared" si="0"/>
        <v>10.791</v>
      </c>
      <c r="G42">
        <v>31</v>
      </c>
      <c r="H42">
        <v>35</v>
      </c>
      <c r="I42">
        <v>49</v>
      </c>
      <c r="J42" s="20">
        <v>458</v>
      </c>
      <c r="K42">
        <f t="shared" si="1"/>
        <v>542</v>
      </c>
    </row>
    <row r="43" spans="1:11" x14ac:dyDescent="0.25">
      <c r="A43">
        <v>32</v>
      </c>
      <c r="B43" s="9">
        <v>0</v>
      </c>
      <c r="C43" s="9">
        <v>0</v>
      </c>
      <c r="D43" s="9">
        <v>22.125</v>
      </c>
      <c r="E43" s="9">
        <f t="shared" ref="E43:E74" si="2">SUM(B43:D43)</f>
        <v>22.125</v>
      </c>
      <c r="G43">
        <v>32</v>
      </c>
      <c r="H43">
        <v>24</v>
      </c>
      <c r="I43">
        <v>46</v>
      </c>
      <c r="J43" s="20">
        <v>280</v>
      </c>
      <c r="K43">
        <f t="shared" ref="K43:K74" si="3">SUM(H43:J43)</f>
        <v>350</v>
      </c>
    </row>
    <row r="44" spans="1:11" x14ac:dyDescent="0.25">
      <c r="A44">
        <v>33</v>
      </c>
      <c r="B44" s="9">
        <v>0</v>
      </c>
      <c r="C44" s="9">
        <v>0</v>
      </c>
      <c r="D44" s="9">
        <v>0</v>
      </c>
      <c r="E44" s="9">
        <f t="shared" si="2"/>
        <v>0</v>
      </c>
      <c r="G44">
        <v>33</v>
      </c>
      <c r="H44">
        <v>55</v>
      </c>
      <c r="I44">
        <v>37</v>
      </c>
      <c r="J44" s="20">
        <v>702</v>
      </c>
      <c r="K44">
        <f t="shared" si="3"/>
        <v>794</v>
      </c>
    </row>
    <row r="45" spans="1:11" x14ac:dyDescent="0.25">
      <c r="A45">
        <v>34</v>
      </c>
      <c r="B45" s="9">
        <v>0</v>
      </c>
      <c r="C45" s="9">
        <v>0</v>
      </c>
      <c r="D45" s="9">
        <v>4.4080000000000004</v>
      </c>
      <c r="E45" s="9">
        <f t="shared" si="2"/>
        <v>4.4080000000000004</v>
      </c>
      <c r="G45">
        <v>34</v>
      </c>
      <c r="H45">
        <v>40</v>
      </c>
      <c r="I45">
        <v>59</v>
      </c>
      <c r="J45" s="20">
        <v>1271</v>
      </c>
      <c r="K45">
        <f t="shared" si="3"/>
        <v>1370</v>
      </c>
    </row>
    <row r="46" spans="1:11" x14ac:dyDescent="0.25">
      <c r="A46">
        <v>35</v>
      </c>
      <c r="B46" s="9">
        <v>0</v>
      </c>
      <c r="C46" s="9">
        <v>0</v>
      </c>
      <c r="D46" s="9">
        <v>35.024999999999999</v>
      </c>
      <c r="E46" s="9">
        <f t="shared" si="2"/>
        <v>35.024999999999999</v>
      </c>
      <c r="G46">
        <v>35</v>
      </c>
      <c r="H46">
        <v>13</v>
      </c>
      <c r="I46">
        <v>21</v>
      </c>
      <c r="J46" s="20">
        <v>122</v>
      </c>
      <c r="K46">
        <f t="shared" si="3"/>
        <v>156</v>
      </c>
    </row>
    <row r="47" spans="1:11" x14ac:dyDescent="0.25">
      <c r="A47">
        <v>36</v>
      </c>
      <c r="B47" s="9">
        <v>0</v>
      </c>
      <c r="C47" s="9">
        <v>0</v>
      </c>
      <c r="D47" s="9">
        <v>11.159000000000001</v>
      </c>
      <c r="E47" s="9">
        <f t="shared" si="2"/>
        <v>11.159000000000001</v>
      </c>
      <c r="G47">
        <v>36</v>
      </c>
      <c r="H47">
        <v>7</v>
      </c>
      <c r="I47">
        <v>21</v>
      </c>
      <c r="J47" s="20">
        <v>198</v>
      </c>
      <c r="K47">
        <f t="shared" si="3"/>
        <v>226</v>
      </c>
    </row>
    <row r="48" spans="1:11" x14ac:dyDescent="0.25">
      <c r="A48">
        <v>37</v>
      </c>
      <c r="B48" s="9">
        <v>0</v>
      </c>
      <c r="C48" s="9">
        <v>0</v>
      </c>
      <c r="D48" s="9">
        <v>17.632000000000001</v>
      </c>
      <c r="E48" s="9">
        <f t="shared" si="2"/>
        <v>17.632000000000001</v>
      </c>
      <c r="G48">
        <v>37</v>
      </c>
      <c r="H48">
        <v>9</v>
      </c>
      <c r="I48">
        <v>22</v>
      </c>
      <c r="J48" s="20">
        <v>160</v>
      </c>
      <c r="K48">
        <f t="shared" si="3"/>
        <v>191</v>
      </c>
    </row>
    <row r="49" spans="1:11" x14ac:dyDescent="0.25">
      <c r="A49">
        <v>38</v>
      </c>
      <c r="B49" s="9">
        <v>0</v>
      </c>
      <c r="C49" s="9">
        <v>78.963099999999997</v>
      </c>
      <c r="D49" s="9">
        <v>364.76409999999998</v>
      </c>
      <c r="E49" s="9">
        <f t="shared" si="2"/>
        <v>443.72719999999998</v>
      </c>
      <c r="G49">
        <v>38</v>
      </c>
      <c r="H49">
        <v>9</v>
      </c>
      <c r="I49">
        <v>21</v>
      </c>
      <c r="J49" s="20">
        <v>189</v>
      </c>
      <c r="K49">
        <f t="shared" si="3"/>
        <v>219</v>
      </c>
    </row>
    <row r="50" spans="1:11" x14ac:dyDescent="0.25">
      <c r="A50">
        <v>39</v>
      </c>
      <c r="B50" s="9">
        <v>0</v>
      </c>
      <c r="C50" s="9">
        <v>0</v>
      </c>
      <c r="D50" s="9">
        <v>4.1280000000000001</v>
      </c>
      <c r="E50" s="9">
        <f t="shared" si="2"/>
        <v>4.1280000000000001</v>
      </c>
      <c r="G50">
        <v>39</v>
      </c>
      <c r="H50">
        <v>1</v>
      </c>
      <c r="I50">
        <v>6</v>
      </c>
      <c r="J50" s="20">
        <v>84</v>
      </c>
      <c r="K50">
        <f t="shared" si="3"/>
        <v>91</v>
      </c>
    </row>
    <row r="51" spans="1:11" x14ac:dyDescent="0.25">
      <c r="A51">
        <v>40</v>
      </c>
      <c r="B51" s="9">
        <v>0</v>
      </c>
      <c r="C51" s="9">
        <v>0</v>
      </c>
      <c r="D51" s="9">
        <v>0</v>
      </c>
      <c r="E51" s="9">
        <f t="shared" si="2"/>
        <v>0</v>
      </c>
      <c r="G51">
        <v>40</v>
      </c>
      <c r="H51">
        <v>5</v>
      </c>
      <c r="I51">
        <v>12</v>
      </c>
      <c r="J51" s="20">
        <v>134</v>
      </c>
      <c r="K51">
        <f t="shared" si="3"/>
        <v>151</v>
      </c>
    </row>
    <row r="52" spans="1:11" x14ac:dyDescent="0.25">
      <c r="A52">
        <v>41</v>
      </c>
      <c r="B52" s="9">
        <v>0</v>
      </c>
      <c r="C52" s="9">
        <v>0</v>
      </c>
      <c r="D52" s="9">
        <v>770.83639999999991</v>
      </c>
      <c r="E52" s="9">
        <f t="shared" si="2"/>
        <v>770.83639999999991</v>
      </c>
      <c r="G52">
        <v>41</v>
      </c>
      <c r="H52">
        <v>3</v>
      </c>
      <c r="I52">
        <v>9</v>
      </c>
      <c r="J52" s="20">
        <v>85</v>
      </c>
      <c r="K52">
        <f t="shared" si="3"/>
        <v>97</v>
      </c>
    </row>
    <row r="53" spans="1:11" x14ac:dyDescent="0.25">
      <c r="A53">
        <v>42</v>
      </c>
      <c r="B53" s="9">
        <v>0</v>
      </c>
      <c r="C53" s="9">
        <v>0</v>
      </c>
      <c r="D53" s="9">
        <v>0</v>
      </c>
      <c r="E53" s="9">
        <f t="shared" si="2"/>
        <v>0</v>
      </c>
      <c r="G53">
        <v>42</v>
      </c>
      <c r="H53">
        <v>3</v>
      </c>
      <c r="I53">
        <v>12</v>
      </c>
      <c r="J53" s="20">
        <v>107</v>
      </c>
      <c r="K53">
        <f t="shared" si="3"/>
        <v>122</v>
      </c>
    </row>
    <row r="54" spans="1:11" x14ac:dyDescent="0.25">
      <c r="A54">
        <v>43</v>
      </c>
      <c r="B54" s="9">
        <v>0</v>
      </c>
      <c r="C54" s="9">
        <v>0</v>
      </c>
      <c r="D54" s="9">
        <v>0</v>
      </c>
      <c r="E54" s="9">
        <f t="shared" si="2"/>
        <v>0</v>
      </c>
      <c r="G54">
        <v>43</v>
      </c>
      <c r="H54">
        <v>0</v>
      </c>
      <c r="I54">
        <v>3</v>
      </c>
      <c r="J54" s="20">
        <v>50</v>
      </c>
      <c r="K54">
        <f t="shared" si="3"/>
        <v>53</v>
      </c>
    </row>
    <row r="55" spans="1:11" x14ac:dyDescent="0.25">
      <c r="A55">
        <v>44</v>
      </c>
      <c r="B55" s="9">
        <v>0</v>
      </c>
      <c r="C55" s="9">
        <v>0</v>
      </c>
      <c r="D55" s="9">
        <v>0</v>
      </c>
      <c r="E55" s="9">
        <f t="shared" si="2"/>
        <v>0</v>
      </c>
      <c r="G55">
        <v>44</v>
      </c>
      <c r="H55">
        <v>0</v>
      </c>
      <c r="I55">
        <v>0</v>
      </c>
      <c r="J55" s="20">
        <v>37</v>
      </c>
      <c r="K55">
        <f t="shared" si="3"/>
        <v>37</v>
      </c>
    </row>
    <row r="56" spans="1:11" x14ac:dyDescent="0.25">
      <c r="A56">
        <v>45</v>
      </c>
      <c r="B56" s="9">
        <v>0</v>
      </c>
      <c r="C56" s="9">
        <v>0</v>
      </c>
      <c r="D56" s="9">
        <v>4.1280000000000001</v>
      </c>
      <c r="E56" s="9">
        <f t="shared" si="2"/>
        <v>4.1280000000000001</v>
      </c>
      <c r="G56">
        <v>45</v>
      </c>
      <c r="H56">
        <v>4</v>
      </c>
      <c r="I56">
        <v>12</v>
      </c>
      <c r="J56" s="20">
        <v>103</v>
      </c>
      <c r="K56">
        <f t="shared" si="3"/>
        <v>119</v>
      </c>
    </row>
    <row r="57" spans="1:11" x14ac:dyDescent="0.25">
      <c r="A57">
        <v>46</v>
      </c>
      <c r="B57" s="9">
        <v>0</v>
      </c>
      <c r="C57" s="9">
        <v>0</v>
      </c>
      <c r="D57" s="9">
        <v>468.98939999999999</v>
      </c>
      <c r="E57" s="9">
        <f t="shared" si="2"/>
        <v>468.98939999999999</v>
      </c>
      <c r="G57">
        <v>46</v>
      </c>
      <c r="H57">
        <v>2</v>
      </c>
      <c r="I57">
        <v>7</v>
      </c>
      <c r="J57" s="20">
        <v>54</v>
      </c>
      <c r="K57">
        <f t="shared" si="3"/>
        <v>63</v>
      </c>
    </row>
    <row r="58" spans="1:11" x14ac:dyDescent="0.25">
      <c r="A58">
        <v>47</v>
      </c>
      <c r="B58" s="9">
        <v>0</v>
      </c>
      <c r="C58" s="9">
        <v>0</v>
      </c>
      <c r="D58" s="9">
        <v>0</v>
      </c>
      <c r="E58" s="9">
        <f t="shared" si="2"/>
        <v>0</v>
      </c>
      <c r="G58">
        <v>47</v>
      </c>
      <c r="H58">
        <v>0</v>
      </c>
      <c r="I58">
        <v>9</v>
      </c>
      <c r="J58" s="20">
        <v>75</v>
      </c>
      <c r="K58">
        <f t="shared" si="3"/>
        <v>84</v>
      </c>
    </row>
    <row r="59" spans="1:11" x14ac:dyDescent="0.25">
      <c r="A59">
        <v>48</v>
      </c>
      <c r="B59" s="9">
        <v>0</v>
      </c>
      <c r="C59" s="9">
        <v>0</v>
      </c>
      <c r="D59" s="9">
        <v>0</v>
      </c>
      <c r="E59" s="9">
        <f t="shared" si="2"/>
        <v>0</v>
      </c>
      <c r="G59">
        <v>48</v>
      </c>
      <c r="H59">
        <v>0</v>
      </c>
      <c r="I59">
        <v>1</v>
      </c>
      <c r="J59" s="20">
        <v>22</v>
      </c>
      <c r="K59">
        <f t="shared" si="3"/>
        <v>23</v>
      </c>
    </row>
    <row r="60" spans="1:11" x14ac:dyDescent="0.25">
      <c r="A60">
        <v>49</v>
      </c>
      <c r="B60" s="9">
        <v>0</v>
      </c>
      <c r="C60" s="9">
        <v>0</v>
      </c>
      <c r="D60" s="9">
        <v>0</v>
      </c>
      <c r="E60" s="9">
        <f t="shared" si="2"/>
        <v>0</v>
      </c>
      <c r="G60">
        <v>49</v>
      </c>
      <c r="H60">
        <v>1</v>
      </c>
      <c r="I60">
        <v>6</v>
      </c>
      <c r="J60" s="20">
        <v>42</v>
      </c>
      <c r="K60">
        <f t="shared" si="3"/>
        <v>49</v>
      </c>
    </row>
    <row r="61" spans="1:11" x14ac:dyDescent="0.25">
      <c r="A61">
        <v>50</v>
      </c>
      <c r="B61" s="9">
        <v>0</v>
      </c>
      <c r="C61" s="9">
        <v>0</v>
      </c>
      <c r="D61" s="9">
        <v>0</v>
      </c>
      <c r="E61" s="9">
        <f t="shared" si="2"/>
        <v>0</v>
      </c>
      <c r="G61">
        <v>50</v>
      </c>
      <c r="H61">
        <v>0</v>
      </c>
      <c r="I61">
        <v>2</v>
      </c>
      <c r="J61" s="20">
        <v>17</v>
      </c>
      <c r="K61">
        <f t="shared" si="3"/>
        <v>19</v>
      </c>
    </row>
    <row r="62" spans="1:11" x14ac:dyDescent="0.25">
      <c r="A62">
        <v>51</v>
      </c>
      <c r="B62" s="9">
        <v>0</v>
      </c>
      <c r="C62" s="9">
        <v>0</v>
      </c>
      <c r="D62" s="9">
        <v>0</v>
      </c>
      <c r="E62" s="9">
        <f t="shared" si="2"/>
        <v>0</v>
      </c>
      <c r="G62">
        <v>51</v>
      </c>
      <c r="H62">
        <v>1</v>
      </c>
      <c r="I62">
        <v>1</v>
      </c>
      <c r="J62" s="20">
        <v>21</v>
      </c>
      <c r="K62">
        <f t="shared" si="3"/>
        <v>23</v>
      </c>
    </row>
    <row r="63" spans="1:11" x14ac:dyDescent="0.25">
      <c r="A63">
        <v>52</v>
      </c>
      <c r="B63" s="9">
        <v>0</v>
      </c>
      <c r="C63" s="9">
        <v>0</v>
      </c>
      <c r="D63" s="9">
        <v>238.0368</v>
      </c>
      <c r="E63" s="9">
        <f t="shared" si="2"/>
        <v>238.0368</v>
      </c>
      <c r="G63">
        <v>52</v>
      </c>
      <c r="H63">
        <v>0</v>
      </c>
      <c r="I63">
        <v>3</v>
      </c>
      <c r="J63" s="20">
        <v>7</v>
      </c>
      <c r="K63">
        <f t="shared" si="3"/>
        <v>10</v>
      </c>
    </row>
    <row r="64" spans="1:11" x14ac:dyDescent="0.25">
      <c r="A64">
        <v>53</v>
      </c>
      <c r="B64" s="9">
        <v>0</v>
      </c>
      <c r="C64" s="9">
        <v>0</v>
      </c>
      <c r="D64" s="9">
        <v>0</v>
      </c>
      <c r="E64" s="9">
        <f t="shared" si="2"/>
        <v>0</v>
      </c>
      <c r="G64">
        <v>53</v>
      </c>
      <c r="H64">
        <v>0</v>
      </c>
      <c r="I64">
        <v>3</v>
      </c>
      <c r="J64" s="20">
        <v>9</v>
      </c>
      <c r="K64">
        <f t="shared" si="3"/>
        <v>12</v>
      </c>
    </row>
    <row r="65" spans="1:11" x14ac:dyDescent="0.25">
      <c r="A65">
        <v>54</v>
      </c>
      <c r="B65" s="9">
        <v>0</v>
      </c>
      <c r="C65" s="9">
        <v>0</v>
      </c>
      <c r="D65" s="9">
        <v>0</v>
      </c>
      <c r="E65" s="9">
        <f t="shared" si="2"/>
        <v>0</v>
      </c>
      <c r="G65">
        <v>54</v>
      </c>
      <c r="H65">
        <v>0</v>
      </c>
      <c r="I65">
        <v>2</v>
      </c>
      <c r="J65" s="20">
        <v>3</v>
      </c>
      <c r="K65">
        <f t="shared" si="3"/>
        <v>5</v>
      </c>
    </row>
    <row r="66" spans="1:11" x14ac:dyDescent="0.25">
      <c r="A66">
        <v>55</v>
      </c>
      <c r="B66" s="9">
        <v>0</v>
      </c>
      <c r="C66" s="9">
        <v>0</v>
      </c>
      <c r="D66" s="9">
        <v>0</v>
      </c>
      <c r="E66" s="9">
        <f t="shared" si="2"/>
        <v>0</v>
      </c>
      <c r="G66">
        <v>55</v>
      </c>
      <c r="H66">
        <v>0</v>
      </c>
      <c r="I66">
        <v>0</v>
      </c>
      <c r="J66" s="20">
        <v>11</v>
      </c>
      <c r="K66">
        <f t="shared" si="3"/>
        <v>11</v>
      </c>
    </row>
    <row r="67" spans="1:11" x14ac:dyDescent="0.25">
      <c r="A67">
        <v>56</v>
      </c>
      <c r="B67" s="9">
        <v>0</v>
      </c>
      <c r="C67" s="9">
        <v>0</v>
      </c>
      <c r="D67" s="9">
        <v>0</v>
      </c>
      <c r="E67" s="9">
        <f t="shared" si="2"/>
        <v>0</v>
      </c>
      <c r="G67">
        <v>56</v>
      </c>
      <c r="H67">
        <v>0</v>
      </c>
      <c r="I67">
        <v>3</v>
      </c>
      <c r="J67" s="20">
        <v>4</v>
      </c>
      <c r="K67">
        <f t="shared" si="3"/>
        <v>7</v>
      </c>
    </row>
    <row r="68" spans="1:11" x14ac:dyDescent="0.25">
      <c r="A68">
        <v>57</v>
      </c>
      <c r="B68" s="9">
        <v>0</v>
      </c>
      <c r="C68" s="9">
        <v>0</v>
      </c>
      <c r="D68" s="9">
        <v>0</v>
      </c>
      <c r="E68" s="9">
        <f t="shared" si="2"/>
        <v>0</v>
      </c>
      <c r="G68">
        <v>57</v>
      </c>
      <c r="H68">
        <v>0</v>
      </c>
      <c r="I68">
        <v>1</v>
      </c>
      <c r="J68" s="20">
        <v>19</v>
      </c>
      <c r="K68">
        <f t="shared" si="3"/>
        <v>20</v>
      </c>
    </row>
    <row r="69" spans="1:11" x14ac:dyDescent="0.25">
      <c r="A69">
        <v>58</v>
      </c>
      <c r="B69" s="9">
        <v>0</v>
      </c>
      <c r="C69" s="9">
        <v>0</v>
      </c>
      <c r="D69" s="9">
        <v>0</v>
      </c>
      <c r="E69" s="9">
        <f t="shared" si="2"/>
        <v>0</v>
      </c>
      <c r="G69">
        <v>58</v>
      </c>
      <c r="H69">
        <v>0</v>
      </c>
      <c r="I69">
        <v>5</v>
      </c>
      <c r="J69" s="20">
        <v>11</v>
      </c>
      <c r="K69">
        <f t="shared" si="3"/>
        <v>16</v>
      </c>
    </row>
    <row r="70" spans="1:11" x14ac:dyDescent="0.25">
      <c r="A70">
        <v>59</v>
      </c>
      <c r="B70" s="9">
        <v>0</v>
      </c>
      <c r="C70" s="9">
        <v>0</v>
      </c>
      <c r="D70" s="9">
        <v>13.487</v>
      </c>
      <c r="E70" s="9">
        <f t="shared" si="2"/>
        <v>13.487</v>
      </c>
      <c r="G70">
        <v>59</v>
      </c>
      <c r="H70">
        <v>0</v>
      </c>
      <c r="I70">
        <v>0</v>
      </c>
      <c r="J70" s="20">
        <v>2</v>
      </c>
      <c r="K70">
        <f t="shared" si="3"/>
        <v>2</v>
      </c>
    </row>
    <row r="71" spans="1:11" x14ac:dyDescent="0.25">
      <c r="A71">
        <v>60</v>
      </c>
      <c r="B71" s="9">
        <v>0</v>
      </c>
      <c r="C71" s="9">
        <v>0</v>
      </c>
      <c r="D71" s="9">
        <v>0</v>
      </c>
      <c r="E71" s="9">
        <f t="shared" si="2"/>
        <v>0</v>
      </c>
      <c r="G71">
        <v>60</v>
      </c>
      <c r="H71">
        <v>0</v>
      </c>
      <c r="I71">
        <v>1</v>
      </c>
      <c r="J71" s="20">
        <v>6</v>
      </c>
      <c r="K71">
        <f t="shared" si="3"/>
        <v>7</v>
      </c>
    </row>
    <row r="72" spans="1:11" x14ac:dyDescent="0.25">
      <c r="A72">
        <v>61</v>
      </c>
      <c r="B72" s="9">
        <v>0</v>
      </c>
      <c r="C72" s="9">
        <v>0</v>
      </c>
      <c r="D72" s="9">
        <v>0</v>
      </c>
      <c r="E72" s="9">
        <f t="shared" si="2"/>
        <v>0</v>
      </c>
      <c r="G72">
        <v>61</v>
      </c>
      <c r="H72">
        <v>0</v>
      </c>
      <c r="I72">
        <v>1</v>
      </c>
      <c r="J72" s="20">
        <v>7</v>
      </c>
      <c r="K72">
        <f t="shared" si="3"/>
        <v>8</v>
      </c>
    </row>
    <row r="73" spans="1:11" x14ac:dyDescent="0.25">
      <c r="A73">
        <v>62</v>
      </c>
      <c r="B73" s="9">
        <v>0</v>
      </c>
      <c r="C73" s="9">
        <v>0</v>
      </c>
      <c r="D73" s="9">
        <v>0</v>
      </c>
      <c r="E73" s="9">
        <f t="shared" si="2"/>
        <v>0</v>
      </c>
      <c r="G73">
        <v>62</v>
      </c>
      <c r="H73">
        <v>0</v>
      </c>
      <c r="I73">
        <v>0</v>
      </c>
      <c r="J73" s="20">
        <v>7</v>
      </c>
      <c r="K73">
        <f t="shared" si="3"/>
        <v>7</v>
      </c>
    </row>
    <row r="74" spans="1:11" x14ac:dyDescent="0.25">
      <c r="A74">
        <v>63</v>
      </c>
      <c r="B74" s="9">
        <v>0</v>
      </c>
      <c r="C74" s="9">
        <v>0</v>
      </c>
      <c r="D74" s="9">
        <v>0</v>
      </c>
      <c r="E74" s="9">
        <f t="shared" si="2"/>
        <v>0</v>
      </c>
      <c r="G74">
        <v>63</v>
      </c>
      <c r="H74">
        <v>0</v>
      </c>
      <c r="I74">
        <v>0</v>
      </c>
      <c r="J74" s="20">
        <v>0</v>
      </c>
      <c r="K74">
        <f t="shared" si="3"/>
        <v>0</v>
      </c>
    </row>
    <row r="75" spans="1:11" x14ac:dyDescent="0.25">
      <c r="A75">
        <v>64</v>
      </c>
      <c r="B75" s="9">
        <v>0</v>
      </c>
      <c r="C75" s="9">
        <v>0</v>
      </c>
      <c r="D75" s="9">
        <v>0</v>
      </c>
      <c r="E75" s="9">
        <f t="shared" ref="E75:E101" si="4">SUM(B75:D75)</f>
        <v>0</v>
      </c>
      <c r="G75">
        <v>64</v>
      </c>
      <c r="H75">
        <v>0</v>
      </c>
      <c r="I75">
        <v>0</v>
      </c>
      <c r="J75" s="20">
        <v>1</v>
      </c>
      <c r="K75">
        <f t="shared" ref="K75:K101" si="5">SUM(H75:J75)</f>
        <v>1</v>
      </c>
    </row>
    <row r="76" spans="1:11" x14ac:dyDescent="0.25">
      <c r="A76">
        <v>65</v>
      </c>
      <c r="B76" s="9">
        <v>0</v>
      </c>
      <c r="C76" s="9">
        <v>0</v>
      </c>
      <c r="D76" s="9">
        <v>0</v>
      </c>
      <c r="E76" s="9">
        <f t="shared" si="4"/>
        <v>0</v>
      </c>
      <c r="G76">
        <v>65</v>
      </c>
      <c r="H76">
        <v>0</v>
      </c>
      <c r="I76">
        <v>1</v>
      </c>
      <c r="J76" s="20">
        <v>0</v>
      </c>
      <c r="K76">
        <f t="shared" si="5"/>
        <v>1</v>
      </c>
    </row>
    <row r="77" spans="1:11" x14ac:dyDescent="0.25">
      <c r="A77">
        <v>66</v>
      </c>
      <c r="B77" s="9">
        <v>0</v>
      </c>
      <c r="C77" s="9">
        <v>0</v>
      </c>
      <c r="D77" s="9">
        <v>0</v>
      </c>
      <c r="E77" s="9">
        <f t="shared" si="4"/>
        <v>0</v>
      </c>
      <c r="G77">
        <v>66</v>
      </c>
      <c r="H77">
        <v>0</v>
      </c>
      <c r="I77">
        <v>0</v>
      </c>
      <c r="J77">
        <v>13</v>
      </c>
      <c r="K77">
        <f t="shared" si="5"/>
        <v>13</v>
      </c>
    </row>
    <row r="78" spans="1:11" x14ac:dyDescent="0.25">
      <c r="A78">
        <v>67</v>
      </c>
      <c r="B78" s="9">
        <v>0</v>
      </c>
      <c r="C78" s="9">
        <v>0</v>
      </c>
      <c r="D78" s="9">
        <v>0</v>
      </c>
      <c r="E78" s="9">
        <f t="shared" si="4"/>
        <v>0</v>
      </c>
      <c r="G78">
        <v>67</v>
      </c>
      <c r="H78">
        <v>0</v>
      </c>
      <c r="I78">
        <v>0</v>
      </c>
      <c r="J78">
        <v>0</v>
      </c>
      <c r="K78">
        <f t="shared" si="5"/>
        <v>0</v>
      </c>
    </row>
    <row r="79" spans="1:11" x14ac:dyDescent="0.25">
      <c r="A79">
        <v>68</v>
      </c>
      <c r="B79" s="9">
        <v>0</v>
      </c>
      <c r="C79" s="9">
        <v>0</v>
      </c>
      <c r="D79" s="9">
        <v>0</v>
      </c>
      <c r="E79" s="9">
        <f t="shared" si="4"/>
        <v>0</v>
      </c>
      <c r="G79">
        <v>68</v>
      </c>
      <c r="H79">
        <v>0</v>
      </c>
      <c r="I79">
        <v>1</v>
      </c>
      <c r="J79" s="20">
        <v>0</v>
      </c>
      <c r="K79">
        <f t="shared" si="5"/>
        <v>1</v>
      </c>
    </row>
    <row r="80" spans="1:11" x14ac:dyDescent="0.25">
      <c r="A80">
        <v>69</v>
      </c>
      <c r="B80" s="9">
        <v>0</v>
      </c>
      <c r="C80" s="9">
        <v>0</v>
      </c>
      <c r="D80" s="9">
        <v>0</v>
      </c>
      <c r="E80" s="9">
        <f t="shared" si="4"/>
        <v>0</v>
      </c>
      <c r="G80">
        <v>69</v>
      </c>
      <c r="H80">
        <v>0</v>
      </c>
      <c r="I80">
        <v>0</v>
      </c>
      <c r="J80">
        <v>4</v>
      </c>
      <c r="K80">
        <f t="shared" si="5"/>
        <v>4</v>
      </c>
    </row>
    <row r="81" spans="1:11" x14ac:dyDescent="0.25">
      <c r="A81">
        <v>70</v>
      </c>
      <c r="B81" s="9">
        <v>0</v>
      </c>
      <c r="C81" s="9">
        <v>0</v>
      </c>
      <c r="D81" s="9">
        <v>0</v>
      </c>
      <c r="E81" s="9">
        <f t="shared" si="4"/>
        <v>0</v>
      </c>
      <c r="G81">
        <v>70</v>
      </c>
      <c r="H81">
        <v>0</v>
      </c>
      <c r="I81">
        <v>0</v>
      </c>
      <c r="J81" s="20">
        <v>7</v>
      </c>
      <c r="K81">
        <f t="shared" si="5"/>
        <v>7</v>
      </c>
    </row>
    <row r="82" spans="1:11" x14ac:dyDescent="0.25">
      <c r="A82">
        <v>71</v>
      </c>
      <c r="B82" s="9">
        <v>0</v>
      </c>
      <c r="C82" s="9">
        <v>0</v>
      </c>
      <c r="D82" s="9">
        <v>0</v>
      </c>
      <c r="E82" s="9">
        <f t="shared" si="4"/>
        <v>0</v>
      </c>
      <c r="G82">
        <v>71</v>
      </c>
      <c r="H82">
        <v>0</v>
      </c>
      <c r="I82">
        <v>0</v>
      </c>
      <c r="J82" s="20">
        <v>1</v>
      </c>
      <c r="K82">
        <f t="shared" si="5"/>
        <v>1</v>
      </c>
    </row>
    <row r="83" spans="1:11" x14ac:dyDescent="0.25">
      <c r="A83">
        <v>72</v>
      </c>
      <c r="B83" s="9">
        <v>0</v>
      </c>
      <c r="C83" s="9">
        <v>0</v>
      </c>
      <c r="D83" s="9">
        <v>0</v>
      </c>
      <c r="E83" s="9">
        <f t="shared" si="4"/>
        <v>0</v>
      </c>
      <c r="G83">
        <v>72</v>
      </c>
      <c r="H83">
        <v>0</v>
      </c>
      <c r="I83">
        <v>0</v>
      </c>
      <c r="J83">
        <v>0</v>
      </c>
      <c r="K83">
        <f t="shared" si="5"/>
        <v>0</v>
      </c>
    </row>
    <row r="84" spans="1:11" x14ac:dyDescent="0.25">
      <c r="A84">
        <v>73</v>
      </c>
      <c r="B84" s="9">
        <v>0</v>
      </c>
      <c r="C84" s="9">
        <v>0</v>
      </c>
      <c r="D84" s="9">
        <v>0</v>
      </c>
      <c r="E84" s="9">
        <f t="shared" si="4"/>
        <v>0</v>
      </c>
      <c r="G84">
        <v>73</v>
      </c>
      <c r="H84">
        <v>0</v>
      </c>
      <c r="I84">
        <v>0</v>
      </c>
      <c r="J84">
        <v>5</v>
      </c>
      <c r="K84">
        <f t="shared" si="5"/>
        <v>5</v>
      </c>
    </row>
    <row r="85" spans="1:11" x14ac:dyDescent="0.25">
      <c r="A85">
        <v>74</v>
      </c>
      <c r="B85" s="9">
        <v>0</v>
      </c>
      <c r="C85" s="9">
        <v>0</v>
      </c>
      <c r="D85" s="9">
        <v>0</v>
      </c>
      <c r="E85" s="9">
        <f t="shared" si="4"/>
        <v>0</v>
      </c>
      <c r="G85">
        <v>74</v>
      </c>
      <c r="H85">
        <v>0</v>
      </c>
      <c r="I85">
        <v>0</v>
      </c>
      <c r="J85">
        <v>6</v>
      </c>
      <c r="K85">
        <f t="shared" si="5"/>
        <v>6</v>
      </c>
    </row>
    <row r="86" spans="1:11" x14ac:dyDescent="0.25">
      <c r="A86">
        <v>75</v>
      </c>
      <c r="B86" s="9">
        <v>0</v>
      </c>
      <c r="C86" s="9">
        <v>0</v>
      </c>
      <c r="D86" s="9">
        <v>0</v>
      </c>
      <c r="E86" s="9">
        <f t="shared" si="4"/>
        <v>0</v>
      </c>
      <c r="G86">
        <v>75</v>
      </c>
      <c r="H86">
        <v>0</v>
      </c>
      <c r="I86">
        <v>0</v>
      </c>
      <c r="J86">
        <v>2</v>
      </c>
      <c r="K86">
        <f t="shared" si="5"/>
        <v>2</v>
      </c>
    </row>
    <row r="87" spans="1:11" x14ac:dyDescent="0.25">
      <c r="A87">
        <v>76</v>
      </c>
      <c r="B87" s="9">
        <v>0</v>
      </c>
      <c r="C87" s="9">
        <v>0</v>
      </c>
      <c r="D87" s="9">
        <v>0</v>
      </c>
      <c r="E87" s="9">
        <f t="shared" si="4"/>
        <v>0</v>
      </c>
      <c r="G87">
        <v>76</v>
      </c>
      <c r="H87">
        <v>0</v>
      </c>
      <c r="I87">
        <v>0</v>
      </c>
      <c r="J87" s="20">
        <v>4</v>
      </c>
      <c r="K87">
        <f t="shared" si="5"/>
        <v>4</v>
      </c>
    </row>
    <row r="88" spans="1:11" x14ac:dyDescent="0.25">
      <c r="A88">
        <v>77</v>
      </c>
      <c r="B88" s="9">
        <v>0</v>
      </c>
      <c r="C88" s="9">
        <v>0</v>
      </c>
      <c r="D88" s="9">
        <v>0</v>
      </c>
      <c r="E88" s="9">
        <f t="shared" si="4"/>
        <v>0</v>
      </c>
      <c r="G88">
        <v>77</v>
      </c>
      <c r="H88">
        <v>0</v>
      </c>
      <c r="I88">
        <v>0</v>
      </c>
      <c r="J88">
        <v>0</v>
      </c>
      <c r="K88">
        <f t="shared" si="5"/>
        <v>0</v>
      </c>
    </row>
    <row r="89" spans="1:11" x14ac:dyDescent="0.25">
      <c r="A89">
        <v>78</v>
      </c>
      <c r="B89" s="9">
        <v>0</v>
      </c>
      <c r="C89" s="9">
        <v>0</v>
      </c>
      <c r="D89" s="9">
        <v>0</v>
      </c>
      <c r="E89" s="9">
        <f t="shared" si="4"/>
        <v>0</v>
      </c>
      <c r="G89">
        <v>78</v>
      </c>
      <c r="H89">
        <v>0</v>
      </c>
      <c r="I89">
        <v>0</v>
      </c>
      <c r="J89" s="20">
        <v>3</v>
      </c>
      <c r="K89">
        <f t="shared" si="5"/>
        <v>3</v>
      </c>
    </row>
    <row r="90" spans="1:11" x14ac:dyDescent="0.25">
      <c r="A90">
        <v>79</v>
      </c>
      <c r="B90" s="9">
        <v>0</v>
      </c>
      <c r="C90" s="9">
        <v>0</v>
      </c>
      <c r="D90" s="9">
        <v>0</v>
      </c>
      <c r="E90" s="9">
        <f t="shared" si="4"/>
        <v>0</v>
      </c>
      <c r="G90">
        <v>79</v>
      </c>
      <c r="H90">
        <v>0</v>
      </c>
      <c r="I90">
        <v>0</v>
      </c>
      <c r="J90">
        <v>0</v>
      </c>
      <c r="K90">
        <f t="shared" si="5"/>
        <v>0</v>
      </c>
    </row>
    <row r="91" spans="1:11" x14ac:dyDescent="0.25">
      <c r="A91">
        <v>80</v>
      </c>
      <c r="B91" s="9">
        <v>0</v>
      </c>
      <c r="C91" s="9">
        <v>0</v>
      </c>
      <c r="D91" s="9">
        <v>0</v>
      </c>
      <c r="E91" s="9">
        <f t="shared" si="4"/>
        <v>0</v>
      </c>
      <c r="G91">
        <v>80</v>
      </c>
      <c r="H91">
        <v>0</v>
      </c>
      <c r="I91">
        <v>0</v>
      </c>
      <c r="J91">
        <v>0</v>
      </c>
      <c r="K91">
        <f t="shared" si="5"/>
        <v>0</v>
      </c>
    </row>
    <row r="92" spans="1:11" x14ac:dyDescent="0.25">
      <c r="A92">
        <v>81</v>
      </c>
      <c r="B92" s="9">
        <v>0</v>
      </c>
      <c r="C92" s="9">
        <v>0</v>
      </c>
      <c r="D92" s="9">
        <v>0</v>
      </c>
      <c r="E92" s="9">
        <f t="shared" si="4"/>
        <v>0</v>
      </c>
      <c r="G92">
        <v>81</v>
      </c>
      <c r="H92">
        <v>0</v>
      </c>
      <c r="I92">
        <v>0</v>
      </c>
      <c r="J92" s="20">
        <v>0</v>
      </c>
      <c r="K92">
        <f t="shared" si="5"/>
        <v>0</v>
      </c>
    </row>
    <row r="93" spans="1:11" x14ac:dyDescent="0.25">
      <c r="A93">
        <v>82</v>
      </c>
      <c r="B93" s="9">
        <v>0</v>
      </c>
      <c r="C93" s="9">
        <v>0</v>
      </c>
      <c r="D93" s="9">
        <v>0</v>
      </c>
      <c r="E93" s="9">
        <f t="shared" si="4"/>
        <v>0</v>
      </c>
      <c r="G93">
        <v>82</v>
      </c>
      <c r="H93">
        <v>0</v>
      </c>
      <c r="I93">
        <v>0</v>
      </c>
      <c r="J93">
        <v>1</v>
      </c>
      <c r="K93">
        <f t="shared" si="5"/>
        <v>1</v>
      </c>
    </row>
    <row r="94" spans="1:11" x14ac:dyDescent="0.25">
      <c r="A94">
        <v>83</v>
      </c>
      <c r="B94" s="9">
        <v>0</v>
      </c>
      <c r="C94" s="9">
        <v>0</v>
      </c>
      <c r="D94" s="9">
        <v>0</v>
      </c>
      <c r="E94" s="9">
        <f t="shared" si="4"/>
        <v>0</v>
      </c>
      <c r="G94">
        <v>83</v>
      </c>
      <c r="H94">
        <v>0</v>
      </c>
      <c r="I94">
        <v>0</v>
      </c>
      <c r="J94">
        <v>0</v>
      </c>
      <c r="K94">
        <f t="shared" si="5"/>
        <v>0</v>
      </c>
    </row>
    <row r="95" spans="1:11" x14ac:dyDescent="0.25">
      <c r="A95">
        <v>84</v>
      </c>
      <c r="B95" s="9">
        <v>0</v>
      </c>
      <c r="C95" s="9">
        <v>0</v>
      </c>
      <c r="D95" s="9">
        <v>0</v>
      </c>
      <c r="E95" s="9">
        <f t="shared" si="4"/>
        <v>0</v>
      </c>
      <c r="G95">
        <v>84</v>
      </c>
      <c r="H95">
        <v>0</v>
      </c>
      <c r="I95">
        <v>0</v>
      </c>
      <c r="J95">
        <v>1</v>
      </c>
      <c r="K95">
        <f t="shared" si="5"/>
        <v>1</v>
      </c>
    </row>
    <row r="96" spans="1:11" x14ac:dyDescent="0.25">
      <c r="A96">
        <v>85</v>
      </c>
      <c r="B96" s="9">
        <v>0</v>
      </c>
      <c r="C96" s="9">
        <v>0</v>
      </c>
      <c r="D96" s="9">
        <v>0</v>
      </c>
      <c r="E96" s="9">
        <f t="shared" si="4"/>
        <v>0</v>
      </c>
      <c r="G96">
        <v>85</v>
      </c>
      <c r="H96">
        <v>0</v>
      </c>
      <c r="I96">
        <v>0</v>
      </c>
      <c r="J96">
        <v>0</v>
      </c>
      <c r="K96">
        <f t="shared" si="5"/>
        <v>0</v>
      </c>
    </row>
    <row r="97" spans="1:12" x14ac:dyDescent="0.25">
      <c r="A97">
        <v>86</v>
      </c>
      <c r="B97" s="9">
        <v>0</v>
      </c>
      <c r="C97" s="9">
        <v>0</v>
      </c>
      <c r="D97" s="9">
        <v>0</v>
      </c>
      <c r="E97" s="9">
        <f t="shared" si="4"/>
        <v>0</v>
      </c>
      <c r="G97">
        <v>86</v>
      </c>
      <c r="H97">
        <v>0</v>
      </c>
      <c r="I97">
        <v>0</v>
      </c>
      <c r="J97">
        <v>0</v>
      </c>
      <c r="K97">
        <f t="shared" si="5"/>
        <v>0</v>
      </c>
    </row>
    <row r="98" spans="1:12" x14ac:dyDescent="0.25">
      <c r="A98">
        <v>87</v>
      </c>
      <c r="B98" s="9">
        <v>0</v>
      </c>
      <c r="C98" s="9">
        <v>0</v>
      </c>
      <c r="D98" s="9">
        <v>0</v>
      </c>
      <c r="E98" s="9">
        <f t="shared" si="4"/>
        <v>0</v>
      </c>
      <c r="G98">
        <v>87</v>
      </c>
      <c r="H98">
        <v>0</v>
      </c>
      <c r="I98">
        <v>0</v>
      </c>
      <c r="J98">
        <v>0</v>
      </c>
      <c r="K98">
        <f t="shared" si="5"/>
        <v>0</v>
      </c>
    </row>
    <row r="99" spans="1:12" x14ac:dyDescent="0.25">
      <c r="A99">
        <v>88</v>
      </c>
      <c r="B99" s="9">
        <v>0</v>
      </c>
      <c r="C99" s="9">
        <v>0</v>
      </c>
      <c r="D99" s="9">
        <v>0</v>
      </c>
      <c r="E99" s="9">
        <f t="shared" si="4"/>
        <v>0</v>
      </c>
      <c r="G99">
        <v>88</v>
      </c>
      <c r="H99">
        <v>0</v>
      </c>
      <c r="I99">
        <v>0</v>
      </c>
      <c r="J99">
        <v>0</v>
      </c>
      <c r="K99">
        <f t="shared" si="5"/>
        <v>0</v>
      </c>
    </row>
    <row r="100" spans="1:12" x14ac:dyDescent="0.25">
      <c r="A100">
        <v>89</v>
      </c>
      <c r="B100" s="9">
        <v>0</v>
      </c>
      <c r="C100" s="9">
        <v>0</v>
      </c>
      <c r="D100" s="9">
        <v>0</v>
      </c>
      <c r="E100" s="9">
        <f t="shared" si="4"/>
        <v>0</v>
      </c>
      <c r="G100">
        <v>89</v>
      </c>
      <c r="H100">
        <v>0</v>
      </c>
      <c r="I100">
        <v>0</v>
      </c>
      <c r="J100">
        <v>0</v>
      </c>
      <c r="K100">
        <f t="shared" si="5"/>
        <v>0</v>
      </c>
    </row>
    <row r="101" spans="1:12" ht="15.75" thickBot="1" x14ac:dyDescent="0.3">
      <c r="A101" s="1">
        <v>90</v>
      </c>
      <c r="B101" s="10">
        <v>56177.107199999999</v>
      </c>
      <c r="C101" s="10">
        <v>10417.5607</v>
      </c>
      <c r="D101" s="10">
        <v>42483.839500000002</v>
      </c>
      <c r="E101" s="10">
        <f t="shared" si="4"/>
        <v>109078.5074</v>
      </c>
      <c r="G101" s="1">
        <v>90</v>
      </c>
      <c r="H101" s="1">
        <v>21546</v>
      </c>
      <c r="I101" s="1">
        <v>0</v>
      </c>
      <c r="J101" s="1">
        <v>0</v>
      </c>
      <c r="K101" s="1">
        <f t="shared" si="5"/>
        <v>21546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1"/>
  <sheetViews>
    <sheetView workbookViewId="0">
      <selection activeCell="C6" sqref="C6"/>
    </sheetView>
  </sheetViews>
  <sheetFormatPr defaultRowHeight="15" x14ac:dyDescent="0.25"/>
  <sheetData>
    <row r="1" spans="1:15" x14ac:dyDescent="0.25">
      <c r="A1" t="s">
        <v>0</v>
      </c>
    </row>
    <row r="2" spans="1:15" x14ac:dyDescent="0.25">
      <c r="A2" t="s">
        <v>254</v>
      </c>
    </row>
    <row r="3" spans="1:15" x14ac:dyDescent="0.25">
      <c r="A3" t="s">
        <v>256</v>
      </c>
    </row>
    <row r="4" spans="1:15" x14ac:dyDescent="0.25">
      <c r="A4" t="s">
        <v>6</v>
      </c>
    </row>
    <row r="5" spans="1:15" x14ac:dyDescent="0.25">
      <c r="A5" t="s">
        <v>7</v>
      </c>
    </row>
    <row r="9" spans="1:15" ht="15.75" thickBot="1" x14ac:dyDescent="0.3">
      <c r="A9" s="4" t="s">
        <v>200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207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35</v>
      </c>
      <c r="M10" s="2"/>
      <c r="N10" s="5" t="s">
        <v>207</v>
      </c>
      <c r="O10" s="5" t="s">
        <v>35</v>
      </c>
    </row>
    <row r="11" spans="1:15" x14ac:dyDescent="0.25">
      <c r="A11">
        <v>0</v>
      </c>
      <c r="B11" s="9">
        <v>3136.8732</v>
      </c>
      <c r="C11" s="9">
        <v>0</v>
      </c>
      <c r="D11" s="9">
        <v>3515.915</v>
      </c>
      <c r="E11" s="9">
        <f t="shared" ref="E11:E42" si="0">SUM(B11:D11)</f>
        <v>6652.7882</v>
      </c>
      <c r="G11">
        <v>0</v>
      </c>
      <c r="H11">
        <v>23510</v>
      </c>
      <c r="I11">
        <v>4552</v>
      </c>
      <c r="J11" s="20">
        <v>8604</v>
      </c>
      <c r="K11">
        <f t="shared" ref="K11:K42" si="1">SUM(H11:J11)</f>
        <v>36666</v>
      </c>
      <c r="M11" t="s">
        <v>41</v>
      </c>
      <c r="N11" s="9">
        <v>11.23352071740562</v>
      </c>
      <c r="O11" s="9">
        <v>15.753538834806228</v>
      </c>
    </row>
    <row r="12" spans="1:15" x14ac:dyDescent="0.25">
      <c r="A12">
        <v>1</v>
      </c>
      <c r="B12" s="9">
        <v>10251.113799999999</v>
      </c>
      <c r="C12" s="9">
        <v>0</v>
      </c>
      <c r="D12" s="9">
        <v>487.60539999999997</v>
      </c>
      <c r="E12" s="9">
        <f t="shared" si="0"/>
        <v>10738.7192</v>
      </c>
      <c r="G12">
        <v>1</v>
      </c>
      <c r="H12">
        <v>14519</v>
      </c>
      <c r="I12">
        <v>2159</v>
      </c>
      <c r="J12" s="20">
        <v>1137</v>
      </c>
      <c r="K12">
        <f t="shared" si="1"/>
        <v>17815</v>
      </c>
      <c r="M12" t="s">
        <v>42</v>
      </c>
      <c r="N12" s="9">
        <v>14.637548213014114</v>
      </c>
      <c r="O12" s="9">
        <v>18.28437570305887</v>
      </c>
    </row>
    <row r="13" spans="1:15" x14ac:dyDescent="0.25">
      <c r="A13">
        <v>2</v>
      </c>
      <c r="B13" s="9">
        <v>14796.016</v>
      </c>
      <c r="C13" s="9">
        <v>542.72389999999996</v>
      </c>
      <c r="D13" s="9">
        <v>342.62400000000002</v>
      </c>
      <c r="E13" s="9">
        <f t="shared" si="0"/>
        <v>15681.3639</v>
      </c>
      <c r="G13">
        <v>2</v>
      </c>
      <c r="H13">
        <v>19100</v>
      </c>
      <c r="I13">
        <v>2880</v>
      </c>
      <c r="J13" s="20">
        <v>2110</v>
      </c>
      <c r="K13">
        <f t="shared" si="1"/>
        <v>24090</v>
      </c>
      <c r="M13" s="6" t="s">
        <v>43</v>
      </c>
      <c r="N13" s="18">
        <v>20.510063701077957</v>
      </c>
      <c r="O13" s="18">
        <v>23.485319855324668</v>
      </c>
    </row>
    <row r="14" spans="1:15" ht="15.75" thickBot="1" x14ac:dyDescent="0.3">
      <c r="A14">
        <v>3</v>
      </c>
      <c r="B14" s="9">
        <v>21489.214</v>
      </c>
      <c r="C14" s="9">
        <v>1866.9813999999999</v>
      </c>
      <c r="D14" s="9">
        <v>205.9932</v>
      </c>
      <c r="E14" s="9">
        <f t="shared" si="0"/>
        <v>23562.188600000001</v>
      </c>
      <c r="G14">
        <v>3</v>
      </c>
      <c r="H14">
        <v>20890</v>
      </c>
      <c r="I14">
        <v>3261</v>
      </c>
      <c r="J14" s="20">
        <v>2395</v>
      </c>
      <c r="K14">
        <f t="shared" si="1"/>
        <v>26546</v>
      </c>
      <c r="M14" s="1" t="s">
        <v>3</v>
      </c>
      <c r="N14" s="19">
        <v>12.694254120967864</v>
      </c>
      <c r="O14" s="19">
        <v>17.878114030864872</v>
      </c>
    </row>
    <row r="15" spans="1:15" x14ac:dyDescent="0.25">
      <c r="A15">
        <v>4</v>
      </c>
      <c r="B15" s="9">
        <v>31552.606</v>
      </c>
      <c r="C15" s="9">
        <v>899.91840000000002</v>
      </c>
      <c r="D15" s="9">
        <v>317.29590000000002</v>
      </c>
      <c r="E15" s="9">
        <f t="shared" si="0"/>
        <v>32769.820299999999</v>
      </c>
      <c r="G15">
        <v>4</v>
      </c>
      <c r="H15">
        <v>21024</v>
      </c>
      <c r="I15">
        <v>3418</v>
      </c>
      <c r="J15" s="20">
        <v>2625</v>
      </c>
      <c r="K15">
        <f t="shared" si="1"/>
        <v>27067</v>
      </c>
    </row>
    <row r="16" spans="1:15" x14ac:dyDescent="0.25">
      <c r="A16">
        <v>5</v>
      </c>
      <c r="B16" s="9">
        <v>38479.647799999999</v>
      </c>
      <c r="C16" s="9">
        <v>1845.5319</v>
      </c>
      <c r="D16" s="9">
        <v>782.43629999999996</v>
      </c>
      <c r="E16" s="9">
        <f t="shared" si="0"/>
        <v>41107.616000000002</v>
      </c>
      <c r="G16">
        <v>5</v>
      </c>
      <c r="H16">
        <v>19691</v>
      </c>
      <c r="I16">
        <v>3506</v>
      </c>
      <c r="J16" s="20">
        <v>3092</v>
      </c>
      <c r="K16">
        <f t="shared" si="1"/>
        <v>26289</v>
      </c>
    </row>
    <row r="17" spans="1:11" x14ac:dyDescent="0.25">
      <c r="A17">
        <v>6</v>
      </c>
      <c r="B17" s="9">
        <v>34824.7935</v>
      </c>
      <c r="C17" s="9">
        <v>1134.7815000000001</v>
      </c>
      <c r="D17" s="9">
        <v>2024.6491999999998</v>
      </c>
      <c r="E17" s="9">
        <f t="shared" si="0"/>
        <v>37984.224199999997</v>
      </c>
      <c r="G17">
        <v>6</v>
      </c>
      <c r="H17">
        <v>18444</v>
      </c>
      <c r="I17">
        <v>3389</v>
      </c>
      <c r="J17" s="20">
        <v>3474</v>
      </c>
      <c r="K17">
        <f t="shared" si="1"/>
        <v>25307</v>
      </c>
    </row>
    <row r="18" spans="1:11" x14ac:dyDescent="0.25">
      <c r="A18">
        <v>7</v>
      </c>
      <c r="B18" s="9">
        <v>36653.0386</v>
      </c>
      <c r="C18" s="9">
        <v>7158.2842000000001</v>
      </c>
      <c r="D18" s="9">
        <v>1862.0264</v>
      </c>
      <c r="E18" s="9">
        <f t="shared" si="0"/>
        <v>45673.349200000004</v>
      </c>
      <c r="G18">
        <v>7</v>
      </c>
      <c r="H18">
        <v>16685</v>
      </c>
      <c r="I18">
        <v>3136</v>
      </c>
      <c r="J18" s="20">
        <v>2766</v>
      </c>
      <c r="K18">
        <f t="shared" si="1"/>
        <v>22587</v>
      </c>
    </row>
    <row r="19" spans="1:11" x14ac:dyDescent="0.25">
      <c r="A19">
        <v>8</v>
      </c>
      <c r="B19" s="9">
        <v>36732.512600000002</v>
      </c>
      <c r="C19" s="9">
        <v>2683.5716000000002</v>
      </c>
      <c r="D19" s="9">
        <v>3427.3977999999997</v>
      </c>
      <c r="E19" s="9">
        <f t="shared" si="0"/>
        <v>42843.482000000004</v>
      </c>
      <c r="G19">
        <v>8</v>
      </c>
      <c r="H19">
        <v>14457</v>
      </c>
      <c r="I19">
        <v>2879</v>
      </c>
      <c r="J19" s="20">
        <v>2537</v>
      </c>
      <c r="K19">
        <f t="shared" si="1"/>
        <v>19873</v>
      </c>
    </row>
    <row r="20" spans="1:11" x14ac:dyDescent="0.25">
      <c r="A20">
        <v>9</v>
      </c>
      <c r="B20" s="9">
        <v>24588.676100000001</v>
      </c>
      <c r="C20" s="9">
        <v>5236.2919000000002</v>
      </c>
      <c r="D20" s="9">
        <v>2332.7660000000001</v>
      </c>
      <c r="E20" s="9">
        <f t="shared" si="0"/>
        <v>32157.734</v>
      </c>
      <c r="G20">
        <v>9</v>
      </c>
      <c r="H20">
        <v>12891</v>
      </c>
      <c r="I20">
        <v>2744</v>
      </c>
      <c r="J20" s="20">
        <v>2059</v>
      </c>
      <c r="K20">
        <f t="shared" si="1"/>
        <v>17694</v>
      </c>
    </row>
    <row r="21" spans="1:11" x14ac:dyDescent="0.25">
      <c r="A21">
        <v>10</v>
      </c>
      <c r="B21" s="9">
        <v>34460.260300000002</v>
      </c>
      <c r="C21" s="9">
        <v>5898.4018999999998</v>
      </c>
      <c r="D21" s="9">
        <v>1253.2963999999999</v>
      </c>
      <c r="E21" s="9">
        <f t="shared" si="0"/>
        <v>41611.958599999998</v>
      </c>
      <c r="G21">
        <v>10</v>
      </c>
      <c r="H21">
        <v>10636</v>
      </c>
      <c r="I21">
        <v>2399</v>
      </c>
      <c r="J21" s="20">
        <v>1937</v>
      </c>
      <c r="K21">
        <f t="shared" si="1"/>
        <v>14972</v>
      </c>
    </row>
    <row r="22" spans="1:11" x14ac:dyDescent="0.25">
      <c r="A22">
        <v>11</v>
      </c>
      <c r="B22" s="9">
        <v>18745.525699999998</v>
      </c>
      <c r="C22" s="9">
        <v>3211.6364000000003</v>
      </c>
      <c r="D22" s="9">
        <v>5008.3621000000003</v>
      </c>
      <c r="E22" s="9">
        <f t="shared" si="0"/>
        <v>26965.5242</v>
      </c>
      <c r="G22">
        <v>11</v>
      </c>
      <c r="H22">
        <v>9047</v>
      </c>
      <c r="I22">
        <v>2188</v>
      </c>
      <c r="J22" s="20">
        <v>1674</v>
      </c>
      <c r="K22">
        <f t="shared" si="1"/>
        <v>12909</v>
      </c>
    </row>
    <row r="23" spans="1:11" x14ac:dyDescent="0.25">
      <c r="A23">
        <v>12</v>
      </c>
      <c r="B23" s="9">
        <v>16001.678599999999</v>
      </c>
      <c r="C23" s="9">
        <v>5766.3526000000002</v>
      </c>
      <c r="D23" s="9">
        <v>4723.9367000000002</v>
      </c>
      <c r="E23" s="9">
        <f t="shared" si="0"/>
        <v>26491.967899999996</v>
      </c>
      <c r="G23">
        <v>12</v>
      </c>
      <c r="H23">
        <v>8417</v>
      </c>
      <c r="I23">
        <v>1963</v>
      </c>
      <c r="J23" s="20">
        <v>1652</v>
      </c>
      <c r="K23">
        <f t="shared" si="1"/>
        <v>12032</v>
      </c>
    </row>
    <row r="24" spans="1:11" x14ac:dyDescent="0.25">
      <c r="A24">
        <v>13</v>
      </c>
      <c r="B24" s="9">
        <v>13704.0838</v>
      </c>
      <c r="C24" s="9">
        <v>3476.8</v>
      </c>
      <c r="D24" s="9">
        <v>3413.6603</v>
      </c>
      <c r="E24" s="9">
        <f t="shared" si="0"/>
        <v>20594.544099999999</v>
      </c>
      <c r="G24">
        <v>13</v>
      </c>
      <c r="H24">
        <v>6974</v>
      </c>
      <c r="I24">
        <v>1725</v>
      </c>
      <c r="J24" s="20">
        <v>1417</v>
      </c>
      <c r="K24">
        <f t="shared" si="1"/>
        <v>10116</v>
      </c>
    </row>
    <row r="25" spans="1:11" x14ac:dyDescent="0.25">
      <c r="A25">
        <v>14</v>
      </c>
      <c r="B25" s="9">
        <v>19268.859499999999</v>
      </c>
      <c r="C25" s="9">
        <v>8480.3485000000001</v>
      </c>
      <c r="D25" s="9">
        <v>1005.8136</v>
      </c>
      <c r="E25" s="9">
        <f t="shared" si="0"/>
        <v>28755.0216</v>
      </c>
      <c r="G25">
        <v>14</v>
      </c>
      <c r="H25">
        <v>6052</v>
      </c>
      <c r="I25">
        <v>1523</v>
      </c>
      <c r="J25" s="20">
        <v>1017</v>
      </c>
      <c r="K25">
        <f t="shared" si="1"/>
        <v>8592</v>
      </c>
    </row>
    <row r="26" spans="1:11" x14ac:dyDescent="0.25">
      <c r="A26">
        <v>15</v>
      </c>
      <c r="B26" s="9">
        <v>16445.592700000001</v>
      </c>
      <c r="C26" s="9">
        <v>675.72559999999999</v>
      </c>
      <c r="D26" s="9">
        <v>810.68809999999996</v>
      </c>
      <c r="E26" s="9">
        <f t="shared" si="0"/>
        <v>17932.006400000002</v>
      </c>
      <c r="G26">
        <v>15</v>
      </c>
      <c r="H26">
        <v>5837</v>
      </c>
      <c r="I26">
        <v>1584</v>
      </c>
      <c r="J26" s="20">
        <v>1019</v>
      </c>
      <c r="K26">
        <f t="shared" si="1"/>
        <v>8440</v>
      </c>
    </row>
    <row r="27" spans="1:11" x14ac:dyDescent="0.25">
      <c r="A27">
        <v>16</v>
      </c>
      <c r="B27" s="9">
        <v>8484.4084000000003</v>
      </c>
      <c r="C27" s="9">
        <v>1251.2235000000001</v>
      </c>
      <c r="D27" s="9">
        <v>2790.6116999999999</v>
      </c>
      <c r="E27" s="9">
        <f t="shared" si="0"/>
        <v>12526.2436</v>
      </c>
      <c r="G27">
        <v>16</v>
      </c>
      <c r="H27">
        <v>5087</v>
      </c>
      <c r="I27">
        <v>1308</v>
      </c>
      <c r="J27" s="20">
        <v>1156</v>
      </c>
      <c r="K27">
        <f t="shared" si="1"/>
        <v>7551</v>
      </c>
    </row>
    <row r="28" spans="1:11" x14ac:dyDescent="0.25">
      <c r="A28">
        <v>17</v>
      </c>
      <c r="B28" s="9">
        <v>14176.7055</v>
      </c>
      <c r="C28" s="9">
        <v>3367.1952000000001</v>
      </c>
      <c r="D28" s="9">
        <v>1538.1484</v>
      </c>
      <c r="E28" s="9">
        <f t="shared" si="0"/>
        <v>19082.049099999997</v>
      </c>
      <c r="G28">
        <v>17</v>
      </c>
      <c r="H28">
        <v>4764</v>
      </c>
      <c r="I28">
        <v>1233</v>
      </c>
      <c r="J28" s="20">
        <v>979</v>
      </c>
      <c r="K28">
        <f t="shared" si="1"/>
        <v>6976</v>
      </c>
    </row>
    <row r="29" spans="1:11" x14ac:dyDescent="0.25">
      <c r="A29">
        <v>18</v>
      </c>
      <c r="B29" s="9">
        <v>8591.2187000000013</v>
      </c>
      <c r="C29" s="9">
        <v>2389.1226000000001</v>
      </c>
      <c r="D29" s="9">
        <v>5698.6963999999998</v>
      </c>
      <c r="E29" s="9">
        <f t="shared" si="0"/>
        <v>16679.037700000001</v>
      </c>
      <c r="G29">
        <v>18</v>
      </c>
      <c r="H29">
        <v>62796</v>
      </c>
      <c r="I29">
        <v>16135</v>
      </c>
      <c r="J29" s="20">
        <v>12601</v>
      </c>
      <c r="K29">
        <f t="shared" si="1"/>
        <v>91532</v>
      </c>
    </row>
    <row r="30" spans="1:11" x14ac:dyDescent="0.25">
      <c r="A30">
        <v>19</v>
      </c>
      <c r="B30" s="9">
        <v>5058.4147999999996</v>
      </c>
      <c r="C30" s="9">
        <v>294.34199999999998</v>
      </c>
      <c r="D30" s="9">
        <v>1775.7507000000001</v>
      </c>
      <c r="E30" s="9">
        <f t="shared" si="0"/>
        <v>7128.5074999999997</v>
      </c>
      <c r="G30">
        <v>19</v>
      </c>
      <c r="H30">
        <v>13821</v>
      </c>
      <c r="I30">
        <v>4191</v>
      </c>
      <c r="J30" s="20">
        <v>6611</v>
      </c>
      <c r="K30">
        <f t="shared" si="1"/>
        <v>24623</v>
      </c>
    </row>
    <row r="31" spans="1:11" x14ac:dyDescent="0.25">
      <c r="A31">
        <v>20</v>
      </c>
      <c r="B31" s="9">
        <v>9224.6049000000003</v>
      </c>
      <c r="C31" s="9">
        <v>2131.8702000000003</v>
      </c>
      <c r="D31" s="9">
        <v>810.70460000000003</v>
      </c>
      <c r="E31" s="9">
        <f t="shared" si="0"/>
        <v>12167.179700000001</v>
      </c>
      <c r="G31">
        <v>20</v>
      </c>
      <c r="H31">
        <v>11549</v>
      </c>
      <c r="I31">
        <v>3783</v>
      </c>
      <c r="J31" s="20">
        <v>5723</v>
      </c>
      <c r="K31">
        <f t="shared" si="1"/>
        <v>21055</v>
      </c>
    </row>
    <row r="32" spans="1:11" x14ac:dyDescent="0.25">
      <c r="A32">
        <v>21</v>
      </c>
      <c r="B32" s="9">
        <v>1528.4368999999999</v>
      </c>
      <c r="C32" s="9">
        <v>0</v>
      </c>
      <c r="D32" s="9">
        <v>2363.6902999999998</v>
      </c>
      <c r="E32" s="9">
        <f t="shared" si="0"/>
        <v>3892.1271999999999</v>
      </c>
      <c r="G32">
        <v>21</v>
      </c>
      <c r="H32">
        <v>17920</v>
      </c>
      <c r="I32">
        <v>6128</v>
      </c>
      <c r="J32" s="20">
        <v>11953</v>
      </c>
      <c r="K32">
        <f t="shared" si="1"/>
        <v>36001</v>
      </c>
    </row>
    <row r="33" spans="1:11" x14ac:dyDescent="0.25">
      <c r="A33">
        <v>22</v>
      </c>
      <c r="B33" s="9">
        <v>1430.6387</v>
      </c>
      <c r="C33" s="9">
        <v>1096.9879000000001</v>
      </c>
      <c r="D33" s="9">
        <v>839.98950000000002</v>
      </c>
      <c r="E33" s="9">
        <f t="shared" si="0"/>
        <v>3367.6161000000002</v>
      </c>
      <c r="G33">
        <v>22</v>
      </c>
      <c r="H33">
        <v>19195</v>
      </c>
      <c r="I33">
        <v>5746</v>
      </c>
      <c r="J33" s="20">
        <v>5038</v>
      </c>
      <c r="K33">
        <f t="shared" si="1"/>
        <v>29979</v>
      </c>
    </row>
    <row r="34" spans="1:11" x14ac:dyDescent="0.25">
      <c r="A34">
        <v>23</v>
      </c>
      <c r="B34" s="9">
        <v>3986.8753000000002</v>
      </c>
      <c r="C34" s="9">
        <v>337.35489999999999</v>
      </c>
      <c r="D34" s="9">
        <v>1415.0252</v>
      </c>
      <c r="E34" s="9">
        <f t="shared" si="0"/>
        <v>5739.2554</v>
      </c>
      <c r="G34">
        <v>23</v>
      </c>
      <c r="H34">
        <v>15279</v>
      </c>
      <c r="I34">
        <v>4688</v>
      </c>
      <c r="J34" s="20">
        <v>7102</v>
      </c>
      <c r="K34">
        <f t="shared" si="1"/>
        <v>27069</v>
      </c>
    </row>
    <row r="35" spans="1:11" x14ac:dyDescent="0.25">
      <c r="A35">
        <v>24</v>
      </c>
      <c r="B35" s="9">
        <v>7445.4306999999999</v>
      </c>
      <c r="C35" s="9">
        <v>1717.4617000000001</v>
      </c>
      <c r="D35" s="9">
        <v>1111.0247999999999</v>
      </c>
      <c r="E35" s="9">
        <f t="shared" si="0"/>
        <v>10273.9172</v>
      </c>
      <c r="G35">
        <v>24</v>
      </c>
      <c r="H35">
        <v>13169</v>
      </c>
      <c r="I35">
        <v>3919</v>
      </c>
      <c r="J35" s="20">
        <v>8277</v>
      </c>
      <c r="K35">
        <f t="shared" si="1"/>
        <v>25365</v>
      </c>
    </row>
    <row r="36" spans="1:11" x14ac:dyDescent="0.25">
      <c r="A36">
        <v>25</v>
      </c>
      <c r="B36" s="9">
        <v>2847.4913999999999</v>
      </c>
      <c r="C36" s="9">
        <v>349.42059999999998</v>
      </c>
      <c r="D36" s="9">
        <v>2186.9049</v>
      </c>
      <c r="E36" s="9">
        <f t="shared" si="0"/>
        <v>5383.8168999999998</v>
      </c>
      <c r="G36">
        <v>25</v>
      </c>
      <c r="H36">
        <v>15522</v>
      </c>
      <c r="I36">
        <v>4865</v>
      </c>
      <c r="J36" s="20">
        <v>9040</v>
      </c>
      <c r="K36">
        <f t="shared" si="1"/>
        <v>29427</v>
      </c>
    </row>
    <row r="37" spans="1:11" x14ac:dyDescent="0.25">
      <c r="A37">
        <v>26</v>
      </c>
      <c r="B37" s="9">
        <v>2549.0356999999999</v>
      </c>
      <c r="C37" s="9">
        <v>0</v>
      </c>
      <c r="D37" s="9">
        <v>1544.482</v>
      </c>
      <c r="E37" s="9">
        <f t="shared" si="0"/>
        <v>4093.5176999999999</v>
      </c>
      <c r="G37">
        <v>26</v>
      </c>
      <c r="H37">
        <v>8853</v>
      </c>
      <c r="I37">
        <v>2580</v>
      </c>
      <c r="J37" s="20">
        <v>6105</v>
      </c>
      <c r="K37">
        <f t="shared" si="1"/>
        <v>17538</v>
      </c>
    </row>
    <row r="38" spans="1:11" x14ac:dyDescent="0.25">
      <c r="A38">
        <v>27</v>
      </c>
      <c r="B38" s="9">
        <v>1010.0554</v>
      </c>
      <c r="C38" s="9">
        <v>0</v>
      </c>
      <c r="D38" s="9">
        <v>467.09309999999999</v>
      </c>
      <c r="E38" s="9">
        <f t="shared" si="0"/>
        <v>1477.1485</v>
      </c>
      <c r="G38">
        <v>27</v>
      </c>
      <c r="H38">
        <v>7856</v>
      </c>
      <c r="I38">
        <v>2345</v>
      </c>
      <c r="J38" s="20">
        <v>8756</v>
      </c>
      <c r="K38">
        <f t="shared" si="1"/>
        <v>18957</v>
      </c>
    </row>
    <row r="39" spans="1:11" x14ac:dyDescent="0.25">
      <c r="A39">
        <v>28</v>
      </c>
      <c r="B39" s="9">
        <v>1185.3620000000001</v>
      </c>
      <c r="C39" s="9">
        <v>701.35030000000006</v>
      </c>
      <c r="D39" s="9">
        <v>2341.1474000000003</v>
      </c>
      <c r="E39" s="9">
        <f t="shared" si="0"/>
        <v>4227.8597000000009</v>
      </c>
      <c r="G39">
        <v>28</v>
      </c>
      <c r="H39">
        <v>6359</v>
      </c>
      <c r="I39">
        <v>1845</v>
      </c>
      <c r="J39" s="20">
        <v>4631</v>
      </c>
      <c r="K39">
        <f t="shared" si="1"/>
        <v>12835</v>
      </c>
    </row>
    <row r="40" spans="1:11" x14ac:dyDescent="0.25">
      <c r="A40">
        <v>29</v>
      </c>
      <c r="B40" s="9">
        <v>639.048</v>
      </c>
      <c r="C40" s="9">
        <v>821.68939999999998</v>
      </c>
      <c r="D40" s="9">
        <v>674.39789999999994</v>
      </c>
      <c r="E40" s="9">
        <f t="shared" si="0"/>
        <v>2135.1352999999999</v>
      </c>
      <c r="G40">
        <v>29</v>
      </c>
      <c r="H40">
        <v>9139</v>
      </c>
      <c r="I40">
        <v>2680</v>
      </c>
      <c r="J40" s="20">
        <v>3679</v>
      </c>
      <c r="K40">
        <f t="shared" si="1"/>
        <v>15498</v>
      </c>
    </row>
    <row r="41" spans="1:11" x14ac:dyDescent="0.25">
      <c r="A41">
        <v>30</v>
      </c>
      <c r="B41" s="9">
        <v>2627.6826000000001</v>
      </c>
      <c r="C41" s="9">
        <v>0</v>
      </c>
      <c r="D41" s="9">
        <v>42.476999999999997</v>
      </c>
      <c r="E41" s="9">
        <f t="shared" si="0"/>
        <v>2670.1596</v>
      </c>
      <c r="G41">
        <v>30</v>
      </c>
      <c r="H41">
        <v>10000</v>
      </c>
      <c r="I41">
        <v>2492</v>
      </c>
      <c r="J41" s="20">
        <v>4957</v>
      </c>
      <c r="K41">
        <f t="shared" si="1"/>
        <v>17449</v>
      </c>
    </row>
    <row r="42" spans="1:11" x14ac:dyDescent="0.25">
      <c r="A42">
        <v>31</v>
      </c>
      <c r="B42" s="9">
        <v>0</v>
      </c>
      <c r="C42" s="9">
        <v>0</v>
      </c>
      <c r="D42" s="9">
        <v>113.96899999999999</v>
      </c>
      <c r="E42" s="9">
        <f t="shared" si="0"/>
        <v>113.96899999999999</v>
      </c>
      <c r="G42">
        <v>31</v>
      </c>
      <c r="H42">
        <v>4706</v>
      </c>
      <c r="I42">
        <v>1322</v>
      </c>
      <c r="J42" s="20">
        <v>2507</v>
      </c>
      <c r="K42">
        <f t="shared" si="1"/>
        <v>8535</v>
      </c>
    </row>
    <row r="43" spans="1:11" x14ac:dyDescent="0.25">
      <c r="A43">
        <v>32</v>
      </c>
      <c r="B43" s="9">
        <v>1994.0143</v>
      </c>
      <c r="C43" s="9">
        <v>948.40010000000007</v>
      </c>
      <c r="D43" s="9">
        <v>845.89369999999997</v>
      </c>
      <c r="E43" s="9">
        <f t="shared" ref="E43:E74" si="2">SUM(B43:D43)</f>
        <v>3788.3081000000002</v>
      </c>
      <c r="G43">
        <v>32</v>
      </c>
      <c r="H43">
        <v>3837</v>
      </c>
      <c r="I43">
        <v>1058</v>
      </c>
      <c r="J43" s="20">
        <v>3830</v>
      </c>
      <c r="K43">
        <f t="shared" ref="K43:K74" si="3">SUM(H43:J43)</f>
        <v>8725</v>
      </c>
    </row>
    <row r="44" spans="1:11" x14ac:dyDescent="0.25">
      <c r="A44">
        <v>33</v>
      </c>
      <c r="B44" s="9">
        <v>2624.7584000000002</v>
      </c>
      <c r="C44" s="9">
        <v>508.9171</v>
      </c>
      <c r="D44" s="9">
        <v>1216.0957000000001</v>
      </c>
      <c r="E44" s="9">
        <f t="shared" si="2"/>
        <v>4349.7712000000001</v>
      </c>
      <c r="G44">
        <v>33</v>
      </c>
      <c r="H44">
        <v>3743</v>
      </c>
      <c r="I44">
        <v>1179</v>
      </c>
      <c r="J44" s="20">
        <v>3140</v>
      </c>
      <c r="K44">
        <f t="shared" si="3"/>
        <v>8062</v>
      </c>
    </row>
    <row r="45" spans="1:11" x14ac:dyDescent="0.25">
      <c r="A45">
        <v>34</v>
      </c>
      <c r="B45" s="9">
        <v>2516.5010000000002</v>
      </c>
      <c r="C45" s="9">
        <v>0</v>
      </c>
      <c r="D45" s="9">
        <v>763.07650000000001</v>
      </c>
      <c r="E45" s="9">
        <f t="shared" si="2"/>
        <v>3279.5775000000003</v>
      </c>
      <c r="G45">
        <v>34</v>
      </c>
      <c r="H45">
        <v>4952</v>
      </c>
      <c r="I45">
        <v>1390</v>
      </c>
      <c r="J45" s="20">
        <v>2403</v>
      </c>
      <c r="K45">
        <f t="shared" si="3"/>
        <v>8745</v>
      </c>
    </row>
    <row r="46" spans="1:11" x14ac:dyDescent="0.25">
      <c r="A46">
        <v>35</v>
      </c>
      <c r="B46" s="9">
        <v>862.22179999999992</v>
      </c>
      <c r="C46" s="9">
        <v>395.30720000000002</v>
      </c>
      <c r="D46" s="9">
        <v>466.55079999999998</v>
      </c>
      <c r="E46" s="9">
        <f t="shared" si="2"/>
        <v>1724.0798</v>
      </c>
      <c r="G46">
        <v>35</v>
      </c>
      <c r="H46">
        <v>3022</v>
      </c>
      <c r="I46">
        <v>922</v>
      </c>
      <c r="J46" s="20">
        <v>2865</v>
      </c>
      <c r="K46">
        <f t="shared" si="3"/>
        <v>6809</v>
      </c>
    </row>
    <row r="47" spans="1:11" x14ac:dyDescent="0.25">
      <c r="A47">
        <v>36</v>
      </c>
      <c r="B47" s="9">
        <v>5346.3914999999997</v>
      </c>
      <c r="C47" s="9">
        <v>438.06880000000001</v>
      </c>
      <c r="D47" s="9">
        <v>354.33170000000001</v>
      </c>
      <c r="E47" s="9">
        <f t="shared" si="2"/>
        <v>6138.7919999999995</v>
      </c>
      <c r="G47">
        <v>36</v>
      </c>
      <c r="H47">
        <v>2803</v>
      </c>
      <c r="I47">
        <v>952</v>
      </c>
      <c r="J47" s="20">
        <v>2466</v>
      </c>
      <c r="K47">
        <f t="shared" si="3"/>
        <v>6221</v>
      </c>
    </row>
    <row r="48" spans="1:11" x14ac:dyDescent="0.25">
      <c r="A48">
        <v>37</v>
      </c>
      <c r="B48" s="9">
        <v>0</v>
      </c>
      <c r="C48" s="9">
        <v>0</v>
      </c>
      <c r="D48" s="9">
        <v>234.97289999999998</v>
      </c>
      <c r="E48" s="9">
        <f t="shared" si="2"/>
        <v>234.97289999999998</v>
      </c>
      <c r="G48">
        <v>37</v>
      </c>
      <c r="H48">
        <v>2250</v>
      </c>
      <c r="I48">
        <v>754</v>
      </c>
      <c r="J48" s="20">
        <v>2139</v>
      </c>
      <c r="K48">
        <f t="shared" si="3"/>
        <v>5143</v>
      </c>
    </row>
    <row r="49" spans="1:11" x14ac:dyDescent="0.25">
      <c r="A49">
        <v>38</v>
      </c>
      <c r="B49" s="9">
        <v>0</v>
      </c>
      <c r="C49" s="9">
        <v>55.733899999999998</v>
      </c>
      <c r="D49" s="9">
        <v>672.47850000000005</v>
      </c>
      <c r="E49" s="9">
        <f t="shared" si="2"/>
        <v>728.2124</v>
      </c>
      <c r="G49">
        <v>38</v>
      </c>
      <c r="H49">
        <v>1673</v>
      </c>
      <c r="I49">
        <v>650</v>
      </c>
      <c r="J49" s="20">
        <v>1590</v>
      </c>
      <c r="K49">
        <f t="shared" si="3"/>
        <v>3913</v>
      </c>
    </row>
    <row r="50" spans="1:11" x14ac:dyDescent="0.25">
      <c r="A50">
        <v>39</v>
      </c>
      <c r="B50" s="9">
        <v>358.94619999999998</v>
      </c>
      <c r="C50" s="9">
        <v>602.8021</v>
      </c>
      <c r="D50" s="9">
        <v>691.10130000000004</v>
      </c>
      <c r="E50" s="9">
        <f t="shared" si="2"/>
        <v>1652.8496</v>
      </c>
      <c r="G50">
        <v>39</v>
      </c>
      <c r="H50">
        <v>1527</v>
      </c>
      <c r="I50">
        <v>565</v>
      </c>
      <c r="J50" s="20">
        <v>1653</v>
      </c>
      <c r="K50">
        <f t="shared" si="3"/>
        <v>3745</v>
      </c>
    </row>
    <row r="51" spans="1:11" x14ac:dyDescent="0.25">
      <c r="A51">
        <v>40</v>
      </c>
      <c r="B51" s="9">
        <v>0</v>
      </c>
      <c r="C51" s="9">
        <v>0</v>
      </c>
      <c r="D51" s="9">
        <v>32.488</v>
      </c>
      <c r="E51" s="9">
        <f t="shared" si="2"/>
        <v>32.488</v>
      </c>
      <c r="G51">
        <v>40</v>
      </c>
      <c r="H51">
        <v>1389</v>
      </c>
      <c r="I51">
        <v>454</v>
      </c>
      <c r="J51" s="20">
        <v>1326</v>
      </c>
      <c r="K51">
        <f t="shared" si="3"/>
        <v>3169</v>
      </c>
    </row>
    <row r="52" spans="1:11" x14ac:dyDescent="0.25">
      <c r="A52">
        <v>41</v>
      </c>
      <c r="B52" s="9">
        <v>0</v>
      </c>
      <c r="C52" s="9">
        <v>0</v>
      </c>
      <c r="D52" s="9">
        <v>565.01159999999993</v>
      </c>
      <c r="E52" s="9">
        <f t="shared" si="2"/>
        <v>565.01159999999993</v>
      </c>
      <c r="G52">
        <v>41</v>
      </c>
      <c r="H52">
        <v>630</v>
      </c>
      <c r="I52">
        <v>227</v>
      </c>
      <c r="J52" s="20">
        <v>1087</v>
      </c>
      <c r="K52">
        <f t="shared" si="3"/>
        <v>1944</v>
      </c>
    </row>
    <row r="53" spans="1:11" x14ac:dyDescent="0.25">
      <c r="A53">
        <v>42</v>
      </c>
      <c r="B53" s="9">
        <v>703.64</v>
      </c>
      <c r="C53" s="9">
        <v>0</v>
      </c>
      <c r="D53" s="9">
        <v>530.72360000000003</v>
      </c>
      <c r="E53" s="9">
        <f t="shared" si="2"/>
        <v>1234.3636000000001</v>
      </c>
      <c r="G53">
        <v>42</v>
      </c>
      <c r="H53">
        <v>664</v>
      </c>
      <c r="I53">
        <v>200</v>
      </c>
      <c r="J53" s="20">
        <v>999</v>
      </c>
      <c r="K53">
        <f t="shared" si="3"/>
        <v>1863</v>
      </c>
    </row>
    <row r="54" spans="1:11" x14ac:dyDescent="0.25">
      <c r="A54">
        <v>43</v>
      </c>
      <c r="B54" s="9">
        <v>770.16139999999996</v>
      </c>
      <c r="C54" s="9">
        <v>0</v>
      </c>
      <c r="D54" s="9">
        <v>175.0316</v>
      </c>
      <c r="E54" s="9">
        <f t="shared" si="2"/>
        <v>945.19299999999998</v>
      </c>
      <c r="G54">
        <v>43</v>
      </c>
      <c r="H54">
        <v>561</v>
      </c>
      <c r="I54">
        <v>227</v>
      </c>
      <c r="J54" s="20">
        <v>1199</v>
      </c>
      <c r="K54">
        <f t="shared" si="3"/>
        <v>1987</v>
      </c>
    </row>
    <row r="55" spans="1:11" x14ac:dyDescent="0.25">
      <c r="A55">
        <v>44</v>
      </c>
      <c r="B55" s="9">
        <v>0</v>
      </c>
      <c r="C55" s="9">
        <v>0</v>
      </c>
      <c r="D55" s="9">
        <v>74.418599999999998</v>
      </c>
      <c r="E55" s="9">
        <f t="shared" si="2"/>
        <v>74.418599999999998</v>
      </c>
      <c r="G55">
        <v>44</v>
      </c>
      <c r="H55">
        <v>451</v>
      </c>
      <c r="I55">
        <v>234</v>
      </c>
      <c r="J55" s="20">
        <v>836</v>
      </c>
      <c r="K55">
        <f t="shared" si="3"/>
        <v>1521</v>
      </c>
    </row>
    <row r="56" spans="1:11" x14ac:dyDescent="0.25">
      <c r="A56">
        <v>45</v>
      </c>
      <c r="B56" s="9">
        <v>279.85169999999999</v>
      </c>
      <c r="C56" s="9">
        <v>0</v>
      </c>
      <c r="D56" s="9">
        <v>4.1100000000000003</v>
      </c>
      <c r="E56" s="9">
        <f t="shared" si="2"/>
        <v>283.96170000000001</v>
      </c>
      <c r="G56">
        <v>45</v>
      </c>
      <c r="H56">
        <v>369</v>
      </c>
      <c r="I56">
        <v>210</v>
      </c>
      <c r="J56" s="20">
        <v>1400</v>
      </c>
      <c r="K56">
        <f t="shared" si="3"/>
        <v>1979</v>
      </c>
    </row>
    <row r="57" spans="1:11" x14ac:dyDescent="0.25">
      <c r="A57">
        <v>46</v>
      </c>
      <c r="B57" s="9">
        <v>156.5609</v>
      </c>
      <c r="C57" s="9">
        <v>872.38879999999995</v>
      </c>
      <c r="D57" s="9">
        <v>372.29329999999999</v>
      </c>
      <c r="E57" s="9">
        <f t="shared" si="2"/>
        <v>1401.2429999999999</v>
      </c>
      <c r="G57">
        <v>46</v>
      </c>
      <c r="H57">
        <v>241</v>
      </c>
      <c r="I57">
        <v>116</v>
      </c>
      <c r="J57" s="20">
        <v>629</v>
      </c>
      <c r="K57">
        <f t="shared" si="3"/>
        <v>986</v>
      </c>
    </row>
    <row r="58" spans="1:11" x14ac:dyDescent="0.25">
      <c r="A58">
        <v>47</v>
      </c>
      <c r="B58" s="9">
        <v>353.84660000000002</v>
      </c>
      <c r="C58" s="9">
        <v>846.03430000000003</v>
      </c>
      <c r="D58" s="9">
        <v>0</v>
      </c>
      <c r="E58" s="9">
        <f t="shared" si="2"/>
        <v>1199.8809000000001</v>
      </c>
      <c r="G58">
        <v>47</v>
      </c>
      <c r="H58">
        <v>254</v>
      </c>
      <c r="I58">
        <v>165</v>
      </c>
      <c r="J58" s="20">
        <v>969</v>
      </c>
      <c r="K58">
        <f t="shared" si="3"/>
        <v>1388</v>
      </c>
    </row>
    <row r="59" spans="1:11" x14ac:dyDescent="0.25">
      <c r="A59">
        <v>48</v>
      </c>
      <c r="B59" s="9">
        <v>1080.5827999999999</v>
      </c>
      <c r="C59" s="9">
        <v>0</v>
      </c>
      <c r="D59" s="9">
        <v>179.74080000000001</v>
      </c>
      <c r="E59" s="9">
        <f t="shared" si="2"/>
        <v>1260.3235999999999</v>
      </c>
      <c r="G59">
        <v>48</v>
      </c>
      <c r="H59">
        <v>223</v>
      </c>
      <c r="I59">
        <v>135</v>
      </c>
      <c r="J59" s="20">
        <v>640</v>
      </c>
      <c r="K59">
        <f t="shared" si="3"/>
        <v>998</v>
      </c>
    </row>
    <row r="60" spans="1:11" x14ac:dyDescent="0.25">
      <c r="A60">
        <v>49</v>
      </c>
      <c r="B60" s="9">
        <v>0</v>
      </c>
      <c r="C60" s="9">
        <v>0</v>
      </c>
      <c r="D60" s="9">
        <v>1500.0478000000001</v>
      </c>
      <c r="E60" s="9">
        <f t="shared" si="2"/>
        <v>1500.0478000000001</v>
      </c>
      <c r="G60">
        <v>49</v>
      </c>
      <c r="H60">
        <v>221</v>
      </c>
      <c r="I60">
        <v>110</v>
      </c>
      <c r="J60" s="20">
        <v>424</v>
      </c>
      <c r="K60">
        <f t="shared" si="3"/>
        <v>755</v>
      </c>
    </row>
    <row r="61" spans="1:11" x14ac:dyDescent="0.25">
      <c r="A61">
        <v>50</v>
      </c>
      <c r="B61" s="9">
        <v>0</v>
      </c>
      <c r="C61" s="9">
        <v>0</v>
      </c>
      <c r="D61" s="9">
        <v>93.271000000000001</v>
      </c>
      <c r="E61" s="9">
        <f t="shared" si="2"/>
        <v>93.271000000000001</v>
      </c>
      <c r="G61">
        <v>50</v>
      </c>
      <c r="H61">
        <v>111</v>
      </c>
      <c r="I61">
        <v>79</v>
      </c>
      <c r="J61" s="20">
        <v>406</v>
      </c>
      <c r="K61">
        <f t="shared" si="3"/>
        <v>596</v>
      </c>
    </row>
    <row r="62" spans="1:11" x14ac:dyDescent="0.25">
      <c r="A62">
        <v>51</v>
      </c>
      <c r="B62" s="9">
        <v>0</v>
      </c>
      <c r="C62" s="9">
        <v>0</v>
      </c>
      <c r="D62" s="9">
        <v>599.15700000000004</v>
      </c>
      <c r="E62" s="9">
        <f t="shared" si="2"/>
        <v>599.15700000000004</v>
      </c>
      <c r="G62">
        <v>51</v>
      </c>
      <c r="H62">
        <v>169</v>
      </c>
      <c r="I62">
        <v>97</v>
      </c>
      <c r="J62" s="20">
        <v>1138</v>
      </c>
      <c r="K62">
        <f t="shared" si="3"/>
        <v>1404</v>
      </c>
    </row>
    <row r="63" spans="1:11" x14ac:dyDescent="0.25">
      <c r="A63">
        <v>52</v>
      </c>
      <c r="B63" s="9">
        <v>775.44090000000006</v>
      </c>
      <c r="C63" s="9">
        <v>0</v>
      </c>
      <c r="D63" s="9">
        <v>31.210999999999999</v>
      </c>
      <c r="E63" s="9">
        <f t="shared" si="2"/>
        <v>806.65190000000007</v>
      </c>
      <c r="G63">
        <v>52</v>
      </c>
      <c r="H63">
        <v>204</v>
      </c>
      <c r="I63">
        <v>106</v>
      </c>
      <c r="J63" s="20">
        <v>1552</v>
      </c>
      <c r="K63">
        <f t="shared" si="3"/>
        <v>1862</v>
      </c>
    </row>
    <row r="64" spans="1:11" x14ac:dyDescent="0.25">
      <c r="A64">
        <v>53</v>
      </c>
      <c r="B64" s="9">
        <v>0</v>
      </c>
      <c r="C64" s="9">
        <v>0</v>
      </c>
      <c r="D64" s="9">
        <v>34.363</v>
      </c>
      <c r="E64" s="9">
        <f t="shared" si="2"/>
        <v>34.363</v>
      </c>
      <c r="G64">
        <v>53</v>
      </c>
      <c r="H64">
        <v>66</v>
      </c>
      <c r="I64">
        <v>58</v>
      </c>
      <c r="J64" s="20">
        <v>222</v>
      </c>
      <c r="K64">
        <f t="shared" si="3"/>
        <v>346</v>
      </c>
    </row>
    <row r="65" spans="1:11" x14ac:dyDescent="0.25">
      <c r="A65">
        <v>54</v>
      </c>
      <c r="B65" s="9">
        <v>0</v>
      </c>
      <c r="C65" s="9">
        <v>0</v>
      </c>
      <c r="D65" s="9">
        <v>0</v>
      </c>
      <c r="E65" s="9">
        <f t="shared" si="2"/>
        <v>0</v>
      </c>
      <c r="G65">
        <v>54</v>
      </c>
      <c r="H65">
        <v>205</v>
      </c>
      <c r="I65">
        <v>76</v>
      </c>
      <c r="J65" s="20">
        <v>479</v>
      </c>
      <c r="K65">
        <f t="shared" si="3"/>
        <v>760</v>
      </c>
    </row>
    <row r="66" spans="1:11" x14ac:dyDescent="0.25">
      <c r="A66">
        <v>55</v>
      </c>
      <c r="B66" s="9">
        <v>0</v>
      </c>
      <c r="C66" s="9">
        <v>0</v>
      </c>
      <c r="D66" s="9">
        <v>20.286000000000001</v>
      </c>
      <c r="E66" s="9">
        <f t="shared" si="2"/>
        <v>20.286000000000001</v>
      </c>
      <c r="G66">
        <v>55</v>
      </c>
      <c r="H66">
        <v>128</v>
      </c>
      <c r="I66">
        <v>70</v>
      </c>
      <c r="J66" s="20">
        <v>249</v>
      </c>
      <c r="K66">
        <f t="shared" si="3"/>
        <v>447</v>
      </c>
    </row>
    <row r="67" spans="1:11" x14ac:dyDescent="0.25">
      <c r="A67">
        <v>56</v>
      </c>
      <c r="B67" s="9">
        <v>0</v>
      </c>
      <c r="C67" s="9">
        <v>0</v>
      </c>
      <c r="D67" s="9">
        <v>14.584</v>
      </c>
      <c r="E67" s="9">
        <f t="shared" si="2"/>
        <v>14.584</v>
      </c>
      <c r="G67">
        <v>56</v>
      </c>
      <c r="H67">
        <v>82</v>
      </c>
      <c r="I67">
        <v>49</v>
      </c>
      <c r="J67" s="20">
        <v>214</v>
      </c>
      <c r="K67">
        <f t="shared" si="3"/>
        <v>345</v>
      </c>
    </row>
    <row r="68" spans="1:11" x14ac:dyDescent="0.25">
      <c r="A68">
        <v>57</v>
      </c>
      <c r="B68" s="9">
        <v>0</v>
      </c>
      <c r="C68" s="9">
        <v>0</v>
      </c>
      <c r="D68" s="9">
        <v>236.04669999999999</v>
      </c>
      <c r="E68" s="9">
        <f t="shared" si="2"/>
        <v>236.04669999999999</v>
      </c>
      <c r="G68">
        <v>57</v>
      </c>
      <c r="H68">
        <v>35</v>
      </c>
      <c r="I68">
        <v>41</v>
      </c>
      <c r="J68" s="20">
        <v>216</v>
      </c>
      <c r="K68">
        <f t="shared" si="3"/>
        <v>292</v>
      </c>
    </row>
    <row r="69" spans="1:11" x14ac:dyDescent="0.25">
      <c r="A69">
        <v>58</v>
      </c>
      <c r="B69" s="9">
        <v>0</v>
      </c>
      <c r="C69" s="9">
        <v>0</v>
      </c>
      <c r="D69" s="9">
        <v>0</v>
      </c>
      <c r="E69" s="9">
        <f t="shared" si="2"/>
        <v>0</v>
      </c>
      <c r="G69">
        <v>58</v>
      </c>
      <c r="H69">
        <v>54</v>
      </c>
      <c r="I69">
        <v>39</v>
      </c>
      <c r="J69" s="20">
        <v>178</v>
      </c>
      <c r="K69">
        <f t="shared" si="3"/>
        <v>271</v>
      </c>
    </row>
    <row r="70" spans="1:11" x14ac:dyDescent="0.25">
      <c r="A70">
        <v>59</v>
      </c>
      <c r="B70" s="9">
        <v>0</v>
      </c>
      <c r="C70" s="9">
        <v>0</v>
      </c>
      <c r="D70" s="9">
        <v>15.827999999999999</v>
      </c>
      <c r="E70" s="9">
        <f t="shared" si="2"/>
        <v>15.827999999999999</v>
      </c>
      <c r="G70">
        <v>59</v>
      </c>
      <c r="H70">
        <v>67</v>
      </c>
      <c r="I70">
        <v>47</v>
      </c>
      <c r="J70" s="20">
        <v>127</v>
      </c>
      <c r="K70">
        <f t="shared" si="3"/>
        <v>241</v>
      </c>
    </row>
    <row r="71" spans="1:11" x14ac:dyDescent="0.25">
      <c r="A71">
        <v>60</v>
      </c>
      <c r="B71" s="9">
        <v>0</v>
      </c>
      <c r="C71" s="9">
        <v>0</v>
      </c>
      <c r="D71" s="9">
        <v>13.452999999999999</v>
      </c>
      <c r="E71" s="9">
        <f t="shared" si="2"/>
        <v>13.452999999999999</v>
      </c>
      <c r="G71">
        <v>60</v>
      </c>
      <c r="H71">
        <v>29</v>
      </c>
      <c r="I71">
        <v>42</v>
      </c>
      <c r="J71" s="20">
        <v>216</v>
      </c>
      <c r="K71">
        <f t="shared" si="3"/>
        <v>287</v>
      </c>
    </row>
    <row r="72" spans="1:11" x14ac:dyDescent="0.25">
      <c r="A72">
        <v>61</v>
      </c>
      <c r="B72" s="9">
        <v>0</v>
      </c>
      <c r="C72" s="9">
        <v>0</v>
      </c>
      <c r="D72" s="9">
        <v>11.159000000000001</v>
      </c>
      <c r="E72" s="9">
        <f t="shared" si="2"/>
        <v>11.159000000000001</v>
      </c>
      <c r="G72">
        <v>61</v>
      </c>
      <c r="H72">
        <v>25</v>
      </c>
      <c r="I72">
        <v>25</v>
      </c>
      <c r="J72" s="20">
        <v>107</v>
      </c>
      <c r="K72">
        <f t="shared" si="3"/>
        <v>157</v>
      </c>
    </row>
    <row r="73" spans="1:11" x14ac:dyDescent="0.25">
      <c r="A73">
        <v>62</v>
      </c>
      <c r="B73" s="9">
        <v>0</v>
      </c>
      <c r="C73" s="9">
        <v>0</v>
      </c>
      <c r="D73" s="9">
        <v>0</v>
      </c>
      <c r="E73" s="9">
        <f t="shared" si="2"/>
        <v>0</v>
      </c>
      <c r="G73">
        <v>62</v>
      </c>
      <c r="H73">
        <v>27</v>
      </c>
      <c r="I73">
        <v>27</v>
      </c>
      <c r="J73" s="20">
        <v>262</v>
      </c>
      <c r="K73">
        <f t="shared" si="3"/>
        <v>316</v>
      </c>
    </row>
    <row r="74" spans="1:11" x14ac:dyDescent="0.25">
      <c r="A74">
        <v>63</v>
      </c>
      <c r="B74" s="9">
        <v>0</v>
      </c>
      <c r="C74" s="9">
        <v>0</v>
      </c>
      <c r="D74" s="9">
        <v>12.739000000000001</v>
      </c>
      <c r="E74" s="9">
        <f t="shared" si="2"/>
        <v>12.739000000000001</v>
      </c>
      <c r="G74">
        <v>63</v>
      </c>
      <c r="H74">
        <v>57</v>
      </c>
      <c r="I74">
        <v>31</v>
      </c>
      <c r="J74" s="20">
        <v>230</v>
      </c>
      <c r="K74">
        <f t="shared" si="3"/>
        <v>318</v>
      </c>
    </row>
    <row r="75" spans="1:11" x14ac:dyDescent="0.25">
      <c r="A75">
        <v>64</v>
      </c>
      <c r="B75" s="9">
        <v>0</v>
      </c>
      <c r="C75" s="9">
        <v>0</v>
      </c>
      <c r="D75" s="9">
        <v>27.164999999999999</v>
      </c>
      <c r="E75" s="9">
        <f t="shared" ref="E75:E101" si="4">SUM(B75:D75)</f>
        <v>27.164999999999999</v>
      </c>
      <c r="G75">
        <v>64</v>
      </c>
      <c r="H75">
        <v>40</v>
      </c>
      <c r="I75">
        <v>26</v>
      </c>
      <c r="J75" s="20">
        <v>138</v>
      </c>
      <c r="K75">
        <f t="shared" ref="K75:K101" si="5">SUM(H75:J75)</f>
        <v>204</v>
      </c>
    </row>
    <row r="76" spans="1:11" x14ac:dyDescent="0.25">
      <c r="A76">
        <v>65</v>
      </c>
      <c r="B76" s="9">
        <v>0</v>
      </c>
      <c r="C76" s="9">
        <v>0</v>
      </c>
      <c r="D76" s="9">
        <v>0</v>
      </c>
      <c r="E76" s="9">
        <f t="shared" si="4"/>
        <v>0</v>
      </c>
      <c r="G76">
        <v>65</v>
      </c>
      <c r="H76">
        <v>10</v>
      </c>
      <c r="I76">
        <v>9</v>
      </c>
      <c r="J76" s="20">
        <v>75</v>
      </c>
      <c r="K76">
        <f t="shared" si="5"/>
        <v>94</v>
      </c>
    </row>
    <row r="77" spans="1:11" x14ac:dyDescent="0.25">
      <c r="A77">
        <v>66</v>
      </c>
      <c r="B77" s="9">
        <v>0</v>
      </c>
      <c r="C77" s="9">
        <v>78.963099999999997</v>
      </c>
      <c r="D77" s="9">
        <v>13.49</v>
      </c>
      <c r="E77" s="9">
        <f t="shared" si="4"/>
        <v>92.453099999999992</v>
      </c>
      <c r="G77">
        <v>66</v>
      </c>
      <c r="H77">
        <v>12</v>
      </c>
      <c r="I77">
        <v>7</v>
      </c>
      <c r="J77" s="20">
        <v>56</v>
      </c>
      <c r="K77">
        <f t="shared" si="5"/>
        <v>75</v>
      </c>
    </row>
    <row r="78" spans="1:11" x14ac:dyDescent="0.25">
      <c r="A78">
        <v>67</v>
      </c>
      <c r="B78" s="9">
        <v>0</v>
      </c>
      <c r="C78" s="9">
        <v>0</v>
      </c>
      <c r="D78" s="9">
        <v>3.6459999999999999</v>
      </c>
      <c r="E78" s="9">
        <f t="shared" si="4"/>
        <v>3.6459999999999999</v>
      </c>
      <c r="G78">
        <v>67</v>
      </c>
      <c r="H78">
        <v>30</v>
      </c>
      <c r="I78">
        <v>17</v>
      </c>
      <c r="J78" s="20">
        <v>136</v>
      </c>
      <c r="K78">
        <f t="shared" si="5"/>
        <v>183</v>
      </c>
    </row>
    <row r="79" spans="1:11" x14ac:dyDescent="0.25">
      <c r="A79">
        <v>68</v>
      </c>
      <c r="B79" s="9">
        <v>0</v>
      </c>
      <c r="C79" s="9">
        <v>0</v>
      </c>
      <c r="D79" s="9">
        <v>0</v>
      </c>
      <c r="E79" s="9">
        <f t="shared" si="4"/>
        <v>0</v>
      </c>
      <c r="G79">
        <v>68</v>
      </c>
      <c r="H79">
        <v>12</v>
      </c>
      <c r="I79">
        <v>11</v>
      </c>
      <c r="J79" s="20">
        <v>157</v>
      </c>
      <c r="K79">
        <f t="shared" si="5"/>
        <v>180</v>
      </c>
    </row>
    <row r="80" spans="1:11" x14ac:dyDescent="0.25">
      <c r="A80">
        <v>69</v>
      </c>
      <c r="B80" s="9">
        <v>0</v>
      </c>
      <c r="C80" s="9">
        <v>0</v>
      </c>
      <c r="D80" s="9">
        <v>0</v>
      </c>
      <c r="E80" s="9">
        <f t="shared" si="4"/>
        <v>0</v>
      </c>
      <c r="G80">
        <v>69</v>
      </c>
      <c r="H80">
        <v>5</v>
      </c>
      <c r="I80">
        <v>9</v>
      </c>
      <c r="J80" s="20">
        <v>45</v>
      </c>
      <c r="K80">
        <f t="shared" si="5"/>
        <v>59</v>
      </c>
    </row>
    <row r="81" spans="1:11" x14ac:dyDescent="0.25">
      <c r="A81">
        <v>70</v>
      </c>
      <c r="B81" s="9">
        <v>0</v>
      </c>
      <c r="C81" s="9">
        <v>0</v>
      </c>
      <c r="D81" s="9">
        <v>468.98939999999999</v>
      </c>
      <c r="E81" s="9">
        <f t="shared" si="4"/>
        <v>468.98939999999999</v>
      </c>
      <c r="G81">
        <v>70</v>
      </c>
      <c r="H81">
        <v>4</v>
      </c>
      <c r="I81">
        <v>9</v>
      </c>
      <c r="J81" s="20">
        <v>63</v>
      </c>
      <c r="K81">
        <f t="shared" si="5"/>
        <v>76</v>
      </c>
    </row>
    <row r="82" spans="1:11" x14ac:dyDescent="0.25">
      <c r="A82">
        <v>71</v>
      </c>
      <c r="B82" s="9">
        <v>0</v>
      </c>
      <c r="C82" s="9">
        <v>0</v>
      </c>
      <c r="D82" s="9">
        <v>0</v>
      </c>
      <c r="E82" s="9">
        <f t="shared" si="4"/>
        <v>0</v>
      </c>
      <c r="G82">
        <v>71</v>
      </c>
      <c r="H82">
        <v>2</v>
      </c>
      <c r="I82">
        <v>5</v>
      </c>
      <c r="J82" s="20">
        <v>49</v>
      </c>
      <c r="K82">
        <f t="shared" si="5"/>
        <v>56</v>
      </c>
    </row>
    <row r="83" spans="1:11" x14ac:dyDescent="0.25">
      <c r="A83">
        <v>72</v>
      </c>
      <c r="B83" s="9">
        <v>0</v>
      </c>
      <c r="C83" s="9">
        <v>0</v>
      </c>
      <c r="D83" s="9">
        <v>4.077</v>
      </c>
      <c r="E83" s="9">
        <f t="shared" si="4"/>
        <v>4.077</v>
      </c>
      <c r="G83">
        <v>72</v>
      </c>
      <c r="H83">
        <v>3</v>
      </c>
      <c r="I83">
        <v>9</v>
      </c>
      <c r="J83" s="20">
        <v>25</v>
      </c>
      <c r="K83">
        <f t="shared" si="5"/>
        <v>37</v>
      </c>
    </row>
    <row r="84" spans="1:11" x14ac:dyDescent="0.25">
      <c r="A84">
        <v>73</v>
      </c>
      <c r="B84" s="9">
        <v>0</v>
      </c>
      <c r="C84" s="9">
        <v>0</v>
      </c>
      <c r="D84" s="9">
        <v>4.4429999999999996</v>
      </c>
      <c r="E84" s="9">
        <f t="shared" si="4"/>
        <v>4.4429999999999996</v>
      </c>
      <c r="G84">
        <v>73</v>
      </c>
      <c r="H84">
        <v>11</v>
      </c>
      <c r="I84">
        <v>7</v>
      </c>
      <c r="J84" s="20">
        <v>41</v>
      </c>
      <c r="K84">
        <f t="shared" si="5"/>
        <v>59</v>
      </c>
    </row>
    <row r="85" spans="1:11" x14ac:dyDescent="0.25">
      <c r="A85">
        <v>74</v>
      </c>
      <c r="B85" s="9">
        <v>0</v>
      </c>
      <c r="C85" s="9">
        <v>0</v>
      </c>
      <c r="D85" s="9">
        <v>238.0368</v>
      </c>
      <c r="E85" s="9">
        <f t="shared" si="4"/>
        <v>238.0368</v>
      </c>
      <c r="G85">
        <v>74</v>
      </c>
      <c r="H85">
        <v>1</v>
      </c>
      <c r="I85">
        <v>3</v>
      </c>
      <c r="J85" s="20">
        <v>30</v>
      </c>
      <c r="K85">
        <f t="shared" si="5"/>
        <v>34</v>
      </c>
    </row>
    <row r="86" spans="1:11" x14ac:dyDescent="0.25">
      <c r="A86">
        <v>75</v>
      </c>
      <c r="B86" s="9">
        <v>0</v>
      </c>
      <c r="C86" s="9">
        <v>0</v>
      </c>
      <c r="D86" s="9">
        <v>13.605</v>
      </c>
      <c r="E86" s="9">
        <f t="shared" si="4"/>
        <v>13.605</v>
      </c>
      <c r="G86">
        <v>75</v>
      </c>
      <c r="H86">
        <v>3</v>
      </c>
      <c r="I86">
        <v>10</v>
      </c>
      <c r="J86" s="20">
        <v>23</v>
      </c>
      <c r="K86">
        <f t="shared" si="5"/>
        <v>36</v>
      </c>
    </row>
    <row r="87" spans="1:11" x14ac:dyDescent="0.25">
      <c r="A87">
        <v>76</v>
      </c>
      <c r="B87" s="9">
        <v>0</v>
      </c>
      <c r="C87" s="9">
        <v>0</v>
      </c>
      <c r="D87" s="9">
        <v>360.68709999999999</v>
      </c>
      <c r="E87" s="9">
        <f t="shared" si="4"/>
        <v>360.68709999999999</v>
      </c>
      <c r="G87">
        <v>76</v>
      </c>
      <c r="H87">
        <v>3</v>
      </c>
      <c r="I87">
        <v>5</v>
      </c>
      <c r="J87" s="20">
        <v>11</v>
      </c>
      <c r="K87">
        <f t="shared" si="5"/>
        <v>19</v>
      </c>
    </row>
    <row r="88" spans="1:11" x14ac:dyDescent="0.25">
      <c r="A88">
        <v>77</v>
      </c>
      <c r="B88" s="9">
        <v>0</v>
      </c>
      <c r="C88" s="9">
        <v>0</v>
      </c>
      <c r="D88" s="9">
        <v>18.192</v>
      </c>
      <c r="E88" s="9">
        <f t="shared" si="4"/>
        <v>18.192</v>
      </c>
      <c r="G88">
        <v>77</v>
      </c>
      <c r="H88">
        <v>5</v>
      </c>
      <c r="I88">
        <v>5</v>
      </c>
      <c r="J88" s="20">
        <v>24</v>
      </c>
      <c r="K88">
        <f t="shared" si="5"/>
        <v>34</v>
      </c>
    </row>
    <row r="89" spans="1:11" x14ac:dyDescent="0.25">
      <c r="A89">
        <v>78</v>
      </c>
      <c r="B89" s="9">
        <v>0</v>
      </c>
      <c r="C89" s="9">
        <v>0</v>
      </c>
      <c r="D89" s="9">
        <v>35.024999999999999</v>
      </c>
      <c r="E89" s="9">
        <f t="shared" si="4"/>
        <v>35.024999999999999</v>
      </c>
      <c r="G89">
        <v>78</v>
      </c>
      <c r="H89">
        <v>4</v>
      </c>
      <c r="I89">
        <v>2</v>
      </c>
      <c r="J89" s="20">
        <v>34</v>
      </c>
      <c r="K89">
        <f t="shared" si="5"/>
        <v>40</v>
      </c>
    </row>
    <row r="90" spans="1:11" x14ac:dyDescent="0.25">
      <c r="A90">
        <v>79</v>
      </c>
      <c r="B90" s="9">
        <v>0</v>
      </c>
      <c r="C90" s="9">
        <v>0</v>
      </c>
      <c r="D90" s="9">
        <v>8.5360000000000014</v>
      </c>
      <c r="E90" s="9">
        <f t="shared" si="4"/>
        <v>8.5360000000000014</v>
      </c>
      <c r="G90">
        <v>79</v>
      </c>
      <c r="H90">
        <v>1</v>
      </c>
      <c r="I90">
        <v>1</v>
      </c>
      <c r="J90" s="20">
        <v>11</v>
      </c>
      <c r="K90">
        <f t="shared" si="5"/>
        <v>13</v>
      </c>
    </row>
    <row r="91" spans="1:11" x14ac:dyDescent="0.25">
      <c r="A91">
        <v>80</v>
      </c>
      <c r="B91" s="9">
        <v>0</v>
      </c>
      <c r="C91" s="9">
        <v>0</v>
      </c>
      <c r="D91" s="9">
        <v>0</v>
      </c>
      <c r="E91" s="9">
        <f t="shared" si="4"/>
        <v>0</v>
      </c>
      <c r="G91">
        <v>80</v>
      </c>
      <c r="H91">
        <v>7</v>
      </c>
      <c r="I91">
        <v>3</v>
      </c>
      <c r="J91" s="20">
        <v>6</v>
      </c>
      <c r="K91">
        <f t="shared" si="5"/>
        <v>16</v>
      </c>
    </row>
    <row r="92" spans="1:11" x14ac:dyDescent="0.25">
      <c r="A92">
        <v>81</v>
      </c>
      <c r="B92" s="9">
        <v>0</v>
      </c>
      <c r="C92" s="9">
        <v>0</v>
      </c>
      <c r="D92" s="9">
        <v>0</v>
      </c>
      <c r="E92" s="9">
        <f t="shared" si="4"/>
        <v>0</v>
      </c>
      <c r="G92">
        <v>81</v>
      </c>
      <c r="H92">
        <v>7</v>
      </c>
      <c r="I92">
        <v>2</v>
      </c>
      <c r="J92" s="20">
        <v>42</v>
      </c>
      <c r="K92">
        <f t="shared" si="5"/>
        <v>51</v>
      </c>
    </row>
    <row r="93" spans="1:11" x14ac:dyDescent="0.25">
      <c r="A93">
        <v>82</v>
      </c>
      <c r="B93" s="9">
        <v>0</v>
      </c>
      <c r="C93" s="9">
        <v>0</v>
      </c>
      <c r="D93" s="9">
        <v>17.632000000000001</v>
      </c>
      <c r="E93" s="9">
        <f t="shared" si="4"/>
        <v>17.632000000000001</v>
      </c>
      <c r="G93">
        <v>82</v>
      </c>
      <c r="H93">
        <v>0</v>
      </c>
      <c r="I93">
        <v>0</v>
      </c>
      <c r="J93" s="20">
        <v>23</v>
      </c>
      <c r="K93">
        <f t="shared" si="5"/>
        <v>23</v>
      </c>
    </row>
    <row r="94" spans="1:11" x14ac:dyDescent="0.25">
      <c r="A94">
        <v>83</v>
      </c>
      <c r="B94" s="9">
        <v>0</v>
      </c>
      <c r="C94" s="9">
        <v>0</v>
      </c>
      <c r="D94" s="9">
        <v>0</v>
      </c>
      <c r="E94" s="9">
        <f t="shared" si="4"/>
        <v>0</v>
      </c>
      <c r="G94">
        <v>83</v>
      </c>
      <c r="H94">
        <v>0</v>
      </c>
      <c r="I94">
        <v>4</v>
      </c>
      <c r="J94" s="20">
        <v>18</v>
      </c>
      <c r="K94">
        <f t="shared" si="5"/>
        <v>22</v>
      </c>
    </row>
    <row r="95" spans="1:11" x14ac:dyDescent="0.25">
      <c r="A95">
        <v>84</v>
      </c>
      <c r="B95" s="9">
        <v>0</v>
      </c>
      <c r="C95" s="9">
        <v>0</v>
      </c>
      <c r="D95" s="9">
        <v>0</v>
      </c>
      <c r="E95" s="9">
        <f t="shared" si="4"/>
        <v>0</v>
      </c>
      <c r="G95">
        <v>84</v>
      </c>
      <c r="H95">
        <v>0</v>
      </c>
      <c r="I95">
        <v>1</v>
      </c>
      <c r="J95" s="20">
        <v>9</v>
      </c>
      <c r="K95">
        <f t="shared" si="5"/>
        <v>10</v>
      </c>
    </row>
    <row r="96" spans="1:11" x14ac:dyDescent="0.25">
      <c r="A96">
        <v>85</v>
      </c>
      <c r="B96" s="9">
        <v>0</v>
      </c>
      <c r="C96" s="9">
        <v>0</v>
      </c>
      <c r="D96" s="9">
        <v>0</v>
      </c>
      <c r="E96" s="9">
        <f t="shared" si="4"/>
        <v>0</v>
      </c>
      <c r="G96">
        <v>85</v>
      </c>
      <c r="H96">
        <v>1</v>
      </c>
      <c r="I96">
        <v>0</v>
      </c>
      <c r="J96" s="20">
        <v>16</v>
      </c>
      <c r="K96">
        <f t="shared" si="5"/>
        <v>17</v>
      </c>
    </row>
    <row r="97" spans="1:11" x14ac:dyDescent="0.25">
      <c r="A97">
        <v>86</v>
      </c>
      <c r="B97" s="9">
        <v>0</v>
      </c>
      <c r="C97" s="9">
        <v>0</v>
      </c>
      <c r="D97" s="9">
        <v>0</v>
      </c>
      <c r="E97" s="9">
        <f t="shared" si="4"/>
        <v>0</v>
      </c>
      <c r="G97">
        <v>86</v>
      </c>
      <c r="H97">
        <v>0</v>
      </c>
      <c r="I97">
        <v>1</v>
      </c>
      <c r="J97" s="20">
        <v>5</v>
      </c>
      <c r="K97">
        <f t="shared" si="5"/>
        <v>6</v>
      </c>
    </row>
    <row r="98" spans="1:11" x14ac:dyDescent="0.25">
      <c r="A98">
        <v>87</v>
      </c>
      <c r="B98" s="9">
        <v>0</v>
      </c>
      <c r="C98" s="9">
        <v>0</v>
      </c>
      <c r="D98" s="9">
        <v>4.077</v>
      </c>
      <c r="E98" s="9">
        <f t="shared" si="4"/>
        <v>4.077</v>
      </c>
      <c r="G98">
        <v>87</v>
      </c>
      <c r="H98">
        <v>0</v>
      </c>
      <c r="I98">
        <v>0</v>
      </c>
      <c r="J98" s="20">
        <v>9</v>
      </c>
      <c r="K98">
        <f t="shared" si="5"/>
        <v>9</v>
      </c>
    </row>
    <row r="99" spans="1:11" x14ac:dyDescent="0.25">
      <c r="A99">
        <v>88</v>
      </c>
      <c r="B99" s="9">
        <v>0</v>
      </c>
      <c r="C99" s="9">
        <v>0</v>
      </c>
      <c r="D99" s="9">
        <v>0</v>
      </c>
      <c r="E99" s="9">
        <f t="shared" si="4"/>
        <v>0</v>
      </c>
      <c r="G99">
        <v>88</v>
      </c>
      <c r="H99">
        <v>0</v>
      </c>
      <c r="I99">
        <v>3</v>
      </c>
      <c r="J99" s="20">
        <v>0</v>
      </c>
      <c r="K99">
        <f t="shared" si="5"/>
        <v>3</v>
      </c>
    </row>
    <row r="100" spans="1:11" x14ac:dyDescent="0.25">
      <c r="A100">
        <v>89</v>
      </c>
      <c r="B100" s="9">
        <v>0</v>
      </c>
      <c r="C100" s="9">
        <v>0</v>
      </c>
      <c r="D100" s="9">
        <v>788.45139999999992</v>
      </c>
      <c r="E100" s="9">
        <f t="shared" si="4"/>
        <v>788.45139999999992</v>
      </c>
      <c r="G100">
        <v>89</v>
      </c>
      <c r="H100">
        <v>11</v>
      </c>
      <c r="I100">
        <v>5</v>
      </c>
      <c r="J100" s="20">
        <v>58</v>
      </c>
      <c r="K100">
        <f t="shared" si="5"/>
        <v>74</v>
      </c>
    </row>
    <row r="101" spans="1:11" ht="15.75" thickBot="1" x14ac:dyDescent="0.3">
      <c r="A101" s="1">
        <v>90</v>
      </c>
      <c r="B101" s="10">
        <v>56177.107199999999</v>
      </c>
      <c r="C101" s="10">
        <v>10417.5607</v>
      </c>
      <c r="D101" s="10">
        <v>42483.839500000002</v>
      </c>
      <c r="E101" s="10">
        <f t="shared" si="4"/>
        <v>109078.5074</v>
      </c>
      <c r="G101" s="1">
        <v>90</v>
      </c>
      <c r="H101" s="1">
        <v>21546</v>
      </c>
      <c r="I101" s="1">
        <v>0</v>
      </c>
      <c r="J101" s="1">
        <v>0</v>
      </c>
      <c r="K101" s="1">
        <f t="shared" si="5"/>
        <v>21546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width="12.140625" customWidth="1" collapsed="1"/>
    <col min="5" max="5" width="9.5703125" bestFit="1" customWidth="1" collapsed="1"/>
    <col min="8" max="8" width="10.85546875" customWidth="1" collapsed="1"/>
    <col min="12" max="12" width="9.5703125" bestFit="1" customWidth="1" collapsed="1"/>
  </cols>
  <sheetData>
    <row r="1" spans="1:12" x14ac:dyDescent="0.25">
      <c r="A1" t="s">
        <v>14</v>
      </c>
    </row>
    <row r="2" spans="1:12" x14ac:dyDescent="0.25">
      <c r="A2" t="s">
        <v>257</v>
      </c>
    </row>
    <row r="3" spans="1:12" x14ac:dyDescent="0.25">
      <c r="A3" t="s">
        <v>258</v>
      </c>
    </row>
    <row r="4" spans="1:12" x14ac:dyDescent="0.25">
      <c r="A4" t="s">
        <v>6</v>
      </c>
    </row>
    <row r="5" spans="1:12" x14ac:dyDescent="0.25">
      <c r="A5" t="s">
        <v>7</v>
      </c>
    </row>
    <row r="9" spans="1:12" ht="15.75" thickBot="1" x14ac:dyDescent="0.3">
      <c r="A9" s="4" t="s">
        <v>200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81225.823000000004</v>
      </c>
      <c r="C11" s="13">
        <f>SUM(TDFD!C11:C15)</f>
        <v>3309.6236999999996</v>
      </c>
      <c r="D11" s="13">
        <f>SUM(TDFD!D11:D15)</f>
        <v>4869.4335000000001</v>
      </c>
      <c r="E11" s="13">
        <f>SUM(TDFD!E11:E15)</f>
        <v>89404.8802</v>
      </c>
      <c r="H11" t="s">
        <v>15</v>
      </c>
      <c r="I11" s="13">
        <f>SUM(TDFD!H11:H15)</f>
        <v>99043</v>
      </c>
      <c r="J11" s="13">
        <f>SUM(TDFD!I11:I15)</f>
        <v>16270</v>
      </c>
      <c r="K11" s="13">
        <f>SUM(TDFD!J11:J15)</f>
        <v>16871</v>
      </c>
      <c r="L11" s="13">
        <f>SUM(TDFD!K11:K15)</f>
        <v>132184</v>
      </c>
    </row>
    <row r="12" spans="1:12" x14ac:dyDescent="0.25">
      <c r="A12" t="s">
        <v>16</v>
      </c>
      <c r="B12" s="13">
        <f>SUM(TDFD!B16:B20)</f>
        <v>171278.6686</v>
      </c>
      <c r="C12" s="13">
        <f>SUM(TDFD!C16:C20)</f>
        <v>18058.4611</v>
      </c>
      <c r="D12" s="13">
        <f>SUM(TDFD!D16:D20)</f>
        <v>10429.2757</v>
      </c>
      <c r="E12" s="13">
        <f>SUM(TDFD!E16:E20)</f>
        <v>199766.40539999999</v>
      </c>
      <c r="H12" t="s">
        <v>16</v>
      </c>
      <c r="I12" s="13">
        <f>SUM(TDFD!H16:H20)</f>
        <v>82168</v>
      </c>
      <c r="J12" s="13">
        <f>SUM(TDFD!I16:I20)</f>
        <v>15654</v>
      </c>
      <c r="K12" s="13">
        <f>SUM(TDFD!J16:J20)</f>
        <v>13928</v>
      </c>
      <c r="L12" s="13">
        <f>SUM(TDFD!K16:K20)</f>
        <v>111750</v>
      </c>
    </row>
    <row r="13" spans="1:12" x14ac:dyDescent="0.25">
      <c r="A13" t="s">
        <v>17</v>
      </c>
      <c r="B13" s="13">
        <f>SUM(TDFD!B21:B25)</f>
        <v>102180.40789999999</v>
      </c>
      <c r="C13" s="13">
        <f>SUM(TDFD!C21:C25)</f>
        <v>26833.539400000001</v>
      </c>
      <c r="D13" s="13">
        <f>SUM(TDFD!D21:D25)</f>
        <v>15405.069099999999</v>
      </c>
      <c r="E13" s="13">
        <f>SUM(TDFD!E21:E25)</f>
        <v>144419.01639999999</v>
      </c>
      <c r="H13" t="s">
        <v>17</v>
      </c>
      <c r="I13" s="13">
        <f>SUM(TDFD!H21:H25)</f>
        <v>41126</v>
      </c>
      <c r="J13" s="13">
        <f>SUM(TDFD!I21:I25)</f>
        <v>9798</v>
      </c>
      <c r="K13" s="13">
        <f>SUM(TDFD!J21:J25)</f>
        <v>7697</v>
      </c>
      <c r="L13" s="13">
        <f>SUM(TDFD!K21:K25)</f>
        <v>58621</v>
      </c>
    </row>
    <row r="14" spans="1:12" x14ac:dyDescent="0.25">
      <c r="A14" t="s">
        <v>18</v>
      </c>
      <c r="B14" s="13">
        <f>SUM(TDFD!B26:B30)</f>
        <v>52756.340100000001</v>
      </c>
      <c r="C14" s="13">
        <f>SUM(TDFD!C26:C30)</f>
        <v>7977.6089000000002</v>
      </c>
      <c r="D14" s="13">
        <f>SUM(TDFD!D26:D30)</f>
        <v>12613.8953</v>
      </c>
      <c r="E14" s="13">
        <f>SUM(TDFD!E26:E30)</f>
        <v>73347.844299999997</v>
      </c>
      <c r="H14" t="s">
        <v>18</v>
      </c>
      <c r="I14" s="13">
        <f>SUM(TDFD!H26:H30)</f>
        <v>92305</v>
      </c>
      <c r="J14" s="13">
        <f>SUM(TDFD!I26:I30)</f>
        <v>24451</v>
      </c>
      <c r="K14" s="13">
        <f>SUM(TDFD!J26:J30)</f>
        <v>22366</v>
      </c>
      <c r="L14" s="13">
        <f>SUM(TDFD!K26:K30)</f>
        <v>139122</v>
      </c>
    </row>
    <row r="15" spans="1:12" x14ac:dyDescent="0.25">
      <c r="A15" t="s">
        <v>19</v>
      </c>
      <c r="B15" s="13">
        <f>SUM(TDFD!B31:B35)</f>
        <v>23615.986499999999</v>
      </c>
      <c r="C15" s="13">
        <f>SUM(TDFD!C31:C35)</f>
        <v>5283.6747000000005</v>
      </c>
      <c r="D15" s="13">
        <f>SUM(TDFD!D31:D35)</f>
        <v>6540.4344000000001</v>
      </c>
      <c r="E15" s="13">
        <f>SUM(TDFD!E31:E35)</f>
        <v>35440.095600000001</v>
      </c>
      <c r="H15" t="s">
        <v>19</v>
      </c>
      <c r="I15" s="13">
        <f>SUM(TDFD!H31:H35)</f>
        <v>77112</v>
      </c>
      <c r="J15" s="13">
        <f>SUM(TDFD!I31:I35)</f>
        <v>24264</v>
      </c>
      <c r="K15" s="13">
        <f>SUM(TDFD!J31:J35)</f>
        <v>38093</v>
      </c>
      <c r="L15" s="13">
        <f>SUM(TDFD!K31:K35)</f>
        <v>139469</v>
      </c>
    </row>
    <row r="16" spans="1:12" x14ac:dyDescent="0.25">
      <c r="A16" t="s">
        <v>20</v>
      </c>
      <c r="B16" s="13">
        <f>SUM(TDFD!B36:B40)</f>
        <v>8230.9925000000003</v>
      </c>
      <c r="C16" s="13">
        <f>SUM(TDFD!C36:C40)</f>
        <v>1872.4603</v>
      </c>
      <c r="D16" s="13">
        <f>SUM(TDFD!D36:D40)</f>
        <v>7214.0252999999993</v>
      </c>
      <c r="E16" s="13">
        <f>SUM(TDFD!E36:E40)</f>
        <v>17317.4781</v>
      </c>
      <c r="H16" t="s">
        <v>20</v>
      </c>
      <c r="I16" s="13">
        <f>SUM(TDFD!H36:H40)</f>
        <v>47729</v>
      </c>
      <c r="J16" s="13">
        <f>SUM(TDFD!I36:I40)</f>
        <v>14315</v>
      </c>
      <c r="K16" s="13">
        <f>SUM(TDFD!J36:J40)</f>
        <v>32211</v>
      </c>
      <c r="L16" s="13">
        <f>SUM(TDFD!K36:K40)</f>
        <v>94255</v>
      </c>
    </row>
    <row r="17" spans="1:12" x14ac:dyDescent="0.25">
      <c r="A17" t="s">
        <v>21</v>
      </c>
      <c r="B17" s="13">
        <f>SUM(TDFD!B41:B45)</f>
        <v>9762.9562999999998</v>
      </c>
      <c r="C17" s="13">
        <f>SUM(TDFD!C41:C45)</f>
        <v>1457.3172</v>
      </c>
      <c r="D17" s="13">
        <f>SUM(TDFD!D41:D45)</f>
        <v>2981.5119000000004</v>
      </c>
      <c r="E17" s="13">
        <f>SUM(TDFD!E41:E45)</f>
        <v>14201.785400000001</v>
      </c>
      <c r="H17" t="s">
        <v>21</v>
      </c>
      <c r="I17" s="13">
        <f>SUM(TDFD!H41:H45)</f>
        <v>27238</v>
      </c>
      <c r="J17" s="13">
        <f>SUM(TDFD!I41:I45)</f>
        <v>7441</v>
      </c>
      <c r="K17" s="13">
        <f>SUM(TDFD!J41:J45)</f>
        <v>16837</v>
      </c>
      <c r="L17" s="13">
        <f>SUM(TDFD!K41:K45)</f>
        <v>51516</v>
      </c>
    </row>
    <row r="18" spans="1:12" x14ac:dyDescent="0.25">
      <c r="A18" t="s">
        <v>22</v>
      </c>
      <c r="B18" s="13">
        <f>SUM(TDFD!B46:B50)</f>
        <v>6567.5595000000003</v>
      </c>
      <c r="C18" s="13">
        <f>SUM(TDFD!C46:C50)</f>
        <v>1491.9119999999998</v>
      </c>
      <c r="D18" s="13">
        <f>SUM(TDFD!D46:D50)</f>
        <v>2419.4351999999999</v>
      </c>
      <c r="E18" s="13">
        <f>SUM(TDFD!E46:E50)</f>
        <v>10478.906699999998</v>
      </c>
      <c r="H18" t="s">
        <v>22</v>
      </c>
      <c r="I18" s="13">
        <f>SUM(TDFD!H46:H50)</f>
        <v>11275</v>
      </c>
      <c r="J18" s="13">
        <f>SUM(TDFD!I46:I50)</f>
        <v>3843</v>
      </c>
      <c r="K18" s="13">
        <f>SUM(TDFD!J46:J50)</f>
        <v>10713</v>
      </c>
      <c r="L18" s="13">
        <f>SUM(TDFD!K46:K50)</f>
        <v>25831</v>
      </c>
    </row>
    <row r="19" spans="1:12" x14ac:dyDescent="0.25">
      <c r="A19" t="s">
        <v>23</v>
      </c>
      <c r="B19" s="13">
        <f>SUM(TDFD!B51:B55)</f>
        <v>1473.8013999999998</v>
      </c>
      <c r="C19" s="13">
        <f>SUM(TDFD!C51:C55)</f>
        <v>0</v>
      </c>
      <c r="D19" s="13">
        <f>SUM(TDFD!D51:D55)</f>
        <v>1377.6733999999999</v>
      </c>
      <c r="E19" s="13">
        <f>SUM(TDFD!E51:E55)</f>
        <v>2851.4748</v>
      </c>
      <c r="H19" t="s">
        <v>23</v>
      </c>
      <c r="I19" s="13">
        <f>SUM(TDFD!H51:H55)</f>
        <v>3695</v>
      </c>
      <c r="J19" s="13">
        <f>SUM(TDFD!I51:I55)</f>
        <v>1342</v>
      </c>
      <c r="K19" s="13">
        <f>SUM(TDFD!J51:J55)</f>
        <v>5447</v>
      </c>
      <c r="L19" s="13">
        <f>SUM(TDFD!K51:K55)</f>
        <v>10484</v>
      </c>
    </row>
    <row r="20" spans="1:12" x14ac:dyDescent="0.25">
      <c r="A20" t="s">
        <v>24</v>
      </c>
      <c r="B20" s="13">
        <f>SUM(TDFD!B56:B70)</f>
        <v>2646.2829000000002</v>
      </c>
      <c r="C20" s="13">
        <f>SUM(TDFD!C56:C70)</f>
        <v>1718.4231</v>
      </c>
      <c r="D20" s="13">
        <f>SUM(TDFD!D56:D70)</f>
        <v>3100.9385999999995</v>
      </c>
      <c r="E20" s="13">
        <f>SUM(TDFD!E56:E70)</f>
        <v>7465.6446000000005</v>
      </c>
      <c r="H20" t="s">
        <v>24</v>
      </c>
      <c r="I20" s="13">
        <f>SUM(TDFD!H56:H70)</f>
        <v>2429</v>
      </c>
      <c r="J20" s="13">
        <f>SUM(TDFD!I56:I70)</f>
        <v>1398</v>
      </c>
      <c r="K20" s="13">
        <f>SUM(TDFD!J56:J70)</f>
        <v>8843</v>
      </c>
      <c r="L20" s="13">
        <f>SUM(TDFD!K56:K70)</f>
        <v>12670</v>
      </c>
    </row>
    <row r="21" spans="1:12" x14ac:dyDescent="0.25">
      <c r="A21" t="s">
        <v>25</v>
      </c>
      <c r="B21" s="13">
        <f>SUM(TDFD!B71:B100)</f>
        <v>0</v>
      </c>
      <c r="C21" s="13">
        <f>SUM(TDFD!C71:C100)</f>
        <v>78.963099999999997</v>
      </c>
      <c r="D21" s="13">
        <f>SUM(TDFD!D71:D100)</f>
        <v>2043.4037000000001</v>
      </c>
      <c r="E21" s="13">
        <f>SUM(TDFD!E71:E100)</f>
        <v>2122.3667999999998</v>
      </c>
      <c r="H21" t="s">
        <v>25</v>
      </c>
      <c r="I21" s="13">
        <f>SUM(TDFD!H71:H100)</f>
        <v>310</v>
      </c>
      <c r="J21" s="13">
        <f>SUM(TDFD!I71:I100)</f>
        <v>279</v>
      </c>
      <c r="K21" s="13">
        <f>SUM(TDFD!J71:J100)</f>
        <v>1919</v>
      </c>
      <c r="L21" s="13">
        <f>SUM(TDFD!K71:K100)</f>
        <v>2508</v>
      </c>
    </row>
    <row r="22" spans="1:12" ht="15.75" thickBot="1" x14ac:dyDescent="0.3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21546</v>
      </c>
      <c r="J22" s="14">
        <f>TDFD!I101</f>
        <v>0</v>
      </c>
      <c r="K22" s="14">
        <f>TDFD!J101</f>
        <v>0</v>
      </c>
      <c r="L22" s="14">
        <f>TDFD!K101</f>
        <v>21546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2"/>
  <sheetViews>
    <sheetView tabSelected="1" workbookViewId="0">
      <selection activeCell="D3" sqref="D3"/>
    </sheetView>
  </sheetViews>
  <sheetFormatPr defaultRowHeight="15" x14ac:dyDescent="0.25"/>
  <cols>
    <col min="4" max="4" width="12.28515625" bestFit="1" customWidth="1" collapsed="1"/>
    <col min="15" max="15" width="12.28515625" bestFit="1" customWidth="1" collapsed="1"/>
    <col min="20" max="21" width="9.5703125" bestFit="1" customWidth="1" collapsed="1"/>
    <col min="26" max="26" width="12.28515625" bestFit="1" customWidth="1" collapsed="1"/>
  </cols>
  <sheetData>
    <row r="1" spans="1:22" x14ac:dyDescent="0.25">
      <c r="A1" t="s">
        <v>27</v>
      </c>
    </row>
    <row r="2" spans="1:22" x14ac:dyDescent="0.25">
      <c r="A2" t="s">
        <v>254</v>
      </c>
    </row>
    <row r="5" spans="1:22" ht="15.75" thickBot="1" x14ac:dyDescent="0.3">
      <c r="A5" s="4" t="s">
        <v>201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12</v>
      </c>
      <c r="J6" s="3" t="s">
        <v>3</v>
      </c>
      <c r="L6" s="2" t="s">
        <v>11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12</v>
      </c>
      <c r="U6" s="3" t="s">
        <v>3</v>
      </c>
    </row>
    <row r="7" spans="1:22" x14ac:dyDescent="0.25">
      <c r="A7" s="53" t="s">
        <v>71</v>
      </c>
      <c r="B7" s="21">
        <v>69490.816300000006</v>
      </c>
      <c r="C7" s="21">
        <v>2336.8833</v>
      </c>
      <c r="D7" s="21">
        <v>1679.9229</v>
      </c>
      <c r="E7" s="21">
        <v>681.69209999999998</v>
      </c>
      <c r="F7" s="21">
        <v>0</v>
      </c>
      <c r="G7" s="21">
        <v>8297.3465999999989</v>
      </c>
      <c r="H7" s="21">
        <v>0</v>
      </c>
      <c r="I7" s="21">
        <v>22604.551199999998</v>
      </c>
      <c r="J7" s="21">
        <f>SUM(B7:I7)</f>
        <v>105091.21240000002</v>
      </c>
      <c r="K7" s="21"/>
      <c r="L7" t="str">
        <f>$A$7</f>
        <v>Williamson</v>
      </c>
      <c r="M7" s="21">
        <v>68270</v>
      </c>
      <c r="N7" s="21">
        <v>22669</v>
      </c>
      <c r="O7" s="21">
        <v>3509</v>
      </c>
      <c r="P7" s="21">
        <v>300</v>
      </c>
      <c r="Q7" s="21">
        <v>46</v>
      </c>
      <c r="R7" s="21">
        <v>7780</v>
      </c>
      <c r="S7" s="21">
        <v>66</v>
      </c>
      <c r="T7" s="21">
        <v>2960</v>
      </c>
      <c r="U7" s="21">
        <f>SUM(M7:T7)</f>
        <v>105600</v>
      </c>
    </row>
    <row r="8" spans="1:22" x14ac:dyDescent="0.25">
      <c r="A8" s="7" t="s">
        <v>72</v>
      </c>
      <c r="B8" s="22">
        <v>4913.7340999999997</v>
      </c>
      <c r="C8" s="22">
        <v>24023.481</v>
      </c>
      <c r="D8" s="22">
        <v>1664.5089</v>
      </c>
      <c r="E8" s="22">
        <v>283.97969999999998</v>
      </c>
      <c r="F8" s="22">
        <v>0</v>
      </c>
      <c r="G8" s="22">
        <v>1260.8372999999999</v>
      </c>
      <c r="H8" s="22">
        <v>0</v>
      </c>
      <c r="I8" s="22">
        <v>8980.1826000000001</v>
      </c>
      <c r="J8" s="22">
        <f t="shared" ref="J8:J12" si="0">SUM(B8:I8)</f>
        <v>41126.723599999998</v>
      </c>
      <c r="K8" s="21"/>
      <c r="L8" s="7" t="str">
        <f>$A$8</f>
        <v>Rutherford</v>
      </c>
      <c r="M8" s="22">
        <v>6063</v>
      </c>
      <c r="N8" s="22">
        <v>41500</v>
      </c>
      <c r="O8" s="22">
        <v>3569</v>
      </c>
      <c r="P8" s="22">
        <v>269</v>
      </c>
      <c r="Q8" s="22">
        <v>49</v>
      </c>
      <c r="R8" s="22">
        <v>1401</v>
      </c>
      <c r="S8" s="22">
        <v>23</v>
      </c>
      <c r="T8" s="22">
        <v>1147</v>
      </c>
      <c r="U8" s="22">
        <f>SUM(M8:T8)</f>
        <v>54021</v>
      </c>
    </row>
    <row r="9" spans="1:22" x14ac:dyDescent="0.25">
      <c r="A9" s="7" t="s">
        <v>73</v>
      </c>
      <c r="B9" s="22">
        <v>0</v>
      </c>
      <c r="C9" s="22">
        <v>623.8836</v>
      </c>
      <c r="D9" s="22">
        <v>48796.199000000001</v>
      </c>
      <c r="E9" s="22">
        <v>1945.1687999999999</v>
      </c>
      <c r="F9" s="22">
        <v>0</v>
      </c>
      <c r="G9" s="22">
        <v>111.4678</v>
      </c>
      <c r="H9" s="22">
        <v>10.791</v>
      </c>
      <c r="I9" s="22">
        <v>8000.8396000000002</v>
      </c>
      <c r="J9" s="22">
        <f t="shared" si="0"/>
        <v>59488.349799999996</v>
      </c>
      <c r="K9" s="21"/>
      <c r="L9" s="7" t="str">
        <f>$A$9</f>
        <v>Sumner</v>
      </c>
      <c r="M9" s="22">
        <v>1405</v>
      </c>
      <c r="N9" s="22">
        <v>4066</v>
      </c>
      <c r="O9" s="22">
        <v>46900</v>
      </c>
      <c r="P9" s="22">
        <v>5283</v>
      </c>
      <c r="Q9" s="22">
        <v>684</v>
      </c>
      <c r="R9" s="22">
        <v>3973</v>
      </c>
      <c r="S9" s="22">
        <v>288</v>
      </c>
      <c r="T9" s="22">
        <v>969</v>
      </c>
      <c r="U9" s="22">
        <f>SUM(M9:T9)</f>
        <v>63568</v>
      </c>
      <c r="V9" s="7"/>
    </row>
    <row r="10" spans="1:22" x14ac:dyDescent="0.25">
      <c r="A10" s="7" t="s">
        <v>74</v>
      </c>
      <c r="B10" s="22">
        <v>0</v>
      </c>
      <c r="C10" s="22">
        <v>0</v>
      </c>
      <c r="D10" s="22">
        <v>7896.5195999999996</v>
      </c>
      <c r="E10" s="22">
        <v>11355.0671</v>
      </c>
      <c r="F10" s="22">
        <v>775.53780000000006</v>
      </c>
      <c r="G10" s="22">
        <v>591.30600000000004</v>
      </c>
      <c r="H10" s="22">
        <v>0</v>
      </c>
      <c r="I10" s="22">
        <v>2219.4313000000002</v>
      </c>
      <c r="J10" s="22">
        <f t="shared" si="0"/>
        <v>22837.861799999999</v>
      </c>
      <c r="K10" s="21"/>
      <c r="L10" s="7" t="str">
        <f>$A$10</f>
        <v>Roberston</v>
      </c>
      <c r="M10" s="22">
        <v>51</v>
      </c>
      <c r="N10" s="22">
        <v>385</v>
      </c>
      <c r="O10" s="22">
        <v>5802</v>
      </c>
      <c r="P10" s="22">
        <v>14867</v>
      </c>
      <c r="Q10" s="22">
        <v>1198</v>
      </c>
      <c r="R10" s="22">
        <v>1440</v>
      </c>
      <c r="S10" s="22">
        <v>393</v>
      </c>
      <c r="T10" s="22">
        <v>393</v>
      </c>
      <c r="U10" s="22">
        <f t="shared" ref="U10:U13" si="1">SUM(M10:T10)</f>
        <v>24529</v>
      </c>
      <c r="V10" s="7"/>
    </row>
    <row r="11" spans="1:22" x14ac:dyDescent="0.25">
      <c r="A11" s="7" t="s">
        <v>75</v>
      </c>
      <c r="B11" s="22">
        <v>0</v>
      </c>
      <c r="C11" s="22">
        <v>0</v>
      </c>
      <c r="D11" s="22">
        <v>1651.8871999999999</v>
      </c>
      <c r="E11" s="22">
        <v>2015.7613999999999</v>
      </c>
      <c r="F11" s="22">
        <v>35354.229400000004</v>
      </c>
      <c r="G11" s="22">
        <v>400.22559999999999</v>
      </c>
      <c r="H11" s="22">
        <v>1499.6892</v>
      </c>
      <c r="I11" s="22">
        <v>6636.5228000000006</v>
      </c>
      <c r="J11" s="22">
        <f t="shared" si="0"/>
        <v>47558.315600000002</v>
      </c>
      <c r="K11" s="21"/>
      <c r="L11" s="7" t="str">
        <f>$A$11</f>
        <v>Davidson</v>
      </c>
      <c r="M11" s="22">
        <v>21</v>
      </c>
      <c r="N11" s="22">
        <v>263</v>
      </c>
      <c r="O11" s="22">
        <v>3040</v>
      </c>
      <c r="P11" s="22">
        <v>4036</v>
      </c>
      <c r="Q11" s="22">
        <v>31084</v>
      </c>
      <c r="R11" s="22">
        <v>2660</v>
      </c>
      <c r="S11" s="22">
        <v>7282</v>
      </c>
      <c r="T11" s="22">
        <v>2274</v>
      </c>
      <c r="U11" s="22">
        <f t="shared" si="1"/>
        <v>50660</v>
      </c>
      <c r="V11" s="7"/>
    </row>
    <row r="12" spans="1:22" x14ac:dyDescent="0.25">
      <c r="A12" s="7" t="s">
        <v>76</v>
      </c>
      <c r="B12" s="22">
        <v>0</v>
      </c>
      <c r="C12" s="22">
        <v>248.3828</v>
      </c>
      <c r="D12" s="22">
        <v>2236.8409000000001</v>
      </c>
      <c r="E12" s="22">
        <v>664.07579999999996</v>
      </c>
      <c r="F12" s="22">
        <v>2961.9232000000002</v>
      </c>
      <c r="G12" s="22">
        <v>107243.2475</v>
      </c>
      <c r="H12" s="22">
        <v>4777.4939999999997</v>
      </c>
      <c r="I12" s="22">
        <v>16945.086500000001</v>
      </c>
      <c r="J12" s="22">
        <f t="shared" si="0"/>
        <v>135077.05069999999</v>
      </c>
      <c r="K12" s="21"/>
      <c r="L12" s="7" t="str">
        <f>$A$12</f>
        <v>Maury</v>
      </c>
      <c r="M12" s="22">
        <v>2575</v>
      </c>
      <c r="N12" s="22">
        <v>2352</v>
      </c>
      <c r="O12" s="22">
        <v>4831</v>
      </c>
      <c r="P12" s="22">
        <v>1978</v>
      </c>
      <c r="Q12" s="22">
        <v>1379</v>
      </c>
      <c r="R12" s="22">
        <v>116746</v>
      </c>
      <c r="S12" s="22">
        <v>5771</v>
      </c>
      <c r="T12" s="22">
        <v>3973</v>
      </c>
      <c r="U12" s="22">
        <f t="shared" si="1"/>
        <v>139605</v>
      </c>
      <c r="V12" s="7"/>
    </row>
    <row r="13" spans="1:22" x14ac:dyDescent="0.25">
      <c r="A13" s="7" t="s">
        <v>77</v>
      </c>
      <c r="B13" s="22">
        <v>0</v>
      </c>
      <c r="C13" s="22">
        <v>0</v>
      </c>
      <c r="D13" s="22">
        <v>114.666</v>
      </c>
      <c r="E13" s="22">
        <v>44.483999999999995</v>
      </c>
      <c r="F13" s="22">
        <v>6708.9652999999998</v>
      </c>
      <c r="G13" s="22">
        <v>4135.0364</v>
      </c>
      <c r="H13" s="22">
        <v>66212.028099999996</v>
      </c>
      <c r="I13" s="22">
        <v>12106.003699999999</v>
      </c>
      <c r="J13" s="22">
        <f>SUM(B13:I13)</f>
        <v>89321.183499999999</v>
      </c>
      <c r="K13" s="21"/>
      <c r="L13" t="str">
        <f>$A$13</f>
        <v>Wilson</v>
      </c>
      <c r="M13" s="22">
        <v>11</v>
      </c>
      <c r="N13" s="22">
        <v>91</v>
      </c>
      <c r="O13" s="22">
        <v>1044</v>
      </c>
      <c r="P13" s="22">
        <v>980</v>
      </c>
      <c r="Q13" s="22">
        <v>5358</v>
      </c>
      <c r="R13" s="22">
        <v>5957</v>
      </c>
      <c r="S13" s="22">
        <v>100605</v>
      </c>
      <c r="T13" s="22">
        <v>6317</v>
      </c>
      <c r="U13" s="22">
        <f t="shared" si="1"/>
        <v>120363</v>
      </c>
    </row>
    <row r="14" spans="1:22" x14ac:dyDescent="0.25">
      <c r="A14" s="26" t="s">
        <v>12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12</v>
      </c>
      <c r="M14" s="22"/>
      <c r="N14" s="22"/>
      <c r="O14" s="22"/>
      <c r="P14" s="22"/>
      <c r="Q14" s="22"/>
      <c r="R14" s="22"/>
      <c r="S14" s="22"/>
      <c r="T14" s="22"/>
      <c r="U14" s="22"/>
    </row>
    <row r="15" spans="1:22" ht="15.75" thickBot="1" x14ac:dyDescent="0.3">
      <c r="A15" s="12" t="s">
        <v>3</v>
      </c>
      <c r="B15" s="54">
        <f t="shared" ref="B15:G15" si="2">SUM(B7:B13)</f>
        <v>74404.550400000007</v>
      </c>
      <c r="C15" s="54">
        <f t="shared" si="2"/>
        <v>27232.630700000002</v>
      </c>
      <c r="D15" s="54">
        <f t="shared" si="2"/>
        <v>64040.544499999996</v>
      </c>
      <c r="E15" s="54">
        <f t="shared" si="2"/>
        <v>16990.228899999998</v>
      </c>
      <c r="F15" s="54">
        <f t="shared" si="2"/>
        <v>45800.655700000003</v>
      </c>
      <c r="G15" s="54">
        <f t="shared" si="2"/>
        <v>122039.4672</v>
      </c>
      <c r="H15" s="54"/>
      <c r="I15" s="54">
        <f>SUM(I7:I13)</f>
        <v>77492.617700000003</v>
      </c>
      <c r="J15" s="54">
        <f>SUM(J7:J13)</f>
        <v>500500.6974</v>
      </c>
      <c r="K15" s="21"/>
      <c r="L15" s="54" t="s">
        <v>3</v>
      </c>
      <c r="M15" s="54">
        <f t="shared" ref="M15:S15" si="3">SUM(M7:M13)</f>
        <v>78396</v>
      </c>
      <c r="N15" s="54">
        <f t="shared" si="3"/>
        <v>71326</v>
      </c>
      <c r="O15" s="54">
        <f t="shared" si="3"/>
        <v>68695</v>
      </c>
      <c r="P15" s="54">
        <f t="shared" si="3"/>
        <v>27713</v>
      </c>
      <c r="Q15" s="54">
        <f t="shared" si="3"/>
        <v>39798</v>
      </c>
      <c r="R15" s="54">
        <f t="shared" si="3"/>
        <v>139957</v>
      </c>
      <c r="S15" s="54">
        <f t="shared" si="3"/>
        <v>114428</v>
      </c>
      <c r="T15" s="54">
        <f>SUM(T7:T13)</f>
        <v>18033</v>
      </c>
      <c r="U15" s="54">
        <f>SUM(U7:U13)</f>
        <v>558346</v>
      </c>
    </row>
    <row r="18" spans="1:32" ht="15.75" thickBot="1" x14ac:dyDescent="0.3">
      <c r="A18" s="4" t="s">
        <v>202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12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25">
      <c r="A20" t="str">
        <f>$A$7</f>
        <v>Williamson</v>
      </c>
      <c r="B20" s="21">
        <f t="shared" ref="B20:I26" si="4">($U7/$J7)*B7</f>
        <v>69827.248479626433</v>
      </c>
      <c r="C20" s="21">
        <f t="shared" si="4"/>
        <v>2348.1970646672257</v>
      </c>
      <c r="D20" s="21">
        <f t="shared" si="4"/>
        <v>1688.0560628112039</v>
      </c>
      <c r="E20" s="21">
        <f t="shared" si="4"/>
        <v>684.99243767407506</v>
      </c>
      <c r="F20" s="21">
        <f t="shared" si="4"/>
        <v>0</v>
      </c>
      <c r="G20" s="21">
        <f t="shared" si="4"/>
        <v>8337.5172952139219</v>
      </c>
      <c r="H20" s="21">
        <f t="shared" si="4"/>
        <v>0</v>
      </c>
      <c r="I20" s="21">
        <f t="shared" ref="I20:J26" si="5">($U7/$J7)*I7</f>
        <v>22713.988660007115</v>
      </c>
      <c r="J20" s="21">
        <f t="shared" si="5"/>
        <v>105600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25">
      <c r="A21" t="str">
        <f>$A$8</f>
        <v>Rutherford</v>
      </c>
      <c r="B21" s="21">
        <f t="shared" si="4"/>
        <v>6454.3150190573415</v>
      </c>
      <c r="C21" s="21">
        <f t="shared" si="4"/>
        <v>31555.454787091287</v>
      </c>
      <c r="D21" s="21">
        <f t="shared" si="4"/>
        <v>2186.3748778397708</v>
      </c>
      <c r="E21" s="21">
        <f t="shared" si="4"/>
        <v>373.01457618909376</v>
      </c>
      <c r="F21" s="21">
        <f t="shared" si="4"/>
        <v>0</v>
      </c>
      <c r="G21" s="21">
        <f t="shared" si="4"/>
        <v>1656.1419393812348</v>
      </c>
      <c r="H21" s="21">
        <f t="shared" ref="H21" si="6">($U8/$J8)*H8</f>
        <v>0</v>
      </c>
      <c r="I21" s="21">
        <f t="shared" si="5"/>
        <v>11795.69880044128</v>
      </c>
      <c r="J21" s="21">
        <f t="shared" si="5"/>
        <v>54021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25">
      <c r="A22" t="str">
        <f>$A$9</f>
        <v>Sumner</v>
      </c>
      <c r="B22" s="21">
        <f t="shared" si="4"/>
        <v>0</v>
      </c>
      <c r="C22" s="21">
        <f t="shared" si="4"/>
        <v>666.66889934136316</v>
      </c>
      <c r="D22" s="21">
        <f t="shared" si="4"/>
        <v>52142.592431299883</v>
      </c>
      <c r="E22" s="21">
        <f t="shared" si="4"/>
        <v>2078.566487288911</v>
      </c>
      <c r="F22" s="21">
        <f t="shared" si="4"/>
        <v>0</v>
      </c>
      <c r="G22" s="21">
        <f t="shared" si="4"/>
        <v>119.11214774359063</v>
      </c>
      <c r="H22" s="21">
        <f t="shared" ref="H22" si="7">($U9/$J9)*H9</f>
        <v>11.531035745758745</v>
      </c>
      <c r="I22" s="21">
        <f t="shared" si="5"/>
        <v>8549.528998580492</v>
      </c>
      <c r="J22" s="21">
        <f t="shared" si="5"/>
        <v>63568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25">
      <c r="A23" t="str">
        <f>$A$10</f>
        <v>Roberston</v>
      </c>
      <c r="B23" s="21">
        <f t="shared" si="4"/>
        <v>0</v>
      </c>
      <c r="C23" s="21">
        <f t="shared" si="4"/>
        <v>0</v>
      </c>
      <c r="D23" s="21">
        <f t="shared" si="4"/>
        <v>8481.2549863315144</v>
      </c>
      <c r="E23" s="21">
        <f t="shared" si="4"/>
        <v>12195.907100895934</v>
      </c>
      <c r="F23" s="21">
        <f t="shared" si="4"/>
        <v>832.96618846340527</v>
      </c>
      <c r="G23" s="21">
        <f t="shared" si="4"/>
        <v>635.09206776967198</v>
      </c>
      <c r="H23" s="21">
        <f t="shared" ref="H23" si="8">($U10/$J10)*H10</f>
        <v>0</v>
      </c>
      <c r="I23" s="21">
        <f t="shared" si="5"/>
        <v>2383.7796565394756</v>
      </c>
      <c r="J23" s="21">
        <f t="shared" si="5"/>
        <v>24529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25">
      <c r="A24" t="str">
        <f>$A$11</f>
        <v>Davidson</v>
      </c>
      <c r="B24" s="21">
        <f t="shared" si="4"/>
        <v>0</v>
      </c>
      <c r="C24" s="21">
        <f t="shared" si="4"/>
        <v>0</v>
      </c>
      <c r="D24" s="21">
        <f t="shared" si="4"/>
        <v>1759.6208885076658</v>
      </c>
      <c r="E24" s="21">
        <f t="shared" si="4"/>
        <v>2147.2264363374547</v>
      </c>
      <c r="F24" s="21">
        <f t="shared" si="4"/>
        <v>37659.980989822943</v>
      </c>
      <c r="G24" s="21">
        <f t="shared" si="4"/>
        <v>426.32773344058461</v>
      </c>
      <c r="H24" s="21">
        <f t="shared" ref="H24" si="9">($U11/$J11)*H11</f>
        <v>1597.4967555831602</v>
      </c>
      <c r="I24" s="21">
        <f t="shared" si="5"/>
        <v>7069.3471963081884</v>
      </c>
      <c r="J24" s="21">
        <f t="shared" si="5"/>
        <v>50659.999999999993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25">
      <c r="A25" t="str">
        <f>$A$12</f>
        <v>Maury</v>
      </c>
      <c r="B25" s="21">
        <f t="shared" si="4"/>
        <v>0</v>
      </c>
      <c r="C25" s="21">
        <f t="shared" si="4"/>
        <v>256.7088977313598</v>
      </c>
      <c r="D25" s="21">
        <f t="shared" si="4"/>
        <v>2311.8225651672451</v>
      </c>
      <c r="E25" s="21">
        <f t="shared" si="4"/>
        <v>686.33643967324201</v>
      </c>
      <c r="F25" s="21">
        <f t="shared" si="4"/>
        <v>3061.2105179462587</v>
      </c>
      <c r="G25" s="21">
        <f t="shared" si="4"/>
        <v>110838.17339548634</v>
      </c>
      <c r="H25" s="21">
        <f t="shared" ref="H25" si="10">($U12/$J12)*H12</f>
        <v>4937.6414899026213</v>
      </c>
      <c r="I25" s="21">
        <f t="shared" si="5"/>
        <v>17513.10669409293</v>
      </c>
      <c r="J25" s="21">
        <f t="shared" si="5"/>
        <v>139605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25">
      <c r="A26" t="str">
        <f>$A$13</f>
        <v>Wilson</v>
      </c>
      <c r="B26" s="21">
        <f t="shared" si="4"/>
        <v>0</v>
      </c>
      <c r="C26" s="21">
        <f t="shared" si="4"/>
        <v>0</v>
      </c>
      <c r="D26" s="21">
        <f t="shared" si="4"/>
        <v>154.51590784172714</v>
      </c>
      <c r="E26" s="21">
        <f t="shared" si="4"/>
        <v>59.94353726851368</v>
      </c>
      <c r="F26" s="21">
        <f t="shared" si="4"/>
        <v>9040.5339334078562</v>
      </c>
      <c r="G26" s="21">
        <f t="shared" si="4"/>
        <v>5572.0867851375924</v>
      </c>
      <c r="H26" s="21">
        <f t="shared" si="4"/>
        <v>89222.713201066115</v>
      </c>
      <c r="I26" s="21">
        <f t="shared" si="4"/>
        <v>16313.20663527818</v>
      </c>
      <c r="J26" s="21">
        <f t="shared" si="5"/>
        <v>120363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25">
      <c r="A27" s="8" t="s">
        <v>12</v>
      </c>
      <c r="B27" s="23" t="e">
        <f>($U14/$J14)*B14</f>
        <v>#DIV/0!</v>
      </c>
      <c r="C27" s="23" t="e">
        <f t="shared" ref="C27:J27" si="11">($U14/$J14)*C14</f>
        <v>#DIV/0!</v>
      </c>
      <c r="D27" s="23" t="e">
        <f t="shared" si="11"/>
        <v>#DIV/0!</v>
      </c>
      <c r="E27" s="23" t="e">
        <f t="shared" si="11"/>
        <v>#DIV/0!</v>
      </c>
      <c r="F27" s="23" t="e">
        <f t="shared" si="11"/>
        <v>#DIV/0!</v>
      </c>
      <c r="G27" s="23" t="e">
        <f t="shared" si="11"/>
        <v>#DIV/0!</v>
      </c>
      <c r="H27" s="23" t="e">
        <f t="shared" si="11"/>
        <v>#DIV/0!</v>
      </c>
      <c r="I27" s="23" t="e">
        <f t="shared" si="11"/>
        <v>#DIV/0!</v>
      </c>
      <c r="J27" s="23" t="e">
        <f t="shared" si="11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r="28" spans="1:32" ht="15.75" thickBot="1" x14ac:dyDescent="0.3">
      <c r="A28" s="1" t="s">
        <v>3</v>
      </c>
      <c r="B28" s="25">
        <f t="shared" ref="B28:H28" si="12">($U15/$J15)*B15</f>
        <v>83003.846574936673</v>
      </c>
      <c r="C28" s="25">
        <f t="shared" si="12"/>
        <v>30380.038429137665</v>
      </c>
      <c r="D28" s="25">
        <f t="shared" si="12"/>
        <v>71442.022049412233</v>
      </c>
      <c r="E28" s="25">
        <f t="shared" si="12"/>
        <v>18953.872381556044</v>
      </c>
      <c r="F28" s="25">
        <f t="shared" si="12"/>
        <v>51094.060488460374</v>
      </c>
      <c r="G28" s="25">
        <f t="shared" si="12"/>
        <v>136144.16264997437</v>
      </c>
      <c r="H28" s="25">
        <f t="shared" si="12"/>
        <v>0</v>
      </c>
      <c r="I28" s="25">
        <f>($U15/$J15)*I15</f>
        <v>86448.816848989678</v>
      </c>
      <c r="J28" s="25">
        <f>($U15/$J15)*J15</f>
        <v>558346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31" spans="1:32" ht="15.75" thickBot="1" x14ac:dyDescent="0.3">
      <c r="A31" s="4" t="s">
        <v>202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12</v>
      </c>
      <c r="J32" s="3" t="s">
        <v>3</v>
      </c>
      <c r="L32" s="2" t="s">
        <v>11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12</v>
      </c>
      <c r="U32" s="3" t="s">
        <v>3</v>
      </c>
      <c r="W32" s="2" t="s">
        <v>11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12</v>
      </c>
      <c r="AF32" s="3" t="s">
        <v>3</v>
      </c>
    </row>
    <row r="33" spans="1:32" x14ac:dyDescent="0.25">
      <c r="A33" t="str">
        <f>$A$7</f>
        <v>Williamson</v>
      </c>
      <c r="B33" s="27">
        <f t="shared" ref="B33:J39" si="13">B20/$J$28</f>
        <v>0.12506089141791368</v>
      </c>
      <c r="C33" s="27">
        <f t="shared" si="13"/>
        <v>4.2056306746483824E-3</v>
      </c>
      <c r="D33" s="27">
        <f t="shared" si="13"/>
        <v>3.0233154044467122E-3</v>
      </c>
      <c r="E33" s="27">
        <f t="shared" si="13"/>
        <v>1.2268242947456865E-3</v>
      </c>
      <c r="F33" s="27">
        <f t="shared" si="13"/>
        <v>0</v>
      </c>
      <c r="G33" s="27">
        <f t="shared" si="13"/>
        <v>1.4932528029597995E-2</v>
      </c>
      <c r="H33" s="27">
        <f t="shared" si="13"/>
        <v>0</v>
      </c>
      <c r="I33" s="27">
        <f t="shared" ref="I33:J38" si="14">I20/$J$28</f>
        <v>4.068084782555461E-2</v>
      </c>
      <c r="J33" s="27">
        <f t="shared" si="14"/>
        <v>0.18913003764690711</v>
      </c>
      <c r="L33" t="str">
        <f>$A$7</f>
        <v>Williamson</v>
      </c>
      <c r="M33" s="27">
        <f t="shared" ref="M33:U39" si="15">M7/$U$15</f>
        <v>0.1222718529370677</v>
      </c>
      <c r="N33" s="27">
        <f t="shared" si="15"/>
        <v>4.0600272949031603E-2</v>
      </c>
      <c r="O33" s="27">
        <f t="shared" si="15"/>
        <v>6.2846335426420177E-3</v>
      </c>
      <c r="P33" s="27">
        <f t="shared" si="15"/>
        <v>5.3730124331507708E-4</v>
      </c>
      <c r="Q33" s="27">
        <f t="shared" si="15"/>
        <v>8.238619064164515E-5</v>
      </c>
      <c r="R33" s="27">
        <f t="shared" si="15"/>
        <v>1.3934012243304331E-2</v>
      </c>
      <c r="S33" s="27">
        <f t="shared" si="15"/>
        <v>1.1820627352931695E-4</v>
      </c>
      <c r="T33" s="27">
        <f t="shared" ref="T33:U38" si="16">T7/$U$15</f>
        <v>5.3013722673754269E-3</v>
      </c>
      <c r="U33" s="27">
        <f t="shared" si="16"/>
        <v>0.18913003764690711</v>
      </c>
      <c r="W33" t="str">
        <f>$A$7</f>
        <v>Williamson</v>
      </c>
      <c r="X33" s="27">
        <f t="shared" ref="X33:Z35" si="17">M33-B33</f>
        <v>-2.7890384808459817E-3</v>
      </c>
      <c r="Y33" s="27">
        <f t="shared" si="17"/>
        <v>3.6394642274383222E-2</v>
      </c>
      <c r="Z33" s="27">
        <f t="shared" si="17"/>
        <v>3.2613181381953055E-3</v>
      </c>
      <c r="AA33" s="27">
        <f t="shared" ref="AA33:AA35" si="18">P33-E33</f>
        <v>-6.8952305143060938E-4</v>
      </c>
      <c r="AB33" s="27">
        <f t="shared" ref="AB33:AB35" si="19">Q33-F33</f>
        <v>8.238619064164515E-5</v>
      </c>
      <c r="AC33" s="27">
        <f t="shared" ref="AC33:AD40" si="20">R33-G33</f>
        <v>-9.9851578629366403E-4</v>
      </c>
      <c r="AD33" s="27">
        <f t="shared" si="20"/>
        <v>1.1820627352931695E-4</v>
      </c>
      <c r="AE33" s="27">
        <f t="shared" ref="AE33:AF35" si="21">T33-I33</f>
        <v>-3.5379475558179184E-2</v>
      </c>
      <c r="AF33" s="27">
        <f t="shared" si="21"/>
        <v>0</v>
      </c>
    </row>
    <row r="34" spans="1:32" x14ac:dyDescent="0.25">
      <c r="A34" t="str">
        <f>$A$8</f>
        <v>Rutherford</v>
      </c>
      <c r="B34" s="27">
        <f t="shared" si="13"/>
        <v>1.155970494828895E-2</v>
      </c>
      <c r="C34" s="27">
        <f t="shared" si="13"/>
        <v>5.6515950301589492E-2</v>
      </c>
      <c r="D34" s="27">
        <f t="shared" si="13"/>
        <v>3.9158064673871949E-3</v>
      </c>
      <c r="E34" s="27">
        <f t="shared" si="13"/>
        <v>6.6807065187015539E-4</v>
      </c>
      <c r="F34" s="27">
        <f t="shared" si="13"/>
        <v>0</v>
      </c>
      <c r="G34" s="27">
        <f t="shared" si="13"/>
        <v>2.9661570771192681E-3</v>
      </c>
      <c r="H34" s="27">
        <f t="shared" ref="H34" si="22">H21/$J$28</f>
        <v>0</v>
      </c>
      <c r="I34" s="27">
        <f t="shared" si="14"/>
        <v>2.1126145437490876E-2</v>
      </c>
      <c r="J34" s="27">
        <f t="shared" si="14"/>
        <v>9.6751834883745919E-2</v>
      </c>
      <c r="L34" t="str">
        <f>$A$8</f>
        <v>Rutherford</v>
      </c>
      <c r="M34" s="27">
        <f t="shared" si="15"/>
        <v>1.0858858127397706E-2</v>
      </c>
      <c r="N34" s="27">
        <f t="shared" si="15"/>
        <v>7.4326671991918988E-2</v>
      </c>
      <c r="O34" s="27">
        <f t="shared" si="15"/>
        <v>6.3920937913050334E-3</v>
      </c>
      <c r="P34" s="27">
        <f t="shared" si="15"/>
        <v>4.8178011483918575E-4</v>
      </c>
      <c r="Q34" s="27">
        <f t="shared" si="15"/>
        <v>8.7759203074795909E-5</v>
      </c>
      <c r="R34" s="27">
        <f t="shared" si="15"/>
        <v>2.5091968062814097E-3</v>
      </c>
      <c r="S34" s="27">
        <f t="shared" ref="S34" si="23">S8/$U$15</f>
        <v>4.1193095320822575E-5</v>
      </c>
      <c r="T34" s="27">
        <f t="shared" si="16"/>
        <v>2.0542817536079779E-3</v>
      </c>
      <c r="U34" s="27">
        <f t="shared" si="16"/>
        <v>9.6751834883745919E-2</v>
      </c>
      <c r="W34" t="str">
        <f>$A$8</f>
        <v>Rutherford</v>
      </c>
      <c r="X34" s="27">
        <f t="shared" si="17"/>
        <v>-7.0084682089124363E-4</v>
      </c>
      <c r="Y34" s="27">
        <f t="shared" si="17"/>
        <v>1.7810721690329497E-2</v>
      </c>
      <c r="Z34" s="27">
        <f t="shared" si="17"/>
        <v>2.4762873239178385E-3</v>
      </c>
      <c r="AA34" s="27">
        <f t="shared" si="18"/>
        <v>-1.8629053703096964E-4</v>
      </c>
      <c r="AB34" s="27">
        <f t="shared" si="19"/>
        <v>8.7759203074795909E-5</v>
      </c>
      <c r="AC34" s="27">
        <f t="shared" si="20"/>
        <v>-4.569602708378584E-4</v>
      </c>
      <c r="AD34" s="27">
        <f t="shared" si="20"/>
        <v>4.1193095320822575E-5</v>
      </c>
      <c r="AE34" s="27">
        <f t="shared" si="21"/>
        <v>-1.9071863683882896E-2</v>
      </c>
      <c r="AF34" s="27">
        <f t="shared" si="21"/>
        <v>0</v>
      </c>
    </row>
    <row r="35" spans="1:32" x14ac:dyDescent="0.25">
      <c r="A35" t="str">
        <f>$A$9</f>
        <v>Sumner</v>
      </c>
      <c r="B35" s="27">
        <f t="shared" si="13"/>
        <v>0</v>
      </c>
      <c r="C35" s="27">
        <f t="shared" si="13"/>
        <v>1.194006761652028E-3</v>
      </c>
      <c r="D35" s="27">
        <f t="shared" si="13"/>
        <v>9.3387599143362504E-2</v>
      </c>
      <c r="E35" s="27">
        <f t="shared" si="13"/>
        <v>3.7227211931112805E-3</v>
      </c>
      <c r="F35" s="27">
        <f t="shared" si="13"/>
        <v>0</v>
      </c>
      <c r="G35" s="27">
        <f t="shared" si="13"/>
        <v>2.133303502552013E-4</v>
      </c>
      <c r="H35" s="27">
        <f t="shared" ref="H35" si="24">H22/$J$28</f>
        <v>2.0652132809689232E-5</v>
      </c>
      <c r="I35" s="27">
        <f t="shared" si="14"/>
        <v>1.5312241868985346E-2</v>
      </c>
      <c r="J35" s="27">
        <f t="shared" si="14"/>
        <v>0.11385055145017606</v>
      </c>
      <c r="L35" t="str">
        <f>$A$9</f>
        <v>Sumner</v>
      </c>
      <c r="M35" s="27">
        <f t="shared" si="15"/>
        <v>2.5163608228589442E-3</v>
      </c>
      <c r="N35" s="27">
        <f t="shared" si="15"/>
        <v>7.2822228510636775E-3</v>
      </c>
      <c r="O35" s="27">
        <f t="shared" si="15"/>
        <v>8.3998094371590379E-2</v>
      </c>
      <c r="P35" s="27">
        <f t="shared" si="15"/>
        <v>9.4618748947785068E-3</v>
      </c>
      <c r="Q35" s="27">
        <f t="shared" si="15"/>
        <v>1.2250468347583757E-3</v>
      </c>
      <c r="R35" s="27">
        <f t="shared" si="15"/>
        <v>7.1156594656360036E-3</v>
      </c>
      <c r="S35" s="27">
        <f t="shared" ref="S35" si="25">S9/$U$15</f>
        <v>5.1580919358247394E-4</v>
      </c>
      <c r="T35" s="27">
        <f t="shared" si="16"/>
        <v>1.7354830159076989E-3</v>
      </c>
      <c r="U35" s="27">
        <f t="shared" si="16"/>
        <v>0.11385055145017606</v>
      </c>
      <c r="W35" t="str">
        <f>$A$9</f>
        <v>Sumner</v>
      </c>
      <c r="X35" s="27">
        <f t="shared" si="17"/>
        <v>2.5163608228589442E-3</v>
      </c>
      <c r="Y35" s="27">
        <f t="shared" si="17"/>
        <v>6.0882160894116496E-3</v>
      </c>
      <c r="Z35" s="27">
        <f t="shared" si="17"/>
        <v>-9.3895047717721253E-3</v>
      </c>
      <c r="AA35" s="27">
        <f t="shared" si="18"/>
        <v>5.7391537016672264E-3</v>
      </c>
      <c r="AB35" s="27">
        <f t="shared" si="19"/>
        <v>1.2250468347583757E-3</v>
      </c>
      <c r="AC35" s="27">
        <f t="shared" si="20"/>
        <v>6.9023291153808026E-3</v>
      </c>
      <c r="AD35" s="27">
        <f t="shared" si="20"/>
        <v>4.9515706077278468E-4</v>
      </c>
      <c r="AE35" s="27">
        <f t="shared" si="21"/>
        <v>-1.3576758853077648E-2</v>
      </c>
      <c r="AF35" s="27">
        <f t="shared" si="21"/>
        <v>0</v>
      </c>
    </row>
    <row r="36" spans="1:32" x14ac:dyDescent="0.25">
      <c r="A36" t="str">
        <f>$A$10</f>
        <v>Roberston</v>
      </c>
      <c r="B36" s="27">
        <f t="shared" si="13"/>
        <v>0</v>
      </c>
      <c r="C36" s="27">
        <f t="shared" si="13"/>
        <v>0</v>
      </c>
      <c r="D36" s="27">
        <f t="shared" si="13"/>
        <v>1.5189962830093731E-2</v>
      </c>
      <c r="E36" s="27">
        <f t="shared" si="13"/>
        <v>2.1842920162221873E-2</v>
      </c>
      <c r="F36" s="27">
        <f t="shared" si="13"/>
        <v>1.4918458956693615E-3</v>
      </c>
      <c r="G36" s="27">
        <f t="shared" si="13"/>
        <v>1.1374525254406263E-3</v>
      </c>
      <c r="H36" s="27">
        <f t="shared" ref="H36" si="26">H23/$J$28</f>
        <v>0</v>
      </c>
      <c r="I36" s="27">
        <f t="shared" si="14"/>
        <v>4.2693592441594916E-3</v>
      </c>
      <c r="J36" s="27">
        <f t="shared" si="14"/>
        <v>4.3931540657585082E-2</v>
      </c>
      <c r="L36" t="str">
        <f>$A$10</f>
        <v>Roberston</v>
      </c>
      <c r="M36" s="27">
        <f t="shared" si="15"/>
        <v>9.1341211363563091E-5</v>
      </c>
      <c r="N36" s="27">
        <f t="shared" si="15"/>
        <v>6.8953659558768218E-4</v>
      </c>
      <c r="O36" s="27">
        <f t="shared" si="15"/>
        <v>1.039140604571359E-2</v>
      </c>
      <c r="P36" s="27">
        <f t="shared" si="15"/>
        <v>2.6626858614550834E-2</v>
      </c>
      <c r="Q36" s="27">
        <f t="shared" si="15"/>
        <v>2.1456229649715408E-3</v>
      </c>
      <c r="R36" s="27">
        <f t="shared" si="15"/>
        <v>2.5790459679123699E-3</v>
      </c>
      <c r="S36" s="27">
        <f t="shared" ref="S36" si="27">S10/$U$15</f>
        <v>7.0386462874275091E-4</v>
      </c>
      <c r="T36" s="27">
        <f t="shared" si="16"/>
        <v>7.0386462874275091E-4</v>
      </c>
      <c r="U36" s="27">
        <f t="shared" si="16"/>
        <v>4.3931540657585082E-2</v>
      </c>
      <c r="W36" t="str">
        <f>$A$10</f>
        <v>Roberston</v>
      </c>
      <c r="X36" s="27">
        <f t="shared" ref="X36:X39" si="28">M36-B36</f>
        <v>9.1341211363563091E-5</v>
      </c>
      <c r="Y36" s="27">
        <f t="shared" ref="Y36:Y39" si="29">N36-C36</f>
        <v>6.8953659558768218E-4</v>
      </c>
      <c r="Z36" s="27">
        <f t="shared" ref="Z36:Z39" si="30">O36-D36</f>
        <v>-4.7985567843801414E-3</v>
      </c>
      <c r="AA36" s="27">
        <f t="shared" ref="AA36:AA39" si="31">P36-E36</f>
        <v>4.7839384523289605E-3</v>
      </c>
      <c r="AB36" s="27">
        <f t="shared" ref="AB36:AB39" si="32">Q36-F36</f>
        <v>6.5377706930217936E-4</v>
      </c>
      <c r="AC36" s="27">
        <f t="shared" ref="AC36:AC39" si="33">R36-G36</f>
        <v>1.4415934424717436E-3</v>
      </c>
      <c r="AD36" s="27">
        <f t="shared" si="20"/>
        <v>7.0386462874275091E-4</v>
      </c>
      <c r="AE36" s="27">
        <f t="shared" ref="AE36:AE39" si="34">T36-I36</f>
        <v>-3.5654946154167408E-3</v>
      </c>
      <c r="AF36" s="27">
        <f t="shared" ref="AF36:AF39" si="35">U36-J36</f>
        <v>0</v>
      </c>
    </row>
    <row r="37" spans="1:32" x14ac:dyDescent="0.25">
      <c r="A37" t="str">
        <f>$A$11</f>
        <v>Davidson</v>
      </c>
      <c r="B37" s="27">
        <f t="shared" si="13"/>
        <v>0</v>
      </c>
      <c r="C37" s="27">
        <f t="shared" si="13"/>
        <v>0</v>
      </c>
      <c r="D37" s="27">
        <f t="shared" si="13"/>
        <v>3.1514883038611646E-3</v>
      </c>
      <c r="E37" s="27">
        <f t="shared" si="13"/>
        <v>3.8456914464103883E-3</v>
      </c>
      <c r="F37" s="27">
        <f t="shared" si="13"/>
        <v>6.7449182030180105E-2</v>
      </c>
      <c r="G37" s="27">
        <f t="shared" si="13"/>
        <v>7.6355473745774954E-4</v>
      </c>
      <c r="H37" s="27">
        <f t="shared" ref="H37" si="36">H24/$J$28</f>
        <v>2.8611233098887788E-3</v>
      </c>
      <c r="I37" s="27">
        <f t="shared" si="14"/>
        <v>1.2661230126674479E-2</v>
      </c>
      <c r="J37" s="27">
        <f t="shared" si="14"/>
        <v>9.0732269954472658E-2</v>
      </c>
      <c r="L37" t="str">
        <f>$A$11</f>
        <v>Davidson</v>
      </c>
      <c r="M37" s="27">
        <f t="shared" si="15"/>
        <v>3.7611087032055394E-5</v>
      </c>
      <c r="N37" s="27">
        <f t="shared" si="15"/>
        <v>4.7103408997288418E-4</v>
      </c>
      <c r="O37" s="27">
        <f t="shared" si="15"/>
        <v>5.4446525989261139E-3</v>
      </c>
      <c r="P37" s="27">
        <f t="shared" si="15"/>
        <v>7.2284927267321697E-3</v>
      </c>
      <c r="Q37" s="27">
        <f t="shared" si="15"/>
        <v>5.5671572824019515E-2</v>
      </c>
      <c r="R37" s="27">
        <f t="shared" si="15"/>
        <v>4.76407102406035E-3</v>
      </c>
      <c r="S37" s="27">
        <f t="shared" ref="S37" si="37">S11/$U$15</f>
        <v>1.3042092179401303E-2</v>
      </c>
      <c r="T37" s="27">
        <f t="shared" si="16"/>
        <v>4.0727434243282836E-3</v>
      </c>
      <c r="U37" s="27">
        <f t="shared" si="16"/>
        <v>9.0732269954472672E-2</v>
      </c>
      <c r="W37" t="str">
        <f>$A$11</f>
        <v>Davidson</v>
      </c>
      <c r="X37" s="27">
        <f t="shared" si="28"/>
        <v>3.7611087032055394E-5</v>
      </c>
      <c r="Y37" s="27">
        <f t="shared" si="29"/>
        <v>4.7103408997288418E-4</v>
      </c>
      <c r="Z37" s="27">
        <f t="shared" si="30"/>
        <v>2.2931642950649493E-3</v>
      </c>
      <c r="AA37" s="27">
        <f t="shared" si="31"/>
        <v>3.3828012803217814E-3</v>
      </c>
      <c r="AB37" s="27">
        <f t="shared" si="32"/>
        <v>-1.177760920616059E-2</v>
      </c>
      <c r="AC37" s="27">
        <f t="shared" si="33"/>
        <v>4.0005162866026001E-3</v>
      </c>
      <c r="AD37" s="27">
        <f t="shared" si="20"/>
        <v>1.0180968869512523E-2</v>
      </c>
      <c r="AE37" s="27">
        <f t="shared" si="34"/>
        <v>-8.5884867023461944E-3</v>
      </c>
      <c r="AF37" s="27">
        <f t="shared" si="35"/>
        <v>0</v>
      </c>
    </row>
    <row r="38" spans="1:32" x14ac:dyDescent="0.25">
      <c r="A38" t="str">
        <f>$A$12</f>
        <v>Maury</v>
      </c>
      <c r="B38" s="27">
        <f t="shared" si="13"/>
        <v>0</v>
      </c>
      <c r="C38" s="27">
        <f t="shared" si="13"/>
        <v>4.5976669973700859E-4</v>
      </c>
      <c r="D38" s="27">
        <f t="shared" si="13"/>
        <v>4.1404837952940384E-3</v>
      </c>
      <c r="E38" s="27">
        <f t="shared" si="13"/>
        <v>1.2292314078962542E-3</v>
      </c>
      <c r="F38" s="27">
        <f t="shared" si="13"/>
        <v>5.4826407244723862E-3</v>
      </c>
      <c r="G38" s="27">
        <f t="shared" si="13"/>
        <v>0.19851162790722301</v>
      </c>
      <c r="H38" s="27">
        <f t="shared" ref="H38" si="38">H25/$J$28</f>
        <v>8.8433363718959587E-3</v>
      </c>
      <c r="I38" s="27">
        <f t="shared" si="14"/>
        <v>3.1366046670152435E-2</v>
      </c>
      <c r="J38" s="27">
        <f t="shared" si="14"/>
        <v>0.25003313357667112</v>
      </c>
      <c r="L38" t="str">
        <f>$A$12</f>
        <v>Maury</v>
      </c>
      <c r="M38" s="27">
        <f t="shared" si="15"/>
        <v>4.6118356717877442E-3</v>
      </c>
      <c r="N38" s="27">
        <f t="shared" si="15"/>
        <v>4.2124417475902041E-3</v>
      </c>
      <c r="O38" s="27">
        <f t="shared" si="15"/>
        <v>8.652341021517124E-3</v>
      </c>
      <c r="P38" s="27">
        <f t="shared" si="15"/>
        <v>3.5426061975907413E-3</v>
      </c>
      <c r="Q38" s="27">
        <f t="shared" si="15"/>
        <v>2.4697947151049709E-3</v>
      </c>
      <c r="R38" s="27">
        <f t="shared" si="15"/>
        <v>0.2090925698402066</v>
      </c>
      <c r="S38" s="27">
        <f t="shared" ref="S38" si="39">S12/$U$15</f>
        <v>1.0335884917237699E-2</v>
      </c>
      <c r="T38" s="27">
        <f t="shared" si="16"/>
        <v>7.1156594656360036E-3</v>
      </c>
      <c r="U38" s="27">
        <f t="shared" si="16"/>
        <v>0.25003313357667112</v>
      </c>
      <c r="W38" t="str">
        <f>$A$12</f>
        <v>Maury</v>
      </c>
      <c r="X38" s="27">
        <f t="shared" si="28"/>
        <v>4.6118356717877442E-3</v>
      </c>
      <c r="Y38" s="27">
        <f t="shared" si="29"/>
        <v>3.7526750478531954E-3</v>
      </c>
      <c r="Z38" s="27">
        <f t="shared" si="30"/>
        <v>4.5118572262230856E-3</v>
      </c>
      <c r="AA38" s="27">
        <f t="shared" si="31"/>
        <v>2.3133747896944869E-3</v>
      </c>
      <c r="AB38" s="27">
        <f t="shared" si="32"/>
        <v>-3.0128460093674153E-3</v>
      </c>
      <c r="AC38" s="27">
        <f t="shared" si="33"/>
        <v>1.058094193298359E-2</v>
      </c>
      <c r="AD38" s="27">
        <f t="shared" si="20"/>
        <v>1.4925485453417403E-3</v>
      </c>
      <c r="AE38" s="27">
        <f t="shared" si="34"/>
        <v>-2.425038720451643E-2</v>
      </c>
      <c r="AF38" s="27">
        <f t="shared" si="35"/>
        <v>0</v>
      </c>
    </row>
    <row r="39" spans="1:32" x14ac:dyDescent="0.25">
      <c r="A39" t="str">
        <f>$A$13</f>
        <v>Wilson</v>
      </c>
      <c r="B39" s="27">
        <f t="shared" si="13"/>
        <v>0</v>
      </c>
      <c r="C39" s="27">
        <f t="shared" si="13"/>
        <v>0</v>
      </c>
      <c r="D39" s="27">
        <f t="shared" si="13"/>
        <v>2.7673863131772618E-4</v>
      </c>
      <c r="E39" s="27">
        <f t="shared" si="13"/>
        <v>1.0735912367692019E-4</v>
      </c>
      <c r="F39" s="27">
        <f t="shared" si="13"/>
        <v>1.6191633742173951E-2</v>
      </c>
      <c r="G39" s="27">
        <f t="shared" si="13"/>
        <v>9.9796305250464627E-3</v>
      </c>
      <c r="H39" s="27">
        <f t="shared" si="13"/>
        <v>0.15979824911625787</v>
      </c>
      <c r="I39" s="27">
        <f t="shared" si="13"/>
        <v>2.9217020691969103E-2</v>
      </c>
      <c r="J39" s="27">
        <f t="shared" si="13"/>
        <v>0.21557063183044206</v>
      </c>
      <c r="L39" t="str">
        <f>$A$13</f>
        <v>Wilson</v>
      </c>
      <c r="M39" s="27">
        <f t="shared" si="15"/>
        <v>1.9701045588219492E-5</v>
      </c>
      <c r="N39" s="27">
        <f t="shared" si="15"/>
        <v>1.629813771389067E-4</v>
      </c>
      <c r="O39" s="27">
        <f t="shared" si="15"/>
        <v>1.8698083267364681E-3</v>
      </c>
      <c r="P39" s="27">
        <f t="shared" si="15"/>
        <v>1.7551840614959183E-3</v>
      </c>
      <c r="Q39" s="27">
        <f t="shared" si="15"/>
        <v>9.5962002056072752E-3</v>
      </c>
      <c r="R39" s="27">
        <f t="shared" si="15"/>
        <v>1.0669011688093047E-2</v>
      </c>
      <c r="S39" s="27">
        <f t="shared" si="15"/>
        <v>0.18018397194571109</v>
      </c>
      <c r="T39" s="27">
        <f t="shared" si="15"/>
        <v>1.1313773180071139E-2</v>
      </c>
      <c r="U39" s="27">
        <f t="shared" si="15"/>
        <v>0.21557063183044206</v>
      </c>
      <c r="W39" t="str">
        <f>$A$13</f>
        <v>Wilson</v>
      </c>
      <c r="X39" s="27">
        <f t="shared" si="28"/>
        <v>1.9701045588219492E-5</v>
      </c>
      <c r="Y39" s="27">
        <f t="shared" si="29"/>
        <v>1.629813771389067E-4</v>
      </c>
      <c r="Z39" s="27">
        <f t="shared" si="30"/>
        <v>1.593069695418742E-3</v>
      </c>
      <c r="AA39" s="27">
        <f t="shared" si="31"/>
        <v>1.647824937818998E-3</v>
      </c>
      <c r="AB39" s="27">
        <f t="shared" si="32"/>
        <v>-6.595433536566676E-3</v>
      </c>
      <c r="AC39" s="27">
        <f t="shared" si="33"/>
        <v>6.8938116304658424E-4</v>
      </c>
      <c r="AD39" s="27">
        <f t="shared" si="20"/>
        <v>2.0385722829453223E-2</v>
      </c>
      <c r="AE39" s="27">
        <f t="shared" si="34"/>
        <v>-1.7903247511897966E-2</v>
      </c>
      <c r="AF39" s="27">
        <f t="shared" si="35"/>
        <v>0</v>
      </c>
    </row>
    <row r="40" spans="1:32" x14ac:dyDescent="0.25">
      <c r="A40" s="8" t="s">
        <v>12</v>
      </c>
      <c r="B40" s="28" t="e">
        <f t="shared" ref="B40:H40" si="40">B27/$J$28</f>
        <v>#DIV/0!</v>
      </c>
      <c r="C40" s="28" t="e">
        <f t="shared" si="40"/>
        <v>#DIV/0!</v>
      </c>
      <c r="D40" s="28" t="e">
        <f t="shared" si="40"/>
        <v>#DIV/0!</v>
      </c>
      <c r="E40" s="28" t="e">
        <f t="shared" si="40"/>
        <v>#DIV/0!</v>
      </c>
      <c r="F40" s="28" t="e">
        <f t="shared" si="40"/>
        <v>#DIV/0!</v>
      </c>
      <c r="G40" s="28" t="e">
        <f t="shared" si="40"/>
        <v>#DIV/0!</v>
      </c>
      <c r="H40" s="28" t="e">
        <f t="shared" si="40"/>
        <v>#DIV/0!</v>
      </c>
      <c r="I40" s="28" t="e">
        <f>I27/$J$28</f>
        <v>#DIV/0!</v>
      </c>
      <c r="J40" s="28" t="e">
        <f>J27/$J$28</f>
        <v>#DIV/0!</v>
      </c>
      <c r="L40" s="24" t="s">
        <v>12</v>
      </c>
      <c r="M40" s="28">
        <f>M14/$U$15</f>
        <v>0</v>
      </c>
      <c r="N40" s="28">
        <f t="shared" ref="N40:U40" si="41">N14/$U$15</f>
        <v>0</v>
      </c>
      <c r="O40" s="28">
        <f t="shared" si="41"/>
        <v>0</v>
      </c>
      <c r="P40" s="28">
        <f t="shared" si="41"/>
        <v>0</v>
      </c>
      <c r="Q40" s="28">
        <f t="shared" si="41"/>
        <v>0</v>
      </c>
      <c r="R40" s="28">
        <f t="shared" si="41"/>
        <v>0</v>
      </c>
      <c r="S40" s="28">
        <f t="shared" si="41"/>
        <v>0</v>
      </c>
      <c r="T40" s="28">
        <f t="shared" si="41"/>
        <v>0</v>
      </c>
      <c r="U40" s="28">
        <f t="shared" si="41"/>
        <v>0</v>
      </c>
      <c r="W40" s="24" t="s">
        <v>12</v>
      </c>
      <c r="X40" s="28" t="e">
        <f t="shared" ref="X40:Z41" si="42">M40-B40</f>
        <v>#DIV/0!</v>
      </c>
      <c r="Y40" s="28" t="e">
        <f t="shared" si="42"/>
        <v>#DIV/0!</v>
      </c>
      <c r="Z40" s="28" t="e">
        <f t="shared" si="42"/>
        <v>#DIV/0!</v>
      </c>
      <c r="AA40" s="28" t="e">
        <f t="shared" ref="AA40:AA41" si="43">P40-E40</f>
        <v>#DIV/0!</v>
      </c>
      <c r="AB40" s="28" t="e">
        <f t="shared" ref="AB40:AB41" si="44">Q40-F40</f>
        <v>#DIV/0!</v>
      </c>
      <c r="AC40" s="28" t="e">
        <f t="shared" ref="AC40:AD41" si="45">R40-G40</f>
        <v>#DIV/0!</v>
      </c>
      <c r="AD40" s="27" t="e">
        <f t="shared" si="20"/>
        <v>#DIV/0!</v>
      </c>
      <c r="AE40" s="28" t="e">
        <f>T40-I40</f>
        <v>#DIV/0!</v>
      </c>
      <c r="AF40" s="28" t="e">
        <f>U40-J40</f>
        <v>#DIV/0!</v>
      </c>
    </row>
    <row r="41" spans="1:32" ht="15.75" thickBot="1" x14ac:dyDescent="0.3">
      <c r="A41" s="1" t="s">
        <v>3</v>
      </c>
      <c r="B41" s="29">
        <f>B28/$J$28</f>
        <v>0.14866023321549124</v>
      </c>
      <c r="C41" s="29">
        <f>C28/$J$28</f>
        <v>5.441077473311829E-2</v>
      </c>
      <c r="D41" s="29">
        <f>D28/$J$28</f>
        <v>0.12795295757364114</v>
      </c>
      <c r="E41" s="29">
        <f t="shared" ref="E41:H41" si="46">E28/$J$28</f>
        <v>3.3946463987484542E-2</v>
      </c>
      <c r="F41" s="29">
        <f t="shared" si="46"/>
        <v>9.1509674088218376E-2</v>
      </c>
      <c r="G41" s="29">
        <f t="shared" si="46"/>
        <v>0.24383475953973768</v>
      </c>
      <c r="H41" s="29">
        <f t="shared" si="46"/>
        <v>0</v>
      </c>
      <c r="I41" s="29">
        <f>I28/$J$28</f>
        <v>0.15483018925359845</v>
      </c>
      <c r="J41" s="29">
        <f>J28/$J$28</f>
        <v>1</v>
      </c>
      <c r="L41" s="25" t="s">
        <v>3</v>
      </c>
      <c r="M41" s="29">
        <f>M15/$U$15</f>
        <v>0.14040756090309592</v>
      </c>
      <c r="N41" s="29">
        <f>N15/$U$15</f>
        <v>0.12774516160230395</v>
      </c>
      <c r="O41" s="29">
        <f>O15/$U$15</f>
        <v>0.12303302969843072</v>
      </c>
      <c r="P41" s="29">
        <f t="shared" ref="P41:S41" si="47">P15/$U$15</f>
        <v>4.9634097853302431E-2</v>
      </c>
      <c r="Q41" s="29">
        <f t="shared" si="47"/>
        <v>7.127838293817812E-2</v>
      </c>
      <c r="R41" s="29">
        <f t="shared" si="47"/>
        <v>0.25066356703549414</v>
      </c>
      <c r="S41" s="29">
        <f t="shared" si="47"/>
        <v>0.20494102223352545</v>
      </c>
      <c r="T41" s="29">
        <f>T15/$U$15</f>
        <v>3.2297177735669279E-2</v>
      </c>
      <c r="U41" s="29">
        <f>U15/$U$15</f>
        <v>1</v>
      </c>
      <c r="W41" s="25" t="s">
        <v>3</v>
      </c>
      <c r="X41" s="29">
        <f t="shared" si="42"/>
        <v>-8.2526723123953205E-3</v>
      </c>
      <c r="Y41" s="29">
        <f t="shared" si="42"/>
        <v>7.3334386869185669E-2</v>
      </c>
      <c r="Z41" s="29">
        <f t="shared" si="42"/>
        <v>-4.9199278752104225E-3</v>
      </c>
      <c r="AA41" s="29">
        <f t="shared" si="43"/>
        <v>1.5687633865817889E-2</v>
      </c>
      <c r="AB41" s="29">
        <f t="shared" si="44"/>
        <v>-2.0231291150040256E-2</v>
      </c>
      <c r="AC41" s="29">
        <f t="shared" si="45"/>
        <v>6.828807495756456E-3</v>
      </c>
      <c r="AD41" s="29">
        <f t="shared" si="45"/>
        <v>0.20494102223352545</v>
      </c>
      <c r="AE41" s="29">
        <f>T41-I41</f>
        <v>-0.12253301151792917</v>
      </c>
      <c r="AF41" s="29">
        <f>U41-J41</f>
        <v>0</v>
      </c>
    </row>
    <row r="44" spans="1:32" ht="15.75" thickBot="1" x14ac:dyDescent="0.3">
      <c r="A44" s="40" t="s">
        <v>203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38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39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25">
      <c r="A45" s="30" t="s">
        <v>11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11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11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2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2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2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2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2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2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r="52" spans="1:32" ht="15.75" thickBot="1" x14ac:dyDescent="0.3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6"/>
  <sheetViews>
    <sheetView workbookViewId="0">
      <selection activeCell="A3" sqref="A3"/>
    </sheetView>
  </sheetViews>
  <sheetFormatPr defaultRowHeight="15" x14ac:dyDescent="0.25"/>
  <cols>
    <col min="2" max="2" width="9.28515625" bestFit="1" customWidth="1" collapsed="1"/>
    <col min="3" max="3" width="9.5703125" bestFit="1" customWidth="1" collapsed="1"/>
    <col min="4" max="4" width="12.140625" bestFit="1" customWidth="1" collapsed="1"/>
    <col min="5" max="5" width="9.5703125" bestFit="1" customWidth="1" collapsed="1"/>
    <col min="11" max="11" width="12" bestFit="1" customWidth="1" collapsed="1"/>
    <col min="12" max="13" width="9.5703125" bestFit="1" customWidth="1" collapsed="1"/>
  </cols>
  <sheetData>
    <row r="1" spans="1:19" x14ac:dyDescent="0.25">
      <c r="A1" t="s">
        <v>29</v>
      </c>
    </row>
    <row r="2" spans="1:19" x14ac:dyDescent="0.25">
      <c r="A2" t="s">
        <v>254</v>
      </c>
    </row>
    <row r="3" spans="1:19" x14ac:dyDescent="0.25">
      <c r="A3" t="s">
        <v>30</v>
      </c>
    </row>
    <row r="5" spans="1:19" ht="15.75" thickBot="1" x14ac:dyDescent="0.3">
      <c r="A5" s="4" t="s">
        <v>206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3" t="s">
        <v>71</v>
      </c>
      <c r="B7">
        <v>0</v>
      </c>
      <c r="C7">
        <v>0</v>
      </c>
      <c r="D7">
        <v>0</v>
      </c>
      <c r="E7">
        <f>SUM(B7:D7)</f>
        <v>0</v>
      </c>
      <c r="H7" s="15" t="str">
        <f>$A$7</f>
        <v>Williamson</v>
      </c>
      <c r="I7">
        <v>4773</v>
      </c>
      <c r="J7">
        <v>821</v>
      </c>
      <c r="K7">
        <v>342</v>
      </c>
      <c r="L7">
        <f>SUM(I7:K7)</f>
        <v>5936</v>
      </c>
      <c r="O7" s="15" t="str">
        <f>$A$7</f>
        <v>Williamson</v>
      </c>
      <c r="P7" s="21">
        <f>I7-B7</f>
        <v>4773</v>
      </c>
      <c r="Q7" s="21">
        <f t="shared" ref="Q7:S14" si="0">J7-C7</f>
        <v>821</v>
      </c>
      <c r="R7" s="21">
        <f t="shared" si="0"/>
        <v>342</v>
      </c>
      <c r="S7" s="21">
        <f t="shared" si="0"/>
        <v>5936</v>
      </c>
    </row>
    <row r="8" spans="1:19" x14ac:dyDescent="0.25">
      <c r="A8" s="7" t="s">
        <v>72</v>
      </c>
      <c r="B8">
        <v>0</v>
      </c>
      <c r="C8">
        <v>0</v>
      </c>
      <c r="D8">
        <v>0</v>
      </c>
      <c r="E8">
        <f>SUM(B8:D8)</f>
        <v>0</v>
      </c>
      <c r="H8" t="str">
        <f>$A$8</f>
        <v>Rutherford</v>
      </c>
      <c r="I8">
        <v>206</v>
      </c>
      <c r="J8">
        <v>25</v>
      </c>
      <c r="K8">
        <v>43</v>
      </c>
      <c r="L8">
        <f>SUM(I8:K8)</f>
        <v>274</v>
      </c>
      <c r="O8" t="str">
        <f>$A$8</f>
        <v>Rutherford</v>
      </c>
      <c r="P8" s="21">
        <f t="shared" ref="P8:P14" si="1">I8-B8</f>
        <v>206</v>
      </c>
      <c r="Q8" s="21">
        <f t="shared" si="0"/>
        <v>25</v>
      </c>
      <c r="R8" s="21">
        <f t="shared" si="0"/>
        <v>43</v>
      </c>
      <c r="S8" s="21">
        <f t="shared" si="0"/>
        <v>274</v>
      </c>
    </row>
    <row r="9" spans="1:19" x14ac:dyDescent="0.25">
      <c r="A9" s="7" t="s">
        <v>73</v>
      </c>
      <c r="B9">
        <v>0</v>
      </c>
      <c r="C9">
        <v>0</v>
      </c>
      <c r="D9">
        <v>3515.915</v>
      </c>
      <c r="E9">
        <f t="shared" ref="E9:E11" si="2">SUM(B9:D9)</f>
        <v>3515.915</v>
      </c>
      <c r="H9" t="str">
        <f>$A$9</f>
        <v>Sumner</v>
      </c>
      <c r="I9">
        <v>157</v>
      </c>
      <c r="J9">
        <v>20</v>
      </c>
      <c r="K9">
        <v>11</v>
      </c>
      <c r="L9">
        <f t="shared" ref="L9:L11" si="3">SUM(I9:K9)</f>
        <v>188</v>
      </c>
      <c r="O9" t="str">
        <f>$A$9</f>
        <v>Sumner</v>
      </c>
      <c r="P9" s="21">
        <f t="shared" ref="P9:P11" si="4">I9-B9</f>
        <v>157</v>
      </c>
      <c r="Q9" s="21">
        <f t="shared" ref="Q9:Q11" si="5">J9-C9</f>
        <v>20</v>
      </c>
      <c r="R9" s="21">
        <f t="shared" ref="R9:R11" si="6">K9-D9</f>
        <v>-3504.915</v>
      </c>
      <c r="S9" s="21">
        <f t="shared" ref="S9:S11" si="7">L9-E9</f>
        <v>-3327.915</v>
      </c>
    </row>
    <row r="10" spans="1:19" x14ac:dyDescent="0.25">
      <c r="A10" s="7" t="s">
        <v>74</v>
      </c>
      <c r="B10">
        <v>0</v>
      </c>
      <c r="C10">
        <v>0</v>
      </c>
      <c r="D10">
        <v>0</v>
      </c>
      <c r="E10">
        <f t="shared" si="2"/>
        <v>0</v>
      </c>
      <c r="H10" t="str">
        <f>$A$10</f>
        <v>Roberston</v>
      </c>
      <c r="I10">
        <v>86</v>
      </c>
      <c r="J10">
        <v>6</v>
      </c>
      <c r="K10">
        <v>12</v>
      </c>
      <c r="L10">
        <f t="shared" si="3"/>
        <v>104</v>
      </c>
      <c r="O10" s="7" t="str">
        <f>$A$10</f>
        <v>Roberston</v>
      </c>
      <c r="P10" s="22">
        <f t="shared" si="4"/>
        <v>86</v>
      </c>
      <c r="Q10" s="22">
        <f t="shared" si="5"/>
        <v>6</v>
      </c>
      <c r="R10" s="22">
        <f t="shared" si="6"/>
        <v>12</v>
      </c>
      <c r="S10" s="22">
        <f t="shared" si="7"/>
        <v>104</v>
      </c>
    </row>
    <row r="11" spans="1:19" x14ac:dyDescent="0.25">
      <c r="A11" s="7" t="s">
        <v>75</v>
      </c>
      <c r="B11">
        <v>0</v>
      </c>
      <c r="C11">
        <v>0</v>
      </c>
      <c r="D11">
        <v>0</v>
      </c>
      <c r="E11">
        <f t="shared" si="2"/>
        <v>0</v>
      </c>
      <c r="H11" t="str">
        <f>$A$11</f>
        <v>Davidson</v>
      </c>
      <c r="I11">
        <v>297</v>
      </c>
      <c r="J11">
        <v>106</v>
      </c>
      <c r="K11">
        <v>41</v>
      </c>
      <c r="L11">
        <f t="shared" si="3"/>
        <v>444</v>
      </c>
      <c r="O11" s="7" t="str">
        <f>$A$11</f>
        <v>Davidson</v>
      </c>
      <c r="P11" s="22">
        <f t="shared" si="4"/>
        <v>297</v>
      </c>
      <c r="Q11" s="22">
        <f t="shared" si="5"/>
        <v>106</v>
      </c>
      <c r="R11" s="22">
        <f t="shared" si="6"/>
        <v>41</v>
      </c>
      <c r="S11" s="22">
        <f t="shared" si="7"/>
        <v>444</v>
      </c>
    </row>
    <row r="12" spans="1:19" x14ac:dyDescent="0.25">
      <c r="A12" s="7" t="s">
        <v>76</v>
      </c>
      <c r="B12" s="7">
        <v>0</v>
      </c>
      <c r="C12" s="7">
        <v>0</v>
      </c>
      <c r="D12" s="7">
        <v>0</v>
      </c>
      <c r="E12" s="7">
        <f>SUM(B12:D12)</f>
        <v>0</v>
      </c>
      <c r="H12" s="7" t="str">
        <f>$A$12</f>
        <v>Maury</v>
      </c>
      <c r="I12" s="7">
        <v>1364</v>
      </c>
      <c r="J12" s="7">
        <v>267</v>
      </c>
      <c r="K12" s="7">
        <v>117</v>
      </c>
      <c r="L12" s="7">
        <f>SUM(I12:K12)</f>
        <v>1748</v>
      </c>
      <c r="O12" s="7" t="str">
        <f>$A$12</f>
        <v>Maury</v>
      </c>
      <c r="P12" s="22">
        <f t="shared" si="1"/>
        <v>1364</v>
      </c>
      <c r="Q12" s="22">
        <f t="shared" si="0"/>
        <v>267</v>
      </c>
      <c r="R12" s="22">
        <f t="shared" si="0"/>
        <v>117</v>
      </c>
      <c r="S12" s="22">
        <f t="shared" si="0"/>
        <v>1748</v>
      </c>
    </row>
    <row r="13" spans="1:19" x14ac:dyDescent="0.25">
      <c r="A13" s="7" t="s">
        <v>77</v>
      </c>
      <c r="B13" s="6">
        <v>0</v>
      </c>
      <c r="C13" s="6">
        <v>0</v>
      </c>
      <c r="D13" s="6">
        <v>0</v>
      </c>
      <c r="E13">
        <f>SUM(B13:D13)</f>
        <v>0</v>
      </c>
      <c r="H13" s="7" t="str">
        <f>$A$13</f>
        <v>Wilson</v>
      </c>
      <c r="I13" s="7">
        <v>972</v>
      </c>
      <c r="J13" s="7">
        <v>185</v>
      </c>
      <c r="K13" s="7">
        <v>342</v>
      </c>
      <c r="L13" s="7">
        <f>SUM(I13:K13)</f>
        <v>1499</v>
      </c>
      <c r="O13" s="7" t="str">
        <f>$A$13</f>
        <v>Wilson</v>
      </c>
      <c r="P13" s="22">
        <f t="shared" si="1"/>
        <v>972</v>
      </c>
      <c r="Q13" s="22">
        <f t="shared" si="0"/>
        <v>185</v>
      </c>
      <c r="R13" s="22">
        <f t="shared" si="0"/>
        <v>342</v>
      </c>
      <c r="S13" s="22">
        <f t="shared" si="0"/>
        <v>1499</v>
      </c>
    </row>
    <row r="14" spans="1:19" ht="15.75" thickBot="1" x14ac:dyDescent="0.3">
      <c r="A14" s="12" t="s">
        <v>3</v>
      </c>
      <c r="B14" s="1">
        <f>SUM(B7:B13)</f>
        <v>0</v>
      </c>
      <c r="C14" s="1">
        <f t="shared" ref="C14" si="8">SUM(C7:C13)</f>
        <v>0</v>
      </c>
      <c r="D14" s="1">
        <f t="shared" ref="D14" si="9">SUM(D7:D13)</f>
        <v>3515.915</v>
      </c>
      <c r="E14" s="12">
        <f t="shared" ref="E14" si="10">SUM(E7:E13)</f>
        <v>3515.915</v>
      </c>
      <c r="H14" s="12" t="s">
        <v>3</v>
      </c>
      <c r="I14" s="12">
        <f>SUM(I7:I13)</f>
        <v>7855</v>
      </c>
      <c r="J14" s="12">
        <f t="shared" ref="J14:L14" si="11">SUM(J7:J13)</f>
        <v>1430</v>
      </c>
      <c r="K14" s="12">
        <f t="shared" si="11"/>
        <v>908</v>
      </c>
      <c r="L14" s="12">
        <f t="shared" si="11"/>
        <v>10193</v>
      </c>
      <c r="O14" s="12" t="s">
        <v>3</v>
      </c>
      <c r="P14" s="12">
        <f t="shared" si="1"/>
        <v>7855</v>
      </c>
      <c r="Q14" s="12">
        <f t="shared" si="0"/>
        <v>1430</v>
      </c>
      <c r="R14" s="12">
        <f t="shared" si="0"/>
        <v>-2607.915</v>
      </c>
      <c r="S14" s="12">
        <f t="shared" si="0"/>
        <v>6677.085</v>
      </c>
    </row>
    <row r="15" spans="1:19" x14ac:dyDescent="0.25">
      <c r="O15" s="21"/>
      <c r="P15" s="21"/>
      <c r="Q15" s="21"/>
      <c r="R15" s="21"/>
      <c r="S15" s="21"/>
    </row>
    <row r="16" spans="1:19" ht="15.75" thickBot="1" x14ac:dyDescent="0.3">
      <c r="A16" s="4" t="s">
        <v>204</v>
      </c>
      <c r="B16" s="1"/>
      <c r="C16" s="1"/>
      <c r="D16" s="1"/>
      <c r="H16" s="4" t="s">
        <v>31</v>
      </c>
      <c r="I16" s="1"/>
      <c r="J16" s="1"/>
      <c r="K16" s="1"/>
      <c r="O16" s="43" t="s">
        <v>69</v>
      </c>
      <c r="P16" s="25"/>
      <c r="Q16" s="25"/>
      <c r="R16" s="25"/>
      <c r="S16" s="25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4"/>
      <c r="P17" s="5" t="s">
        <v>41</v>
      </c>
      <c r="Q17" s="5" t="s">
        <v>42</v>
      </c>
      <c r="R17" s="5" t="s">
        <v>43</v>
      </c>
      <c r="S17" s="45" t="s">
        <v>3</v>
      </c>
    </row>
    <row r="18" spans="1:20" x14ac:dyDescent="0.25">
      <c r="A18" s="15" t="str">
        <f>$A$7</f>
        <v>Williamson</v>
      </c>
      <c r="B18" s="9">
        <v>80320.589299999992</v>
      </c>
      <c r="C18" s="9">
        <v>11762.0298</v>
      </c>
      <c r="D18" s="9">
        <v>13008.5933</v>
      </c>
      <c r="E18">
        <f>SUM(B18:D18)</f>
        <v>105091.21239999999</v>
      </c>
      <c r="H18" s="15" t="str">
        <f>$A$7</f>
        <v>Williamson</v>
      </c>
      <c r="I18">
        <v>71625</v>
      </c>
      <c r="J18">
        <v>17110</v>
      </c>
      <c r="K18">
        <v>16885</v>
      </c>
      <c r="L18">
        <f>SUM(I18:K18)</f>
        <v>105620</v>
      </c>
      <c r="O18" s="15" t="str">
        <f>$A$7</f>
        <v>Williamson</v>
      </c>
      <c r="P18" s="21">
        <f>I18-B18</f>
        <v>-8695.5892999999924</v>
      </c>
      <c r="Q18" s="21">
        <f t="shared" ref="Q18:Q25" si="12">J18-C18</f>
        <v>5347.9701999999997</v>
      </c>
      <c r="R18" s="21">
        <f t="shared" ref="R18:R25" si="13">K18-D18</f>
        <v>3876.4066999999995</v>
      </c>
      <c r="S18" s="21">
        <f t="shared" ref="S18:S25" si="14">L18-E18</f>
        <v>528.78760000001057</v>
      </c>
    </row>
    <row r="19" spans="1:20" x14ac:dyDescent="0.25">
      <c r="A19" t="str">
        <f>$A$8</f>
        <v>Rutherford</v>
      </c>
      <c r="B19" s="9">
        <v>31685.605200000002</v>
      </c>
      <c r="C19" s="9">
        <v>3877.1619999999998</v>
      </c>
      <c r="D19" s="9">
        <v>5563.9564</v>
      </c>
      <c r="E19">
        <f>SUM(B19:D19)</f>
        <v>41126.723600000005</v>
      </c>
      <c r="H19" t="str">
        <f>$A$8</f>
        <v>Rutherford</v>
      </c>
      <c r="I19">
        <v>34338</v>
      </c>
      <c r="J19">
        <v>7401</v>
      </c>
      <c r="K19">
        <v>12290</v>
      </c>
      <c r="L19">
        <f>SUM(I19:K19)</f>
        <v>54029</v>
      </c>
      <c r="O19" t="str">
        <f>$A$8</f>
        <v>Rutherford</v>
      </c>
      <c r="P19" s="21">
        <f t="shared" ref="P19:P25" si="15">I19-B19</f>
        <v>2652.3947999999982</v>
      </c>
      <c r="Q19" s="21">
        <f t="shared" si="12"/>
        <v>3523.8380000000002</v>
      </c>
      <c r="R19" s="21">
        <f t="shared" si="13"/>
        <v>6726.0436</v>
      </c>
      <c r="S19" s="21">
        <f t="shared" si="14"/>
        <v>12902.276399999995</v>
      </c>
    </row>
    <row r="20" spans="1:20" x14ac:dyDescent="0.25">
      <c r="A20" t="str">
        <f>$A$9</f>
        <v>Sumner</v>
      </c>
      <c r="B20" s="9">
        <v>34194.465199999999</v>
      </c>
      <c r="C20" s="9">
        <v>3517.3649999999998</v>
      </c>
      <c r="D20" s="9">
        <v>21776.5196</v>
      </c>
      <c r="E20">
        <f t="shared" ref="E20:E22" si="16">SUM(B20:D20)</f>
        <v>59488.349799999996</v>
      </c>
      <c r="H20" t="str">
        <f>$A$9</f>
        <v>Sumner</v>
      </c>
      <c r="I20">
        <v>29340</v>
      </c>
      <c r="J20">
        <v>7103</v>
      </c>
      <c r="K20">
        <v>27159</v>
      </c>
      <c r="L20">
        <f t="shared" ref="L20:L22" si="17">SUM(I20:K20)</f>
        <v>63602</v>
      </c>
      <c r="O20" t="str">
        <f>$A$9</f>
        <v>Sumner</v>
      </c>
      <c r="P20" s="21">
        <f t="shared" ref="P20:P22" si="18">I20-B20</f>
        <v>-4854.4651999999987</v>
      </c>
      <c r="Q20" s="21">
        <f t="shared" ref="Q20:Q22" si="19">J20-C20</f>
        <v>3585.6350000000002</v>
      </c>
      <c r="R20" s="21">
        <f t="shared" ref="R20:R22" si="20">K20-D20</f>
        <v>5382.4804000000004</v>
      </c>
      <c r="S20" s="21">
        <f t="shared" ref="S20:S22" si="21">L20-E20</f>
        <v>4113.6502000000037</v>
      </c>
    </row>
    <row r="21" spans="1:20" x14ac:dyDescent="0.25">
      <c r="A21" t="str">
        <f>$A$10</f>
        <v>Roberston</v>
      </c>
      <c r="B21" s="9">
        <v>14684.4141</v>
      </c>
      <c r="C21" s="9">
        <v>908.72059999999999</v>
      </c>
      <c r="D21" s="9">
        <v>7244.7271000000001</v>
      </c>
      <c r="E21">
        <f t="shared" si="16"/>
        <v>22837.861799999999</v>
      </c>
      <c r="H21" t="str">
        <f>$A$10</f>
        <v>Roberston</v>
      </c>
      <c r="I21">
        <v>10503</v>
      </c>
      <c r="J21">
        <v>2325</v>
      </c>
      <c r="K21">
        <v>11735</v>
      </c>
      <c r="L21">
        <f t="shared" si="17"/>
        <v>24563</v>
      </c>
      <c r="O21" s="7" t="str">
        <f>$A$10</f>
        <v>Roberston</v>
      </c>
      <c r="P21" s="22">
        <f t="shared" si="18"/>
        <v>-4181.4141</v>
      </c>
      <c r="Q21" s="22">
        <f t="shared" si="19"/>
        <v>1416.2793999999999</v>
      </c>
      <c r="R21" s="22">
        <f t="shared" si="20"/>
        <v>4490.2728999999999</v>
      </c>
      <c r="S21" s="22">
        <f t="shared" si="21"/>
        <v>1725.1382000000012</v>
      </c>
      <c r="T21" s="7"/>
    </row>
    <row r="22" spans="1:20" x14ac:dyDescent="0.25">
      <c r="A22" t="str">
        <f>$A$11</f>
        <v>Davidson</v>
      </c>
      <c r="B22" s="9">
        <v>34868.3681</v>
      </c>
      <c r="C22" s="9">
        <v>4446.4198000000006</v>
      </c>
      <c r="D22" s="9">
        <v>8243.5277000000006</v>
      </c>
      <c r="E22">
        <f t="shared" si="16"/>
        <v>47558.315600000002</v>
      </c>
      <c r="H22" t="str">
        <f>$A$11</f>
        <v>Davidson</v>
      </c>
      <c r="I22">
        <v>32108</v>
      </c>
      <c r="J22">
        <v>6974</v>
      </c>
      <c r="K22">
        <v>12283</v>
      </c>
      <c r="L22">
        <f t="shared" si="17"/>
        <v>51365</v>
      </c>
      <c r="O22" s="7" t="str">
        <f>$A$11</f>
        <v>Davidson</v>
      </c>
      <c r="P22" s="22">
        <f t="shared" si="18"/>
        <v>-2760.3680999999997</v>
      </c>
      <c r="Q22" s="22">
        <f t="shared" si="19"/>
        <v>2527.5801999999994</v>
      </c>
      <c r="R22" s="22">
        <f t="shared" si="20"/>
        <v>4039.4722999999994</v>
      </c>
      <c r="S22" s="22">
        <f t="shared" si="21"/>
        <v>3806.6843999999983</v>
      </c>
      <c r="T22" s="7"/>
    </row>
    <row r="23" spans="1:20" x14ac:dyDescent="0.25">
      <c r="A23" s="7" t="str">
        <f>$A$12</f>
        <v>Maury</v>
      </c>
      <c r="B23" s="34">
        <v>105081.5485</v>
      </c>
      <c r="C23" s="34">
        <v>19259.892200000002</v>
      </c>
      <c r="D23" s="34">
        <v>11204.599399999999</v>
      </c>
      <c r="E23" s="7">
        <f>SUM(B23:D23)</f>
        <v>135546.04010000001</v>
      </c>
      <c r="H23" s="7" t="str">
        <f>$A$12</f>
        <v>Maury</v>
      </c>
      <c r="I23" s="7">
        <v>93852</v>
      </c>
      <c r="J23" s="7">
        <v>21378</v>
      </c>
      <c r="K23" s="7">
        <v>24570</v>
      </c>
      <c r="L23" s="7">
        <f>SUM(I23:K23)</f>
        <v>139800</v>
      </c>
      <c r="O23" s="7" t="str">
        <f>$A$12</f>
        <v>Maury</v>
      </c>
      <c r="P23" s="22">
        <f t="shared" si="15"/>
        <v>-11229.548500000004</v>
      </c>
      <c r="Q23" s="22">
        <f t="shared" si="12"/>
        <v>2118.107799999998</v>
      </c>
      <c r="R23" s="22">
        <f t="shared" si="13"/>
        <v>13365.400600000001</v>
      </c>
      <c r="S23" s="22">
        <f t="shared" si="14"/>
        <v>4253.9598999999871</v>
      </c>
      <c r="T23" s="7"/>
    </row>
    <row r="24" spans="1:20" x14ac:dyDescent="0.25">
      <c r="A24" s="7" t="str">
        <f>$A$13</f>
        <v>Wilson</v>
      </c>
      <c r="B24" s="6">
        <v>72978.084900000002</v>
      </c>
      <c r="C24" s="6">
        <v>11756.877899999999</v>
      </c>
      <c r="D24" s="6">
        <v>16196.7793</v>
      </c>
      <c r="E24" s="6">
        <f>SUM(B24:D24)</f>
        <v>100931.7421</v>
      </c>
      <c r="H24" s="7" t="str">
        <f>$A$13</f>
        <v>Wilson</v>
      </c>
      <c r="I24" s="7">
        <v>83392</v>
      </c>
      <c r="J24" s="7">
        <v>21522</v>
      </c>
      <c r="K24" s="7">
        <v>24122</v>
      </c>
      <c r="L24" s="7">
        <f>SUM(I24:K24)</f>
        <v>129036</v>
      </c>
      <c r="O24" s="7" t="str">
        <f>$A$13</f>
        <v>Wilson</v>
      </c>
      <c r="P24" s="22">
        <f t="shared" si="15"/>
        <v>10413.915099999998</v>
      </c>
      <c r="Q24" s="22">
        <f t="shared" si="12"/>
        <v>9765.1221000000005</v>
      </c>
      <c r="R24" s="22">
        <f t="shared" si="13"/>
        <v>7925.2206999999999</v>
      </c>
      <c r="S24" s="22">
        <f t="shared" si="14"/>
        <v>28104.257899999997</v>
      </c>
      <c r="T24" s="7"/>
    </row>
    <row r="25" spans="1:20" ht="15.75" thickBot="1" x14ac:dyDescent="0.3">
      <c r="A25" s="12" t="s">
        <v>3</v>
      </c>
      <c r="B25" s="1">
        <f>SUM(B18:B24)</f>
        <v>373813.07530000003</v>
      </c>
      <c r="C25" s="1">
        <f t="shared" ref="C25" si="22">SUM(C18:C24)</f>
        <v>55528.467299999997</v>
      </c>
      <c r="D25" s="1">
        <f t="shared" ref="D25" si="23">SUM(D18:D24)</f>
        <v>83238.702799999999</v>
      </c>
      <c r="E25" s="1">
        <f t="shared" ref="E25" si="24">SUM(E18:E24)</f>
        <v>512580.24540000001</v>
      </c>
      <c r="H25" s="12" t="s">
        <v>3</v>
      </c>
      <c r="I25" s="12">
        <f>SUM(I18:I24)</f>
        <v>355158</v>
      </c>
      <c r="J25" s="12">
        <f t="shared" ref="J25" si="25">SUM(J18:J24)</f>
        <v>83813</v>
      </c>
      <c r="K25" s="12">
        <f t="shared" ref="K25" si="26">SUM(K18:K24)</f>
        <v>129044</v>
      </c>
      <c r="L25" s="12">
        <f t="shared" ref="L25" si="27">SUM(L18:L24)</f>
        <v>568015</v>
      </c>
      <c r="O25" s="12" t="s">
        <v>3</v>
      </c>
      <c r="P25" s="12">
        <f t="shared" si="15"/>
        <v>-18655.075300000026</v>
      </c>
      <c r="Q25" s="12">
        <f t="shared" si="12"/>
        <v>28284.532700000003</v>
      </c>
      <c r="R25" s="12">
        <f t="shared" si="13"/>
        <v>45805.297200000001</v>
      </c>
      <c r="S25" s="12">
        <f t="shared" si="14"/>
        <v>55434.754599999986</v>
      </c>
      <c r="T25" s="7"/>
    </row>
    <row r="27" spans="1:20" ht="15.75" thickBot="1" x14ac:dyDescent="0.3">
      <c r="A27" s="4" t="s">
        <v>205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Williamson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Williamson</v>
      </c>
      <c r="I29" s="16">
        <f t="shared" ref="I29:L30" si="29">IF(I18&lt;&gt;0,I7/I18,0)</f>
        <v>6.6638743455497376E-2</v>
      </c>
      <c r="J29" s="16">
        <f t="shared" si="29"/>
        <v>4.7983635300993574E-2</v>
      </c>
      <c r="K29" s="16">
        <f t="shared" si="29"/>
        <v>2.0254663902872373E-2</v>
      </c>
      <c r="L29" s="16">
        <f t="shared" si="29"/>
        <v>5.620147699299375E-2</v>
      </c>
      <c r="O29" s="15" t="str">
        <f>$A$7</f>
        <v>Williamson</v>
      </c>
      <c r="P29" s="27">
        <f t="shared" ref="P29:S36" si="30">I29-B29</f>
        <v>6.6638743455497376E-2</v>
      </c>
      <c r="Q29" s="27">
        <f t="shared" si="30"/>
        <v>4.7983635300993574E-2</v>
      </c>
      <c r="R29" s="27">
        <f t="shared" si="30"/>
        <v>2.0254663902872373E-2</v>
      </c>
      <c r="S29" s="27">
        <f t="shared" si="30"/>
        <v>5.620147699299375E-2</v>
      </c>
    </row>
    <row r="30" spans="1:20" x14ac:dyDescent="0.25">
      <c r="A30" t="str">
        <f>$A$8</f>
        <v>Rutherford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Rutherford</v>
      </c>
      <c r="I30" s="16">
        <f t="shared" si="29"/>
        <v>5.9991845768536311E-3</v>
      </c>
      <c r="J30" s="16">
        <f t="shared" si="29"/>
        <v>3.3779219024456155E-3</v>
      </c>
      <c r="K30" s="16">
        <f t="shared" si="29"/>
        <v>3.498779495524817E-3</v>
      </c>
      <c r="L30" s="16">
        <f t="shared" si="29"/>
        <v>5.0713505709896536E-3</v>
      </c>
      <c r="O30" t="str">
        <f>$A$8</f>
        <v>Rutherford</v>
      </c>
      <c r="P30" s="27">
        <f t="shared" si="30"/>
        <v>5.9991845768536311E-3</v>
      </c>
      <c r="Q30" s="27">
        <f t="shared" si="30"/>
        <v>3.3779219024456155E-3</v>
      </c>
      <c r="R30" s="27">
        <f t="shared" si="30"/>
        <v>3.498779495524817E-3</v>
      </c>
      <c r="S30" s="27">
        <f t="shared" si="30"/>
        <v>5.0713505709896536E-3</v>
      </c>
    </row>
    <row r="31" spans="1:20" x14ac:dyDescent="0.25">
      <c r="A31" t="str">
        <f>$A$9</f>
        <v>Sumner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0.16145440431169727</v>
      </c>
      <c r="E31" s="16">
        <f t="shared" si="32"/>
        <v>5.9102580788011706E-2</v>
      </c>
      <c r="H31" t="str">
        <f>$A$9</f>
        <v>Sumner</v>
      </c>
      <c r="I31" s="16">
        <f t="shared" ref="I31:L31" si="33">IF(I20&lt;&gt;0,I9/I20,0)</f>
        <v>5.3510565780504433E-3</v>
      </c>
      <c r="J31" s="16">
        <f t="shared" si="33"/>
        <v>2.8157116711248768E-3</v>
      </c>
      <c r="K31" s="16">
        <f t="shared" si="33"/>
        <v>4.050222762251924E-4</v>
      </c>
      <c r="L31" s="16">
        <f t="shared" si="33"/>
        <v>2.9558818905065878E-3</v>
      </c>
      <c r="O31" t="str">
        <f>$A$9</f>
        <v>Sumner</v>
      </c>
      <c r="P31" s="27">
        <f t="shared" ref="P31:P33" si="34">I31-B31</f>
        <v>5.3510565780504433E-3</v>
      </c>
      <c r="Q31" s="27">
        <f t="shared" ref="Q31:Q33" si="35">J31-C31</f>
        <v>2.8157116711248768E-3</v>
      </c>
      <c r="R31" s="27">
        <f t="shared" ref="R31:R33" si="36">K31-D31</f>
        <v>-0.16104938203547209</v>
      </c>
      <c r="S31" s="27">
        <f t="shared" ref="S31:S33" si="37">L31-E31</f>
        <v>-5.6146698897505121E-2</v>
      </c>
    </row>
    <row r="32" spans="1:20" x14ac:dyDescent="0.25">
      <c r="A32" t="str">
        <f>$A$10</f>
        <v>Roberston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Roberston</v>
      </c>
      <c r="I32" s="16">
        <f t="shared" ref="I32:L32" si="39">IF(I21&lt;&gt;0,I10/I21,0)</f>
        <v>8.1881367228410929E-3</v>
      </c>
      <c r="J32" s="16">
        <f t="shared" si="39"/>
        <v>2.5806451612903226E-3</v>
      </c>
      <c r="K32" s="16">
        <f t="shared" si="39"/>
        <v>1.0225820195994887E-3</v>
      </c>
      <c r="L32" s="16">
        <f t="shared" si="39"/>
        <v>4.2340105036029804E-3</v>
      </c>
      <c r="O32" t="str">
        <f>$A$10</f>
        <v>Roberston</v>
      </c>
      <c r="P32" s="27">
        <f t="shared" si="34"/>
        <v>8.1881367228410929E-3</v>
      </c>
      <c r="Q32" s="27">
        <f t="shared" si="35"/>
        <v>2.5806451612903226E-3</v>
      </c>
      <c r="R32" s="27">
        <f t="shared" si="36"/>
        <v>1.0225820195994887E-3</v>
      </c>
      <c r="S32" s="27">
        <f t="shared" si="37"/>
        <v>4.2340105036029804E-3</v>
      </c>
    </row>
    <row r="33" spans="1:19" x14ac:dyDescent="0.25">
      <c r="A33" s="7" t="str">
        <f>$A$11</f>
        <v>Davidson</v>
      </c>
      <c r="B33" s="51">
        <f t="shared" ref="B33:E33" si="40">IF(B22&lt;&gt;0,B11/B22,0)</f>
        <v>0</v>
      </c>
      <c r="C33" s="51">
        <f t="shared" si="40"/>
        <v>0</v>
      </c>
      <c r="D33" s="51">
        <f t="shared" si="40"/>
        <v>0</v>
      </c>
      <c r="E33" s="51">
        <f t="shared" si="40"/>
        <v>0</v>
      </c>
      <c r="H33" s="7" t="str">
        <f>$A$11</f>
        <v>Davidson</v>
      </c>
      <c r="I33" s="51">
        <f t="shared" ref="I33:L33" si="41">IF(I22&lt;&gt;0,I11/I22,0)</f>
        <v>9.25003114488601E-3</v>
      </c>
      <c r="J33" s="51">
        <f t="shared" si="41"/>
        <v>1.5199311729280183E-2</v>
      </c>
      <c r="K33" s="51">
        <f t="shared" si="41"/>
        <v>3.3379467556785801E-3</v>
      </c>
      <c r="L33" s="51">
        <f t="shared" si="41"/>
        <v>8.6440183003991047E-3</v>
      </c>
      <c r="O33" s="7" t="str">
        <f>$A$11</f>
        <v>Davidson</v>
      </c>
      <c r="P33" s="52">
        <f t="shared" si="34"/>
        <v>9.25003114488601E-3</v>
      </c>
      <c r="Q33" s="52">
        <f t="shared" si="35"/>
        <v>1.5199311729280183E-2</v>
      </c>
      <c r="R33" s="52">
        <f t="shared" si="36"/>
        <v>3.3379467556785801E-3</v>
      </c>
      <c r="S33" s="52">
        <f t="shared" si="37"/>
        <v>8.6440183003991047E-3</v>
      </c>
    </row>
    <row r="34" spans="1:19" x14ac:dyDescent="0.25">
      <c r="A34" s="7" t="str">
        <f>$A$12</f>
        <v>Maury</v>
      </c>
      <c r="B34" s="51">
        <f t="shared" ref="B34:E35" si="42">IF(B23&lt;&gt;0,B12/B23,0)</f>
        <v>0</v>
      </c>
      <c r="C34" s="51">
        <f t="shared" si="42"/>
        <v>0</v>
      </c>
      <c r="D34" s="51">
        <f t="shared" si="42"/>
        <v>0</v>
      </c>
      <c r="E34" s="51">
        <f t="shared" si="42"/>
        <v>0</v>
      </c>
      <c r="H34" s="7" t="str">
        <f>$A$12</f>
        <v>Maury</v>
      </c>
      <c r="I34" s="51">
        <f t="shared" ref="I34:L35" si="43">IF(I23&lt;&gt;0,I12/I23,0)</f>
        <v>1.4533520862634786E-2</v>
      </c>
      <c r="J34" s="51">
        <f t="shared" si="43"/>
        <v>1.2489475161380858E-2</v>
      </c>
      <c r="K34" s="51">
        <f t="shared" si="43"/>
        <v>4.7619047619047623E-3</v>
      </c>
      <c r="L34" s="51">
        <f t="shared" si="43"/>
        <v>1.2503576537911301E-2</v>
      </c>
      <c r="O34" s="7" t="str">
        <f>$A$12</f>
        <v>Maury</v>
      </c>
      <c r="P34" s="52">
        <f t="shared" si="30"/>
        <v>1.4533520862634786E-2</v>
      </c>
      <c r="Q34" s="52">
        <f t="shared" si="30"/>
        <v>1.2489475161380858E-2</v>
      </c>
      <c r="R34" s="52">
        <f t="shared" si="30"/>
        <v>4.7619047619047623E-3</v>
      </c>
      <c r="S34" s="52">
        <f t="shared" si="30"/>
        <v>1.2503576537911301E-2</v>
      </c>
    </row>
    <row r="35" spans="1:19" x14ac:dyDescent="0.25">
      <c r="A35" s="7" t="str">
        <f>$A$13</f>
        <v>Wilson</v>
      </c>
      <c r="B35" s="51">
        <f t="shared" si="42"/>
        <v>0</v>
      </c>
      <c r="C35" s="51">
        <f t="shared" si="42"/>
        <v>0</v>
      </c>
      <c r="D35" s="51">
        <f t="shared" si="42"/>
        <v>0</v>
      </c>
      <c r="E35" s="51">
        <f t="shared" si="42"/>
        <v>0</v>
      </c>
      <c r="H35" s="7" t="str">
        <f>$A$13</f>
        <v>Wilson</v>
      </c>
      <c r="I35" s="51">
        <f t="shared" si="43"/>
        <v>1.1655794320798158E-2</v>
      </c>
      <c r="J35" s="51">
        <f t="shared" si="43"/>
        <v>8.5958554037728844E-3</v>
      </c>
      <c r="K35" s="51">
        <f t="shared" si="43"/>
        <v>1.4177928861620098E-2</v>
      </c>
      <c r="L35" s="51">
        <f t="shared" si="43"/>
        <v>1.1616913109519823E-2</v>
      </c>
      <c r="O35" s="7" t="str">
        <f>$A$13</f>
        <v>Wilson</v>
      </c>
      <c r="P35" s="52">
        <f t="shared" si="30"/>
        <v>1.1655794320798158E-2</v>
      </c>
      <c r="Q35" s="52">
        <f t="shared" si="30"/>
        <v>8.5958554037728844E-3</v>
      </c>
      <c r="R35" s="52">
        <f t="shared" si="30"/>
        <v>1.4177928861620098E-2</v>
      </c>
      <c r="S35" s="52">
        <f t="shared" si="30"/>
        <v>1.1616913109519823E-2</v>
      </c>
    </row>
    <row r="36" spans="1:19" ht="15.75" thickBot="1" x14ac:dyDescent="0.3">
      <c r="A36" s="12" t="s">
        <v>3</v>
      </c>
      <c r="B36" s="17">
        <f>IF(B25&lt;&gt;0,B14/B25,0)</f>
        <v>0</v>
      </c>
      <c r="C36" s="17">
        <f t="shared" ref="C36:E36" si="44">IF(C25&lt;&gt;0,C14/C25,0)</f>
        <v>0</v>
      </c>
      <c r="D36" s="17">
        <f t="shared" si="44"/>
        <v>4.2238945126857504E-2</v>
      </c>
      <c r="E36" s="17">
        <f t="shared" si="44"/>
        <v>6.8592479549349408E-3</v>
      </c>
      <c r="H36" s="12" t="s">
        <v>3</v>
      </c>
      <c r="I36" s="17">
        <f>IF(I25&lt;&gt;0,I14/I25,0)</f>
        <v>2.21169169777958E-2</v>
      </c>
      <c r="J36" s="17">
        <f t="shared" ref="J36:L36" si="45">IF(J25&lt;&gt;0,J14/J25,0)</f>
        <v>1.7061792323386588E-2</v>
      </c>
      <c r="K36" s="17">
        <f t="shared" si="45"/>
        <v>7.0363596912680947E-3</v>
      </c>
      <c r="L36" s="17">
        <f t="shared" si="45"/>
        <v>1.79449486369198E-2</v>
      </c>
      <c r="O36" s="12" t="s">
        <v>3</v>
      </c>
      <c r="P36" s="46">
        <f t="shared" si="30"/>
        <v>2.21169169777958E-2</v>
      </c>
      <c r="Q36" s="46">
        <f t="shared" ref="Q36" si="46">J36-C36</f>
        <v>1.7061792323386588E-2</v>
      </c>
      <c r="R36" s="46">
        <f t="shared" ref="R36" si="47">K36-D36</f>
        <v>-3.5202585435589406E-2</v>
      </c>
      <c r="S36" s="46">
        <f t="shared" ref="S36" si="48">L36-E36</f>
        <v>1.108570068198486E-2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width="27.42578125" bestFit="1" customWidth="1" collapsed="1"/>
  </cols>
  <sheetData>
    <row r="1" spans="1:2" x14ac:dyDescent="0.25">
      <c r="A1" s="11" t="s">
        <v>44</v>
      </c>
    </row>
    <row r="2" spans="1:2" x14ac:dyDescent="0.25">
      <c r="A2" s="42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140</v>
      </c>
      <c r="B1" t="s">
        <v>142</v>
      </c>
      <c r="F1" t="s">
        <v>141</v>
      </c>
    </row>
    <row r="2" spans="1:6" x14ac:dyDescent="0.25">
      <c r="A2">
        <v>1</v>
      </c>
      <c r="B2" t="s">
        <v>78</v>
      </c>
      <c r="C2" t="s">
        <v>79</v>
      </c>
      <c r="D2">
        <v>1</v>
      </c>
      <c r="E2">
        <v>0</v>
      </c>
      <c r="F2" t="s">
        <v>145</v>
      </c>
    </row>
    <row r="3" spans="1:6" x14ac:dyDescent="0.25">
      <c r="A3">
        <v>2</v>
      </c>
      <c r="B3" t="s">
        <v>80</v>
      </c>
      <c r="C3" t="s">
        <v>79</v>
      </c>
      <c r="D3">
        <v>1</v>
      </c>
      <c r="E3">
        <v>0</v>
      </c>
      <c r="F3" t="s">
        <v>146</v>
      </c>
    </row>
    <row r="4" spans="1:6" x14ac:dyDescent="0.25">
      <c r="A4">
        <v>3</v>
      </c>
      <c r="B4" t="s">
        <v>81</v>
      </c>
      <c r="C4" t="s">
        <v>79</v>
      </c>
      <c r="D4">
        <v>1</v>
      </c>
      <c r="E4">
        <v>0</v>
      </c>
      <c r="F4" t="s">
        <v>147</v>
      </c>
    </row>
    <row r="5" spans="1:6" x14ac:dyDescent="0.25">
      <c r="A5">
        <v>4</v>
      </c>
      <c r="B5" t="s">
        <v>82</v>
      </c>
      <c r="C5" t="s">
        <v>79</v>
      </c>
      <c r="D5">
        <v>0.5</v>
      </c>
      <c r="E5">
        <v>0</v>
      </c>
      <c r="F5" t="s">
        <v>148</v>
      </c>
    </row>
    <row r="6" spans="1:6" x14ac:dyDescent="0.25">
      <c r="A6">
        <v>5</v>
      </c>
      <c r="B6" t="s">
        <v>83</v>
      </c>
      <c r="C6" t="s">
        <v>79</v>
      </c>
      <c r="D6">
        <v>0.1</v>
      </c>
      <c r="E6">
        <v>0</v>
      </c>
      <c r="F6" t="s">
        <v>149</v>
      </c>
    </row>
    <row r="7" spans="1:6" x14ac:dyDescent="0.25">
      <c r="A7">
        <v>6</v>
      </c>
      <c r="B7" t="s">
        <v>84</v>
      </c>
      <c r="C7" t="s">
        <v>79</v>
      </c>
      <c r="D7">
        <v>1</v>
      </c>
      <c r="E7">
        <v>0</v>
      </c>
      <c r="F7" t="s">
        <v>195</v>
      </c>
    </row>
    <row r="8" spans="1:6" x14ac:dyDescent="0.25">
      <c r="A8">
        <v>7</v>
      </c>
      <c r="B8" t="s">
        <v>85</v>
      </c>
      <c r="C8" t="s">
        <v>79</v>
      </c>
      <c r="D8">
        <v>-21.977719252</v>
      </c>
      <c r="E8">
        <v>0</v>
      </c>
      <c r="F8" t="s">
        <v>150</v>
      </c>
    </row>
    <row r="9" spans="1:6" x14ac:dyDescent="0.25">
      <c r="A9">
        <v>8</v>
      </c>
      <c r="B9" t="s">
        <v>86</v>
      </c>
      <c r="C9" t="s">
        <v>79</v>
      </c>
      <c r="D9">
        <v>-1.4857940511400001</v>
      </c>
      <c r="E9">
        <v>0</v>
      </c>
      <c r="F9" t="s">
        <v>151</v>
      </c>
    </row>
    <row r="10" spans="1:6" x14ac:dyDescent="0.25">
      <c r="A10">
        <v>9</v>
      </c>
      <c r="B10" t="s">
        <v>87</v>
      </c>
      <c r="C10" t="s">
        <v>79</v>
      </c>
      <c r="D10">
        <v>-4.85028348146</v>
      </c>
      <c r="E10">
        <v>0</v>
      </c>
      <c r="F10" t="s">
        <v>152</v>
      </c>
    </row>
    <row r="11" spans="1:6" x14ac:dyDescent="0.25">
      <c r="A11">
        <v>10</v>
      </c>
      <c r="B11" t="s">
        <v>88</v>
      </c>
      <c r="C11" t="s">
        <v>79</v>
      </c>
      <c r="D11">
        <v>-15.3921330935</v>
      </c>
      <c r="E11">
        <v>0</v>
      </c>
      <c r="F11" t="s">
        <v>153</v>
      </c>
    </row>
    <row r="12" spans="1:6" x14ac:dyDescent="0.25">
      <c r="A12">
        <v>11</v>
      </c>
      <c r="B12" t="s">
        <v>89</v>
      </c>
      <c r="C12" t="s">
        <v>79</v>
      </c>
      <c r="D12">
        <v>-11.245247773539999</v>
      </c>
      <c r="E12">
        <v>0</v>
      </c>
      <c r="F12" t="s">
        <v>154</v>
      </c>
    </row>
    <row r="13" spans="1:6" x14ac:dyDescent="0.25">
      <c r="A13">
        <v>12</v>
      </c>
      <c r="B13" t="s">
        <v>90</v>
      </c>
      <c r="C13" t="s">
        <v>79</v>
      </c>
      <c r="D13">
        <v>-4.2752113423699996</v>
      </c>
      <c r="E13">
        <v>0</v>
      </c>
      <c r="F13" t="s">
        <v>155</v>
      </c>
    </row>
    <row r="14" spans="1:6" x14ac:dyDescent="0.25">
      <c r="A14">
        <v>13</v>
      </c>
      <c r="B14" t="s">
        <v>91</v>
      </c>
      <c r="C14" t="s">
        <v>79</v>
      </c>
      <c r="D14">
        <v>-6.5192578502799998</v>
      </c>
      <c r="E14">
        <v>0</v>
      </c>
      <c r="F14" t="s">
        <v>156</v>
      </c>
    </row>
    <row r="15" spans="1:6" x14ac:dyDescent="0.25">
      <c r="A15">
        <v>14</v>
      </c>
      <c r="B15" t="s">
        <v>92</v>
      </c>
      <c r="C15" t="s">
        <v>79</v>
      </c>
      <c r="D15">
        <v>-3.04866060786</v>
      </c>
      <c r="E15">
        <v>0</v>
      </c>
      <c r="F15" t="s">
        <v>157</v>
      </c>
    </row>
    <row r="16" spans="1:6" x14ac:dyDescent="0.25">
      <c r="A16">
        <v>15</v>
      </c>
      <c r="B16" t="s">
        <v>93</v>
      </c>
      <c r="C16" t="s">
        <v>79</v>
      </c>
      <c r="D16">
        <v>0</v>
      </c>
      <c r="E16">
        <v>0</v>
      </c>
      <c r="F16" t="s">
        <v>196</v>
      </c>
    </row>
    <row r="17" spans="1:6" x14ac:dyDescent="0.25">
      <c r="A17">
        <v>16</v>
      </c>
      <c r="B17" t="s">
        <v>94</v>
      </c>
      <c r="C17" t="s">
        <v>79</v>
      </c>
      <c r="D17">
        <v>-2.2084934246199999</v>
      </c>
      <c r="E17">
        <v>0</v>
      </c>
      <c r="F17" t="s">
        <v>197</v>
      </c>
    </row>
    <row r="18" spans="1:6" x14ac:dyDescent="0.25">
      <c r="A18">
        <v>17</v>
      </c>
      <c r="B18" t="s">
        <v>95</v>
      </c>
      <c r="C18" t="s">
        <v>79</v>
      </c>
      <c r="D18">
        <v>0</v>
      </c>
      <c r="E18">
        <v>0</v>
      </c>
      <c r="F18" t="s">
        <v>158</v>
      </c>
    </row>
    <row r="19" spans="1:6" x14ac:dyDescent="0.25">
      <c r="A19">
        <v>18</v>
      </c>
      <c r="B19" t="s">
        <v>96</v>
      </c>
      <c r="C19" t="s">
        <v>79</v>
      </c>
      <c r="D19">
        <v>0</v>
      </c>
      <c r="E19">
        <v>0</v>
      </c>
      <c r="F19" t="s">
        <v>159</v>
      </c>
    </row>
    <row r="20" spans="1:6" x14ac:dyDescent="0.25">
      <c r="A20">
        <v>19</v>
      </c>
      <c r="B20" t="s">
        <v>97</v>
      </c>
      <c r="C20" t="s">
        <v>79</v>
      </c>
      <c r="D20">
        <v>0</v>
      </c>
      <c r="E20">
        <v>0</v>
      </c>
      <c r="F20" t="s">
        <v>160</v>
      </c>
    </row>
    <row r="21" spans="1:6" x14ac:dyDescent="0.25">
      <c r="A21">
        <v>20</v>
      </c>
      <c r="B21" t="s">
        <v>98</v>
      </c>
      <c r="C21" t="s">
        <v>79</v>
      </c>
      <c r="D21">
        <v>0</v>
      </c>
      <c r="E21">
        <v>0</v>
      </c>
      <c r="F21" t="s">
        <v>161</v>
      </c>
    </row>
    <row r="22" spans="1:6" x14ac:dyDescent="0.25">
      <c r="A22">
        <v>21</v>
      </c>
      <c r="B22" t="s">
        <v>99</v>
      </c>
      <c r="C22" t="s">
        <v>79</v>
      </c>
      <c r="D22">
        <v>0</v>
      </c>
      <c r="E22">
        <v>0</v>
      </c>
      <c r="F22" t="s">
        <v>198</v>
      </c>
    </row>
    <row r="23" spans="1:6" x14ac:dyDescent="0.25">
      <c r="A23">
        <v>30</v>
      </c>
      <c r="B23" t="s">
        <v>100</v>
      </c>
      <c r="C23" t="s">
        <v>79</v>
      </c>
      <c r="D23">
        <v>0</v>
      </c>
      <c r="E23">
        <v>0</v>
      </c>
      <c r="F23" t="s">
        <v>162</v>
      </c>
    </row>
    <row r="24" spans="1:6" x14ac:dyDescent="0.25">
      <c r="A24">
        <v>31</v>
      </c>
      <c r="B24" t="s">
        <v>101</v>
      </c>
      <c r="C24" t="s">
        <v>79</v>
      </c>
      <c r="D24">
        <v>0</v>
      </c>
      <c r="E24">
        <v>0</v>
      </c>
      <c r="F24" t="s">
        <v>163</v>
      </c>
    </row>
    <row r="25" spans="1:6" x14ac:dyDescent="0.25">
      <c r="A25">
        <v>32</v>
      </c>
      <c r="B25" t="s">
        <v>102</v>
      </c>
      <c r="C25" t="s">
        <v>79</v>
      </c>
      <c r="D25">
        <v>0</v>
      </c>
      <c r="E25">
        <v>0</v>
      </c>
      <c r="F25" t="s">
        <v>164</v>
      </c>
    </row>
    <row r="26" spans="1:6" x14ac:dyDescent="0.25">
      <c r="A26">
        <v>33</v>
      </c>
      <c r="B26" t="s">
        <v>103</v>
      </c>
      <c r="C26" t="s">
        <v>79</v>
      </c>
      <c r="D26">
        <v>0.20475756801299999</v>
      </c>
      <c r="E26">
        <v>0</v>
      </c>
      <c r="F26" t="s">
        <v>165</v>
      </c>
    </row>
    <row r="27" spans="1:6" x14ac:dyDescent="0.25">
      <c r="A27">
        <v>34</v>
      </c>
      <c r="B27" t="s">
        <v>104</v>
      </c>
      <c r="C27" t="s">
        <v>79</v>
      </c>
      <c r="D27">
        <v>0.73914409694299998</v>
      </c>
      <c r="E27">
        <v>0</v>
      </c>
      <c r="F27" t="s">
        <v>166</v>
      </c>
    </row>
    <row r="28" spans="1:6" x14ac:dyDescent="0.25">
      <c r="A28">
        <v>35</v>
      </c>
      <c r="B28" t="s">
        <v>105</v>
      </c>
      <c r="C28" t="s">
        <v>79</v>
      </c>
      <c r="D28">
        <v>0.91950533972299997</v>
      </c>
      <c r="E28">
        <v>0</v>
      </c>
      <c r="F28" t="s">
        <v>167</v>
      </c>
    </row>
    <row r="29" spans="1:6" x14ac:dyDescent="0.25">
      <c r="A29">
        <v>36</v>
      </c>
      <c r="B29" t="s">
        <v>106</v>
      </c>
      <c r="C29" t="s">
        <v>79</v>
      </c>
      <c r="D29">
        <v>0</v>
      </c>
      <c r="E29">
        <v>0</v>
      </c>
      <c r="F29" t="s">
        <v>168</v>
      </c>
    </row>
    <row r="30" spans="1:6" x14ac:dyDescent="0.25">
      <c r="A30">
        <v>37</v>
      </c>
      <c r="B30" t="s">
        <v>107</v>
      </c>
      <c r="C30" t="s">
        <v>79</v>
      </c>
      <c r="D30">
        <v>0.47967991030399998</v>
      </c>
      <c r="E30">
        <v>0</v>
      </c>
      <c r="F30" t="s">
        <v>169</v>
      </c>
    </row>
    <row r="31" spans="1:6" x14ac:dyDescent="0.25">
      <c r="A31">
        <v>38</v>
      </c>
      <c r="B31" t="s">
        <v>108</v>
      </c>
      <c r="C31" t="s">
        <v>79</v>
      </c>
      <c r="D31">
        <v>-0.117361085083</v>
      </c>
      <c r="E31">
        <v>0</v>
      </c>
      <c r="F31" t="s">
        <v>170</v>
      </c>
    </row>
    <row r="32" spans="1:6" x14ac:dyDescent="0.25">
      <c r="A32">
        <v>50</v>
      </c>
      <c r="B32" t="s">
        <v>109</v>
      </c>
      <c r="C32" t="s">
        <v>110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111</v>
      </c>
      <c r="C33" t="s">
        <v>110</v>
      </c>
      <c r="D33">
        <v>17.602734273900001</v>
      </c>
      <c r="E33">
        <v>9.4985609110600002</v>
      </c>
      <c r="F33" t="s">
        <v>143</v>
      </c>
    </row>
    <row r="34" spans="1:6" x14ac:dyDescent="0.25">
      <c r="A34">
        <v>52</v>
      </c>
      <c r="B34" t="s">
        <v>112</v>
      </c>
      <c r="C34" t="s">
        <v>110</v>
      </c>
      <c r="D34">
        <v>4.20952630757</v>
      </c>
      <c r="E34">
        <v>2.7008716882299999</v>
      </c>
      <c r="F34" t="s">
        <v>144</v>
      </c>
    </row>
    <row r="35" spans="1:6" x14ac:dyDescent="0.25">
      <c r="A35">
        <v>60</v>
      </c>
      <c r="B35" t="s">
        <v>113</v>
      </c>
      <c r="C35" t="s">
        <v>79</v>
      </c>
      <c r="D35">
        <v>0.20359321296800001</v>
      </c>
      <c r="E35">
        <v>0</v>
      </c>
    </row>
    <row r="36" spans="1:6" x14ac:dyDescent="0.25">
      <c r="A36">
        <v>61</v>
      </c>
      <c r="B36" t="s">
        <v>114</v>
      </c>
      <c r="C36" t="s">
        <v>79</v>
      </c>
      <c r="D36">
        <v>-3.7139025588600001</v>
      </c>
      <c r="E36">
        <v>0</v>
      </c>
      <c r="F36" t="s">
        <v>171</v>
      </c>
    </row>
    <row r="37" spans="1:6" x14ac:dyDescent="0.25">
      <c r="A37">
        <v>62</v>
      </c>
      <c r="B37" t="s">
        <v>115</v>
      </c>
      <c r="C37" t="s">
        <v>79</v>
      </c>
      <c r="D37">
        <v>-14.9292134206</v>
      </c>
      <c r="E37">
        <v>0</v>
      </c>
      <c r="F37" t="s">
        <v>172</v>
      </c>
    </row>
    <row r="38" spans="1:6" x14ac:dyDescent="0.25">
      <c r="A38">
        <v>63</v>
      </c>
      <c r="B38" t="s">
        <v>116</v>
      </c>
      <c r="C38" t="s">
        <v>79</v>
      </c>
      <c r="D38">
        <v>-18.363643827400001</v>
      </c>
      <c r="E38">
        <v>0</v>
      </c>
      <c r="F38" t="s">
        <v>173</v>
      </c>
    </row>
    <row r="39" spans="1:6" x14ac:dyDescent="0.25">
      <c r="A39">
        <v>64</v>
      </c>
      <c r="B39" t="s">
        <v>117</v>
      </c>
      <c r="C39" t="s">
        <v>79</v>
      </c>
      <c r="D39">
        <v>-19.6107408341</v>
      </c>
      <c r="E39">
        <v>0</v>
      </c>
      <c r="F39" t="s">
        <v>174</v>
      </c>
    </row>
    <row r="40" spans="1:6" x14ac:dyDescent="0.25">
      <c r="A40">
        <v>65</v>
      </c>
      <c r="B40" t="s">
        <v>118</v>
      </c>
      <c r="C40" t="s">
        <v>79</v>
      </c>
      <c r="D40">
        <v>-29.386377866</v>
      </c>
      <c r="E40">
        <v>0</v>
      </c>
      <c r="F40" t="s">
        <v>175</v>
      </c>
    </row>
    <row r="41" spans="1:6" x14ac:dyDescent="0.25">
      <c r="A41">
        <v>66</v>
      </c>
      <c r="B41" t="s">
        <v>119</v>
      </c>
      <c r="C41" t="s">
        <v>79</v>
      </c>
      <c r="D41">
        <v>0</v>
      </c>
      <c r="E41">
        <v>0</v>
      </c>
      <c r="F41" t="s">
        <v>176</v>
      </c>
    </row>
    <row r="42" spans="1:6" x14ac:dyDescent="0.25">
      <c r="A42">
        <v>67</v>
      </c>
      <c r="B42" t="s">
        <v>120</v>
      </c>
      <c r="C42" t="s">
        <v>79</v>
      </c>
      <c r="D42">
        <v>-6.7290240321499999</v>
      </c>
      <c r="E42">
        <v>0</v>
      </c>
      <c r="F42" t="s">
        <v>177</v>
      </c>
    </row>
    <row r="43" spans="1:6" x14ac:dyDescent="0.25">
      <c r="A43">
        <v>68</v>
      </c>
      <c r="B43" t="s">
        <v>121</v>
      </c>
      <c r="C43" t="s">
        <v>79</v>
      </c>
      <c r="D43">
        <v>-26.1597322567</v>
      </c>
      <c r="E43">
        <v>0</v>
      </c>
      <c r="F43" t="s">
        <v>178</v>
      </c>
    </row>
    <row r="44" spans="1:6" x14ac:dyDescent="0.25">
      <c r="A44">
        <v>69</v>
      </c>
      <c r="B44" t="s">
        <v>122</v>
      </c>
      <c r="C44" t="s">
        <v>79</v>
      </c>
      <c r="D44">
        <v>-0.14966845132199999</v>
      </c>
      <c r="E44">
        <v>0</v>
      </c>
      <c r="F44" t="s">
        <v>179</v>
      </c>
    </row>
    <row r="45" spans="1:6" x14ac:dyDescent="0.25">
      <c r="A45">
        <v>70</v>
      </c>
      <c r="B45" t="s">
        <v>123</v>
      </c>
      <c r="C45" t="s">
        <v>79</v>
      </c>
      <c r="D45">
        <v>-28.815960729</v>
      </c>
      <c r="E45">
        <v>0</v>
      </c>
      <c r="F45" t="s">
        <v>180</v>
      </c>
    </row>
    <row r="46" spans="1:6" x14ac:dyDescent="0.25">
      <c r="A46">
        <v>71</v>
      </c>
      <c r="B46" t="s">
        <v>124</v>
      </c>
      <c r="C46" t="s">
        <v>79</v>
      </c>
      <c r="D46">
        <v>-38.204969650199999</v>
      </c>
      <c r="E46">
        <v>0</v>
      </c>
      <c r="F46" t="s">
        <v>181</v>
      </c>
    </row>
    <row r="47" spans="1:6" x14ac:dyDescent="0.25">
      <c r="A47">
        <v>72</v>
      </c>
      <c r="B47" t="s">
        <v>125</v>
      </c>
      <c r="C47" t="s">
        <v>79</v>
      </c>
      <c r="D47">
        <v>0</v>
      </c>
      <c r="E47">
        <v>0</v>
      </c>
      <c r="F47" t="s">
        <v>182</v>
      </c>
    </row>
    <row r="48" spans="1:6" x14ac:dyDescent="0.25">
      <c r="A48">
        <v>73</v>
      </c>
      <c r="B48" t="s">
        <v>126</v>
      </c>
      <c r="C48" t="s">
        <v>79</v>
      </c>
      <c r="D48">
        <v>-0.78460574570499997</v>
      </c>
      <c r="E48">
        <v>0</v>
      </c>
      <c r="F48" t="s">
        <v>183</v>
      </c>
    </row>
    <row r="49" spans="1:6" x14ac:dyDescent="0.25">
      <c r="A49">
        <v>74</v>
      </c>
      <c r="B49" t="s">
        <v>127</v>
      </c>
      <c r="C49" t="s">
        <v>79</v>
      </c>
      <c r="D49">
        <v>-60</v>
      </c>
      <c r="E49">
        <v>0</v>
      </c>
      <c r="F49" t="s">
        <v>184</v>
      </c>
    </row>
    <row r="50" spans="1:6" x14ac:dyDescent="0.25">
      <c r="A50">
        <v>75</v>
      </c>
      <c r="B50" t="s">
        <v>128</v>
      </c>
      <c r="C50" t="s">
        <v>79</v>
      </c>
      <c r="D50">
        <v>-40</v>
      </c>
      <c r="E50">
        <v>0</v>
      </c>
      <c r="F50" t="s">
        <v>185</v>
      </c>
    </row>
    <row r="51" spans="1:6" x14ac:dyDescent="0.25">
      <c r="A51">
        <v>76</v>
      </c>
      <c r="B51" t="s">
        <v>129</v>
      </c>
      <c r="C51" t="s">
        <v>79</v>
      </c>
      <c r="D51">
        <v>-19.3366724551</v>
      </c>
      <c r="E51">
        <v>0</v>
      </c>
      <c r="F51" t="s">
        <v>186</v>
      </c>
    </row>
    <row r="52" spans="1:6" x14ac:dyDescent="0.25">
      <c r="A52">
        <v>77</v>
      </c>
      <c r="B52" t="s">
        <v>130</v>
      </c>
      <c r="C52" t="s">
        <v>79</v>
      </c>
      <c r="D52">
        <v>-29.8899113495</v>
      </c>
      <c r="E52">
        <v>0</v>
      </c>
      <c r="F52" t="s">
        <v>187</v>
      </c>
    </row>
    <row r="53" spans="1:6" x14ac:dyDescent="0.25">
      <c r="A53">
        <v>78</v>
      </c>
      <c r="B53" t="s">
        <v>131</v>
      </c>
      <c r="C53" t="s">
        <v>79</v>
      </c>
      <c r="D53">
        <v>0</v>
      </c>
      <c r="E53">
        <v>0</v>
      </c>
      <c r="F53" t="s">
        <v>188</v>
      </c>
    </row>
    <row r="54" spans="1:6" x14ac:dyDescent="0.25">
      <c r="A54">
        <v>79</v>
      </c>
      <c r="B54" t="s">
        <v>132</v>
      </c>
      <c r="C54" t="s">
        <v>79</v>
      </c>
      <c r="D54">
        <v>-4.6085602533700003</v>
      </c>
      <c r="E54">
        <v>0</v>
      </c>
      <c r="F54" t="s">
        <v>189</v>
      </c>
    </row>
    <row r="55" spans="1:6" x14ac:dyDescent="0.25">
      <c r="A55">
        <v>80</v>
      </c>
      <c r="B55" t="s">
        <v>133</v>
      </c>
      <c r="C55" t="s">
        <v>79</v>
      </c>
      <c r="D55">
        <v>-20</v>
      </c>
      <c r="E55">
        <v>0</v>
      </c>
      <c r="F55" t="s">
        <v>190</v>
      </c>
    </row>
    <row r="56" spans="1:6" x14ac:dyDescent="0.25">
      <c r="A56">
        <v>81</v>
      </c>
      <c r="B56" t="s">
        <v>134</v>
      </c>
      <c r="C56" t="s">
        <v>79</v>
      </c>
      <c r="D56">
        <v>-16.8297323695</v>
      </c>
      <c r="E56">
        <v>0</v>
      </c>
      <c r="F56" t="s">
        <v>191</v>
      </c>
    </row>
    <row r="57" spans="1:6" x14ac:dyDescent="0.25">
      <c r="A57">
        <v>82</v>
      </c>
      <c r="B57" t="s">
        <v>135</v>
      </c>
      <c r="C57" t="s">
        <v>79</v>
      </c>
      <c r="D57">
        <v>-30</v>
      </c>
      <c r="E57">
        <v>0</v>
      </c>
      <c r="F57" t="s">
        <v>192</v>
      </c>
    </row>
    <row r="58" spans="1:6" x14ac:dyDescent="0.25">
      <c r="A58">
        <v>83</v>
      </c>
      <c r="B58" t="s">
        <v>136</v>
      </c>
      <c r="C58" t="s">
        <v>79</v>
      </c>
      <c r="D58">
        <v>0</v>
      </c>
      <c r="E58">
        <v>0</v>
      </c>
      <c r="F58" t="s">
        <v>193</v>
      </c>
    </row>
    <row r="59" spans="1:6" x14ac:dyDescent="0.25">
      <c r="A59">
        <v>84</v>
      </c>
      <c r="B59" t="s">
        <v>137</v>
      </c>
      <c r="C59" t="s">
        <v>79</v>
      </c>
      <c r="D59">
        <v>-3.8243167264700002</v>
      </c>
      <c r="E59">
        <v>0</v>
      </c>
      <c r="F59" t="s">
        <v>194</v>
      </c>
    </row>
    <row r="60" spans="1:6" x14ac:dyDescent="0.25">
      <c r="A60">
        <v>98</v>
      </c>
      <c r="B60" t="s">
        <v>138</v>
      </c>
      <c r="C60" t="s">
        <v>79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139</v>
      </c>
      <c r="C61" t="s">
        <v>110</v>
      </c>
      <c r="D61">
        <v>0.11248071060500001</v>
      </c>
      <c r="E61" s="55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6" t="s">
        <v>208</v>
      </c>
    </row>
    <row r="2" spans="1:10" x14ac:dyDescent="0.25">
      <c r="A2">
        <v>1</v>
      </c>
      <c r="B2" t="s">
        <v>209</v>
      </c>
    </row>
    <row r="3" spans="1:10" x14ac:dyDescent="0.25">
      <c r="A3">
        <v>2</v>
      </c>
      <c r="B3" t="s">
        <v>210</v>
      </c>
    </row>
    <row r="4" spans="1:10" x14ac:dyDescent="0.25">
      <c r="A4">
        <v>3</v>
      </c>
      <c r="B4" t="s">
        <v>211</v>
      </c>
    </row>
    <row r="5" spans="1:10" x14ac:dyDescent="0.25">
      <c r="A5">
        <v>4</v>
      </c>
      <c r="B5" t="s">
        <v>212</v>
      </c>
    </row>
    <row r="8" spans="1:10" x14ac:dyDescent="0.25">
      <c r="A8" t="s">
        <v>213</v>
      </c>
      <c r="B8" t="s">
        <v>214</v>
      </c>
      <c r="C8" t="s">
        <v>215</v>
      </c>
      <c r="D8" t="s">
        <v>216</v>
      </c>
      <c r="E8" t="s">
        <v>217</v>
      </c>
      <c r="F8" t="s">
        <v>218</v>
      </c>
      <c r="G8" t="s">
        <v>219</v>
      </c>
      <c r="H8" t="s">
        <v>220</v>
      </c>
    </row>
    <row r="9" spans="1:10" x14ac:dyDescent="0.25">
      <c r="A9" t="s">
        <v>221</v>
      </c>
      <c r="B9" t="s">
        <v>222</v>
      </c>
      <c r="C9" t="s">
        <v>223</v>
      </c>
      <c r="D9" t="s">
        <v>224</v>
      </c>
      <c r="E9">
        <v>4</v>
      </c>
      <c r="F9" s="57">
        <v>0.50597222222222216</v>
      </c>
      <c r="G9" t="s">
        <v>225</v>
      </c>
      <c r="H9">
        <v>29</v>
      </c>
      <c r="I9" t="s">
        <v>226</v>
      </c>
      <c r="J9">
        <v>12</v>
      </c>
    </row>
    <row r="10" spans="1:10" x14ac:dyDescent="0.25">
      <c r="A10" t="s">
        <v>227</v>
      </c>
    </row>
    <row r="11" spans="1:10" x14ac:dyDescent="0.25">
      <c r="B11">
        <v>1</v>
      </c>
      <c r="C11" t="s">
        <v>78</v>
      </c>
      <c r="D11" t="s">
        <v>79</v>
      </c>
      <c r="E11">
        <v>1</v>
      </c>
      <c r="F11">
        <v>0</v>
      </c>
    </row>
    <row r="12" spans="1:10" x14ac:dyDescent="0.25">
      <c r="B12">
        <v>2</v>
      </c>
      <c r="C12" t="s">
        <v>80</v>
      </c>
      <c r="D12" t="s">
        <v>79</v>
      </c>
      <c r="E12">
        <v>1</v>
      </c>
      <c r="F12">
        <v>0</v>
      </c>
    </row>
    <row r="13" spans="1:10" x14ac:dyDescent="0.25">
      <c r="B13">
        <v>3</v>
      </c>
      <c r="C13" t="s">
        <v>81</v>
      </c>
      <c r="D13" t="s">
        <v>79</v>
      </c>
      <c r="E13">
        <v>1</v>
      </c>
      <c r="F13">
        <v>0</v>
      </c>
    </row>
    <row r="14" spans="1:10" x14ac:dyDescent="0.25">
      <c r="B14">
        <v>4</v>
      </c>
      <c r="C14" t="s">
        <v>82</v>
      </c>
      <c r="D14" t="s">
        <v>79</v>
      </c>
      <c r="E14">
        <v>0.5</v>
      </c>
      <c r="F14">
        <v>0</v>
      </c>
    </row>
    <row r="15" spans="1:10" x14ac:dyDescent="0.25">
      <c r="B15">
        <v>5</v>
      </c>
      <c r="C15" t="s">
        <v>83</v>
      </c>
      <c r="D15" t="s">
        <v>79</v>
      </c>
      <c r="E15">
        <v>0.1</v>
      </c>
      <c r="F15">
        <v>0</v>
      </c>
    </row>
    <row r="16" spans="1:10" x14ac:dyDescent="0.25">
      <c r="B16">
        <v>6</v>
      </c>
      <c r="C16" t="s">
        <v>84</v>
      </c>
      <c r="D16" t="s">
        <v>79</v>
      </c>
      <c r="E16">
        <v>1</v>
      </c>
      <c r="F16">
        <v>0</v>
      </c>
    </row>
    <row r="17" spans="2:6" x14ac:dyDescent="0.25">
      <c r="B17">
        <v>7</v>
      </c>
      <c r="C17" t="s">
        <v>85</v>
      </c>
      <c r="D17" t="s">
        <v>79</v>
      </c>
      <c r="E17">
        <v>-21.977719252</v>
      </c>
      <c r="F17">
        <v>0</v>
      </c>
    </row>
    <row r="18" spans="2:6" x14ac:dyDescent="0.25">
      <c r="B18">
        <v>8</v>
      </c>
      <c r="C18" t="s">
        <v>86</v>
      </c>
      <c r="D18" t="s">
        <v>79</v>
      </c>
      <c r="E18">
        <v>-1.4857940511400001</v>
      </c>
      <c r="F18">
        <v>0</v>
      </c>
    </row>
    <row r="19" spans="2:6" x14ac:dyDescent="0.25">
      <c r="B19">
        <v>9</v>
      </c>
      <c r="C19" t="s">
        <v>87</v>
      </c>
      <c r="D19" t="s">
        <v>79</v>
      </c>
      <c r="E19">
        <v>-4.85028348146</v>
      </c>
      <c r="F19">
        <v>0</v>
      </c>
    </row>
    <row r="20" spans="2:6" x14ac:dyDescent="0.25">
      <c r="B20">
        <v>10</v>
      </c>
      <c r="C20" t="s">
        <v>88</v>
      </c>
      <c r="D20" t="s">
        <v>79</v>
      </c>
      <c r="E20">
        <v>-15.3921330935</v>
      </c>
      <c r="F20">
        <v>0</v>
      </c>
    </row>
    <row r="21" spans="2:6" x14ac:dyDescent="0.25">
      <c r="B21">
        <v>11</v>
      </c>
      <c r="C21" t="s">
        <v>89</v>
      </c>
      <c r="D21" t="s">
        <v>79</v>
      </c>
      <c r="E21">
        <v>-9.7518039976427993</v>
      </c>
      <c r="F21">
        <v>0</v>
      </c>
    </row>
    <row r="22" spans="2:6" x14ac:dyDescent="0.25">
      <c r="B22">
        <v>12</v>
      </c>
      <c r="C22" t="s">
        <v>90</v>
      </c>
      <c r="D22" t="s">
        <v>79</v>
      </c>
      <c r="E22">
        <v>-1.0599160072038001</v>
      </c>
      <c r="F22">
        <v>0</v>
      </c>
    </row>
    <row r="23" spans="2:6" x14ac:dyDescent="0.25">
      <c r="B23">
        <v>13</v>
      </c>
      <c r="C23" t="s">
        <v>91</v>
      </c>
      <c r="D23" t="s">
        <v>79</v>
      </c>
      <c r="E23">
        <v>-6.5192578502799998</v>
      </c>
      <c r="F23">
        <v>0</v>
      </c>
    </row>
    <row r="24" spans="2:6" x14ac:dyDescent="0.25">
      <c r="B24">
        <v>14</v>
      </c>
      <c r="C24" t="s">
        <v>92</v>
      </c>
      <c r="D24" t="s">
        <v>79</v>
      </c>
      <c r="E24">
        <v>-3.04866060786</v>
      </c>
      <c r="F24">
        <v>0</v>
      </c>
    </row>
    <row r="25" spans="2:6" x14ac:dyDescent="0.25">
      <c r="B25">
        <v>15</v>
      </c>
      <c r="C25" t="s">
        <v>93</v>
      </c>
      <c r="D25" t="s">
        <v>79</v>
      </c>
      <c r="E25">
        <v>0</v>
      </c>
      <c r="F25">
        <v>0</v>
      </c>
    </row>
    <row r="26" spans="2:6" x14ac:dyDescent="0.25">
      <c r="B26">
        <v>16</v>
      </c>
      <c r="C26" t="s">
        <v>94</v>
      </c>
      <c r="D26" t="s">
        <v>79</v>
      </c>
      <c r="E26">
        <v>-2.2084934246199999</v>
      </c>
      <c r="F26">
        <v>0</v>
      </c>
    </row>
    <row r="27" spans="2:6" x14ac:dyDescent="0.25">
      <c r="B27">
        <v>17</v>
      </c>
      <c r="C27" t="s">
        <v>95</v>
      </c>
      <c r="D27" t="s">
        <v>79</v>
      </c>
      <c r="E27">
        <v>0</v>
      </c>
      <c r="F27">
        <v>0</v>
      </c>
    </row>
    <row r="28" spans="2:6" x14ac:dyDescent="0.25">
      <c r="B28">
        <v>18</v>
      </c>
      <c r="C28" t="s">
        <v>96</v>
      </c>
      <c r="D28" t="s">
        <v>79</v>
      </c>
      <c r="E28">
        <v>0</v>
      </c>
      <c r="F28">
        <v>0</v>
      </c>
    </row>
    <row r="29" spans="2:6" x14ac:dyDescent="0.25">
      <c r="B29">
        <v>19</v>
      </c>
      <c r="C29" t="s">
        <v>97</v>
      </c>
      <c r="D29" t="s">
        <v>79</v>
      </c>
      <c r="E29">
        <v>0</v>
      </c>
      <c r="F29">
        <v>0</v>
      </c>
    </row>
    <row r="30" spans="2:6" x14ac:dyDescent="0.25">
      <c r="B30">
        <v>20</v>
      </c>
      <c r="C30" t="s">
        <v>98</v>
      </c>
      <c r="D30" t="s">
        <v>79</v>
      </c>
      <c r="E30">
        <v>0</v>
      </c>
      <c r="F30">
        <v>0</v>
      </c>
    </row>
    <row r="31" spans="2:6" x14ac:dyDescent="0.25">
      <c r="B31">
        <v>21</v>
      </c>
      <c r="C31" t="s">
        <v>99</v>
      </c>
      <c r="D31" t="s">
        <v>79</v>
      </c>
      <c r="E31">
        <v>0</v>
      </c>
      <c r="F31">
        <v>0</v>
      </c>
    </row>
    <row r="32" spans="2:6" x14ac:dyDescent="0.25">
      <c r="B32">
        <v>30</v>
      </c>
      <c r="C32" t="s">
        <v>100</v>
      </c>
      <c r="D32" t="s">
        <v>79</v>
      </c>
      <c r="E32">
        <v>0</v>
      </c>
      <c r="F32">
        <v>0</v>
      </c>
    </row>
    <row r="33" spans="2:6" x14ac:dyDescent="0.25">
      <c r="B33">
        <v>31</v>
      </c>
      <c r="C33" t="s">
        <v>101</v>
      </c>
      <c r="D33" t="s">
        <v>79</v>
      </c>
      <c r="E33">
        <v>0</v>
      </c>
      <c r="F33">
        <v>0</v>
      </c>
    </row>
    <row r="34" spans="2:6" x14ac:dyDescent="0.25">
      <c r="B34">
        <v>32</v>
      </c>
      <c r="C34" t="s">
        <v>102</v>
      </c>
      <c r="D34" t="s">
        <v>79</v>
      </c>
      <c r="E34">
        <v>0</v>
      </c>
      <c r="F34">
        <v>0</v>
      </c>
    </row>
    <row r="35" spans="2:6" x14ac:dyDescent="0.25">
      <c r="B35">
        <v>33</v>
      </c>
      <c r="C35" t="s">
        <v>103</v>
      </c>
      <c r="D35" t="s">
        <v>79</v>
      </c>
      <c r="E35">
        <v>0.20475756801299999</v>
      </c>
      <c r="F35">
        <v>0</v>
      </c>
    </row>
    <row r="36" spans="2:6" x14ac:dyDescent="0.25">
      <c r="B36">
        <v>34</v>
      </c>
      <c r="C36" t="s">
        <v>104</v>
      </c>
      <c r="D36" t="s">
        <v>79</v>
      </c>
      <c r="E36">
        <v>0.73914409694299998</v>
      </c>
      <c r="F36">
        <v>0</v>
      </c>
    </row>
    <row r="37" spans="2:6" x14ac:dyDescent="0.25">
      <c r="B37">
        <v>35</v>
      </c>
      <c r="C37" t="s">
        <v>105</v>
      </c>
      <c r="D37" t="s">
        <v>79</v>
      </c>
      <c r="E37">
        <v>0.91950533972299997</v>
      </c>
      <c r="F37">
        <v>0</v>
      </c>
    </row>
    <row r="38" spans="2:6" x14ac:dyDescent="0.25">
      <c r="B38">
        <v>36</v>
      </c>
      <c r="C38" t="s">
        <v>106</v>
      </c>
      <c r="D38" t="s">
        <v>79</v>
      </c>
      <c r="E38">
        <v>0</v>
      </c>
      <c r="F38">
        <v>0</v>
      </c>
    </row>
    <row r="39" spans="2:6" x14ac:dyDescent="0.25">
      <c r="B39">
        <v>37</v>
      </c>
      <c r="C39" t="s">
        <v>107</v>
      </c>
      <c r="D39" t="s">
        <v>79</v>
      </c>
      <c r="E39">
        <v>0.47967991030399998</v>
      </c>
      <c r="F39">
        <v>0</v>
      </c>
    </row>
    <row r="40" spans="2:6" x14ac:dyDescent="0.25">
      <c r="B40">
        <v>38</v>
      </c>
      <c r="C40" t="s">
        <v>108</v>
      </c>
      <c r="D40" t="s">
        <v>79</v>
      </c>
      <c r="E40">
        <v>-0.117361085083</v>
      </c>
      <c r="F40">
        <v>0</v>
      </c>
    </row>
    <row r="41" spans="2:6" x14ac:dyDescent="0.25">
      <c r="B41">
        <v>50</v>
      </c>
      <c r="C41" t="s">
        <v>109</v>
      </c>
      <c r="D41" t="s">
        <v>110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111</v>
      </c>
      <c r="D42" t="s">
        <v>110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112</v>
      </c>
      <c r="D43" t="s">
        <v>110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113</v>
      </c>
      <c r="D44" t="s">
        <v>79</v>
      </c>
      <c r="E44">
        <v>0.20359321296800001</v>
      </c>
      <c r="F44">
        <v>0</v>
      </c>
    </row>
    <row r="45" spans="2:6" x14ac:dyDescent="0.25">
      <c r="B45">
        <v>61</v>
      </c>
      <c r="C45" t="s">
        <v>114</v>
      </c>
      <c r="D45" t="s">
        <v>79</v>
      </c>
      <c r="E45">
        <v>-3.7139025588600001</v>
      </c>
      <c r="F45">
        <v>0</v>
      </c>
    </row>
    <row r="46" spans="2:6" x14ac:dyDescent="0.25">
      <c r="B46">
        <v>62</v>
      </c>
      <c r="C46" t="s">
        <v>115</v>
      </c>
      <c r="D46" t="s">
        <v>79</v>
      </c>
      <c r="E46">
        <v>-14.9292134206</v>
      </c>
      <c r="F46">
        <v>0</v>
      </c>
    </row>
    <row r="47" spans="2:6" x14ac:dyDescent="0.25">
      <c r="B47">
        <v>63</v>
      </c>
      <c r="C47" t="s">
        <v>116</v>
      </c>
      <c r="D47" t="s">
        <v>79</v>
      </c>
      <c r="E47">
        <v>-18.363643827400001</v>
      </c>
      <c r="F47">
        <v>0</v>
      </c>
    </row>
    <row r="48" spans="2:6" x14ac:dyDescent="0.25">
      <c r="B48">
        <v>64</v>
      </c>
      <c r="C48" t="s">
        <v>117</v>
      </c>
      <c r="D48" t="s">
        <v>79</v>
      </c>
      <c r="E48">
        <v>-19.6107408341</v>
      </c>
      <c r="F48">
        <v>0</v>
      </c>
    </row>
    <row r="49" spans="2:6" x14ac:dyDescent="0.25">
      <c r="B49">
        <v>65</v>
      </c>
      <c r="C49" t="s">
        <v>118</v>
      </c>
      <c r="D49" t="s">
        <v>79</v>
      </c>
      <c r="E49">
        <v>-29.386377866</v>
      </c>
      <c r="F49">
        <v>0</v>
      </c>
    </row>
    <row r="50" spans="2:6" x14ac:dyDescent="0.25">
      <c r="B50">
        <v>66</v>
      </c>
      <c r="C50" t="s">
        <v>119</v>
      </c>
      <c r="D50" t="s">
        <v>79</v>
      </c>
      <c r="E50">
        <v>0</v>
      </c>
      <c r="F50">
        <v>0</v>
      </c>
    </row>
    <row r="51" spans="2:6" x14ac:dyDescent="0.25">
      <c r="B51">
        <v>67</v>
      </c>
      <c r="C51" t="s">
        <v>120</v>
      </c>
      <c r="D51" t="s">
        <v>79</v>
      </c>
      <c r="E51">
        <v>-6.7290240321499999</v>
      </c>
      <c r="F51">
        <v>0</v>
      </c>
    </row>
    <row r="52" spans="2:6" x14ac:dyDescent="0.25">
      <c r="B52">
        <v>68</v>
      </c>
      <c r="C52" t="s">
        <v>121</v>
      </c>
      <c r="D52" t="s">
        <v>79</v>
      </c>
      <c r="E52">
        <v>-26.1597322567</v>
      </c>
      <c r="F52">
        <v>0</v>
      </c>
    </row>
    <row r="53" spans="2:6" x14ac:dyDescent="0.25">
      <c r="B53">
        <v>69</v>
      </c>
      <c r="C53" t="s">
        <v>122</v>
      </c>
      <c r="D53" t="s">
        <v>79</v>
      </c>
      <c r="E53">
        <v>-0.14966845132199999</v>
      </c>
      <c r="F53">
        <v>0</v>
      </c>
    </row>
    <row r="54" spans="2:6" x14ac:dyDescent="0.25">
      <c r="B54">
        <v>70</v>
      </c>
      <c r="C54" t="s">
        <v>123</v>
      </c>
      <c r="D54" t="s">
        <v>79</v>
      </c>
      <c r="E54">
        <v>-28.815960729</v>
      </c>
      <c r="F54">
        <v>0</v>
      </c>
    </row>
    <row r="55" spans="2:6" x14ac:dyDescent="0.25">
      <c r="B55">
        <v>71</v>
      </c>
      <c r="C55" t="s">
        <v>124</v>
      </c>
      <c r="D55" t="s">
        <v>79</v>
      </c>
      <c r="E55">
        <v>-38.204969650199999</v>
      </c>
      <c r="F55">
        <v>0</v>
      </c>
    </row>
    <row r="56" spans="2:6" x14ac:dyDescent="0.25">
      <c r="B56">
        <v>72</v>
      </c>
      <c r="C56" t="s">
        <v>125</v>
      </c>
      <c r="D56" t="s">
        <v>79</v>
      </c>
      <c r="E56">
        <v>0</v>
      </c>
      <c r="F56">
        <v>0</v>
      </c>
    </row>
    <row r="57" spans="2:6" x14ac:dyDescent="0.25">
      <c r="B57">
        <v>73</v>
      </c>
      <c r="C57" t="s">
        <v>126</v>
      </c>
      <c r="D57" t="s">
        <v>79</v>
      </c>
      <c r="E57">
        <v>-0.78460574570499997</v>
      </c>
      <c r="F57">
        <v>0</v>
      </c>
    </row>
    <row r="58" spans="2:6" x14ac:dyDescent="0.25">
      <c r="B58">
        <v>74</v>
      </c>
      <c r="C58" t="s">
        <v>127</v>
      </c>
      <c r="D58" t="s">
        <v>79</v>
      </c>
      <c r="E58">
        <v>-60</v>
      </c>
      <c r="F58">
        <v>0</v>
      </c>
    </row>
    <row r="59" spans="2:6" x14ac:dyDescent="0.25">
      <c r="B59">
        <v>75</v>
      </c>
      <c r="C59" t="s">
        <v>128</v>
      </c>
      <c r="D59" t="s">
        <v>79</v>
      </c>
      <c r="E59">
        <v>-40</v>
      </c>
      <c r="F59">
        <v>0</v>
      </c>
    </row>
    <row r="60" spans="2:6" x14ac:dyDescent="0.25">
      <c r="B60">
        <v>76</v>
      </c>
      <c r="C60" t="s">
        <v>129</v>
      </c>
      <c r="D60" t="s">
        <v>79</v>
      </c>
      <c r="E60">
        <v>-19.3366724551</v>
      </c>
      <c r="F60">
        <v>0</v>
      </c>
    </row>
    <row r="61" spans="2:6" x14ac:dyDescent="0.25">
      <c r="B61">
        <v>77</v>
      </c>
      <c r="C61" t="s">
        <v>130</v>
      </c>
      <c r="D61" t="s">
        <v>79</v>
      </c>
      <c r="E61">
        <v>-29.8899113495</v>
      </c>
      <c r="F61">
        <v>0</v>
      </c>
    </row>
    <row r="62" spans="2:6" x14ac:dyDescent="0.25">
      <c r="B62">
        <v>78</v>
      </c>
      <c r="C62" t="s">
        <v>131</v>
      </c>
      <c r="D62" t="s">
        <v>79</v>
      </c>
      <c r="E62">
        <v>0</v>
      </c>
      <c r="F62">
        <v>0</v>
      </c>
    </row>
    <row r="63" spans="2:6" x14ac:dyDescent="0.25">
      <c r="B63">
        <v>79</v>
      </c>
      <c r="C63" t="s">
        <v>132</v>
      </c>
      <c r="D63" t="s">
        <v>79</v>
      </c>
      <c r="E63">
        <v>-4.6085602533700003</v>
      </c>
      <c r="F63">
        <v>0</v>
      </c>
    </row>
    <row r="64" spans="2:6" x14ac:dyDescent="0.25">
      <c r="B64">
        <v>80</v>
      </c>
      <c r="C64" t="s">
        <v>133</v>
      </c>
      <c r="D64" t="s">
        <v>79</v>
      </c>
      <c r="E64">
        <v>-20</v>
      </c>
      <c r="F64">
        <v>0</v>
      </c>
    </row>
    <row r="65" spans="2:11" x14ac:dyDescent="0.25">
      <c r="B65">
        <v>81</v>
      </c>
      <c r="C65" t="s">
        <v>134</v>
      </c>
      <c r="D65" t="s">
        <v>79</v>
      </c>
      <c r="E65">
        <v>-16.8297323695</v>
      </c>
      <c r="F65">
        <v>0</v>
      </c>
    </row>
    <row r="66" spans="2:11" x14ac:dyDescent="0.25">
      <c r="B66">
        <v>82</v>
      </c>
      <c r="C66" t="s">
        <v>135</v>
      </c>
      <c r="D66" t="s">
        <v>79</v>
      </c>
      <c r="E66">
        <v>-30</v>
      </c>
      <c r="F66">
        <v>0</v>
      </c>
    </row>
    <row r="67" spans="2:11" x14ac:dyDescent="0.25">
      <c r="B67">
        <v>83</v>
      </c>
      <c r="C67" t="s">
        <v>136</v>
      </c>
      <c r="D67" t="s">
        <v>79</v>
      </c>
      <c r="E67">
        <v>0</v>
      </c>
      <c r="F67">
        <v>0</v>
      </c>
    </row>
    <row r="68" spans="2:11" x14ac:dyDescent="0.25">
      <c r="B68">
        <v>84</v>
      </c>
      <c r="C68" t="s">
        <v>137</v>
      </c>
      <c r="D68" t="s">
        <v>79</v>
      </c>
      <c r="E68">
        <v>-3.8243167264700002</v>
      </c>
      <c r="F68">
        <v>0</v>
      </c>
    </row>
    <row r="69" spans="2:11" x14ac:dyDescent="0.25">
      <c r="B69">
        <v>98</v>
      </c>
      <c r="C69" t="s">
        <v>138</v>
      </c>
      <c r="D69" t="s">
        <v>79</v>
      </c>
      <c r="E69">
        <v>0</v>
      </c>
      <c r="F69">
        <v>0</v>
      </c>
    </row>
    <row r="70" spans="2:11" x14ac:dyDescent="0.25">
      <c r="B70">
        <v>99</v>
      </c>
      <c r="C70" t="s">
        <v>139</v>
      </c>
      <c r="D70" t="s">
        <v>110</v>
      </c>
      <c r="E70">
        <v>0.11248071060500001</v>
      </c>
      <c r="F70" s="55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25">
      <c r="B73">
        <v>24</v>
      </c>
      <c r="C73" t="s">
        <v>228</v>
      </c>
      <c r="D73" t="s">
        <v>225</v>
      </c>
      <c r="E73">
        <v>29</v>
      </c>
      <c r="F73" t="s">
        <v>226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U62"/>
  <sheetViews>
    <sheetView workbookViewId="0">
      <selection activeCell="F17" sqref="F17"/>
    </sheetView>
  </sheetViews>
  <sheetFormatPr defaultRowHeight="15" x14ac:dyDescent="0.25"/>
  <cols>
    <col min="1" max="1" width="12.7109375" bestFit="1" customWidth="1" collapsed="1"/>
    <col min="5" max="5" width="11.85546875" bestFit="1" customWidth="1" collapsed="1"/>
    <col min="6" max="6" width="7.7109375" customWidth="1" collapsed="1"/>
    <col min="7" max="7" width="7.140625" bestFit="1" customWidth="1" collapsed="1"/>
    <col min="8" max="8" width="17.5703125" bestFit="1" customWidth="1" collapsed="1"/>
    <col min="9" max="9" width="11" bestFit="1" customWidth="1" collapsed="1"/>
    <col min="11" max="11" width="8.42578125" customWidth="1" collapsed="1"/>
    <col min="12" max="13" width="17.5703125" bestFit="1" customWidth="1" collapsed="1"/>
    <col min="19" max="19" width="11.7109375" bestFit="1" customWidth="1" collapsed="1"/>
    <col min="20" max="21" width="17.5703125" bestFit="1" customWidth="1" collapsed="1"/>
  </cols>
  <sheetData>
    <row r="1" spans="1:21" x14ac:dyDescent="0.25">
      <c r="K1" s="56" t="s">
        <v>208</v>
      </c>
      <c r="R1" s="56" t="s">
        <v>242</v>
      </c>
    </row>
    <row r="2" spans="1:21" x14ac:dyDescent="0.25">
      <c r="B2" s="11"/>
      <c r="F2" s="11"/>
      <c r="K2">
        <v>1</v>
      </c>
      <c r="L2" t="s">
        <v>246</v>
      </c>
      <c r="T2" t="s">
        <v>240</v>
      </c>
      <c r="U2" t="s">
        <v>241</v>
      </c>
    </row>
    <row r="3" spans="1:21" x14ac:dyDescent="0.25">
      <c r="K3">
        <v>2</v>
      </c>
      <c r="L3" t="s">
        <v>244</v>
      </c>
      <c r="R3">
        <v>1</v>
      </c>
      <c r="S3" t="s">
        <v>78</v>
      </c>
      <c r="T3" s="60">
        <f>SchoolLocationCoefficient!E11</f>
        <v>1</v>
      </c>
      <c r="U3" s="61">
        <f>T3</f>
        <v>1</v>
      </c>
    </row>
    <row r="4" spans="1:21" x14ac:dyDescent="0.25">
      <c r="D4" s="59"/>
      <c r="E4" s="73"/>
      <c r="F4" s="73"/>
      <c r="G4" s="73"/>
      <c r="H4" s="73"/>
      <c r="I4" s="73"/>
      <c r="L4" t="s">
        <v>243</v>
      </c>
      <c r="R4">
        <v>2</v>
      </c>
      <c r="S4" t="s">
        <v>80</v>
      </c>
      <c r="T4" s="60">
        <f>SchoolLocationCoefficient!E12</f>
        <v>1</v>
      </c>
      <c r="U4" s="61">
        <f t="shared" ref="U4:U62" si="0">T4</f>
        <v>1</v>
      </c>
    </row>
    <row r="5" spans="1:21" x14ac:dyDescent="0.25">
      <c r="E5" s="7"/>
      <c r="F5" s="34"/>
      <c r="G5" s="34"/>
      <c r="H5" s="84" t="s">
        <v>252</v>
      </c>
      <c r="I5" s="34"/>
      <c r="R5">
        <v>3</v>
      </c>
      <c r="S5" t="s">
        <v>81</v>
      </c>
      <c r="T5" s="60">
        <f>SchoolLocationCoefficient!E13</f>
        <v>1</v>
      </c>
      <c r="U5" s="61">
        <f t="shared" si="0"/>
        <v>1</v>
      </c>
    </row>
    <row r="6" spans="1:21" ht="15.75" thickBot="1" x14ac:dyDescent="0.3">
      <c r="A6" s="56" t="s">
        <v>229</v>
      </c>
      <c r="E6" s="80" t="s">
        <v>247</v>
      </c>
      <c r="F6" s="34"/>
      <c r="G6" s="34"/>
      <c r="H6" s="84" t="s">
        <v>253</v>
      </c>
      <c r="I6" s="34"/>
      <c r="R6">
        <v>4</v>
      </c>
      <c r="S6" t="s">
        <v>82</v>
      </c>
      <c r="T6" s="60">
        <f>SchoolLocationCoefficient!E14</f>
        <v>0.5</v>
      </c>
      <c r="U6" s="61">
        <f t="shared" si="0"/>
        <v>0.5</v>
      </c>
    </row>
    <row r="7" spans="1:21" x14ac:dyDescent="0.25">
      <c r="A7" s="5" t="s">
        <v>2</v>
      </c>
      <c r="B7" s="5" t="s">
        <v>207</v>
      </c>
      <c r="C7" s="5" t="s">
        <v>230</v>
      </c>
      <c r="D7" s="7"/>
      <c r="E7" s="5" t="s">
        <v>2</v>
      </c>
      <c r="F7" s="5" t="s">
        <v>207</v>
      </c>
      <c r="G7" s="5" t="s">
        <v>230</v>
      </c>
      <c r="H7" t="s">
        <v>251</v>
      </c>
      <c r="I7" s="5" t="s">
        <v>239</v>
      </c>
      <c r="J7" s="5" t="s">
        <v>235</v>
      </c>
      <c r="K7" s="5" t="s">
        <v>236</v>
      </c>
      <c r="L7" s="5" t="s">
        <v>237</v>
      </c>
      <c r="M7" s="5" t="s">
        <v>238</v>
      </c>
      <c r="R7">
        <v>5</v>
      </c>
      <c r="S7" t="s">
        <v>83</v>
      </c>
      <c r="T7" s="60">
        <f>SchoolLocationCoefficient!E15</f>
        <v>0.1</v>
      </c>
      <c r="U7" s="61">
        <f t="shared" si="0"/>
        <v>0.1</v>
      </c>
    </row>
    <row r="8" spans="1:21" x14ac:dyDescent="0.25">
      <c r="A8" s="58" t="s">
        <v>231</v>
      </c>
      <c r="B8" s="13">
        <f>TLFD!B11</f>
        <v>123508.3771</v>
      </c>
      <c r="C8" s="13">
        <f>TLFD!H11</f>
        <v>89005</v>
      </c>
      <c r="D8" s="7"/>
      <c r="E8" s="58" t="s">
        <v>231</v>
      </c>
      <c r="F8" s="76">
        <f>B8/B$11</f>
        <v>0.23939632583456946</v>
      </c>
      <c r="G8" s="76">
        <f>C8/C$11</f>
        <v>0.17590755292741159</v>
      </c>
      <c r="H8" s="7">
        <v>1</v>
      </c>
      <c r="I8">
        <v>10</v>
      </c>
      <c r="J8" s="9">
        <f>F8/G8</f>
        <v>1.3609212444297749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84</v>
      </c>
      <c r="T8" s="60">
        <f>SchoolLocationCoefficient!E16</f>
        <v>1</v>
      </c>
      <c r="U8" s="61">
        <f t="shared" si="0"/>
        <v>1</v>
      </c>
    </row>
    <row r="9" spans="1:21" x14ac:dyDescent="0.25">
      <c r="A9" s="58" t="s">
        <v>233</v>
      </c>
      <c r="B9" s="13">
        <f>SUM(TLFD!B12:B15)</f>
        <v>222939.48189999998</v>
      </c>
      <c r="C9" s="13">
        <f>SUM(TLFD!H12:H15)</f>
        <v>218915</v>
      </c>
      <c r="E9" s="58" t="s">
        <v>233</v>
      </c>
      <c r="F9" s="76">
        <f t="shared" ref="F9:F10" si="1">B9/B$11</f>
        <v>0.43212366726436807</v>
      </c>
      <c r="G9" s="76">
        <f t="shared" ref="G9:G10" si="2">C9/C$11</f>
        <v>0.43265886128986353</v>
      </c>
      <c r="H9">
        <v>0.1</v>
      </c>
      <c r="I9">
        <v>11</v>
      </c>
      <c r="J9" s="9">
        <f t="shared" ref="J9:J10" si="3">F9/G9</f>
        <v>0.99876301152390612</v>
      </c>
      <c r="K9" s="9">
        <f>(LN(J9)-LN(J8))*H9</f>
        <v>-3.0939961021385749E-2</v>
      </c>
      <c r="L9" s="60">
        <f t="shared" ref="L9:L10" si="4">T13</f>
        <v>-9.7518039976427993</v>
      </c>
      <c r="M9" s="60">
        <f t="shared" ref="M9:M10" si="5">L9+K9</f>
        <v>-9.7827439586641844</v>
      </c>
      <c r="R9">
        <v>7</v>
      </c>
      <c r="S9" t="s">
        <v>85</v>
      </c>
      <c r="T9" s="60">
        <f>SchoolLocationCoefficient!E17</f>
        <v>-21.977719252</v>
      </c>
      <c r="U9" s="61">
        <f t="shared" si="0"/>
        <v>-21.977719252</v>
      </c>
    </row>
    <row r="10" spans="1:21" x14ac:dyDescent="0.25">
      <c r="A10" s="71" t="s">
        <v>234</v>
      </c>
      <c r="B10" s="72">
        <f>SUM(TLFD!B16:B101)</f>
        <v>169468.06690000001</v>
      </c>
      <c r="C10" s="72">
        <f>SUM(TLFD!H16:H101)</f>
        <v>198056</v>
      </c>
      <c r="E10" s="71" t="s">
        <v>234</v>
      </c>
      <c r="F10" s="79">
        <f t="shared" si="1"/>
        <v>0.32848000690106238</v>
      </c>
      <c r="G10" s="79">
        <f t="shared" si="2"/>
        <v>0.39143358578272486</v>
      </c>
      <c r="H10">
        <v>0.1</v>
      </c>
      <c r="I10" s="6">
        <v>12</v>
      </c>
      <c r="J10" s="18">
        <f t="shared" si="3"/>
        <v>0.83917174926168325</v>
      </c>
      <c r="K10" s="18">
        <f>(LN(J10)-LN(J9)-LN(J8))*H10</f>
        <v>-4.8226398821703417E-2</v>
      </c>
      <c r="L10" s="78">
        <f t="shared" si="4"/>
        <v>-1.0599160072038001</v>
      </c>
      <c r="M10" s="78">
        <f t="shared" si="5"/>
        <v>-1.1081424060255034</v>
      </c>
      <c r="R10">
        <v>8</v>
      </c>
      <c r="S10" t="s">
        <v>86</v>
      </c>
      <c r="T10" s="60">
        <f>SchoolLocationCoefficient!E18</f>
        <v>-1.4857940511400001</v>
      </c>
      <c r="U10" s="61">
        <f t="shared" si="0"/>
        <v>-1.4857940511400001</v>
      </c>
    </row>
    <row r="11" spans="1:21" ht="15.75" thickBot="1" x14ac:dyDescent="0.3">
      <c r="A11" s="74" t="s">
        <v>3</v>
      </c>
      <c r="B11" s="75">
        <f>SUM(B8:B10)</f>
        <v>515915.92590000003</v>
      </c>
      <c r="C11" s="75">
        <f>SUM(C8:C10)</f>
        <v>505976</v>
      </c>
      <c r="D11" s="59"/>
      <c r="E11" s="74" t="s">
        <v>3</v>
      </c>
      <c r="F11" s="77">
        <f>SUM(F8:F10)</f>
        <v>0.99999999999999989</v>
      </c>
      <c r="G11" s="77">
        <f>SUM(G8:G10)</f>
        <v>1</v>
      </c>
      <c r="R11">
        <v>9</v>
      </c>
      <c r="S11" t="s">
        <v>87</v>
      </c>
      <c r="T11" s="60">
        <f>SchoolLocationCoefficient!E19</f>
        <v>-4.85028348146</v>
      </c>
      <c r="U11" s="61">
        <f t="shared" si="0"/>
        <v>-4.85028348146</v>
      </c>
    </row>
    <row r="12" spans="1:21" x14ac:dyDescent="0.25">
      <c r="A12" s="69"/>
      <c r="B12" s="70"/>
      <c r="C12" s="70"/>
      <c r="R12" s="62">
        <v>10</v>
      </c>
      <c r="S12" s="62" t="s">
        <v>88</v>
      </c>
      <c r="T12" s="60">
        <f>SchoolLocationCoefficient!E20</f>
        <v>-15.3921330935</v>
      </c>
      <c r="U12" s="61">
        <f>M8</f>
        <v>-15.3921330935</v>
      </c>
    </row>
    <row r="13" spans="1:21" x14ac:dyDescent="0.25">
      <c r="A13" s="69"/>
      <c r="B13" s="70"/>
      <c r="C13" s="70"/>
      <c r="D13" s="7"/>
      <c r="R13" s="62">
        <v>11</v>
      </c>
      <c r="S13" s="62" t="s">
        <v>89</v>
      </c>
      <c r="T13" s="60">
        <f>SchoolLocationCoefficient!E21</f>
        <v>-9.7518039976427993</v>
      </c>
      <c r="U13" s="61">
        <f t="shared" ref="U13:U14" si="6">M9</f>
        <v>-9.7827439586641844</v>
      </c>
    </row>
    <row r="14" spans="1:21" x14ac:dyDescent="0.25">
      <c r="A14" s="64" t="s">
        <v>245</v>
      </c>
      <c r="R14" s="62">
        <v>12</v>
      </c>
      <c r="S14" s="62" t="s">
        <v>90</v>
      </c>
      <c r="T14" s="60">
        <f>SchoolLocationCoefficient!E22</f>
        <v>-1.0599160072038001</v>
      </c>
      <c r="U14" s="61">
        <f t="shared" si="6"/>
        <v>-1.1081424060255034</v>
      </c>
    </row>
    <row r="15" spans="1:21" ht="15.75" thickBot="1" x14ac:dyDescent="0.3">
      <c r="R15">
        <v>13</v>
      </c>
      <c r="S15" t="s">
        <v>91</v>
      </c>
      <c r="T15" s="60">
        <f>SchoolLocationCoefficient!E23</f>
        <v>-6.5192578502799998</v>
      </c>
      <c r="U15" s="61">
        <f t="shared" si="0"/>
        <v>-6.5192578502799998</v>
      </c>
    </row>
    <row r="16" spans="1:21" x14ac:dyDescent="0.25">
      <c r="A16" s="5" t="s">
        <v>2</v>
      </c>
      <c r="B16" s="5" t="s">
        <v>207</v>
      </c>
      <c r="C16" s="5" t="s">
        <v>230</v>
      </c>
      <c r="D16" s="59"/>
      <c r="E16" s="5" t="s">
        <v>2</v>
      </c>
      <c r="F16" s="5" t="s">
        <v>207</v>
      </c>
      <c r="G16" s="5" t="s">
        <v>230</v>
      </c>
      <c r="I16" s="5" t="s">
        <v>239</v>
      </c>
      <c r="J16" s="5" t="s">
        <v>235</v>
      </c>
      <c r="K16" s="5" t="s">
        <v>236</v>
      </c>
      <c r="L16" s="5" t="s">
        <v>237</v>
      </c>
      <c r="M16" s="5" t="s">
        <v>238</v>
      </c>
      <c r="R16">
        <v>14</v>
      </c>
      <c r="S16" t="s">
        <v>92</v>
      </c>
      <c r="T16" s="60">
        <f>SchoolLocationCoefficient!E24</f>
        <v>-3.04866060786</v>
      </c>
      <c r="U16" s="61">
        <f t="shared" si="0"/>
        <v>-3.04866060786</v>
      </c>
    </row>
    <row r="17" spans="1:21" x14ac:dyDescent="0.25">
      <c r="A17" s="65" t="s">
        <v>232</v>
      </c>
      <c r="B17" s="66">
        <f>SchoolAtHome!E14</f>
        <v>3515.915</v>
      </c>
      <c r="C17" s="66">
        <f>SchoolAtHome!L14</f>
        <v>10193</v>
      </c>
      <c r="E17" s="65" t="s">
        <v>232</v>
      </c>
      <c r="F17" s="81">
        <f>B17/B18</f>
        <v>6.8592479549349408E-3</v>
      </c>
      <c r="G17" s="81">
        <f>C17/C18</f>
        <v>1.79449486369198E-2</v>
      </c>
      <c r="I17" s="67">
        <v>50</v>
      </c>
      <c r="J17" s="68">
        <f>F17/G17</f>
        <v>0.38223837213012557</v>
      </c>
      <c r="K17" s="68">
        <f>LN(J17)</f>
        <v>-0.9617108541775049</v>
      </c>
      <c r="L17" s="83">
        <f>T33</f>
        <v>-52.496387392000003</v>
      </c>
      <c r="M17" s="82">
        <f t="shared" ref="M17" si="7">L17+K17</f>
        <v>-53.458098246177506</v>
      </c>
      <c r="R17">
        <v>15</v>
      </c>
      <c r="S17" t="s">
        <v>93</v>
      </c>
      <c r="T17" s="60">
        <f>SchoolLocationCoefficient!E25</f>
        <v>0</v>
      </c>
      <c r="U17" s="61">
        <f t="shared" si="0"/>
        <v>0</v>
      </c>
    </row>
    <row r="18" spans="1:21" ht="15.75" thickBot="1" x14ac:dyDescent="0.3">
      <c r="A18" s="12" t="s">
        <v>3</v>
      </c>
      <c r="B18" s="12">
        <f>SchoolAtHome!E25</f>
        <v>512580.24540000001</v>
      </c>
      <c r="C18" s="12">
        <f>SchoolAtHome!L25</f>
        <v>568015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94</v>
      </c>
      <c r="T18" s="60">
        <f>SchoolLocationCoefficient!E26</f>
        <v>-2.2084934246199999</v>
      </c>
      <c r="U18" s="61">
        <f t="shared" si="0"/>
        <v>-2.2084934246199999</v>
      </c>
    </row>
    <row r="19" spans="1:21" x14ac:dyDescent="0.25">
      <c r="R19">
        <v>17</v>
      </c>
      <c r="S19" t="s">
        <v>95</v>
      </c>
      <c r="T19" s="60">
        <f>SchoolLocationCoefficient!E27</f>
        <v>0</v>
      </c>
      <c r="U19" s="61">
        <f t="shared" si="0"/>
        <v>0</v>
      </c>
    </row>
    <row r="20" spans="1:21" x14ac:dyDescent="0.25">
      <c r="R20">
        <v>18</v>
      </c>
      <c r="S20" t="s">
        <v>96</v>
      </c>
      <c r="T20" s="60">
        <f>SchoolLocationCoefficient!E28</f>
        <v>0</v>
      </c>
      <c r="U20" s="61">
        <f t="shared" si="0"/>
        <v>0</v>
      </c>
    </row>
    <row r="21" spans="1:21" x14ac:dyDescent="0.25">
      <c r="R21">
        <v>19</v>
      </c>
      <c r="S21" t="s">
        <v>97</v>
      </c>
      <c r="T21" s="60">
        <f>SchoolLocationCoefficient!E29</f>
        <v>0</v>
      </c>
      <c r="U21" s="61">
        <f t="shared" si="0"/>
        <v>0</v>
      </c>
    </row>
    <row r="22" spans="1:21" x14ac:dyDescent="0.25">
      <c r="G22" s="7"/>
      <c r="R22">
        <v>20</v>
      </c>
      <c r="S22" t="s">
        <v>98</v>
      </c>
      <c r="T22" s="60">
        <f>SchoolLocationCoefficient!E30</f>
        <v>0</v>
      </c>
      <c r="U22" s="61">
        <f t="shared" si="0"/>
        <v>0</v>
      </c>
    </row>
    <row r="23" spans="1:21" x14ac:dyDescent="0.25">
      <c r="G23" s="7"/>
      <c r="R23">
        <v>21</v>
      </c>
      <c r="S23" t="s">
        <v>99</v>
      </c>
      <c r="T23" s="60">
        <f>SchoolLocationCoefficient!E31</f>
        <v>0</v>
      </c>
      <c r="U23" s="61">
        <f t="shared" si="0"/>
        <v>0</v>
      </c>
    </row>
    <row r="24" spans="1:21" x14ac:dyDescent="0.25">
      <c r="R24">
        <v>30</v>
      </c>
      <c r="S24" t="s">
        <v>100</v>
      </c>
      <c r="T24" s="60">
        <f>SchoolLocationCoefficient!E32</f>
        <v>0</v>
      </c>
      <c r="U24" s="61">
        <f t="shared" si="0"/>
        <v>0</v>
      </c>
    </row>
    <row r="25" spans="1:21" x14ac:dyDescent="0.25">
      <c r="R25">
        <v>31</v>
      </c>
      <c r="S25" t="s">
        <v>101</v>
      </c>
      <c r="T25" s="60">
        <f>SchoolLocationCoefficient!E33</f>
        <v>0</v>
      </c>
      <c r="U25" s="61">
        <f t="shared" si="0"/>
        <v>0</v>
      </c>
    </row>
    <row r="26" spans="1:21" x14ac:dyDescent="0.25">
      <c r="R26">
        <v>32</v>
      </c>
      <c r="S26" t="s">
        <v>102</v>
      </c>
      <c r="T26" s="60">
        <f>SchoolLocationCoefficient!E34</f>
        <v>0</v>
      </c>
      <c r="U26" s="61">
        <f t="shared" si="0"/>
        <v>0</v>
      </c>
    </row>
    <row r="27" spans="1:21" x14ac:dyDescent="0.25">
      <c r="R27">
        <v>33</v>
      </c>
      <c r="S27" t="s">
        <v>103</v>
      </c>
      <c r="T27" s="60">
        <f>SchoolLocationCoefficient!E35</f>
        <v>0.20475756801299999</v>
      </c>
      <c r="U27" s="61">
        <f t="shared" si="0"/>
        <v>0.20475756801299999</v>
      </c>
    </row>
    <row r="28" spans="1:21" x14ac:dyDescent="0.25">
      <c r="J28" t="s">
        <v>248</v>
      </c>
      <c r="R28">
        <v>34</v>
      </c>
      <c r="S28" t="s">
        <v>104</v>
      </c>
      <c r="T28" s="60">
        <f>SchoolLocationCoefficient!E36</f>
        <v>0.73914409694299998</v>
      </c>
      <c r="U28" s="61">
        <f t="shared" si="0"/>
        <v>0.73914409694299998</v>
      </c>
    </row>
    <row r="29" spans="1:21" x14ac:dyDescent="0.25">
      <c r="J29" t="s">
        <v>249</v>
      </c>
      <c r="R29">
        <v>35</v>
      </c>
      <c r="S29" t="s">
        <v>105</v>
      </c>
      <c r="T29" s="60">
        <f>SchoolLocationCoefficient!E37</f>
        <v>0.91950533972299997</v>
      </c>
      <c r="U29" s="61">
        <f t="shared" si="0"/>
        <v>0.91950533972299997</v>
      </c>
    </row>
    <row r="30" spans="1:21" x14ac:dyDescent="0.25">
      <c r="J30" t="s">
        <v>250</v>
      </c>
      <c r="R30">
        <v>36</v>
      </c>
      <c r="S30" t="s">
        <v>106</v>
      </c>
      <c r="T30" s="60">
        <f>SchoolLocationCoefficient!E38</f>
        <v>0</v>
      </c>
      <c r="U30" s="61">
        <f t="shared" si="0"/>
        <v>0</v>
      </c>
    </row>
    <row r="31" spans="1:21" x14ac:dyDescent="0.25">
      <c r="R31">
        <v>37</v>
      </c>
      <c r="S31" t="s">
        <v>107</v>
      </c>
      <c r="T31" s="60">
        <f>SchoolLocationCoefficient!E39</f>
        <v>0.47967991030399998</v>
      </c>
      <c r="U31" s="61">
        <f t="shared" si="0"/>
        <v>0.47967991030399998</v>
      </c>
    </row>
    <row r="32" spans="1:21" x14ac:dyDescent="0.25">
      <c r="R32">
        <v>38</v>
      </c>
      <c r="S32" t="s">
        <v>108</v>
      </c>
      <c r="T32" s="60">
        <f>SchoolLocationCoefficient!E40</f>
        <v>-0.117361085083</v>
      </c>
      <c r="U32" s="61">
        <f t="shared" si="0"/>
        <v>-0.117361085083</v>
      </c>
    </row>
    <row r="33" spans="18:21" x14ac:dyDescent="0.25">
      <c r="R33" s="62">
        <v>50</v>
      </c>
      <c r="S33" s="62" t="s">
        <v>109</v>
      </c>
      <c r="T33" s="60">
        <f>SchoolLocationCoefficient!E41</f>
        <v>-52.496387392000003</v>
      </c>
      <c r="U33" s="63">
        <f>M17</f>
        <v>-53.458098246177506</v>
      </c>
    </row>
    <row r="34" spans="18:21" x14ac:dyDescent="0.25">
      <c r="R34">
        <v>51</v>
      </c>
      <c r="S34" t="s">
        <v>111</v>
      </c>
      <c r="T34" s="60">
        <f>SchoolLocationCoefficient!E42</f>
        <v>17.602734273900001</v>
      </c>
      <c r="U34" s="61">
        <f t="shared" si="0"/>
        <v>17.602734273900001</v>
      </c>
    </row>
    <row r="35" spans="18:21" x14ac:dyDescent="0.25">
      <c r="R35">
        <v>52</v>
      </c>
      <c r="S35" t="s">
        <v>112</v>
      </c>
      <c r="T35" s="60">
        <f>SchoolLocationCoefficient!E43</f>
        <v>4.20952630757</v>
      </c>
      <c r="U35" s="61">
        <f t="shared" si="0"/>
        <v>4.20952630757</v>
      </c>
    </row>
    <row r="36" spans="18:21" x14ac:dyDescent="0.25">
      <c r="R36">
        <v>60</v>
      </c>
      <c r="S36" t="s">
        <v>113</v>
      </c>
      <c r="T36" s="60">
        <f>SchoolLocationCoefficient!E44</f>
        <v>0.20359321296800001</v>
      </c>
      <c r="U36" s="61">
        <f t="shared" si="0"/>
        <v>0.20359321296800001</v>
      </c>
    </row>
    <row r="37" spans="18:21" x14ac:dyDescent="0.25">
      <c r="R37">
        <v>61</v>
      </c>
      <c r="S37" t="s">
        <v>114</v>
      </c>
      <c r="T37" s="60">
        <f>SchoolLocationCoefficient!E45</f>
        <v>-3.7139025588600001</v>
      </c>
      <c r="U37" s="61">
        <f t="shared" si="0"/>
        <v>-3.7139025588600001</v>
      </c>
    </row>
    <row r="38" spans="18:21" x14ac:dyDescent="0.25">
      <c r="R38">
        <v>62</v>
      </c>
      <c r="S38" t="s">
        <v>115</v>
      </c>
      <c r="T38" s="60">
        <f>SchoolLocationCoefficient!E46</f>
        <v>-14.9292134206</v>
      </c>
      <c r="U38" s="61">
        <f t="shared" si="0"/>
        <v>-14.9292134206</v>
      </c>
    </row>
    <row r="39" spans="18:21" x14ac:dyDescent="0.25">
      <c r="R39">
        <v>63</v>
      </c>
      <c r="S39" t="s">
        <v>116</v>
      </c>
      <c r="T39" s="60">
        <f>SchoolLocationCoefficient!E47</f>
        <v>-18.363643827400001</v>
      </c>
      <c r="U39" s="61">
        <f t="shared" si="0"/>
        <v>-18.363643827400001</v>
      </c>
    </row>
    <row r="40" spans="18:21" x14ac:dyDescent="0.25">
      <c r="R40">
        <v>64</v>
      </c>
      <c r="S40" t="s">
        <v>117</v>
      </c>
      <c r="T40" s="60">
        <f>SchoolLocationCoefficient!E48</f>
        <v>-19.6107408341</v>
      </c>
      <c r="U40" s="61">
        <f t="shared" si="0"/>
        <v>-19.6107408341</v>
      </c>
    </row>
    <row r="41" spans="18:21" x14ac:dyDescent="0.25">
      <c r="R41">
        <v>65</v>
      </c>
      <c r="S41" t="s">
        <v>118</v>
      </c>
      <c r="T41" s="60">
        <f>SchoolLocationCoefficient!E49</f>
        <v>-29.386377866</v>
      </c>
      <c r="U41" s="61">
        <f t="shared" si="0"/>
        <v>-29.386377866</v>
      </c>
    </row>
    <row r="42" spans="18:21" x14ac:dyDescent="0.25">
      <c r="R42">
        <v>66</v>
      </c>
      <c r="S42" t="s">
        <v>119</v>
      </c>
      <c r="T42" s="60">
        <f>SchoolLocationCoefficient!E50</f>
        <v>0</v>
      </c>
      <c r="U42" s="61">
        <f t="shared" si="0"/>
        <v>0</v>
      </c>
    </row>
    <row r="43" spans="18:21" x14ac:dyDescent="0.25">
      <c r="R43">
        <v>67</v>
      </c>
      <c r="S43" t="s">
        <v>120</v>
      </c>
      <c r="T43" s="60">
        <f>SchoolLocationCoefficient!E51</f>
        <v>-6.7290240321499999</v>
      </c>
      <c r="U43" s="61">
        <f t="shared" si="0"/>
        <v>-6.7290240321499999</v>
      </c>
    </row>
    <row r="44" spans="18:21" x14ac:dyDescent="0.25">
      <c r="R44">
        <v>68</v>
      </c>
      <c r="S44" t="s">
        <v>121</v>
      </c>
      <c r="T44" s="60">
        <f>SchoolLocationCoefficient!E52</f>
        <v>-26.1597322567</v>
      </c>
      <c r="U44" s="61">
        <f t="shared" si="0"/>
        <v>-26.1597322567</v>
      </c>
    </row>
    <row r="45" spans="18:21" x14ac:dyDescent="0.25">
      <c r="R45">
        <v>69</v>
      </c>
      <c r="S45" t="s">
        <v>122</v>
      </c>
      <c r="T45" s="60">
        <f>SchoolLocationCoefficient!E53</f>
        <v>-0.14966845132199999</v>
      </c>
      <c r="U45" s="61">
        <f t="shared" si="0"/>
        <v>-0.14966845132199999</v>
      </c>
    </row>
    <row r="46" spans="18:21" x14ac:dyDescent="0.25">
      <c r="R46">
        <v>70</v>
      </c>
      <c r="S46" t="s">
        <v>123</v>
      </c>
      <c r="T46" s="60">
        <f>SchoolLocationCoefficient!E54</f>
        <v>-28.815960729</v>
      </c>
      <c r="U46" s="61">
        <f t="shared" si="0"/>
        <v>-28.815960729</v>
      </c>
    </row>
    <row r="47" spans="18:21" x14ac:dyDescent="0.25">
      <c r="R47">
        <v>71</v>
      </c>
      <c r="S47" t="s">
        <v>124</v>
      </c>
      <c r="T47" s="60">
        <f>SchoolLocationCoefficient!E55</f>
        <v>-38.204969650199999</v>
      </c>
      <c r="U47" s="61">
        <f t="shared" si="0"/>
        <v>-38.204969650199999</v>
      </c>
    </row>
    <row r="48" spans="18:21" x14ac:dyDescent="0.25">
      <c r="R48">
        <v>72</v>
      </c>
      <c r="S48" t="s">
        <v>125</v>
      </c>
      <c r="T48" s="60">
        <f>SchoolLocationCoefficient!E56</f>
        <v>0</v>
      </c>
      <c r="U48" s="61">
        <f t="shared" si="0"/>
        <v>0</v>
      </c>
    </row>
    <row r="49" spans="18:21" x14ac:dyDescent="0.25">
      <c r="R49">
        <v>73</v>
      </c>
      <c r="S49" t="s">
        <v>126</v>
      </c>
      <c r="T49" s="60">
        <f>SchoolLocationCoefficient!E57</f>
        <v>-0.78460574570499997</v>
      </c>
      <c r="U49" s="61">
        <f t="shared" si="0"/>
        <v>-0.78460574570499997</v>
      </c>
    </row>
    <row r="50" spans="18:21" x14ac:dyDescent="0.25">
      <c r="R50">
        <v>74</v>
      </c>
      <c r="S50" t="s">
        <v>127</v>
      </c>
      <c r="T50" s="60">
        <f>SchoolLocationCoefficient!E58</f>
        <v>-60</v>
      </c>
      <c r="U50" s="61">
        <f t="shared" si="0"/>
        <v>-60</v>
      </c>
    </row>
    <row r="51" spans="18:21" x14ac:dyDescent="0.25">
      <c r="R51">
        <v>75</v>
      </c>
      <c r="S51" t="s">
        <v>128</v>
      </c>
      <c r="T51" s="60">
        <f>SchoolLocationCoefficient!E59</f>
        <v>-40</v>
      </c>
      <c r="U51" s="61">
        <f t="shared" si="0"/>
        <v>-40</v>
      </c>
    </row>
    <row r="52" spans="18:21" x14ac:dyDescent="0.25">
      <c r="R52">
        <v>76</v>
      </c>
      <c r="S52" t="s">
        <v>129</v>
      </c>
      <c r="T52" s="60">
        <f>SchoolLocationCoefficient!E60</f>
        <v>-19.3366724551</v>
      </c>
      <c r="U52" s="61">
        <f t="shared" si="0"/>
        <v>-19.3366724551</v>
      </c>
    </row>
    <row r="53" spans="18:21" x14ac:dyDescent="0.25">
      <c r="R53">
        <v>77</v>
      </c>
      <c r="S53" t="s">
        <v>130</v>
      </c>
      <c r="T53" s="60">
        <f>SchoolLocationCoefficient!E61</f>
        <v>-29.8899113495</v>
      </c>
      <c r="U53" s="61">
        <f t="shared" si="0"/>
        <v>-29.8899113495</v>
      </c>
    </row>
    <row r="54" spans="18:21" x14ac:dyDescent="0.25">
      <c r="R54">
        <v>78</v>
      </c>
      <c r="S54" t="s">
        <v>131</v>
      </c>
      <c r="T54" s="60">
        <f>SchoolLocationCoefficient!E62</f>
        <v>0</v>
      </c>
      <c r="U54" s="61">
        <f t="shared" si="0"/>
        <v>0</v>
      </c>
    </row>
    <row r="55" spans="18:21" x14ac:dyDescent="0.25">
      <c r="R55">
        <v>79</v>
      </c>
      <c r="S55" t="s">
        <v>132</v>
      </c>
      <c r="T55" s="60">
        <f>SchoolLocationCoefficient!E63</f>
        <v>-4.6085602533700003</v>
      </c>
      <c r="U55" s="61">
        <f t="shared" si="0"/>
        <v>-4.6085602533700003</v>
      </c>
    </row>
    <row r="56" spans="18:21" x14ac:dyDescent="0.25">
      <c r="R56">
        <v>80</v>
      </c>
      <c r="S56" t="s">
        <v>133</v>
      </c>
      <c r="T56" s="60">
        <f>SchoolLocationCoefficient!E64</f>
        <v>-20</v>
      </c>
      <c r="U56" s="61">
        <f t="shared" si="0"/>
        <v>-20</v>
      </c>
    </row>
    <row r="57" spans="18:21" x14ac:dyDescent="0.25">
      <c r="R57">
        <v>81</v>
      </c>
      <c r="S57" t="s">
        <v>134</v>
      </c>
      <c r="T57" s="60">
        <f>SchoolLocationCoefficient!E65</f>
        <v>-16.8297323695</v>
      </c>
      <c r="U57" s="61">
        <f t="shared" si="0"/>
        <v>-16.8297323695</v>
      </c>
    </row>
    <row r="58" spans="18:21" x14ac:dyDescent="0.25">
      <c r="R58">
        <v>82</v>
      </c>
      <c r="S58" t="s">
        <v>135</v>
      </c>
      <c r="T58" s="60">
        <f>SchoolLocationCoefficient!E66</f>
        <v>-30</v>
      </c>
      <c r="U58" s="61">
        <f t="shared" si="0"/>
        <v>-30</v>
      </c>
    </row>
    <row r="59" spans="18:21" x14ac:dyDescent="0.25">
      <c r="R59">
        <v>83</v>
      </c>
      <c r="S59" t="s">
        <v>136</v>
      </c>
      <c r="T59" s="60">
        <f>SchoolLocationCoefficient!E67</f>
        <v>0</v>
      </c>
      <c r="U59" s="61">
        <f t="shared" si="0"/>
        <v>0</v>
      </c>
    </row>
    <row r="60" spans="18:21" x14ac:dyDescent="0.25">
      <c r="R60">
        <v>84</v>
      </c>
      <c r="S60" t="s">
        <v>137</v>
      </c>
      <c r="T60" s="60">
        <f>SchoolLocationCoefficient!E68</f>
        <v>-3.8243167264700002</v>
      </c>
      <c r="U60" s="61">
        <f t="shared" si="0"/>
        <v>-3.8243167264700002</v>
      </c>
    </row>
    <row r="61" spans="18:21" x14ac:dyDescent="0.25">
      <c r="R61">
        <v>98</v>
      </c>
      <c r="S61" t="s">
        <v>138</v>
      </c>
      <c r="T61" s="60">
        <f>SchoolLocationCoefficient!E69</f>
        <v>0</v>
      </c>
      <c r="U61" s="61">
        <f t="shared" si="0"/>
        <v>0</v>
      </c>
    </row>
    <row r="62" spans="18:21" x14ac:dyDescent="0.25">
      <c r="R62">
        <v>99</v>
      </c>
      <c r="S62" t="s">
        <v>139</v>
      </c>
      <c r="T62" s="60">
        <f>SchoolLocationCoefficient!E70</f>
        <v>0.11248071060500001</v>
      </c>
      <c r="U62" s="61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2017-04-27T23:08:40Z</dcterms:modified>
</cp:coreProperties>
</file>